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harts/chart7.xml" ContentType="application/vnd.openxmlformats-officedocument.drawingml.char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3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tables/table20.xml" ContentType="application/vnd.openxmlformats-officedocument.spreadsheetml.table+xml"/>
  <Override PartName="/xl/charts/chart9.xml" ContentType="application/vnd.openxmlformats-officedocument.drawingml.char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tables/table3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itya Pandey\Downloads\"/>
    </mc:Choice>
  </mc:AlternateContent>
  <xr:revisionPtr revIDLastSave="0" documentId="8_{A68BDE9B-8AE3-4318-80F0-71E47FF8C9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RT HERE" sheetId="1" r:id="rId1"/>
    <sheet name="DASHBOARD" sheetId="2" r:id="rId2"/>
    <sheet name="QUICK ENTRY" sheetId="3" r:id="rId3"/>
    <sheet name="TRANSACTIONS" sheetId="4" r:id="rId4"/>
    <sheet name="MONTHLY BUDGET" sheetId="5" r:id="rId5"/>
    <sheet name="INCOME" sheetId="6" r:id="rId6"/>
    <sheet name="COLLEGE FEES" sheetId="7" r:id="rId7"/>
    <sheet name="HOSTEL" sheetId="8" r:id="rId8"/>
    <sheet name="FOOD" sheetId="9" r:id="rId9"/>
    <sheet name="TRAVEL" sheetId="10" r:id="rId10"/>
    <sheet name="TECHNOLOGY" sheetId="11" r:id="rId11"/>
    <sheet name="AI-ML LEARNING" sheetId="12" r:id="rId12"/>
    <sheet name="PERSONAL" sheetId="13" r:id="rId13"/>
    <sheet name="SUBSCRIPTIONS" sheetId="14" r:id="rId14"/>
    <sheet name="SAVINGS" sheetId="15" r:id="rId15"/>
    <sheet name="GOALS" sheetId="16" r:id="rId16"/>
    <sheet name="EMERGENCY FUND" sheetId="17" r:id="rId17"/>
    <sheet name="PURCHASE PLANNER" sheetId="18" r:id="rId18"/>
    <sheet name="SHARED EXPENSES" sheetId="19" r:id="rId19"/>
    <sheet name="LENT-BORROWED" sheetId="20" r:id="rId20"/>
    <sheet name="REFUNDS" sheetId="21" r:id="rId21"/>
    <sheet name="SCHOLARSHIPS" sheetId="22" r:id="rId22"/>
    <sheet name="ACCOUNTS" sheetId="23" r:id="rId23"/>
    <sheet name="RECURRING PAYMENTS" sheetId="24" r:id="rId24"/>
    <sheet name="SEMESTER PLANNER" sheetId="25" r:id="rId25"/>
    <sheet name="FIRST-YEAR COST" sheetId="26" r:id="rId26"/>
    <sheet name="MONTHLY REPORT" sheetId="27" r:id="rId27"/>
    <sheet name="ANNUAL SUMMARY" sheetId="28" r:id="rId28"/>
    <sheet name="INSIGHTS" sheetId="29" r:id="rId29"/>
    <sheet name="SETTINGS" sheetId="30" r:id="rId3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9" l="1"/>
  <c r="U19" i="28"/>
  <c r="R19" i="28"/>
  <c r="Q19" i="28"/>
  <c r="P19" i="28"/>
  <c r="O19" i="28"/>
  <c r="N19" i="28"/>
  <c r="M19" i="28"/>
  <c r="L19" i="28"/>
  <c r="J19" i="28"/>
  <c r="F19" i="28"/>
  <c r="I19" i="28" s="1"/>
  <c r="E19" i="28"/>
  <c r="C19" i="28"/>
  <c r="U18" i="28"/>
  <c r="R18" i="28"/>
  <c r="Q18" i="28"/>
  <c r="P18" i="28"/>
  <c r="O18" i="28"/>
  <c r="N18" i="28"/>
  <c r="M18" i="28"/>
  <c r="L18" i="28"/>
  <c r="J18" i="28"/>
  <c r="F18" i="28"/>
  <c r="I18" i="28" s="1"/>
  <c r="E18" i="28"/>
  <c r="C18" i="28"/>
  <c r="U17" i="28"/>
  <c r="R17" i="28"/>
  <c r="Q17" i="28"/>
  <c r="P17" i="28"/>
  <c r="O17" i="28"/>
  <c r="N17" i="28"/>
  <c r="M17" i="28"/>
  <c r="L17" i="28"/>
  <c r="J17" i="28"/>
  <c r="F17" i="28"/>
  <c r="I17" i="28" s="1"/>
  <c r="E17" i="28"/>
  <c r="C17" i="28"/>
  <c r="U16" i="28"/>
  <c r="R16" i="28"/>
  <c r="Q16" i="28"/>
  <c r="P16" i="28"/>
  <c r="O16" i="28"/>
  <c r="N16" i="28"/>
  <c r="M16" i="28"/>
  <c r="L16" i="28"/>
  <c r="J16" i="28"/>
  <c r="F16" i="28"/>
  <c r="I16" i="28" s="1"/>
  <c r="E16" i="28"/>
  <c r="C16" i="28"/>
  <c r="AD15" i="28"/>
  <c r="AB15" i="28"/>
  <c r="Z15" i="28"/>
  <c r="Y15" i="28"/>
  <c r="U15" i="28"/>
  <c r="R15" i="28"/>
  <c r="Q15" i="28"/>
  <c r="P15" i="28"/>
  <c r="O15" i="28"/>
  <c r="N15" i="28"/>
  <c r="M15" i="28"/>
  <c r="L15" i="28"/>
  <c r="J15" i="28"/>
  <c r="F15" i="28"/>
  <c r="I15" i="28" s="1"/>
  <c r="E15" i="28"/>
  <c r="C15" i="28"/>
  <c r="AD14" i="28"/>
  <c r="AB14" i="28"/>
  <c r="Z14" i="28"/>
  <c r="Y14" i="28"/>
  <c r="U14" i="28"/>
  <c r="R14" i="28"/>
  <c r="Q14" i="28"/>
  <c r="P14" i="28"/>
  <c r="O14" i="28"/>
  <c r="N14" i="28"/>
  <c r="M14" i="28"/>
  <c r="L14" i="28"/>
  <c r="J14" i="28"/>
  <c r="F14" i="28"/>
  <c r="I14" i="28" s="1"/>
  <c r="E14" i="28"/>
  <c r="C14" i="28"/>
  <c r="AD13" i="28"/>
  <c r="AB13" i="28"/>
  <c r="Z13" i="28"/>
  <c r="Y13" i="28"/>
  <c r="U13" i="28"/>
  <c r="R13" i="28"/>
  <c r="Q13" i="28"/>
  <c r="P13" i="28"/>
  <c r="O13" i="28"/>
  <c r="N13" i="28"/>
  <c r="M13" i="28"/>
  <c r="L13" i="28"/>
  <c r="J13" i="28"/>
  <c r="F13" i="28"/>
  <c r="I13" i="28" s="1"/>
  <c r="E13" i="28"/>
  <c r="C13" i="28"/>
  <c r="AD12" i="28"/>
  <c r="AB12" i="28"/>
  <c r="Z12" i="28"/>
  <c r="Y12" i="28"/>
  <c r="U12" i="28"/>
  <c r="R12" i="28"/>
  <c r="Q12" i="28"/>
  <c r="P12" i="28"/>
  <c r="O12" i="28"/>
  <c r="N12" i="28"/>
  <c r="M12" i="28"/>
  <c r="L12" i="28"/>
  <c r="J12" i="28"/>
  <c r="F12" i="28"/>
  <c r="I12" i="28" s="1"/>
  <c r="E12" i="28"/>
  <c r="C12" i="28"/>
  <c r="AD11" i="28"/>
  <c r="AB11" i="28"/>
  <c r="Z11" i="28"/>
  <c r="Y11" i="28"/>
  <c r="U11" i="28"/>
  <c r="R11" i="28"/>
  <c r="Q11" i="28"/>
  <c r="P11" i="28"/>
  <c r="O11" i="28"/>
  <c r="N11" i="28"/>
  <c r="M11" i="28"/>
  <c r="L11" i="28"/>
  <c r="J11" i="28"/>
  <c r="F11" i="28"/>
  <c r="I11" i="28" s="1"/>
  <c r="E11" i="28"/>
  <c r="C11" i="28"/>
  <c r="AD10" i="28"/>
  <c r="AB10" i="28"/>
  <c r="Z10" i="28"/>
  <c r="Y10" i="28"/>
  <c r="U10" i="28"/>
  <c r="R10" i="28"/>
  <c r="Q10" i="28"/>
  <c r="P10" i="28"/>
  <c r="O10" i="28"/>
  <c r="N10" i="28"/>
  <c r="M10" i="28"/>
  <c r="L10" i="28"/>
  <c r="J10" i="28"/>
  <c r="F10" i="28"/>
  <c r="I10" i="28" s="1"/>
  <c r="E10" i="28"/>
  <c r="C10" i="28"/>
  <c r="AD9" i="28"/>
  <c r="AB9" i="28"/>
  <c r="Z9" i="28"/>
  <c r="Y9" i="28"/>
  <c r="U9" i="28"/>
  <c r="R9" i="28"/>
  <c r="Q9" i="28"/>
  <c r="P9" i="28"/>
  <c r="O9" i="28"/>
  <c r="N9" i="28"/>
  <c r="M9" i="28"/>
  <c r="L9" i="28"/>
  <c r="J9" i="28"/>
  <c r="F9" i="28"/>
  <c r="I9" i="28" s="1"/>
  <c r="E9" i="28"/>
  <c r="C9" i="28"/>
  <c r="AD8" i="28"/>
  <c r="AB8" i="28"/>
  <c r="Z8" i="28"/>
  <c r="Y8" i="28"/>
  <c r="V8" i="28"/>
  <c r="U8" i="28"/>
  <c r="R8" i="28"/>
  <c r="Q8" i="28"/>
  <c r="P8" i="28"/>
  <c r="O8" i="28"/>
  <c r="N8" i="28"/>
  <c r="M8" i="28"/>
  <c r="L8" i="28"/>
  <c r="J8" i="28"/>
  <c r="F8" i="28"/>
  <c r="E8" i="28"/>
  <c r="C8" i="28"/>
  <c r="AD7" i="28"/>
  <c r="AB7" i="28"/>
  <c r="Z7" i="28"/>
  <c r="Y7" i="28"/>
  <c r="AD6" i="28"/>
  <c r="AB6" i="28"/>
  <c r="Z6" i="28"/>
  <c r="Y6" i="28"/>
  <c r="AD5" i="28"/>
  <c r="AB5" i="28"/>
  <c r="Z5" i="28"/>
  <c r="Y5" i="28"/>
  <c r="AD4" i="28"/>
  <c r="Y4" i="28"/>
  <c r="A4" i="28"/>
  <c r="D13" i="27"/>
  <c r="D12" i="27"/>
  <c r="D11" i="27"/>
  <c r="D10" i="27"/>
  <c r="B10" i="27"/>
  <c r="D9" i="27"/>
  <c r="B9" i="27"/>
  <c r="B8" i="27"/>
  <c r="A4" i="27"/>
  <c r="G27" i="26"/>
  <c r="B27" i="26"/>
  <c r="C27" i="26" s="1"/>
  <c r="A27" i="26"/>
  <c r="D27" i="26" s="1"/>
  <c r="E27" i="26" s="1"/>
  <c r="H27" i="26" s="1"/>
  <c r="G26" i="26"/>
  <c r="B26" i="26"/>
  <c r="C26" i="26" s="1"/>
  <c r="A26" i="26"/>
  <c r="D26" i="26" s="1"/>
  <c r="E26" i="26" s="1"/>
  <c r="H26" i="26" s="1"/>
  <c r="G25" i="26"/>
  <c r="B25" i="26"/>
  <c r="C25" i="26" s="1"/>
  <c r="A25" i="26"/>
  <c r="D25" i="26" s="1"/>
  <c r="E25" i="26" s="1"/>
  <c r="H25" i="26" s="1"/>
  <c r="G24" i="26"/>
  <c r="B24" i="26"/>
  <c r="C24" i="26" s="1"/>
  <c r="A24" i="26"/>
  <c r="D24" i="26" s="1"/>
  <c r="E24" i="26" s="1"/>
  <c r="H24" i="26" s="1"/>
  <c r="G23" i="26"/>
  <c r="B23" i="26"/>
  <c r="C23" i="26" s="1"/>
  <c r="A23" i="26"/>
  <c r="D23" i="26" s="1"/>
  <c r="E23" i="26" s="1"/>
  <c r="H23" i="26" s="1"/>
  <c r="G22" i="26"/>
  <c r="B22" i="26"/>
  <c r="C22" i="26" s="1"/>
  <c r="A22" i="26"/>
  <c r="D22" i="26" s="1"/>
  <c r="E22" i="26" s="1"/>
  <c r="H22" i="26" s="1"/>
  <c r="G21" i="26"/>
  <c r="B21" i="26"/>
  <c r="C21" i="26" s="1"/>
  <c r="A21" i="26"/>
  <c r="D21" i="26" s="1"/>
  <c r="E21" i="26" s="1"/>
  <c r="H21" i="26" s="1"/>
  <c r="G20" i="26"/>
  <c r="B20" i="26"/>
  <c r="C20" i="26" s="1"/>
  <c r="A20" i="26"/>
  <c r="D20" i="26" s="1"/>
  <c r="E20" i="26" s="1"/>
  <c r="H20" i="26" s="1"/>
  <c r="G19" i="26"/>
  <c r="B19" i="26"/>
  <c r="C19" i="26" s="1"/>
  <c r="A19" i="26"/>
  <c r="D19" i="26" s="1"/>
  <c r="E19" i="26" s="1"/>
  <c r="H19" i="26" s="1"/>
  <c r="G18" i="26"/>
  <c r="B18" i="26"/>
  <c r="C18" i="26" s="1"/>
  <c r="A18" i="26"/>
  <c r="D18" i="26" s="1"/>
  <c r="E18" i="26" s="1"/>
  <c r="H18" i="26" s="1"/>
  <c r="G17" i="26"/>
  <c r="B17" i="26"/>
  <c r="C17" i="26" s="1"/>
  <c r="A17" i="26"/>
  <c r="D17" i="26" s="1"/>
  <c r="E17" i="26" s="1"/>
  <c r="H17" i="26" s="1"/>
  <c r="G16" i="26"/>
  <c r="B16" i="26"/>
  <c r="C16" i="26" s="1"/>
  <c r="A16" i="26"/>
  <c r="D16" i="26" s="1"/>
  <c r="E16" i="26" s="1"/>
  <c r="H16" i="26" s="1"/>
  <c r="G15" i="26"/>
  <c r="B15" i="26"/>
  <c r="C15" i="26" s="1"/>
  <c r="A15" i="26"/>
  <c r="D15" i="26" s="1"/>
  <c r="E15" i="26" s="1"/>
  <c r="H15" i="26" s="1"/>
  <c r="G14" i="26"/>
  <c r="B14" i="26"/>
  <c r="C14" i="26" s="1"/>
  <c r="A14" i="26"/>
  <c r="D14" i="26" s="1"/>
  <c r="E14" i="26" s="1"/>
  <c r="H14" i="26" s="1"/>
  <c r="G13" i="26"/>
  <c r="B13" i="26"/>
  <c r="C13" i="26" s="1"/>
  <c r="A13" i="26"/>
  <c r="D13" i="26" s="1"/>
  <c r="E13" i="26" s="1"/>
  <c r="H13" i="26" s="1"/>
  <c r="G12" i="26"/>
  <c r="B12" i="26"/>
  <c r="C12" i="26" s="1"/>
  <c r="A12" i="26"/>
  <c r="D12" i="26" s="1"/>
  <c r="E12" i="26" s="1"/>
  <c r="H12" i="26" s="1"/>
  <c r="G11" i="26"/>
  <c r="B11" i="26"/>
  <c r="C11" i="26" s="1"/>
  <c r="A11" i="26"/>
  <c r="D11" i="26" s="1"/>
  <c r="E11" i="26" s="1"/>
  <c r="H11" i="26" s="1"/>
  <c r="G10" i="26"/>
  <c r="B10" i="26"/>
  <c r="C10" i="26" s="1"/>
  <c r="A10" i="26"/>
  <c r="D10" i="26" s="1"/>
  <c r="E10" i="26" s="1"/>
  <c r="H10" i="26" s="1"/>
  <c r="G9" i="26"/>
  <c r="B9" i="26"/>
  <c r="C9" i="26" s="1"/>
  <c r="A9" i="26"/>
  <c r="D9" i="26" s="1"/>
  <c r="E9" i="26" s="1"/>
  <c r="H9" i="26" s="1"/>
  <c r="G8" i="26"/>
  <c r="B8" i="26"/>
  <c r="C8" i="26" s="1"/>
  <c r="A8" i="26"/>
  <c r="A4" i="26"/>
  <c r="C9" i="25"/>
  <c r="B9" i="25"/>
  <c r="A9" i="25"/>
  <c r="D8" i="25"/>
  <c r="C8" i="25"/>
  <c r="B8" i="25"/>
  <c r="A8" i="25"/>
  <c r="X22" i="24"/>
  <c r="W22" i="24"/>
  <c r="T22" i="24"/>
  <c r="H22" i="24"/>
  <c r="X21" i="24"/>
  <c r="W21" i="24"/>
  <c r="T21" i="24"/>
  <c r="H21" i="24"/>
  <c r="X20" i="24"/>
  <c r="W20" i="24"/>
  <c r="T20" i="24"/>
  <c r="H20" i="24"/>
  <c r="X19" i="24"/>
  <c r="W19" i="24"/>
  <c r="T19" i="24"/>
  <c r="H19" i="24"/>
  <c r="X18" i="24"/>
  <c r="W18" i="24"/>
  <c r="T18" i="24"/>
  <c r="H18" i="24"/>
  <c r="X17" i="24"/>
  <c r="W17" i="24"/>
  <c r="T17" i="24"/>
  <c r="H17" i="24"/>
  <c r="X16" i="24"/>
  <c r="W16" i="24"/>
  <c r="T16" i="24"/>
  <c r="H16" i="24"/>
  <c r="T15" i="24"/>
  <c r="H15" i="24"/>
  <c r="T14" i="24"/>
  <c r="H14" i="24"/>
  <c r="T13" i="24"/>
  <c r="H13" i="24"/>
  <c r="T12" i="24"/>
  <c r="H12" i="24"/>
  <c r="T11" i="24"/>
  <c r="H11" i="24"/>
  <c r="H10" i="24"/>
  <c r="T9" i="24"/>
  <c r="H9" i="24"/>
  <c r="T8" i="24"/>
  <c r="H8" i="24"/>
  <c r="E24" i="23"/>
  <c r="E23" i="23"/>
  <c r="E21" i="23"/>
  <c r="B21" i="23"/>
  <c r="J15" i="23"/>
  <c r="H15" i="23"/>
  <c r="E15" i="23"/>
  <c r="D15" i="23"/>
  <c r="F15" i="23" s="1"/>
  <c r="J14" i="23"/>
  <c r="H14" i="23"/>
  <c r="E14" i="23"/>
  <c r="D14" i="23"/>
  <c r="F14" i="23" s="1"/>
  <c r="J13" i="23"/>
  <c r="H13" i="23"/>
  <c r="E13" i="23"/>
  <c r="D13" i="23"/>
  <c r="F13" i="23" s="1"/>
  <c r="J12" i="23"/>
  <c r="H12" i="23"/>
  <c r="E12" i="23"/>
  <c r="D12" i="23"/>
  <c r="F12" i="23" s="1"/>
  <c r="J11" i="23"/>
  <c r="H11" i="23"/>
  <c r="E11" i="23"/>
  <c r="D11" i="23"/>
  <c r="F11" i="23" s="1"/>
  <c r="J10" i="23"/>
  <c r="H10" i="23"/>
  <c r="E10" i="23"/>
  <c r="D10" i="23"/>
  <c r="F10" i="23" s="1"/>
  <c r="J9" i="23"/>
  <c r="H9" i="23"/>
  <c r="E9" i="23"/>
  <c r="D9" i="23"/>
  <c r="F9" i="23" s="1"/>
  <c r="J8" i="23"/>
  <c r="E24" i="29" s="1"/>
  <c r="H8" i="23"/>
  <c r="B25" i="23" s="1"/>
  <c r="E8" i="23"/>
  <c r="B23" i="23" s="1"/>
  <c r="D8" i="23"/>
  <c r="M15" i="22"/>
  <c r="J15" i="22"/>
  <c r="M14" i="22"/>
  <c r="J14" i="22"/>
  <c r="M13" i="22"/>
  <c r="J13" i="22"/>
  <c r="M12" i="22"/>
  <c r="J12" i="22"/>
  <c r="M11" i="22"/>
  <c r="J11" i="22"/>
  <c r="M10" i="22"/>
  <c r="J10" i="22"/>
  <c r="M9" i="22"/>
  <c r="J9" i="22"/>
  <c r="M8" i="22"/>
  <c r="J8" i="22"/>
  <c r="G33" i="21"/>
  <c r="H33" i="21" s="1"/>
  <c r="G32" i="21"/>
  <c r="H32" i="21" s="1"/>
  <c r="G31" i="21"/>
  <c r="H31" i="21" s="1"/>
  <c r="G30" i="21"/>
  <c r="H30" i="21" s="1"/>
  <c r="G29" i="21"/>
  <c r="H29" i="21" s="1"/>
  <c r="G28" i="21"/>
  <c r="H28" i="21" s="1"/>
  <c r="G27" i="21"/>
  <c r="H27" i="21" s="1"/>
  <c r="G26" i="21"/>
  <c r="H26" i="21" s="1"/>
  <c r="I19" i="21"/>
  <c r="H19" i="21"/>
  <c r="J19" i="21" s="1"/>
  <c r="I18" i="21"/>
  <c r="H18" i="21"/>
  <c r="J18" i="21" s="1"/>
  <c r="I17" i="21"/>
  <c r="H17" i="21"/>
  <c r="J17" i="21" s="1"/>
  <c r="I16" i="21"/>
  <c r="H16" i="21"/>
  <c r="J16" i="21" s="1"/>
  <c r="I15" i="21"/>
  <c r="H15" i="21"/>
  <c r="J15" i="21" s="1"/>
  <c r="I14" i="21"/>
  <c r="H14" i="21"/>
  <c r="J14" i="21" s="1"/>
  <c r="I13" i="21"/>
  <c r="H13" i="21"/>
  <c r="J13" i="21" s="1"/>
  <c r="I12" i="21"/>
  <c r="H12" i="21"/>
  <c r="J12" i="21" s="1"/>
  <c r="I11" i="21"/>
  <c r="H11" i="21"/>
  <c r="J11" i="21" s="1"/>
  <c r="I10" i="21"/>
  <c r="H10" i="21"/>
  <c r="J10" i="21" s="1"/>
  <c r="I9" i="21"/>
  <c r="H9" i="21"/>
  <c r="J9" i="21" s="1"/>
  <c r="I8" i="21"/>
  <c r="H8" i="21"/>
  <c r="J8" i="21" s="1"/>
  <c r="E25" i="29" s="1"/>
  <c r="I22" i="20"/>
  <c r="H22" i="20"/>
  <c r="J22" i="20" s="1"/>
  <c r="I21" i="20"/>
  <c r="H21" i="20"/>
  <c r="J21" i="20" s="1"/>
  <c r="I20" i="20"/>
  <c r="H20" i="20"/>
  <c r="J20" i="20" s="1"/>
  <c r="I19" i="20"/>
  <c r="H19" i="20"/>
  <c r="J19" i="20" s="1"/>
  <c r="I18" i="20"/>
  <c r="H18" i="20"/>
  <c r="J18" i="20" s="1"/>
  <c r="I17" i="20"/>
  <c r="H17" i="20"/>
  <c r="J17" i="20" s="1"/>
  <c r="I16" i="20"/>
  <c r="H16" i="20"/>
  <c r="J16" i="20" s="1"/>
  <c r="I15" i="20"/>
  <c r="H15" i="20"/>
  <c r="J15" i="20" s="1"/>
  <c r="I14" i="20"/>
  <c r="H14" i="20"/>
  <c r="J14" i="20" s="1"/>
  <c r="I13" i="20"/>
  <c r="H13" i="20"/>
  <c r="J13" i="20" s="1"/>
  <c r="I12" i="20"/>
  <c r="H12" i="20"/>
  <c r="J12" i="20" s="1"/>
  <c r="I11" i="20"/>
  <c r="H11" i="20"/>
  <c r="J11" i="20" s="1"/>
  <c r="I10" i="20"/>
  <c r="H10" i="20"/>
  <c r="J10" i="20" s="1"/>
  <c r="I9" i="20"/>
  <c r="H9" i="20"/>
  <c r="J9" i="20" s="1"/>
  <c r="I8" i="20"/>
  <c r="H8" i="20"/>
  <c r="J8" i="20" s="1"/>
  <c r="E26" i="29" s="1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G9" i="19"/>
  <c r="E9" i="19"/>
  <c r="H9" i="19" s="1"/>
  <c r="E8" i="19"/>
  <c r="F25" i="18"/>
  <c r="E25" i="18"/>
  <c r="D25" i="18"/>
  <c r="C25" i="18"/>
  <c r="B25" i="18"/>
  <c r="F24" i="18"/>
  <c r="E24" i="18"/>
  <c r="D24" i="18"/>
  <c r="C24" i="18"/>
  <c r="B24" i="18"/>
  <c r="K23" i="18"/>
  <c r="K24" i="18" s="1"/>
  <c r="K26" i="18" s="1"/>
  <c r="F23" i="18"/>
  <c r="E23" i="18"/>
  <c r="D23" i="18"/>
  <c r="C23" i="18"/>
  <c r="B23" i="18"/>
  <c r="K22" i="18"/>
  <c r="L16" i="18"/>
  <c r="L15" i="18"/>
  <c r="L14" i="18"/>
  <c r="L13" i="18"/>
  <c r="L12" i="18"/>
  <c r="L11" i="18"/>
  <c r="L10" i="18"/>
  <c r="L9" i="18"/>
  <c r="L8" i="18"/>
  <c r="L7" i="18"/>
  <c r="B7" i="17"/>
  <c r="B8" i="17" s="1"/>
  <c r="B5" i="17"/>
  <c r="J13" i="16"/>
  <c r="F13" i="16"/>
  <c r="G13" i="16" s="1"/>
  <c r="J12" i="16"/>
  <c r="F12" i="16"/>
  <c r="G12" i="16" s="1"/>
  <c r="J11" i="16"/>
  <c r="F11" i="16"/>
  <c r="G11" i="16" s="1"/>
  <c r="J10" i="16"/>
  <c r="F10" i="16"/>
  <c r="G10" i="16" s="1"/>
  <c r="J9" i="16"/>
  <c r="F9" i="16"/>
  <c r="G9" i="16" s="1"/>
  <c r="J8" i="16"/>
  <c r="F8" i="16"/>
  <c r="G8" i="16" s="1"/>
  <c r="B22" i="15"/>
  <c r="B20" i="15"/>
  <c r="B21" i="15" s="1"/>
  <c r="I14" i="15"/>
  <c r="E14" i="15"/>
  <c r="D14" i="15"/>
  <c r="F14" i="15" s="1"/>
  <c r="I13" i="15"/>
  <c r="E13" i="15"/>
  <c r="D13" i="15"/>
  <c r="F13" i="15" s="1"/>
  <c r="I12" i="15"/>
  <c r="E12" i="15"/>
  <c r="D12" i="15"/>
  <c r="F12" i="15" s="1"/>
  <c r="I11" i="15"/>
  <c r="E11" i="15"/>
  <c r="D11" i="15"/>
  <c r="F11" i="15" s="1"/>
  <c r="I10" i="15"/>
  <c r="E10" i="15"/>
  <c r="D10" i="15"/>
  <c r="F10" i="15" s="1"/>
  <c r="I9" i="15"/>
  <c r="E9" i="15"/>
  <c r="D9" i="15"/>
  <c r="F9" i="15" s="1"/>
  <c r="I8" i="15"/>
  <c r="E8" i="15"/>
  <c r="D8" i="15"/>
  <c r="F8" i="15" s="1"/>
  <c r="A4" i="15"/>
  <c r="N17" i="14"/>
  <c r="M17" i="14"/>
  <c r="L17" i="14"/>
  <c r="K17" i="14"/>
  <c r="J17" i="14"/>
  <c r="P17" i="14" s="1"/>
  <c r="I17" i="14"/>
  <c r="H17" i="14"/>
  <c r="G17" i="14"/>
  <c r="F17" i="14"/>
  <c r="E17" i="14"/>
  <c r="D17" i="14"/>
  <c r="C17" i="14"/>
  <c r="B17" i="14"/>
  <c r="A17" i="14"/>
  <c r="N16" i="14"/>
  <c r="M16" i="14"/>
  <c r="L16" i="14"/>
  <c r="K16" i="14"/>
  <c r="J16" i="14"/>
  <c r="P16" i="14" s="1"/>
  <c r="I16" i="14"/>
  <c r="H16" i="14"/>
  <c r="G16" i="14"/>
  <c r="F16" i="14"/>
  <c r="E16" i="14"/>
  <c r="D16" i="14"/>
  <c r="C16" i="14"/>
  <c r="B16" i="14"/>
  <c r="A16" i="14"/>
  <c r="N15" i="14"/>
  <c r="M15" i="14"/>
  <c r="L15" i="14"/>
  <c r="K15" i="14"/>
  <c r="J15" i="14"/>
  <c r="P15" i="14" s="1"/>
  <c r="I15" i="14"/>
  <c r="H15" i="14"/>
  <c r="G15" i="14"/>
  <c r="D15" i="14"/>
  <c r="C15" i="14"/>
  <c r="B15" i="14"/>
  <c r="A15" i="14"/>
  <c r="N14" i="14"/>
  <c r="M14" i="14"/>
  <c r="L14" i="14"/>
  <c r="K14" i="14"/>
  <c r="J14" i="14"/>
  <c r="P14" i="14" s="1"/>
  <c r="I14" i="14"/>
  <c r="H14" i="14"/>
  <c r="G14" i="14"/>
  <c r="D14" i="14"/>
  <c r="C14" i="14"/>
  <c r="B14" i="14"/>
  <c r="A14" i="14"/>
  <c r="N13" i="14"/>
  <c r="M13" i="14"/>
  <c r="L13" i="14"/>
  <c r="K13" i="14"/>
  <c r="J13" i="14"/>
  <c r="P13" i="14" s="1"/>
  <c r="I13" i="14"/>
  <c r="H13" i="14"/>
  <c r="G13" i="14"/>
  <c r="D13" i="14"/>
  <c r="C13" i="14"/>
  <c r="B13" i="14"/>
  <c r="A13" i="14"/>
  <c r="N12" i="14"/>
  <c r="M12" i="14"/>
  <c r="L12" i="14"/>
  <c r="K12" i="14"/>
  <c r="J12" i="14"/>
  <c r="P12" i="14" s="1"/>
  <c r="I12" i="14"/>
  <c r="H12" i="14"/>
  <c r="G12" i="14"/>
  <c r="D12" i="14"/>
  <c r="C12" i="14"/>
  <c r="B12" i="14"/>
  <c r="A12" i="14"/>
  <c r="N11" i="14"/>
  <c r="M11" i="14"/>
  <c r="L11" i="14"/>
  <c r="K11" i="14"/>
  <c r="J11" i="14"/>
  <c r="P11" i="14" s="1"/>
  <c r="I11" i="14"/>
  <c r="H11" i="14"/>
  <c r="D11" i="14"/>
  <c r="C11" i="14"/>
  <c r="B11" i="14"/>
  <c r="A11" i="14"/>
  <c r="N10" i="14"/>
  <c r="M10" i="14"/>
  <c r="L10" i="14"/>
  <c r="K10" i="14"/>
  <c r="J10" i="14"/>
  <c r="P10" i="14" s="1"/>
  <c r="I10" i="14"/>
  <c r="H10" i="14"/>
  <c r="D10" i="14"/>
  <c r="C10" i="14"/>
  <c r="B10" i="14"/>
  <c r="A10" i="14"/>
  <c r="N9" i="14"/>
  <c r="M9" i="14"/>
  <c r="L9" i="14"/>
  <c r="K9" i="14"/>
  <c r="J9" i="14"/>
  <c r="P9" i="14" s="1"/>
  <c r="I9" i="14"/>
  <c r="H9" i="14"/>
  <c r="D9" i="14"/>
  <c r="C9" i="14"/>
  <c r="B9" i="14"/>
  <c r="A9" i="14"/>
  <c r="N8" i="14"/>
  <c r="M8" i="14"/>
  <c r="L8" i="14"/>
  <c r="K8" i="14"/>
  <c r="J8" i="14"/>
  <c r="P8" i="14" s="1"/>
  <c r="I8" i="14"/>
  <c r="H8" i="14"/>
  <c r="D8" i="14"/>
  <c r="C8" i="14"/>
  <c r="B8" i="14"/>
  <c r="A8" i="14"/>
  <c r="D12" i="13"/>
  <c r="C12" i="13"/>
  <c r="B12" i="13"/>
  <c r="E12" i="13" s="1"/>
  <c r="D11" i="13"/>
  <c r="C11" i="13"/>
  <c r="B11" i="13"/>
  <c r="E11" i="13" s="1"/>
  <c r="D10" i="13"/>
  <c r="C10" i="13"/>
  <c r="B10" i="13"/>
  <c r="E10" i="13" s="1"/>
  <c r="D9" i="13"/>
  <c r="C9" i="13"/>
  <c r="B9" i="13"/>
  <c r="E9" i="13" s="1"/>
  <c r="D8" i="13"/>
  <c r="C8" i="13"/>
  <c r="B8" i="13"/>
  <c r="E8" i="13" s="1"/>
  <c r="C5" i="13"/>
  <c r="A5" i="13"/>
  <c r="L44" i="12"/>
  <c r="L43" i="12"/>
  <c r="L42" i="12"/>
  <c r="L41" i="12"/>
  <c r="L40" i="12"/>
  <c r="L39" i="12"/>
  <c r="L38" i="12"/>
  <c r="L37" i="12"/>
  <c r="D17" i="12"/>
  <c r="C17" i="12"/>
  <c r="B17" i="12"/>
  <c r="E17" i="12" s="1"/>
  <c r="D16" i="12"/>
  <c r="C16" i="12"/>
  <c r="B16" i="12"/>
  <c r="E16" i="12" s="1"/>
  <c r="D15" i="12"/>
  <c r="C15" i="12"/>
  <c r="B15" i="12"/>
  <c r="E15" i="12" s="1"/>
  <c r="D14" i="12"/>
  <c r="C14" i="12"/>
  <c r="B14" i="12"/>
  <c r="E14" i="12" s="1"/>
  <c r="D13" i="12"/>
  <c r="C13" i="12"/>
  <c r="B13" i="12"/>
  <c r="E13" i="12" s="1"/>
  <c r="D12" i="12"/>
  <c r="C12" i="12"/>
  <c r="B12" i="12"/>
  <c r="E12" i="12" s="1"/>
  <c r="D11" i="12"/>
  <c r="C11" i="12"/>
  <c r="B11" i="12"/>
  <c r="E11" i="12" s="1"/>
  <c r="D10" i="12"/>
  <c r="C10" i="12"/>
  <c r="B10" i="12"/>
  <c r="E10" i="12" s="1"/>
  <c r="D9" i="12"/>
  <c r="C9" i="12"/>
  <c r="B9" i="12"/>
  <c r="E9" i="12" s="1"/>
  <c r="D8" i="12"/>
  <c r="C8" i="12"/>
  <c r="B8" i="12"/>
  <c r="E8" i="12" s="1"/>
  <c r="C5" i="12"/>
  <c r="A5" i="12"/>
  <c r="O31" i="11"/>
  <c r="I31" i="11"/>
  <c r="J31" i="11" s="1"/>
  <c r="O30" i="11"/>
  <c r="I30" i="11"/>
  <c r="J30" i="11" s="1"/>
  <c r="O29" i="11"/>
  <c r="I29" i="11"/>
  <c r="J29" i="11" s="1"/>
  <c r="O28" i="11"/>
  <c r="I28" i="11"/>
  <c r="J28" i="11" s="1"/>
  <c r="O27" i="11"/>
  <c r="I27" i="11"/>
  <c r="J27" i="11" s="1"/>
  <c r="O26" i="11"/>
  <c r="I26" i="11"/>
  <c r="J26" i="11" s="1"/>
  <c r="D20" i="11"/>
  <c r="C20" i="11"/>
  <c r="B20" i="11"/>
  <c r="E20" i="11" s="1"/>
  <c r="D19" i="11"/>
  <c r="C19" i="11"/>
  <c r="B19" i="11"/>
  <c r="E19" i="11" s="1"/>
  <c r="D18" i="11"/>
  <c r="C18" i="11"/>
  <c r="B18" i="11"/>
  <c r="E18" i="11" s="1"/>
  <c r="D17" i="11"/>
  <c r="C17" i="11"/>
  <c r="B17" i="11"/>
  <c r="E17" i="11" s="1"/>
  <c r="D16" i="11"/>
  <c r="C16" i="11"/>
  <c r="B16" i="11"/>
  <c r="E16" i="11" s="1"/>
  <c r="D15" i="11"/>
  <c r="C15" i="11"/>
  <c r="B15" i="11"/>
  <c r="E15" i="11" s="1"/>
  <c r="D14" i="11"/>
  <c r="C14" i="11"/>
  <c r="B14" i="11"/>
  <c r="E14" i="11" s="1"/>
  <c r="D13" i="11"/>
  <c r="C13" i="11"/>
  <c r="B13" i="11"/>
  <c r="E13" i="11" s="1"/>
  <c r="D12" i="11"/>
  <c r="C12" i="11"/>
  <c r="B12" i="11"/>
  <c r="E12" i="11" s="1"/>
  <c r="D11" i="11"/>
  <c r="C11" i="11"/>
  <c r="B11" i="11"/>
  <c r="E11" i="11" s="1"/>
  <c r="D10" i="11"/>
  <c r="C10" i="11"/>
  <c r="B10" i="11"/>
  <c r="E10" i="11" s="1"/>
  <c r="D9" i="11"/>
  <c r="C9" i="11"/>
  <c r="B9" i="11"/>
  <c r="E9" i="11" s="1"/>
  <c r="D8" i="11"/>
  <c r="C8" i="11"/>
  <c r="B8" i="11"/>
  <c r="E8" i="11" s="1"/>
  <c r="C5" i="11"/>
  <c r="A5" i="11"/>
  <c r="I30" i="10"/>
  <c r="I29" i="10"/>
  <c r="I28" i="10"/>
  <c r="I27" i="10"/>
  <c r="I26" i="10"/>
  <c r="I25" i="10"/>
  <c r="I24" i="10"/>
  <c r="I23" i="10"/>
  <c r="D17" i="10"/>
  <c r="C17" i="10"/>
  <c r="B17" i="10"/>
  <c r="E17" i="10" s="1"/>
  <c r="D16" i="10"/>
  <c r="C16" i="10"/>
  <c r="B16" i="10"/>
  <c r="E16" i="10" s="1"/>
  <c r="D15" i="10"/>
  <c r="C15" i="10"/>
  <c r="B15" i="10"/>
  <c r="E15" i="10" s="1"/>
  <c r="D14" i="10"/>
  <c r="C14" i="10"/>
  <c r="B14" i="10"/>
  <c r="E14" i="10" s="1"/>
  <c r="D13" i="10"/>
  <c r="C13" i="10"/>
  <c r="B13" i="10"/>
  <c r="E13" i="10" s="1"/>
  <c r="D12" i="10"/>
  <c r="C12" i="10"/>
  <c r="B12" i="10"/>
  <c r="E12" i="10" s="1"/>
  <c r="D11" i="10"/>
  <c r="C11" i="10"/>
  <c r="B11" i="10"/>
  <c r="E11" i="10" s="1"/>
  <c r="D10" i="10"/>
  <c r="C10" i="10"/>
  <c r="B10" i="10"/>
  <c r="E10" i="10" s="1"/>
  <c r="D9" i="10"/>
  <c r="C9" i="10"/>
  <c r="B9" i="10"/>
  <c r="E9" i="10" s="1"/>
  <c r="D8" i="10"/>
  <c r="C8" i="10"/>
  <c r="B8" i="10"/>
  <c r="E8" i="10" s="1"/>
  <c r="C5" i="10"/>
  <c r="A5" i="10"/>
  <c r="B25" i="9"/>
  <c r="D20" i="9"/>
  <c r="C20" i="9"/>
  <c r="B20" i="9"/>
  <c r="E20" i="9" s="1"/>
  <c r="D19" i="9"/>
  <c r="C19" i="9"/>
  <c r="B19" i="9"/>
  <c r="E19" i="9" s="1"/>
  <c r="D18" i="9"/>
  <c r="C18" i="9"/>
  <c r="B18" i="9"/>
  <c r="E18" i="9" s="1"/>
  <c r="D17" i="9"/>
  <c r="C17" i="9"/>
  <c r="B17" i="9"/>
  <c r="E17" i="9" s="1"/>
  <c r="D16" i="9"/>
  <c r="C16" i="9"/>
  <c r="B16" i="9"/>
  <c r="E16" i="9" s="1"/>
  <c r="D15" i="9"/>
  <c r="C15" i="9"/>
  <c r="B15" i="9"/>
  <c r="E15" i="9" s="1"/>
  <c r="D14" i="9"/>
  <c r="C14" i="9"/>
  <c r="B14" i="9"/>
  <c r="E14" i="9" s="1"/>
  <c r="D13" i="9"/>
  <c r="C13" i="9"/>
  <c r="B13" i="9"/>
  <c r="E13" i="9" s="1"/>
  <c r="D12" i="9"/>
  <c r="C12" i="9"/>
  <c r="B12" i="9"/>
  <c r="E12" i="9" s="1"/>
  <c r="D11" i="9"/>
  <c r="C11" i="9"/>
  <c r="B11" i="9"/>
  <c r="E11" i="9" s="1"/>
  <c r="D10" i="9"/>
  <c r="C10" i="9"/>
  <c r="B10" i="9"/>
  <c r="E10" i="9" s="1"/>
  <c r="D9" i="9"/>
  <c r="C9" i="9"/>
  <c r="B9" i="9"/>
  <c r="E9" i="9" s="1"/>
  <c r="D8" i="9"/>
  <c r="C8" i="9"/>
  <c r="B8" i="9"/>
  <c r="C5" i="9"/>
  <c r="A5" i="9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D19" i="8"/>
  <c r="C19" i="8"/>
  <c r="B19" i="8"/>
  <c r="E19" i="8" s="1"/>
  <c r="D18" i="8"/>
  <c r="C18" i="8"/>
  <c r="B18" i="8"/>
  <c r="E18" i="8" s="1"/>
  <c r="D17" i="8"/>
  <c r="C17" i="8"/>
  <c r="B17" i="8"/>
  <c r="E17" i="8" s="1"/>
  <c r="D16" i="8"/>
  <c r="C16" i="8"/>
  <c r="B16" i="8"/>
  <c r="E16" i="8" s="1"/>
  <c r="D15" i="8"/>
  <c r="C15" i="8"/>
  <c r="B15" i="8"/>
  <c r="E15" i="8" s="1"/>
  <c r="D14" i="8"/>
  <c r="C14" i="8"/>
  <c r="B14" i="8"/>
  <c r="E14" i="8" s="1"/>
  <c r="D13" i="8"/>
  <c r="C13" i="8"/>
  <c r="B13" i="8"/>
  <c r="E13" i="8" s="1"/>
  <c r="D12" i="8"/>
  <c r="C12" i="8"/>
  <c r="B12" i="8"/>
  <c r="E12" i="8" s="1"/>
  <c r="D11" i="8"/>
  <c r="C11" i="8"/>
  <c r="B11" i="8"/>
  <c r="E11" i="8" s="1"/>
  <c r="D10" i="8"/>
  <c r="C10" i="8"/>
  <c r="B10" i="8"/>
  <c r="E10" i="8" s="1"/>
  <c r="D9" i="8"/>
  <c r="C9" i="8"/>
  <c r="B9" i="8"/>
  <c r="E9" i="8" s="1"/>
  <c r="D8" i="8"/>
  <c r="C8" i="8"/>
  <c r="B8" i="8"/>
  <c r="E8" i="8" s="1"/>
  <c r="C5" i="8"/>
  <c r="A5" i="8"/>
  <c r="I33" i="7"/>
  <c r="I32" i="7"/>
  <c r="I31" i="7"/>
  <c r="I30" i="7"/>
  <c r="I29" i="7"/>
  <c r="I28" i="7"/>
  <c r="I27" i="7"/>
  <c r="I26" i="7"/>
  <c r="I19" i="7"/>
  <c r="G19" i="7"/>
  <c r="J19" i="7" s="1"/>
  <c r="K19" i="7" s="1"/>
  <c r="L19" i="7" s="1"/>
  <c r="I18" i="7"/>
  <c r="G18" i="7"/>
  <c r="J18" i="7" s="1"/>
  <c r="K18" i="7" s="1"/>
  <c r="L18" i="7" s="1"/>
  <c r="I17" i="7"/>
  <c r="G17" i="7"/>
  <c r="J17" i="7" s="1"/>
  <c r="K17" i="7" s="1"/>
  <c r="L17" i="7" s="1"/>
  <c r="I16" i="7"/>
  <c r="G16" i="7"/>
  <c r="J16" i="7" s="1"/>
  <c r="K16" i="7" s="1"/>
  <c r="L16" i="7" s="1"/>
  <c r="I15" i="7"/>
  <c r="G15" i="7"/>
  <c r="J15" i="7" s="1"/>
  <c r="K15" i="7" s="1"/>
  <c r="L15" i="7" s="1"/>
  <c r="I14" i="7"/>
  <c r="G14" i="7"/>
  <c r="J14" i="7" s="1"/>
  <c r="K14" i="7" s="1"/>
  <c r="L14" i="7" s="1"/>
  <c r="I13" i="7"/>
  <c r="G13" i="7"/>
  <c r="J13" i="7" s="1"/>
  <c r="K13" i="7" s="1"/>
  <c r="L13" i="7" s="1"/>
  <c r="I12" i="7"/>
  <c r="G12" i="7"/>
  <c r="J12" i="7" s="1"/>
  <c r="K12" i="7" s="1"/>
  <c r="L12" i="7" s="1"/>
  <c r="I11" i="7"/>
  <c r="G11" i="7"/>
  <c r="J11" i="7" s="1"/>
  <c r="K11" i="7" s="1"/>
  <c r="L11" i="7" s="1"/>
  <c r="I10" i="7"/>
  <c r="G10" i="7"/>
  <c r="J10" i="7" s="1"/>
  <c r="K10" i="7" s="1"/>
  <c r="L10" i="7" s="1"/>
  <c r="I9" i="7"/>
  <c r="G9" i="7"/>
  <c r="J9" i="7" s="1"/>
  <c r="K9" i="7" s="1"/>
  <c r="L9" i="7" s="1"/>
  <c r="I8" i="7"/>
  <c r="G8" i="7"/>
  <c r="J8" i="7" s="1"/>
  <c r="K8" i="7" s="1"/>
  <c r="L8" i="7" s="1"/>
  <c r="K21" i="6"/>
  <c r="L21" i="6" s="1"/>
  <c r="J21" i="6"/>
  <c r="K20" i="6"/>
  <c r="L20" i="6" s="1"/>
  <c r="J20" i="6"/>
  <c r="K19" i="6"/>
  <c r="L19" i="6" s="1"/>
  <c r="J19" i="6"/>
  <c r="E19" i="6"/>
  <c r="D19" i="6"/>
  <c r="B19" i="6"/>
  <c r="K18" i="6"/>
  <c r="L18" i="6" s="1"/>
  <c r="J18" i="6"/>
  <c r="E18" i="6"/>
  <c r="D18" i="6"/>
  <c r="B18" i="6"/>
  <c r="K17" i="6"/>
  <c r="L17" i="6" s="1"/>
  <c r="J17" i="6"/>
  <c r="E17" i="6"/>
  <c r="D17" i="6"/>
  <c r="B17" i="6"/>
  <c r="K16" i="6"/>
  <c r="L16" i="6" s="1"/>
  <c r="J16" i="6"/>
  <c r="E16" i="6"/>
  <c r="D16" i="6"/>
  <c r="B16" i="6"/>
  <c r="K15" i="6"/>
  <c r="L15" i="6" s="1"/>
  <c r="J15" i="6"/>
  <c r="E15" i="6"/>
  <c r="D15" i="6"/>
  <c r="B15" i="6"/>
  <c r="K14" i="6"/>
  <c r="L14" i="6" s="1"/>
  <c r="J14" i="6"/>
  <c r="E14" i="6"/>
  <c r="D14" i="6"/>
  <c r="B14" i="6"/>
  <c r="K13" i="6"/>
  <c r="L13" i="6" s="1"/>
  <c r="J13" i="6"/>
  <c r="E13" i="6"/>
  <c r="B13" i="6"/>
  <c r="D13" i="6" s="1"/>
  <c r="K12" i="6"/>
  <c r="L12" i="6" s="1"/>
  <c r="J12" i="6"/>
  <c r="E12" i="6"/>
  <c r="D12" i="6"/>
  <c r="B12" i="6"/>
  <c r="K11" i="6"/>
  <c r="L11" i="6" s="1"/>
  <c r="J11" i="6"/>
  <c r="E11" i="6"/>
  <c r="B11" i="6"/>
  <c r="D11" i="6" s="1"/>
  <c r="K10" i="6"/>
  <c r="L10" i="6" s="1"/>
  <c r="J10" i="6"/>
  <c r="E10" i="6"/>
  <c r="B10" i="6"/>
  <c r="D10" i="6" s="1"/>
  <c r="E9" i="6"/>
  <c r="B9" i="6"/>
  <c r="D9" i="6" s="1"/>
  <c r="E8" i="6"/>
  <c r="D8" i="6"/>
  <c r="B8" i="6"/>
  <c r="B42" i="5"/>
  <c r="B40" i="5"/>
  <c r="B39" i="5"/>
  <c r="G38" i="5"/>
  <c r="G37" i="5"/>
  <c r="G36" i="5"/>
  <c r="G35" i="5"/>
  <c r="B35" i="5"/>
  <c r="G34" i="5"/>
  <c r="B34" i="5"/>
  <c r="B37" i="5" s="1"/>
  <c r="B33" i="5"/>
  <c r="F27" i="5"/>
  <c r="E27" i="5"/>
  <c r="D27" i="5"/>
  <c r="C27" i="5"/>
  <c r="B27" i="5"/>
  <c r="A27" i="5"/>
  <c r="H26" i="5"/>
  <c r="F26" i="5"/>
  <c r="E26" i="5"/>
  <c r="D26" i="5"/>
  <c r="C26" i="5"/>
  <c r="B26" i="5"/>
  <c r="A26" i="5"/>
  <c r="F25" i="5"/>
  <c r="E25" i="5"/>
  <c r="D25" i="5"/>
  <c r="C25" i="5"/>
  <c r="B25" i="5"/>
  <c r="A25" i="5"/>
  <c r="F24" i="5"/>
  <c r="E24" i="5"/>
  <c r="D24" i="5"/>
  <c r="C24" i="5"/>
  <c r="B24" i="5"/>
  <c r="A24" i="5"/>
  <c r="F23" i="5"/>
  <c r="E23" i="5"/>
  <c r="D23" i="5"/>
  <c r="C23" i="5"/>
  <c r="B23" i="5"/>
  <c r="A23" i="5"/>
  <c r="F22" i="5"/>
  <c r="E22" i="5"/>
  <c r="D22" i="5"/>
  <c r="C22" i="5"/>
  <c r="B22" i="5"/>
  <c r="A22" i="5"/>
  <c r="F21" i="5"/>
  <c r="E21" i="5"/>
  <c r="D21" i="5"/>
  <c r="C21" i="5"/>
  <c r="B21" i="5"/>
  <c r="A21" i="5"/>
  <c r="F20" i="5"/>
  <c r="E20" i="5"/>
  <c r="D20" i="5"/>
  <c r="C20" i="5"/>
  <c r="B20" i="5"/>
  <c r="A20" i="5"/>
  <c r="F19" i="5"/>
  <c r="E19" i="5"/>
  <c r="D19" i="5"/>
  <c r="C19" i="5"/>
  <c r="B19" i="5"/>
  <c r="A19" i="5"/>
  <c r="F18" i="5"/>
  <c r="E18" i="5"/>
  <c r="D18" i="5"/>
  <c r="C18" i="5"/>
  <c r="B18" i="5"/>
  <c r="A18" i="5"/>
  <c r="Q17" i="5"/>
  <c r="F17" i="5"/>
  <c r="E17" i="5"/>
  <c r="D17" i="5"/>
  <c r="C17" i="5"/>
  <c r="B17" i="5"/>
  <c r="A17" i="5"/>
  <c r="F16" i="5"/>
  <c r="E16" i="5"/>
  <c r="D16" i="5"/>
  <c r="C16" i="5"/>
  <c r="B16" i="5"/>
  <c r="A16" i="5"/>
  <c r="F15" i="5"/>
  <c r="E15" i="5"/>
  <c r="D15" i="5"/>
  <c r="C15" i="5"/>
  <c r="B15" i="5"/>
  <c r="A15" i="5"/>
  <c r="F14" i="5"/>
  <c r="E14" i="5"/>
  <c r="D14" i="5"/>
  <c r="C14" i="5"/>
  <c r="B14" i="5"/>
  <c r="A14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F11" i="5"/>
  <c r="E11" i="5"/>
  <c r="D11" i="5"/>
  <c r="C11" i="5"/>
  <c r="B11" i="5"/>
  <c r="A11" i="5"/>
  <c r="F10" i="5"/>
  <c r="E10" i="5"/>
  <c r="D10" i="5"/>
  <c r="C10" i="5"/>
  <c r="B10" i="5"/>
  <c r="A10" i="5"/>
  <c r="F9" i="5"/>
  <c r="E9" i="5"/>
  <c r="D9" i="5"/>
  <c r="C9" i="5"/>
  <c r="B9" i="5"/>
  <c r="A9" i="5"/>
  <c r="F8" i="5"/>
  <c r="E8" i="5"/>
  <c r="D8" i="5"/>
  <c r="C8" i="5"/>
  <c r="B8" i="5"/>
  <c r="A8" i="5"/>
  <c r="G4" i="5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307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306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A304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A303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302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A301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A300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A299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A298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A297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A296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A295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A293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A291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A290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289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A288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287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A286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A285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284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283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A282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281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A280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A279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278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A277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276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275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270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269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263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261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259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257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A256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A255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254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A253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252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251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250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249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A248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247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244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240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A232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231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229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227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224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223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A222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A221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220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219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218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216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214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213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212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211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209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206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205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203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202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201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200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199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198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197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196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M43" i="4"/>
  <c r="L43" i="4"/>
  <c r="J43" i="4"/>
  <c r="I43" i="4"/>
  <c r="H43" i="4"/>
  <c r="G43" i="4"/>
  <c r="F43" i="4"/>
  <c r="E43" i="4"/>
  <c r="C43" i="4"/>
  <c r="B43" i="4"/>
  <c r="M42" i="4"/>
  <c r="L42" i="4"/>
  <c r="J42" i="4"/>
  <c r="I42" i="4"/>
  <c r="H42" i="4"/>
  <c r="G42" i="4"/>
  <c r="F42" i="4"/>
  <c r="E42" i="4"/>
  <c r="C42" i="4"/>
  <c r="B42" i="4"/>
  <c r="M41" i="4"/>
  <c r="L41" i="4"/>
  <c r="J41" i="4"/>
  <c r="I41" i="4"/>
  <c r="H41" i="4"/>
  <c r="G41" i="4"/>
  <c r="F41" i="4"/>
  <c r="E41" i="4"/>
  <c r="C41" i="4"/>
  <c r="B41" i="4"/>
  <c r="M40" i="4"/>
  <c r="L40" i="4"/>
  <c r="J40" i="4"/>
  <c r="I40" i="4"/>
  <c r="H40" i="4"/>
  <c r="G40" i="4"/>
  <c r="F40" i="4"/>
  <c r="E40" i="4"/>
  <c r="C40" i="4"/>
  <c r="B40" i="4"/>
  <c r="M39" i="4"/>
  <c r="L39" i="4"/>
  <c r="J39" i="4"/>
  <c r="I39" i="4"/>
  <c r="H39" i="4"/>
  <c r="G39" i="4"/>
  <c r="F39" i="4"/>
  <c r="E39" i="4"/>
  <c r="C39" i="4"/>
  <c r="B39" i="4"/>
  <c r="M38" i="4"/>
  <c r="L38" i="4"/>
  <c r="J38" i="4"/>
  <c r="I38" i="4"/>
  <c r="H38" i="4"/>
  <c r="G38" i="4"/>
  <c r="F38" i="4"/>
  <c r="E38" i="4"/>
  <c r="C38" i="4"/>
  <c r="B38" i="4"/>
  <c r="M37" i="4"/>
  <c r="L37" i="4"/>
  <c r="J37" i="4"/>
  <c r="I37" i="4"/>
  <c r="H37" i="4"/>
  <c r="G37" i="4"/>
  <c r="F37" i="4"/>
  <c r="E37" i="4"/>
  <c r="C37" i="4"/>
  <c r="B37" i="4"/>
  <c r="M36" i="4"/>
  <c r="L36" i="4"/>
  <c r="J36" i="4"/>
  <c r="I36" i="4"/>
  <c r="H36" i="4"/>
  <c r="G36" i="4"/>
  <c r="F36" i="4"/>
  <c r="E36" i="4"/>
  <c r="C36" i="4"/>
  <c r="B36" i="4"/>
  <c r="M35" i="4"/>
  <c r="L35" i="4"/>
  <c r="J35" i="4"/>
  <c r="I35" i="4"/>
  <c r="H35" i="4"/>
  <c r="G35" i="4"/>
  <c r="F35" i="4"/>
  <c r="E35" i="4"/>
  <c r="C35" i="4"/>
  <c r="B35" i="4"/>
  <c r="M34" i="4"/>
  <c r="L34" i="4"/>
  <c r="J34" i="4"/>
  <c r="I34" i="4"/>
  <c r="H34" i="4"/>
  <c r="G34" i="4"/>
  <c r="F34" i="4"/>
  <c r="E34" i="4"/>
  <c r="C34" i="4"/>
  <c r="B34" i="4"/>
  <c r="M33" i="4"/>
  <c r="L33" i="4"/>
  <c r="J33" i="4"/>
  <c r="I33" i="4"/>
  <c r="H33" i="4"/>
  <c r="G33" i="4"/>
  <c r="F33" i="4"/>
  <c r="E33" i="4"/>
  <c r="C33" i="4"/>
  <c r="B33" i="4"/>
  <c r="M32" i="4"/>
  <c r="L32" i="4"/>
  <c r="J32" i="4"/>
  <c r="I32" i="4"/>
  <c r="H32" i="4"/>
  <c r="G32" i="4"/>
  <c r="F32" i="4"/>
  <c r="E32" i="4"/>
  <c r="C32" i="4"/>
  <c r="B32" i="4"/>
  <c r="M31" i="4"/>
  <c r="L31" i="4"/>
  <c r="J31" i="4"/>
  <c r="I31" i="4"/>
  <c r="H31" i="4"/>
  <c r="G31" i="4"/>
  <c r="F31" i="4"/>
  <c r="E31" i="4"/>
  <c r="C31" i="4"/>
  <c r="B31" i="4"/>
  <c r="M30" i="4"/>
  <c r="L30" i="4"/>
  <c r="J30" i="4"/>
  <c r="I30" i="4"/>
  <c r="H30" i="4"/>
  <c r="G30" i="4"/>
  <c r="F30" i="4"/>
  <c r="E30" i="4"/>
  <c r="C30" i="4"/>
  <c r="B30" i="4"/>
  <c r="M29" i="4"/>
  <c r="L29" i="4"/>
  <c r="J29" i="4"/>
  <c r="I29" i="4"/>
  <c r="H29" i="4"/>
  <c r="G29" i="4"/>
  <c r="F29" i="4"/>
  <c r="E29" i="4"/>
  <c r="C29" i="4"/>
  <c r="B29" i="4"/>
  <c r="M28" i="4"/>
  <c r="L28" i="4"/>
  <c r="J28" i="4"/>
  <c r="I28" i="4"/>
  <c r="H28" i="4"/>
  <c r="G28" i="4"/>
  <c r="F28" i="4"/>
  <c r="E28" i="4"/>
  <c r="C28" i="4"/>
  <c r="B28" i="4"/>
  <c r="M27" i="4"/>
  <c r="L27" i="4"/>
  <c r="J27" i="4"/>
  <c r="I27" i="4"/>
  <c r="H27" i="4"/>
  <c r="G27" i="4"/>
  <c r="F27" i="4"/>
  <c r="E27" i="4"/>
  <c r="C27" i="4"/>
  <c r="B27" i="4"/>
  <c r="M26" i="4"/>
  <c r="L26" i="4"/>
  <c r="J26" i="4"/>
  <c r="I26" i="4"/>
  <c r="H26" i="4"/>
  <c r="G26" i="4"/>
  <c r="F26" i="4"/>
  <c r="E26" i="4"/>
  <c r="C26" i="4"/>
  <c r="B26" i="4"/>
  <c r="M25" i="4"/>
  <c r="L25" i="4"/>
  <c r="J25" i="4"/>
  <c r="I25" i="4"/>
  <c r="H25" i="4"/>
  <c r="G25" i="4"/>
  <c r="F25" i="4"/>
  <c r="E25" i="4"/>
  <c r="C25" i="4"/>
  <c r="B25" i="4"/>
  <c r="M24" i="4"/>
  <c r="L24" i="4"/>
  <c r="J24" i="4"/>
  <c r="I24" i="4"/>
  <c r="H24" i="4"/>
  <c r="G24" i="4"/>
  <c r="F24" i="4"/>
  <c r="E24" i="4"/>
  <c r="C24" i="4"/>
  <c r="B24" i="4"/>
  <c r="M23" i="4"/>
  <c r="L23" i="4"/>
  <c r="J23" i="4"/>
  <c r="I23" i="4"/>
  <c r="H23" i="4"/>
  <c r="G23" i="4"/>
  <c r="F23" i="4"/>
  <c r="E23" i="4"/>
  <c r="C23" i="4"/>
  <c r="B23" i="4"/>
  <c r="M22" i="4"/>
  <c r="L22" i="4"/>
  <c r="J22" i="4"/>
  <c r="I22" i="4"/>
  <c r="H22" i="4"/>
  <c r="G22" i="4"/>
  <c r="F22" i="4"/>
  <c r="E22" i="4"/>
  <c r="C22" i="4"/>
  <c r="B22" i="4"/>
  <c r="M21" i="4"/>
  <c r="L21" i="4"/>
  <c r="J21" i="4"/>
  <c r="I21" i="4"/>
  <c r="H21" i="4"/>
  <c r="G21" i="4"/>
  <c r="F21" i="4"/>
  <c r="E21" i="4"/>
  <c r="C21" i="4"/>
  <c r="B21" i="4"/>
  <c r="M20" i="4"/>
  <c r="L20" i="4"/>
  <c r="J20" i="4"/>
  <c r="I20" i="4"/>
  <c r="H20" i="4"/>
  <c r="G20" i="4"/>
  <c r="F20" i="4"/>
  <c r="E20" i="4"/>
  <c r="C20" i="4"/>
  <c r="B20" i="4"/>
  <c r="M19" i="4"/>
  <c r="L19" i="4"/>
  <c r="J19" i="4"/>
  <c r="I19" i="4"/>
  <c r="H19" i="4"/>
  <c r="G19" i="4"/>
  <c r="F19" i="4"/>
  <c r="E19" i="4"/>
  <c r="C19" i="4"/>
  <c r="B19" i="4"/>
  <c r="M18" i="4"/>
  <c r="L18" i="4"/>
  <c r="J18" i="4"/>
  <c r="I18" i="4"/>
  <c r="H18" i="4"/>
  <c r="G18" i="4"/>
  <c r="F18" i="4"/>
  <c r="E18" i="4"/>
  <c r="C18" i="4"/>
  <c r="B18" i="4"/>
  <c r="M17" i="4"/>
  <c r="L17" i="4"/>
  <c r="J17" i="4"/>
  <c r="I17" i="4"/>
  <c r="H17" i="4"/>
  <c r="G17" i="4"/>
  <c r="F17" i="4"/>
  <c r="E17" i="4"/>
  <c r="C17" i="4"/>
  <c r="B17" i="4"/>
  <c r="M16" i="4"/>
  <c r="L16" i="4"/>
  <c r="J16" i="4"/>
  <c r="I16" i="4"/>
  <c r="H16" i="4"/>
  <c r="G16" i="4"/>
  <c r="F16" i="4"/>
  <c r="E16" i="4"/>
  <c r="C16" i="4"/>
  <c r="B16" i="4"/>
  <c r="M15" i="4"/>
  <c r="L15" i="4"/>
  <c r="J15" i="4"/>
  <c r="I15" i="4"/>
  <c r="H15" i="4"/>
  <c r="G15" i="4"/>
  <c r="F15" i="4"/>
  <c r="E15" i="4"/>
  <c r="C15" i="4"/>
  <c r="B15" i="4"/>
  <c r="M14" i="4"/>
  <c r="L14" i="4"/>
  <c r="J14" i="4"/>
  <c r="I14" i="4"/>
  <c r="H14" i="4"/>
  <c r="G14" i="4"/>
  <c r="F14" i="4"/>
  <c r="E14" i="4"/>
  <c r="C14" i="4"/>
  <c r="B14" i="4"/>
  <c r="M13" i="4"/>
  <c r="L13" i="4"/>
  <c r="J13" i="4"/>
  <c r="I13" i="4"/>
  <c r="H13" i="4"/>
  <c r="G13" i="4"/>
  <c r="F13" i="4"/>
  <c r="E13" i="4"/>
  <c r="C13" i="4"/>
  <c r="B13" i="4"/>
  <c r="M12" i="4"/>
  <c r="L12" i="4"/>
  <c r="J12" i="4"/>
  <c r="I12" i="4"/>
  <c r="H12" i="4"/>
  <c r="G12" i="4"/>
  <c r="F12" i="4"/>
  <c r="E12" i="4"/>
  <c r="C12" i="4"/>
  <c r="B12" i="4"/>
  <c r="M11" i="4"/>
  <c r="L11" i="4"/>
  <c r="J11" i="4"/>
  <c r="I11" i="4"/>
  <c r="H11" i="4"/>
  <c r="G11" i="4"/>
  <c r="F11" i="4"/>
  <c r="E11" i="4"/>
  <c r="C11" i="4"/>
  <c r="B11" i="4"/>
  <c r="M10" i="4"/>
  <c r="L10" i="4"/>
  <c r="J10" i="4"/>
  <c r="I10" i="4"/>
  <c r="H10" i="4"/>
  <c r="G10" i="4"/>
  <c r="F10" i="4"/>
  <c r="E10" i="4"/>
  <c r="C10" i="4"/>
  <c r="B10" i="4"/>
  <c r="M9" i="4"/>
  <c r="L9" i="4"/>
  <c r="J9" i="4"/>
  <c r="I9" i="4"/>
  <c r="H9" i="4"/>
  <c r="G9" i="4"/>
  <c r="F9" i="4"/>
  <c r="E9" i="4"/>
  <c r="C9" i="4"/>
  <c r="B9" i="4"/>
  <c r="M8" i="4"/>
  <c r="L8" i="4"/>
  <c r="J8" i="4"/>
  <c r="I8" i="4"/>
  <c r="H8" i="4"/>
  <c r="G8" i="4"/>
  <c r="F8" i="4"/>
  <c r="E8" i="4"/>
  <c r="C8" i="4"/>
  <c r="B8" i="4"/>
  <c r="AG1007" i="3"/>
  <c r="AF1007" i="3"/>
  <c r="AB1007" i="3"/>
  <c r="AA1007" i="3"/>
  <c r="Z1007" i="3"/>
  <c r="Y1007" i="3"/>
  <c r="X1007" i="3"/>
  <c r="W1007" i="3"/>
  <c r="V1007" i="3"/>
  <c r="U1007" i="3"/>
  <c r="I1007" i="3"/>
  <c r="H1007" i="3"/>
  <c r="AG1006" i="3"/>
  <c r="AF1006" i="3"/>
  <c r="AB1006" i="3"/>
  <c r="AA1006" i="3"/>
  <c r="Z1006" i="3"/>
  <c r="Y1006" i="3"/>
  <c r="X1006" i="3"/>
  <c r="W1006" i="3"/>
  <c r="V1006" i="3"/>
  <c r="U1006" i="3"/>
  <c r="I1006" i="3"/>
  <c r="H1006" i="3"/>
  <c r="AG1005" i="3"/>
  <c r="AF1005" i="3"/>
  <c r="AB1005" i="3"/>
  <c r="AA1005" i="3"/>
  <c r="Z1005" i="3"/>
  <c r="Y1005" i="3"/>
  <c r="X1005" i="3"/>
  <c r="W1005" i="3"/>
  <c r="V1005" i="3"/>
  <c r="U1005" i="3"/>
  <c r="I1005" i="3"/>
  <c r="H1005" i="3"/>
  <c r="AG1004" i="3"/>
  <c r="AF1004" i="3"/>
  <c r="AB1004" i="3"/>
  <c r="AA1004" i="3"/>
  <c r="Z1004" i="3"/>
  <c r="Y1004" i="3"/>
  <c r="X1004" i="3"/>
  <c r="W1004" i="3"/>
  <c r="V1004" i="3"/>
  <c r="U1004" i="3"/>
  <c r="I1004" i="3"/>
  <c r="H1004" i="3"/>
  <c r="AG1003" i="3"/>
  <c r="AF1003" i="3"/>
  <c r="AB1003" i="3"/>
  <c r="AA1003" i="3"/>
  <c r="Z1003" i="3"/>
  <c r="Y1003" i="3"/>
  <c r="X1003" i="3"/>
  <c r="W1003" i="3"/>
  <c r="V1003" i="3"/>
  <c r="U1003" i="3"/>
  <c r="I1003" i="3"/>
  <c r="H1003" i="3"/>
  <c r="AG1002" i="3"/>
  <c r="AF1002" i="3"/>
  <c r="AB1002" i="3"/>
  <c r="AA1002" i="3"/>
  <c r="Z1002" i="3"/>
  <c r="Y1002" i="3"/>
  <c r="X1002" i="3"/>
  <c r="W1002" i="3"/>
  <c r="V1002" i="3"/>
  <c r="U1002" i="3"/>
  <c r="I1002" i="3"/>
  <c r="H1002" i="3"/>
  <c r="AG1001" i="3"/>
  <c r="AF1001" i="3"/>
  <c r="AB1001" i="3"/>
  <c r="AA1001" i="3"/>
  <c r="Z1001" i="3"/>
  <c r="Y1001" i="3"/>
  <c r="X1001" i="3"/>
  <c r="W1001" i="3"/>
  <c r="V1001" i="3"/>
  <c r="U1001" i="3"/>
  <c r="I1001" i="3"/>
  <c r="H1001" i="3"/>
  <c r="AG1000" i="3"/>
  <c r="AF1000" i="3"/>
  <c r="AB1000" i="3"/>
  <c r="AA1000" i="3"/>
  <c r="Z1000" i="3"/>
  <c r="Y1000" i="3"/>
  <c r="X1000" i="3"/>
  <c r="W1000" i="3"/>
  <c r="V1000" i="3"/>
  <c r="U1000" i="3"/>
  <c r="I1000" i="3"/>
  <c r="H1000" i="3"/>
  <c r="AG999" i="3"/>
  <c r="AF999" i="3"/>
  <c r="AB999" i="3"/>
  <c r="AA999" i="3"/>
  <c r="Z999" i="3"/>
  <c r="Y999" i="3"/>
  <c r="X999" i="3"/>
  <c r="W999" i="3"/>
  <c r="V999" i="3"/>
  <c r="U999" i="3"/>
  <c r="I999" i="3"/>
  <c r="H999" i="3"/>
  <c r="AG998" i="3"/>
  <c r="AF998" i="3"/>
  <c r="AB998" i="3"/>
  <c r="AA998" i="3"/>
  <c r="Z998" i="3"/>
  <c r="Y998" i="3"/>
  <c r="X998" i="3"/>
  <c r="W998" i="3"/>
  <c r="V998" i="3"/>
  <c r="U998" i="3"/>
  <c r="I998" i="3"/>
  <c r="H998" i="3"/>
  <c r="AG997" i="3"/>
  <c r="AF997" i="3"/>
  <c r="AB997" i="3"/>
  <c r="AA997" i="3"/>
  <c r="Z997" i="3"/>
  <c r="Y997" i="3"/>
  <c r="X997" i="3"/>
  <c r="W997" i="3"/>
  <c r="V997" i="3"/>
  <c r="U997" i="3"/>
  <c r="I997" i="3"/>
  <c r="H997" i="3"/>
  <c r="AG996" i="3"/>
  <c r="AF996" i="3"/>
  <c r="AB996" i="3"/>
  <c r="AA996" i="3"/>
  <c r="Z996" i="3"/>
  <c r="Y996" i="3"/>
  <c r="X996" i="3"/>
  <c r="W996" i="3"/>
  <c r="V996" i="3"/>
  <c r="U996" i="3"/>
  <c r="I996" i="3"/>
  <c r="H996" i="3"/>
  <c r="AG995" i="3"/>
  <c r="AF995" i="3"/>
  <c r="AB995" i="3"/>
  <c r="AA995" i="3"/>
  <c r="Z995" i="3"/>
  <c r="Y995" i="3"/>
  <c r="X995" i="3"/>
  <c r="W995" i="3"/>
  <c r="V995" i="3"/>
  <c r="U995" i="3"/>
  <c r="I995" i="3"/>
  <c r="H995" i="3"/>
  <c r="AG994" i="3"/>
  <c r="AF994" i="3"/>
  <c r="AB994" i="3"/>
  <c r="AA994" i="3"/>
  <c r="Z994" i="3"/>
  <c r="Y994" i="3"/>
  <c r="X994" i="3"/>
  <c r="W994" i="3"/>
  <c r="V994" i="3"/>
  <c r="U994" i="3"/>
  <c r="I994" i="3"/>
  <c r="H994" i="3"/>
  <c r="AG993" i="3"/>
  <c r="AF993" i="3"/>
  <c r="AB993" i="3"/>
  <c r="AA993" i="3"/>
  <c r="Z993" i="3"/>
  <c r="Y993" i="3"/>
  <c r="X993" i="3"/>
  <c r="W993" i="3"/>
  <c r="V993" i="3"/>
  <c r="U993" i="3"/>
  <c r="I993" i="3"/>
  <c r="H993" i="3"/>
  <c r="AG992" i="3"/>
  <c r="AF992" i="3"/>
  <c r="AB992" i="3"/>
  <c r="AA992" i="3"/>
  <c r="Z992" i="3"/>
  <c r="Y992" i="3"/>
  <c r="X992" i="3"/>
  <c r="W992" i="3"/>
  <c r="V992" i="3"/>
  <c r="U992" i="3"/>
  <c r="I992" i="3"/>
  <c r="H992" i="3"/>
  <c r="AG991" i="3"/>
  <c r="AF991" i="3"/>
  <c r="AB991" i="3"/>
  <c r="AA991" i="3"/>
  <c r="Z991" i="3"/>
  <c r="Y991" i="3"/>
  <c r="X991" i="3"/>
  <c r="W991" i="3"/>
  <c r="V991" i="3"/>
  <c r="U991" i="3"/>
  <c r="I991" i="3"/>
  <c r="H991" i="3"/>
  <c r="AG990" i="3"/>
  <c r="AF990" i="3"/>
  <c r="AB990" i="3"/>
  <c r="AA990" i="3"/>
  <c r="Z990" i="3"/>
  <c r="Y990" i="3"/>
  <c r="X990" i="3"/>
  <c r="W990" i="3"/>
  <c r="V990" i="3"/>
  <c r="U990" i="3"/>
  <c r="I990" i="3"/>
  <c r="H990" i="3"/>
  <c r="AG989" i="3"/>
  <c r="AF989" i="3"/>
  <c r="AB989" i="3"/>
  <c r="AA989" i="3"/>
  <c r="Z989" i="3"/>
  <c r="Y989" i="3"/>
  <c r="X989" i="3"/>
  <c r="W989" i="3"/>
  <c r="V989" i="3"/>
  <c r="U989" i="3"/>
  <c r="I989" i="3"/>
  <c r="H989" i="3"/>
  <c r="AG988" i="3"/>
  <c r="AF988" i="3"/>
  <c r="AB988" i="3"/>
  <c r="AA988" i="3"/>
  <c r="Z988" i="3"/>
  <c r="Y988" i="3"/>
  <c r="X988" i="3"/>
  <c r="W988" i="3"/>
  <c r="V988" i="3"/>
  <c r="U988" i="3"/>
  <c r="I988" i="3"/>
  <c r="H988" i="3"/>
  <c r="AG987" i="3"/>
  <c r="AF987" i="3"/>
  <c r="AB987" i="3"/>
  <c r="AA987" i="3"/>
  <c r="Z987" i="3"/>
  <c r="Y987" i="3"/>
  <c r="X987" i="3"/>
  <c r="W987" i="3"/>
  <c r="V987" i="3"/>
  <c r="U987" i="3"/>
  <c r="I987" i="3"/>
  <c r="H987" i="3"/>
  <c r="AG986" i="3"/>
  <c r="AF986" i="3"/>
  <c r="AB986" i="3"/>
  <c r="AA986" i="3"/>
  <c r="Z986" i="3"/>
  <c r="Y986" i="3"/>
  <c r="X986" i="3"/>
  <c r="W986" i="3"/>
  <c r="V986" i="3"/>
  <c r="U986" i="3"/>
  <c r="I986" i="3"/>
  <c r="H986" i="3"/>
  <c r="AG985" i="3"/>
  <c r="AF985" i="3"/>
  <c r="AB985" i="3"/>
  <c r="AA985" i="3"/>
  <c r="Z985" i="3"/>
  <c r="Y985" i="3"/>
  <c r="X985" i="3"/>
  <c r="W985" i="3"/>
  <c r="V985" i="3"/>
  <c r="U985" i="3"/>
  <c r="I985" i="3"/>
  <c r="H985" i="3"/>
  <c r="AG984" i="3"/>
  <c r="AF984" i="3"/>
  <c r="AB984" i="3"/>
  <c r="AA984" i="3"/>
  <c r="Z984" i="3"/>
  <c r="Y984" i="3"/>
  <c r="X984" i="3"/>
  <c r="W984" i="3"/>
  <c r="V984" i="3"/>
  <c r="U984" i="3"/>
  <c r="I984" i="3"/>
  <c r="H984" i="3"/>
  <c r="AG983" i="3"/>
  <c r="AF983" i="3"/>
  <c r="AB983" i="3"/>
  <c r="AA983" i="3"/>
  <c r="Z983" i="3"/>
  <c r="Y983" i="3"/>
  <c r="X983" i="3"/>
  <c r="W983" i="3"/>
  <c r="V983" i="3"/>
  <c r="U983" i="3"/>
  <c r="I983" i="3"/>
  <c r="H983" i="3"/>
  <c r="AG982" i="3"/>
  <c r="AF982" i="3"/>
  <c r="AB982" i="3"/>
  <c r="AA982" i="3"/>
  <c r="Z982" i="3"/>
  <c r="Y982" i="3"/>
  <c r="X982" i="3"/>
  <c r="W982" i="3"/>
  <c r="V982" i="3"/>
  <c r="U982" i="3"/>
  <c r="I982" i="3"/>
  <c r="H982" i="3"/>
  <c r="AG981" i="3"/>
  <c r="AF981" i="3"/>
  <c r="AB981" i="3"/>
  <c r="AA981" i="3"/>
  <c r="Z981" i="3"/>
  <c r="Y981" i="3"/>
  <c r="X981" i="3"/>
  <c r="W981" i="3"/>
  <c r="V981" i="3"/>
  <c r="U981" i="3"/>
  <c r="I981" i="3"/>
  <c r="H981" i="3"/>
  <c r="AG980" i="3"/>
  <c r="AF980" i="3"/>
  <c r="AB980" i="3"/>
  <c r="AA980" i="3"/>
  <c r="Z980" i="3"/>
  <c r="Y980" i="3"/>
  <c r="X980" i="3"/>
  <c r="W980" i="3"/>
  <c r="V980" i="3"/>
  <c r="U980" i="3"/>
  <c r="I980" i="3"/>
  <c r="H980" i="3"/>
  <c r="AG979" i="3"/>
  <c r="AF979" i="3"/>
  <c r="AB979" i="3"/>
  <c r="AA979" i="3"/>
  <c r="Z979" i="3"/>
  <c r="Y979" i="3"/>
  <c r="X979" i="3"/>
  <c r="W979" i="3"/>
  <c r="V979" i="3"/>
  <c r="U979" i="3"/>
  <c r="I979" i="3"/>
  <c r="H979" i="3"/>
  <c r="AG978" i="3"/>
  <c r="AF978" i="3"/>
  <c r="AB978" i="3"/>
  <c r="AA978" i="3"/>
  <c r="Z978" i="3"/>
  <c r="Y978" i="3"/>
  <c r="X978" i="3"/>
  <c r="W978" i="3"/>
  <c r="V978" i="3"/>
  <c r="U978" i="3"/>
  <c r="I978" i="3"/>
  <c r="H978" i="3"/>
  <c r="AG977" i="3"/>
  <c r="AF977" i="3"/>
  <c r="AB977" i="3"/>
  <c r="AA977" i="3"/>
  <c r="Z977" i="3"/>
  <c r="Y977" i="3"/>
  <c r="X977" i="3"/>
  <c r="W977" i="3"/>
  <c r="V977" i="3"/>
  <c r="U977" i="3"/>
  <c r="I977" i="3"/>
  <c r="H977" i="3"/>
  <c r="AG976" i="3"/>
  <c r="AF976" i="3"/>
  <c r="AB976" i="3"/>
  <c r="AA976" i="3"/>
  <c r="Z976" i="3"/>
  <c r="Y976" i="3"/>
  <c r="X976" i="3"/>
  <c r="W976" i="3"/>
  <c r="V976" i="3"/>
  <c r="U976" i="3"/>
  <c r="I976" i="3"/>
  <c r="H976" i="3"/>
  <c r="AG975" i="3"/>
  <c r="AF975" i="3"/>
  <c r="AB975" i="3"/>
  <c r="AA975" i="3"/>
  <c r="Z975" i="3"/>
  <c r="Y975" i="3"/>
  <c r="X975" i="3"/>
  <c r="W975" i="3"/>
  <c r="V975" i="3"/>
  <c r="U975" i="3"/>
  <c r="I975" i="3"/>
  <c r="H975" i="3"/>
  <c r="AG974" i="3"/>
  <c r="AF974" i="3"/>
  <c r="AB974" i="3"/>
  <c r="AA974" i="3"/>
  <c r="Z974" i="3"/>
  <c r="Y974" i="3"/>
  <c r="X974" i="3"/>
  <c r="W974" i="3"/>
  <c r="V974" i="3"/>
  <c r="U974" i="3"/>
  <c r="I974" i="3"/>
  <c r="H974" i="3"/>
  <c r="AG973" i="3"/>
  <c r="AF973" i="3"/>
  <c r="AB973" i="3"/>
  <c r="AA973" i="3"/>
  <c r="Z973" i="3"/>
  <c r="Y973" i="3"/>
  <c r="X973" i="3"/>
  <c r="W973" i="3"/>
  <c r="V973" i="3"/>
  <c r="U973" i="3"/>
  <c r="I973" i="3"/>
  <c r="H973" i="3"/>
  <c r="AG972" i="3"/>
  <c r="AF972" i="3"/>
  <c r="AB972" i="3"/>
  <c r="AA972" i="3"/>
  <c r="Z972" i="3"/>
  <c r="Y972" i="3"/>
  <c r="X972" i="3"/>
  <c r="W972" i="3"/>
  <c r="V972" i="3"/>
  <c r="U972" i="3"/>
  <c r="I972" i="3"/>
  <c r="H972" i="3"/>
  <c r="AG971" i="3"/>
  <c r="AF971" i="3"/>
  <c r="AB971" i="3"/>
  <c r="AA971" i="3"/>
  <c r="Z971" i="3"/>
  <c r="Y971" i="3"/>
  <c r="X971" i="3"/>
  <c r="W971" i="3"/>
  <c r="V971" i="3"/>
  <c r="U971" i="3"/>
  <c r="I971" i="3"/>
  <c r="H971" i="3"/>
  <c r="AG970" i="3"/>
  <c r="AF970" i="3"/>
  <c r="AB970" i="3"/>
  <c r="AA970" i="3"/>
  <c r="Z970" i="3"/>
  <c r="Y970" i="3"/>
  <c r="X970" i="3"/>
  <c r="W970" i="3"/>
  <c r="V970" i="3"/>
  <c r="U970" i="3"/>
  <c r="I970" i="3"/>
  <c r="H970" i="3"/>
  <c r="AG969" i="3"/>
  <c r="AF969" i="3"/>
  <c r="AB969" i="3"/>
  <c r="AA969" i="3"/>
  <c r="Z969" i="3"/>
  <c r="Y969" i="3"/>
  <c r="X969" i="3"/>
  <c r="W969" i="3"/>
  <c r="V969" i="3"/>
  <c r="U969" i="3"/>
  <c r="I969" i="3"/>
  <c r="H969" i="3"/>
  <c r="AG968" i="3"/>
  <c r="AF968" i="3"/>
  <c r="AB968" i="3"/>
  <c r="AA968" i="3"/>
  <c r="Z968" i="3"/>
  <c r="Y968" i="3"/>
  <c r="X968" i="3"/>
  <c r="W968" i="3"/>
  <c r="V968" i="3"/>
  <c r="U968" i="3"/>
  <c r="I968" i="3"/>
  <c r="H968" i="3"/>
  <c r="AG967" i="3"/>
  <c r="AF967" i="3"/>
  <c r="AB967" i="3"/>
  <c r="AA967" i="3"/>
  <c r="Z967" i="3"/>
  <c r="Y967" i="3"/>
  <c r="X967" i="3"/>
  <c r="W967" i="3"/>
  <c r="V967" i="3"/>
  <c r="U967" i="3"/>
  <c r="I967" i="3"/>
  <c r="H967" i="3"/>
  <c r="AG966" i="3"/>
  <c r="AF966" i="3"/>
  <c r="AB966" i="3"/>
  <c r="AA966" i="3"/>
  <c r="Z966" i="3"/>
  <c r="Y966" i="3"/>
  <c r="X966" i="3"/>
  <c r="W966" i="3"/>
  <c r="V966" i="3"/>
  <c r="U966" i="3"/>
  <c r="I966" i="3"/>
  <c r="H966" i="3"/>
  <c r="AG965" i="3"/>
  <c r="AF965" i="3"/>
  <c r="AB965" i="3"/>
  <c r="AA965" i="3"/>
  <c r="Z965" i="3"/>
  <c r="Y965" i="3"/>
  <c r="X965" i="3"/>
  <c r="W965" i="3"/>
  <c r="V965" i="3"/>
  <c r="U965" i="3"/>
  <c r="I965" i="3"/>
  <c r="H965" i="3"/>
  <c r="AG964" i="3"/>
  <c r="AF964" i="3"/>
  <c r="AB964" i="3"/>
  <c r="AA964" i="3"/>
  <c r="Z964" i="3"/>
  <c r="Y964" i="3"/>
  <c r="X964" i="3"/>
  <c r="W964" i="3"/>
  <c r="V964" i="3"/>
  <c r="U964" i="3"/>
  <c r="I964" i="3"/>
  <c r="H964" i="3"/>
  <c r="AG963" i="3"/>
  <c r="AF963" i="3"/>
  <c r="AB963" i="3"/>
  <c r="AA963" i="3"/>
  <c r="Z963" i="3"/>
  <c r="Y963" i="3"/>
  <c r="X963" i="3"/>
  <c r="W963" i="3"/>
  <c r="V963" i="3"/>
  <c r="U963" i="3"/>
  <c r="I963" i="3"/>
  <c r="H963" i="3"/>
  <c r="AG962" i="3"/>
  <c r="AF962" i="3"/>
  <c r="AB962" i="3"/>
  <c r="AA962" i="3"/>
  <c r="Z962" i="3"/>
  <c r="Y962" i="3"/>
  <c r="X962" i="3"/>
  <c r="W962" i="3"/>
  <c r="V962" i="3"/>
  <c r="U962" i="3"/>
  <c r="I962" i="3"/>
  <c r="H962" i="3"/>
  <c r="AG961" i="3"/>
  <c r="AF961" i="3"/>
  <c r="AB961" i="3"/>
  <c r="AA961" i="3"/>
  <c r="Z961" i="3"/>
  <c r="Y961" i="3"/>
  <c r="X961" i="3"/>
  <c r="W961" i="3"/>
  <c r="V961" i="3"/>
  <c r="U961" i="3"/>
  <c r="I961" i="3"/>
  <c r="H961" i="3"/>
  <c r="AG960" i="3"/>
  <c r="AF960" i="3"/>
  <c r="AB960" i="3"/>
  <c r="AA960" i="3"/>
  <c r="Z960" i="3"/>
  <c r="Y960" i="3"/>
  <c r="X960" i="3"/>
  <c r="W960" i="3"/>
  <c r="V960" i="3"/>
  <c r="U960" i="3"/>
  <c r="I960" i="3"/>
  <c r="H960" i="3"/>
  <c r="AG959" i="3"/>
  <c r="AF959" i="3"/>
  <c r="AB959" i="3"/>
  <c r="AA959" i="3"/>
  <c r="Z959" i="3"/>
  <c r="Y959" i="3"/>
  <c r="X959" i="3"/>
  <c r="W959" i="3"/>
  <c r="V959" i="3"/>
  <c r="U959" i="3"/>
  <c r="I959" i="3"/>
  <c r="H959" i="3"/>
  <c r="AG958" i="3"/>
  <c r="AF958" i="3"/>
  <c r="AB958" i="3"/>
  <c r="AA958" i="3"/>
  <c r="Z958" i="3"/>
  <c r="Y958" i="3"/>
  <c r="X958" i="3"/>
  <c r="W958" i="3"/>
  <c r="V958" i="3"/>
  <c r="U958" i="3"/>
  <c r="I958" i="3"/>
  <c r="H958" i="3"/>
  <c r="AG957" i="3"/>
  <c r="AF957" i="3"/>
  <c r="AB957" i="3"/>
  <c r="AA957" i="3"/>
  <c r="Z957" i="3"/>
  <c r="Y957" i="3"/>
  <c r="X957" i="3"/>
  <c r="W957" i="3"/>
  <c r="V957" i="3"/>
  <c r="U957" i="3"/>
  <c r="I957" i="3"/>
  <c r="H957" i="3"/>
  <c r="AG956" i="3"/>
  <c r="AF956" i="3"/>
  <c r="AB956" i="3"/>
  <c r="AA956" i="3"/>
  <c r="Z956" i="3"/>
  <c r="Y956" i="3"/>
  <c r="X956" i="3"/>
  <c r="W956" i="3"/>
  <c r="V956" i="3"/>
  <c r="U956" i="3"/>
  <c r="I956" i="3"/>
  <c r="H956" i="3"/>
  <c r="AG955" i="3"/>
  <c r="AF955" i="3"/>
  <c r="AB955" i="3"/>
  <c r="AA955" i="3"/>
  <c r="Z955" i="3"/>
  <c r="Y955" i="3"/>
  <c r="X955" i="3"/>
  <c r="W955" i="3"/>
  <c r="V955" i="3"/>
  <c r="U955" i="3"/>
  <c r="I955" i="3"/>
  <c r="H955" i="3"/>
  <c r="AG954" i="3"/>
  <c r="AF954" i="3"/>
  <c r="AB954" i="3"/>
  <c r="AA954" i="3"/>
  <c r="Z954" i="3"/>
  <c r="Y954" i="3"/>
  <c r="X954" i="3"/>
  <c r="W954" i="3"/>
  <c r="V954" i="3"/>
  <c r="U954" i="3"/>
  <c r="I954" i="3"/>
  <c r="H954" i="3"/>
  <c r="AG953" i="3"/>
  <c r="AF953" i="3"/>
  <c r="AB953" i="3"/>
  <c r="AA953" i="3"/>
  <c r="Z953" i="3"/>
  <c r="Y953" i="3"/>
  <c r="X953" i="3"/>
  <c r="W953" i="3"/>
  <c r="V953" i="3"/>
  <c r="U953" i="3"/>
  <c r="I953" i="3"/>
  <c r="H953" i="3"/>
  <c r="AG952" i="3"/>
  <c r="AF952" i="3"/>
  <c r="AB952" i="3"/>
  <c r="AA952" i="3"/>
  <c r="Z952" i="3"/>
  <c r="Y952" i="3"/>
  <c r="X952" i="3"/>
  <c r="W952" i="3"/>
  <c r="V952" i="3"/>
  <c r="U952" i="3"/>
  <c r="I952" i="3"/>
  <c r="H952" i="3"/>
  <c r="AG951" i="3"/>
  <c r="AF951" i="3"/>
  <c r="AB951" i="3"/>
  <c r="AA951" i="3"/>
  <c r="Z951" i="3"/>
  <c r="Y951" i="3"/>
  <c r="X951" i="3"/>
  <c r="W951" i="3"/>
  <c r="V951" i="3"/>
  <c r="U951" i="3"/>
  <c r="I951" i="3"/>
  <c r="H951" i="3"/>
  <c r="AG950" i="3"/>
  <c r="AF950" i="3"/>
  <c r="AB950" i="3"/>
  <c r="AA950" i="3"/>
  <c r="Z950" i="3"/>
  <c r="Y950" i="3"/>
  <c r="X950" i="3"/>
  <c r="W950" i="3"/>
  <c r="V950" i="3"/>
  <c r="U950" i="3"/>
  <c r="I950" i="3"/>
  <c r="H950" i="3"/>
  <c r="AG949" i="3"/>
  <c r="AF949" i="3"/>
  <c r="AB949" i="3"/>
  <c r="AA949" i="3"/>
  <c r="Z949" i="3"/>
  <c r="Y949" i="3"/>
  <c r="X949" i="3"/>
  <c r="W949" i="3"/>
  <c r="V949" i="3"/>
  <c r="U949" i="3"/>
  <c r="I949" i="3"/>
  <c r="H949" i="3"/>
  <c r="AG948" i="3"/>
  <c r="AF948" i="3"/>
  <c r="AB948" i="3"/>
  <c r="AA948" i="3"/>
  <c r="Z948" i="3"/>
  <c r="Y948" i="3"/>
  <c r="X948" i="3"/>
  <c r="W948" i="3"/>
  <c r="V948" i="3"/>
  <c r="U948" i="3"/>
  <c r="I948" i="3"/>
  <c r="H948" i="3"/>
  <c r="AG947" i="3"/>
  <c r="AF947" i="3"/>
  <c r="AB947" i="3"/>
  <c r="AA947" i="3"/>
  <c r="Z947" i="3"/>
  <c r="Y947" i="3"/>
  <c r="X947" i="3"/>
  <c r="W947" i="3"/>
  <c r="V947" i="3"/>
  <c r="U947" i="3"/>
  <c r="I947" i="3"/>
  <c r="H947" i="3"/>
  <c r="AG946" i="3"/>
  <c r="AF946" i="3"/>
  <c r="AB946" i="3"/>
  <c r="AA946" i="3"/>
  <c r="Z946" i="3"/>
  <c r="Y946" i="3"/>
  <c r="X946" i="3"/>
  <c r="W946" i="3"/>
  <c r="V946" i="3"/>
  <c r="U946" i="3"/>
  <c r="I946" i="3"/>
  <c r="H946" i="3"/>
  <c r="AG945" i="3"/>
  <c r="AF945" i="3"/>
  <c r="AB945" i="3"/>
  <c r="AA945" i="3"/>
  <c r="Z945" i="3"/>
  <c r="Y945" i="3"/>
  <c r="X945" i="3"/>
  <c r="W945" i="3"/>
  <c r="V945" i="3"/>
  <c r="U945" i="3"/>
  <c r="I945" i="3"/>
  <c r="H945" i="3"/>
  <c r="AG944" i="3"/>
  <c r="AF944" i="3"/>
  <c r="AB944" i="3"/>
  <c r="AA944" i="3"/>
  <c r="Z944" i="3"/>
  <c r="Y944" i="3"/>
  <c r="X944" i="3"/>
  <c r="W944" i="3"/>
  <c r="V944" i="3"/>
  <c r="U944" i="3"/>
  <c r="I944" i="3"/>
  <c r="H944" i="3"/>
  <c r="AG943" i="3"/>
  <c r="AF943" i="3"/>
  <c r="AB943" i="3"/>
  <c r="AA943" i="3"/>
  <c r="Z943" i="3"/>
  <c r="Y943" i="3"/>
  <c r="X943" i="3"/>
  <c r="W943" i="3"/>
  <c r="V943" i="3"/>
  <c r="U943" i="3"/>
  <c r="I943" i="3"/>
  <c r="H943" i="3"/>
  <c r="AG942" i="3"/>
  <c r="AF942" i="3"/>
  <c r="AB942" i="3"/>
  <c r="AA942" i="3"/>
  <c r="Z942" i="3"/>
  <c r="Y942" i="3"/>
  <c r="X942" i="3"/>
  <c r="W942" i="3"/>
  <c r="V942" i="3"/>
  <c r="U942" i="3"/>
  <c r="I942" i="3"/>
  <c r="H942" i="3"/>
  <c r="AG941" i="3"/>
  <c r="AF941" i="3"/>
  <c r="AB941" i="3"/>
  <c r="AA941" i="3"/>
  <c r="Z941" i="3"/>
  <c r="Y941" i="3"/>
  <c r="X941" i="3"/>
  <c r="W941" i="3"/>
  <c r="V941" i="3"/>
  <c r="U941" i="3"/>
  <c r="I941" i="3"/>
  <c r="H941" i="3"/>
  <c r="AG940" i="3"/>
  <c r="AF940" i="3"/>
  <c r="AB940" i="3"/>
  <c r="AA940" i="3"/>
  <c r="Z940" i="3"/>
  <c r="Y940" i="3"/>
  <c r="X940" i="3"/>
  <c r="W940" i="3"/>
  <c r="V940" i="3"/>
  <c r="U940" i="3"/>
  <c r="I940" i="3"/>
  <c r="H940" i="3"/>
  <c r="AG939" i="3"/>
  <c r="AF939" i="3"/>
  <c r="AB939" i="3"/>
  <c r="AA939" i="3"/>
  <c r="Z939" i="3"/>
  <c r="Y939" i="3"/>
  <c r="X939" i="3"/>
  <c r="W939" i="3"/>
  <c r="V939" i="3"/>
  <c r="U939" i="3"/>
  <c r="I939" i="3"/>
  <c r="H939" i="3"/>
  <c r="AG938" i="3"/>
  <c r="AF938" i="3"/>
  <c r="AB938" i="3"/>
  <c r="AA938" i="3"/>
  <c r="Z938" i="3"/>
  <c r="Y938" i="3"/>
  <c r="X938" i="3"/>
  <c r="W938" i="3"/>
  <c r="V938" i="3"/>
  <c r="U938" i="3"/>
  <c r="I938" i="3"/>
  <c r="H938" i="3"/>
  <c r="AG937" i="3"/>
  <c r="AF937" i="3"/>
  <c r="AB937" i="3"/>
  <c r="AA937" i="3"/>
  <c r="Z937" i="3"/>
  <c r="Y937" i="3"/>
  <c r="X937" i="3"/>
  <c r="W937" i="3"/>
  <c r="V937" i="3"/>
  <c r="U937" i="3"/>
  <c r="I937" i="3"/>
  <c r="H937" i="3"/>
  <c r="AG936" i="3"/>
  <c r="AF936" i="3"/>
  <c r="AB936" i="3"/>
  <c r="AA936" i="3"/>
  <c r="Z936" i="3"/>
  <c r="Y936" i="3"/>
  <c r="X936" i="3"/>
  <c r="W936" i="3"/>
  <c r="V936" i="3"/>
  <c r="U936" i="3"/>
  <c r="I936" i="3"/>
  <c r="H936" i="3"/>
  <c r="AG935" i="3"/>
  <c r="AF935" i="3"/>
  <c r="AB935" i="3"/>
  <c r="AA935" i="3"/>
  <c r="Z935" i="3"/>
  <c r="Y935" i="3"/>
  <c r="X935" i="3"/>
  <c r="W935" i="3"/>
  <c r="V935" i="3"/>
  <c r="U935" i="3"/>
  <c r="I935" i="3"/>
  <c r="H935" i="3"/>
  <c r="AG934" i="3"/>
  <c r="AF934" i="3"/>
  <c r="AB934" i="3"/>
  <c r="AA934" i="3"/>
  <c r="Z934" i="3"/>
  <c r="Y934" i="3"/>
  <c r="X934" i="3"/>
  <c r="W934" i="3"/>
  <c r="V934" i="3"/>
  <c r="U934" i="3"/>
  <c r="I934" i="3"/>
  <c r="H934" i="3"/>
  <c r="AG933" i="3"/>
  <c r="AF933" i="3"/>
  <c r="AB933" i="3"/>
  <c r="AA933" i="3"/>
  <c r="Z933" i="3"/>
  <c r="Y933" i="3"/>
  <c r="X933" i="3"/>
  <c r="W933" i="3"/>
  <c r="V933" i="3"/>
  <c r="U933" i="3"/>
  <c r="I933" i="3"/>
  <c r="H933" i="3"/>
  <c r="AG932" i="3"/>
  <c r="AF932" i="3"/>
  <c r="AB932" i="3"/>
  <c r="AA932" i="3"/>
  <c r="Z932" i="3"/>
  <c r="Y932" i="3"/>
  <c r="X932" i="3"/>
  <c r="W932" i="3"/>
  <c r="V932" i="3"/>
  <c r="U932" i="3"/>
  <c r="I932" i="3"/>
  <c r="H932" i="3"/>
  <c r="AG931" i="3"/>
  <c r="AF931" i="3"/>
  <c r="AB931" i="3"/>
  <c r="AA931" i="3"/>
  <c r="Z931" i="3"/>
  <c r="Y931" i="3"/>
  <c r="X931" i="3"/>
  <c r="W931" i="3"/>
  <c r="V931" i="3"/>
  <c r="U931" i="3"/>
  <c r="I931" i="3"/>
  <c r="H931" i="3"/>
  <c r="AG930" i="3"/>
  <c r="AF930" i="3"/>
  <c r="AB930" i="3"/>
  <c r="AA930" i="3"/>
  <c r="Z930" i="3"/>
  <c r="Y930" i="3"/>
  <c r="X930" i="3"/>
  <c r="W930" i="3"/>
  <c r="V930" i="3"/>
  <c r="U930" i="3"/>
  <c r="I930" i="3"/>
  <c r="H930" i="3"/>
  <c r="AG929" i="3"/>
  <c r="AF929" i="3"/>
  <c r="AB929" i="3"/>
  <c r="AA929" i="3"/>
  <c r="Z929" i="3"/>
  <c r="Y929" i="3"/>
  <c r="X929" i="3"/>
  <c r="W929" i="3"/>
  <c r="V929" i="3"/>
  <c r="U929" i="3"/>
  <c r="I929" i="3"/>
  <c r="H929" i="3"/>
  <c r="AG928" i="3"/>
  <c r="AF928" i="3"/>
  <c r="AB928" i="3"/>
  <c r="AA928" i="3"/>
  <c r="Z928" i="3"/>
  <c r="Y928" i="3"/>
  <c r="X928" i="3"/>
  <c r="W928" i="3"/>
  <c r="V928" i="3"/>
  <c r="U928" i="3"/>
  <c r="I928" i="3"/>
  <c r="H928" i="3"/>
  <c r="AG927" i="3"/>
  <c r="AF927" i="3"/>
  <c r="AB927" i="3"/>
  <c r="AA927" i="3"/>
  <c r="Z927" i="3"/>
  <c r="Y927" i="3"/>
  <c r="X927" i="3"/>
  <c r="W927" i="3"/>
  <c r="V927" i="3"/>
  <c r="U927" i="3"/>
  <c r="I927" i="3"/>
  <c r="H927" i="3"/>
  <c r="AG926" i="3"/>
  <c r="AF926" i="3"/>
  <c r="AB926" i="3"/>
  <c r="AA926" i="3"/>
  <c r="Z926" i="3"/>
  <c r="Y926" i="3"/>
  <c r="X926" i="3"/>
  <c r="W926" i="3"/>
  <c r="V926" i="3"/>
  <c r="U926" i="3"/>
  <c r="I926" i="3"/>
  <c r="H926" i="3"/>
  <c r="AG925" i="3"/>
  <c r="AF925" i="3"/>
  <c r="AB925" i="3"/>
  <c r="AA925" i="3"/>
  <c r="Z925" i="3"/>
  <c r="Y925" i="3"/>
  <c r="X925" i="3"/>
  <c r="W925" i="3"/>
  <c r="V925" i="3"/>
  <c r="U925" i="3"/>
  <c r="I925" i="3"/>
  <c r="H925" i="3"/>
  <c r="AG924" i="3"/>
  <c r="AF924" i="3"/>
  <c r="AB924" i="3"/>
  <c r="AA924" i="3"/>
  <c r="Z924" i="3"/>
  <c r="Y924" i="3"/>
  <c r="X924" i="3"/>
  <c r="W924" i="3"/>
  <c r="V924" i="3"/>
  <c r="U924" i="3"/>
  <c r="I924" i="3"/>
  <c r="H924" i="3"/>
  <c r="AG923" i="3"/>
  <c r="AF923" i="3"/>
  <c r="AB923" i="3"/>
  <c r="AA923" i="3"/>
  <c r="Z923" i="3"/>
  <c r="Y923" i="3"/>
  <c r="X923" i="3"/>
  <c r="W923" i="3"/>
  <c r="V923" i="3"/>
  <c r="U923" i="3"/>
  <c r="I923" i="3"/>
  <c r="H923" i="3"/>
  <c r="AG922" i="3"/>
  <c r="AF922" i="3"/>
  <c r="AB922" i="3"/>
  <c r="AA922" i="3"/>
  <c r="Z922" i="3"/>
  <c r="Y922" i="3"/>
  <c r="X922" i="3"/>
  <c r="W922" i="3"/>
  <c r="V922" i="3"/>
  <c r="U922" i="3"/>
  <c r="I922" i="3"/>
  <c r="H922" i="3"/>
  <c r="AG921" i="3"/>
  <c r="AF921" i="3"/>
  <c r="AB921" i="3"/>
  <c r="AA921" i="3"/>
  <c r="Z921" i="3"/>
  <c r="Y921" i="3"/>
  <c r="X921" i="3"/>
  <c r="W921" i="3"/>
  <c r="V921" i="3"/>
  <c r="U921" i="3"/>
  <c r="I921" i="3"/>
  <c r="H921" i="3"/>
  <c r="AG920" i="3"/>
  <c r="AF920" i="3"/>
  <c r="AB920" i="3"/>
  <c r="AA920" i="3"/>
  <c r="Z920" i="3"/>
  <c r="Y920" i="3"/>
  <c r="X920" i="3"/>
  <c r="W920" i="3"/>
  <c r="V920" i="3"/>
  <c r="U920" i="3"/>
  <c r="I920" i="3"/>
  <c r="H920" i="3"/>
  <c r="AG919" i="3"/>
  <c r="AF919" i="3"/>
  <c r="AB919" i="3"/>
  <c r="AA919" i="3"/>
  <c r="Z919" i="3"/>
  <c r="Y919" i="3"/>
  <c r="X919" i="3"/>
  <c r="W919" i="3"/>
  <c r="V919" i="3"/>
  <c r="U919" i="3"/>
  <c r="I919" i="3"/>
  <c r="H919" i="3"/>
  <c r="AG918" i="3"/>
  <c r="AF918" i="3"/>
  <c r="AB918" i="3"/>
  <c r="AA918" i="3"/>
  <c r="Z918" i="3"/>
  <c r="Y918" i="3"/>
  <c r="X918" i="3"/>
  <c r="W918" i="3"/>
  <c r="V918" i="3"/>
  <c r="U918" i="3"/>
  <c r="I918" i="3"/>
  <c r="H918" i="3"/>
  <c r="AG917" i="3"/>
  <c r="AF917" i="3"/>
  <c r="AB917" i="3"/>
  <c r="AA917" i="3"/>
  <c r="Z917" i="3"/>
  <c r="Y917" i="3"/>
  <c r="X917" i="3"/>
  <c r="W917" i="3"/>
  <c r="V917" i="3"/>
  <c r="U917" i="3"/>
  <c r="I917" i="3"/>
  <c r="H917" i="3"/>
  <c r="AG916" i="3"/>
  <c r="AF916" i="3"/>
  <c r="AB916" i="3"/>
  <c r="AA916" i="3"/>
  <c r="Z916" i="3"/>
  <c r="Y916" i="3"/>
  <c r="X916" i="3"/>
  <c r="W916" i="3"/>
  <c r="V916" i="3"/>
  <c r="U916" i="3"/>
  <c r="I916" i="3"/>
  <c r="H916" i="3"/>
  <c r="AG915" i="3"/>
  <c r="AF915" i="3"/>
  <c r="AB915" i="3"/>
  <c r="AA915" i="3"/>
  <c r="Z915" i="3"/>
  <c r="Y915" i="3"/>
  <c r="X915" i="3"/>
  <c r="W915" i="3"/>
  <c r="V915" i="3"/>
  <c r="U915" i="3"/>
  <c r="I915" i="3"/>
  <c r="H915" i="3"/>
  <c r="AG914" i="3"/>
  <c r="AF914" i="3"/>
  <c r="AB914" i="3"/>
  <c r="AA914" i="3"/>
  <c r="Z914" i="3"/>
  <c r="Y914" i="3"/>
  <c r="X914" i="3"/>
  <c r="W914" i="3"/>
  <c r="V914" i="3"/>
  <c r="U914" i="3"/>
  <c r="I914" i="3"/>
  <c r="H914" i="3"/>
  <c r="AG913" i="3"/>
  <c r="AF913" i="3"/>
  <c r="AB913" i="3"/>
  <c r="AA913" i="3"/>
  <c r="Z913" i="3"/>
  <c r="Y913" i="3"/>
  <c r="X913" i="3"/>
  <c r="W913" i="3"/>
  <c r="V913" i="3"/>
  <c r="U913" i="3"/>
  <c r="I913" i="3"/>
  <c r="H913" i="3"/>
  <c r="AG912" i="3"/>
  <c r="AF912" i="3"/>
  <c r="AB912" i="3"/>
  <c r="AA912" i="3"/>
  <c r="Z912" i="3"/>
  <c r="Y912" i="3"/>
  <c r="X912" i="3"/>
  <c r="W912" i="3"/>
  <c r="V912" i="3"/>
  <c r="U912" i="3"/>
  <c r="I912" i="3"/>
  <c r="H912" i="3"/>
  <c r="AG911" i="3"/>
  <c r="AF911" i="3"/>
  <c r="AB911" i="3"/>
  <c r="AA911" i="3"/>
  <c r="Z911" i="3"/>
  <c r="Y911" i="3"/>
  <c r="X911" i="3"/>
  <c r="W911" i="3"/>
  <c r="V911" i="3"/>
  <c r="U911" i="3"/>
  <c r="I911" i="3"/>
  <c r="H911" i="3"/>
  <c r="AG910" i="3"/>
  <c r="AF910" i="3"/>
  <c r="AB910" i="3"/>
  <c r="AA910" i="3"/>
  <c r="Z910" i="3"/>
  <c r="Y910" i="3"/>
  <c r="X910" i="3"/>
  <c r="W910" i="3"/>
  <c r="V910" i="3"/>
  <c r="U910" i="3"/>
  <c r="I910" i="3"/>
  <c r="H910" i="3"/>
  <c r="AG909" i="3"/>
  <c r="AF909" i="3"/>
  <c r="AB909" i="3"/>
  <c r="AA909" i="3"/>
  <c r="Z909" i="3"/>
  <c r="Y909" i="3"/>
  <c r="X909" i="3"/>
  <c r="W909" i="3"/>
  <c r="V909" i="3"/>
  <c r="U909" i="3"/>
  <c r="I909" i="3"/>
  <c r="H909" i="3"/>
  <c r="AG908" i="3"/>
  <c r="AF908" i="3"/>
  <c r="AB908" i="3"/>
  <c r="AA908" i="3"/>
  <c r="Z908" i="3"/>
  <c r="Y908" i="3"/>
  <c r="X908" i="3"/>
  <c r="W908" i="3"/>
  <c r="V908" i="3"/>
  <c r="U908" i="3"/>
  <c r="I908" i="3"/>
  <c r="H908" i="3"/>
  <c r="AG907" i="3"/>
  <c r="AF907" i="3"/>
  <c r="AB907" i="3"/>
  <c r="AA907" i="3"/>
  <c r="Z907" i="3"/>
  <c r="Y907" i="3"/>
  <c r="X907" i="3"/>
  <c r="W907" i="3"/>
  <c r="V907" i="3"/>
  <c r="U907" i="3"/>
  <c r="I907" i="3"/>
  <c r="H907" i="3"/>
  <c r="AG906" i="3"/>
  <c r="AF906" i="3"/>
  <c r="AB906" i="3"/>
  <c r="AA906" i="3"/>
  <c r="Z906" i="3"/>
  <c r="Y906" i="3"/>
  <c r="X906" i="3"/>
  <c r="W906" i="3"/>
  <c r="V906" i="3"/>
  <c r="U906" i="3"/>
  <c r="I906" i="3"/>
  <c r="H906" i="3"/>
  <c r="AG905" i="3"/>
  <c r="AF905" i="3"/>
  <c r="AB905" i="3"/>
  <c r="AA905" i="3"/>
  <c r="Z905" i="3"/>
  <c r="Y905" i="3"/>
  <c r="X905" i="3"/>
  <c r="W905" i="3"/>
  <c r="V905" i="3"/>
  <c r="U905" i="3"/>
  <c r="I905" i="3"/>
  <c r="H905" i="3"/>
  <c r="AG904" i="3"/>
  <c r="AF904" i="3"/>
  <c r="AB904" i="3"/>
  <c r="AA904" i="3"/>
  <c r="Z904" i="3"/>
  <c r="Y904" i="3"/>
  <c r="X904" i="3"/>
  <c r="W904" i="3"/>
  <c r="V904" i="3"/>
  <c r="U904" i="3"/>
  <c r="I904" i="3"/>
  <c r="H904" i="3"/>
  <c r="AG903" i="3"/>
  <c r="AF903" i="3"/>
  <c r="AB903" i="3"/>
  <c r="AA903" i="3"/>
  <c r="Z903" i="3"/>
  <c r="Y903" i="3"/>
  <c r="X903" i="3"/>
  <c r="W903" i="3"/>
  <c r="V903" i="3"/>
  <c r="U903" i="3"/>
  <c r="I903" i="3"/>
  <c r="H903" i="3"/>
  <c r="AG902" i="3"/>
  <c r="AF902" i="3"/>
  <c r="AB902" i="3"/>
  <c r="AA902" i="3"/>
  <c r="Z902" i="3"/>
  <c r="Y902" i="3"/>
  <c r="X902" i="3"/>
  <c r="W902" i="3"/>
  <c r="V902" i="3"/>
  <c r="U902" i="3"/>
  <c r="I902" i="3"/>
  <c r="H902" i="3"/>
  <c r="AG901" i="3"/>
  <c r="AF901" i="3"/>
  <c r="AB901" i="3"/>
  <c r="AA901" i="3"/>
  <c r="Z901" i="3"/>
  <c r="Y901" i="3"/>
  <c r="X901" i="3"/>
  <c r="W901" i="3"/>
  <c r="V901" i="3"/>
  <c r="U901" i="3"/>
  <c r="I901" i="3"/>
  <c r="H901" i="3"/>
  <c r="AG900" i="3"/>
  <c r="AF900" i="3"/>
  <c r="AB900" i="3"/>
  <c r="AA900" i="3"/>
  <c r="Z900" i="3"/>
  <c r="Y900" i="3"/>
  <c r="X900" i="3"/>
  <c r="W900" i="3"/>
  <c r="V900" i="3"/>
  <c r="U900" i="3"/>
  <c r="I900" i="3"/>
  <c r="H900" i="3"/>
  <c r="AG899" i="3"/>
  <c r="AF899" i="3"/>
  <c r="AB899" i="3"/>
  <c r="AA899" i="3"/>
  <c r="Z899" i="3"/>
  <c r="Y899" i="3"/>
  <c r="X899" i="3"/>
  <c r="W899" i="3"/>
  <c r="V899" i="3"/>
  <c r="U899" i="3"/>
  <c r="I899" i="3"/>
  <c r="H899" i="3"/>
  <c r="AG898" i="3"/>
  <c r="AF898" i="3"/>
  <c r="AB898" i="3"/>
  <c r="AA898" i="3"/>
  <c r="Z898" i="3"/>
  <c r="Y898" i="3"/>
  <c r="X898" i="3"/>
  <c r="W898" i="3"/>
  <c r="V898" i="3"/>
  <c r="U898" i="3"/>
  <c r="I898" i="3"/>
  <c r="H898" i="3"/>
  <c r="AG897" i="3"/>
  <c r="AF897" i="3"/>
  <c r="AB897" i="3"/>
  <c r="AA897" i="3"/>
  <c r="Z897" i="3"/>
  <c r="Y897" i="3"/>
  <c r="X897" i="3"/>
  <c r="W897" i="3"/>
  <c r="V897" i="3"/>
  <c r="U897" i="3"/>
  <c r="I897" i="3"/>
  <c r="H897" i="3"/>
  <c r="AG896" i="3"/>
  <c r="AF896" i="3"/>
  <c r="AB896" i="3"/>
  <c r="AA896" i="3"/>
  <c r="Z896" i="3"/>
  <c r="Y896" i="3"/>
  <c r="X896" i="3"/>
  <c r="W896" i="3"/>
  <c r="V896" i="3"/>
  <c r="U896" i="3"/>
  <c r="I896" i="3"/>
  <c r="H896" i="3"/>
  <c r="AG895" i="3"/>
  <c r="AF895" i="3"/>
  <c r="AB895" i="3"/>
  <c r="AA895" i="3"/>
  <c r="Z895" i="3"/>
  <c r="Y895" i="3"/>
  <c r="X895" i="3"/>
  <c r="W895" i="3"/>
  <c r="V895" i="3"/>
  <c r="U895" i="3"/>
  <c r="I895" i="3"/>
  <c r="H895" i="3"/>
  <c r="AG894" i="3"/>
  <c r="AF894" i="3"/>
  <c r="AB894" i="3"/>
  <c r="AA894" i="3"/>
  <c r="Z894" i="3"/>
  <c r="Y894" i="3"/>
  <c r="X894" i="3"/>
  <c r="W894" i="3"/>
  <c r="V894" i="3"/>
  <c r="U894" i="3"/>
  <c r="I894" i="3"/>
  <c r="H894" i="3"/>
  <c r="AG893" i="3"/>
  <c r="AF893" i="3"/>
  <c r="AB893" i="3"/>
  <c r="AA893" i="3"/>
  <c r="Z893" i="3"/>
  <c r="Y893" i="3"/>
  <c r="X893" i="3"/>
  <c r="W893" i="3"/>
  <c r="V893" i="3"/>
  <c r="U893" i="3"/>
  <c r="I893" i="3"/>
  <c r="H893" i="3"/>
  <c r="AG892" i="3"/>
  <c r="AF892" i="3"/>
  <c r="AB892" i="3"/>
  <c r="AA892" i="3"/>
  <c r="Z892" i="3"/>
  <c r="Y892" i="3"/>
  <c r="X892" i="3"/>
  <c r="W892" i="3"/>
  <c r="V892" i="3"/>
  <c r="U892" i="3"/>
  <c r="I892" i="3"/>
  <c r="H892" i="3"/>
  <c r="AG891" i="3"/>
  <c r="AF891" i="3"/>
  <c r="AB891" i="3"/>
  <c r="AA891" i="3"/>
  <c r="Z891" i="3"/>
  <c r="Y891" i="3"/>
  <c r="X891" i="3"/>
  <c r="W891" i="3"/>
  <c r="V891" i="3"/>
  <c r="U891" i="3"/>
  <c r="I891" i="3"/>
  <c r="H891" i="3"/>
  <c r="AG890" i="3"/>
  <c r="AF890" i="3"/>
  <c r="AB890" i="3"/>
  <c r="AA890" i="3"/>
  <c r="Z890" i="3"/>
  <c r="Y890" i="3"/>
  <c r="X890" i="3"/>
  <c r="W890" i="3"/>
  <c r="V890" i="3"/>
  <c r="U890" i="3"/>
  <c r="I890" i="3"/>
  <c r="H890" i="3"/>
  <c r="AG889" i="3"/>
  <c r="AF889" i="3"/>
  <c r="AB889" i="3"/>
  <c r="AA889" i="3"/>
  <c r="Z889" i="3"/>
  <c r="Y889" i="3"/>
  <c r="X889" i="3"/>
  <c r="W889" i="3"/>
  <c r="V889" i="3"/>
  <c r="U889" i="3"/>
  <c r="I889" i="3"/>
  <c r="H889" i="3"/>
  <c r="AG888" i="3"/>
  <c r="AF888" i="3"/>
  <c r="AB888" i="3"/>
  <c r="AA888" i="3"/>
  <c r="Z888" i="3"/>
  <c r="Y888" i="3"/>
  <c r="X888" i="3"/>
  <c r="W888" i="3"/>
  <c r="V888" i="3"/>
  <c r="U888" i="3"/>
  <c r="I888" i="3"/>
  <c r="H888" i="3"/>
  <c r="AG887" i="3"/>
  <c r="AF887" i="3"/>
  <c r="AB887" i="3"/>
  <c r="AA887" i="3"/>
  <c r="Z887" i="3"/>
  <c r="Y887" i="3"/>
  <c r="X887" i="3"/>
  <c r="W887" i="3"/>
  <c r="V887" i="3"/>
  <c r="U887" i="3"/>
  <c r="I887" i="3"/>
  <c r="H887" i="3"/>
  <c r="AG886" i="3"/>
  <c r="AF886" i="3"/>
  <c r="AB886" i="3"/>
  <c r="AA886" i="3"/>
  <c r="Z886" i="3"/>
  <c r="Y886" i="3"/>
  <c r="X886" i="3"/>
  <c r="W886" i="3"/>
  <c r="V886" i="3"/>
  <c r="U886" i="3"/>
  <c r="I886" i="3"/>
  <c r="H886" i="3"/>
  <c r="AG885" i="3"/>
  <c r="AF885" i="3"/>
  <c r="AB885" i="3"/>
  <c r="AA885" i="3"/>
  <c r="Z885" i="3"/>
  <c r="Y885" i="3"/>
  <c r="X885" i="3"/>
  <c r="W885" i="3"/>
  <c r="V885" i="3"/>
  <c r="U885" i="3"/>
  <c r="I885" i="3"/>
  <c r="H885" i="3"/>
  <c r="AG884" i="3"/>
  <c r="AF884" i="3"/>
  <c r="AB884" i="3"/>
  <c r="AA884" i="3"/>
  <c r="Z884" i="3"/>
  <c r="Y884" i="3"/>
  <c r="X884" i="3"/>
  <c r="W884" i="3"/>
  <c r="V884" i="3"/>
  <c r="U884" i="3"/>
  <c r="I884" i="3"/>
  <c r="H884" i="3"/>
  <c r="AG883" i="3"/>
  <c r="AF883" i="3"/>
  <c r="AB883" i="3"/>
  <c r="AA883" i="3"/>
  <c r="Z883" i="3"/>
  <c r="Y883" i="3"/>
  <c r="X883" i="3"/>
  <c r="W883" i="3"/>
  <c r="V883" i="3"/>
  <c r="U883" i="3"/>
  <c r="I883" i="3"/>
  <c r="H883" i="3"/>
  <c r="AG882" i="3"/>
  <c r="AF882" i="3"/>
  <c r="AB882" i="3"/>
  <c r="AA882" i="3"/>
  <c r="Z882" i="3"/>
  <c r="Y882" i="3"/>
  <c r="X882" i="3"/>
  <c r="W882" i="3"/>
  <c r="V882" i="3"/>
  <c r="U882" i="3"/>
  <c r="I882" i="3"/>
  <c r="H882" i="3"/>
  <c r="AG881" i="3"/>
  <c r="AF881" i="3"/>
  <c r="AB881" i="3"/>
  <c r="AA881" i="3"/>
  <c r="Z881" i="3"/>
  <c r="Y881" i="3"/>
  <c r="X881" i="3"/>
  <c r="W881" i="3"/>
  <c r="V881" i="3"/>
  <c r="U881" i="3"/>
  <c r="I881" i="3"/>
  <c r="H881" i="3"/>
  <c r="AG880" i="3"/>
  <c r="AF880" i="3"/>
  <c r="AB880" i="3"/>
  <c r="AA880" i="3"/>
  <c r="Z880" i="3"/>
  <c r="Y880" i="3"/>
  <c r="X880" i="3"/>
  <c r="W880" i="3"/>
  <c r="V880" i="3"/>
  <c r="U880" i="3"/>
  <c r="I880" i="3"/>
  <c r="H880" i="3"/>
  <c r="AG879" i="3"/>
  <c r="AF879" i="3"/>
  <c r="AB879" i="3"/>
  <c r="AA879" i="3"/>
  <c r="Z879" i="3"/>
  <c r="Y879" i="3"/>
  <c r="X879" i="3"/>
  <c r="W879" i="3"/>
  <c r="V879" i="3"/>
  <c r="U879" i="3"/>
  <c r="I879" i="3"/>
  <c r="H879" i="3"/>
  <c r="AG878" i="3"/>
  <c r="AF878" i="3"/>
  <c r="AB878" i="3"/>
  <c r="AA878" i="3"/>
  <c r="Z878" i="3"/>
  <c r="Y878" i="3"/>
  <c r="X878" i="3"/>
  <c r="W878" i="3"/>
  <c r="V878" i="3"/>
  <c r="U878" i="3"/>
  <c r="I878" i="3"/>
  <c r="H878" i="3"/>
  <c r="AG877" i="3"/>
  <c r="AF877" i="3"/>
  <c r="AB877" i="3"/>
  <c r="AA877" i="3"/>
  <c r="Z877" i="3"/>
  <c r="Y877" i="3"/>
  <c r="X877" i="3"/>
  <c r="W877" i="3"/>
  <c r="V877" i="3"/>
  <c r="U877" i="3"/>
  <c r="I877" i="3"/>
  <c r="H877" i="3"/>
  <c r="AG876" i="3"/>
  <c r="AF876" i="3"/>
  <c r="AB876" i="3"/>
  <c r="AA876" i="3"/>
  <c r="Z876" i="3"/>
  <c r="Y876" i="3"/>
  <c r="X876" i="3"/>
  <c r="W876" i="3"/>
  <c r="V876" i="3"/>
  <c r="U876" i="3"/>
  <c r="I876" i="3"/>
  <c r="H876" i="3"/>
  <c r="AG875" i="3"/>
  <c r="AF875" i="3"/>
  <c r="AB875" i="3"/>
  <c r="AA875" i="3"/>
  <c r="Z875" i="3"/>
  <c r="Y875" i="3"/>
  <c r="X875" i="3"/>
  <c r="W875" i="3"/>
  <c r="V875" i="3"/>
  <c r="U875" i="3"/>
  <c r="I875" i="3"/>
  <c r="H875" i="3"/>
  <c r="AG874" i="3"/>
  <c r="AF874" i="3"/>
  <c r="AB874" i="3"/>
  <c r="AA874" i="3"/>
  <c r="Z874" i="3"/>
  <c r="Y874" i="3"/>
  <c r="X874" i="3"/>
  <c r="W874" i="3"/>
  <c r="V874" i="3"/>
  <c r="U874" i="3"/>
  <c r="I874" i="3"/>
  <c r="H874" i="3"/>
  <c r="AG873" i="3"/>
  <c r="AF873" i="3"/>
  <c r="AB873" i="3"/>
  <c r="AA873" i="3"/>
  <c r="Z873" i="3"/>
  <c r="Y873" i="3"/>
  <c r="X873" i="3"/>
  <c r="W873" i="3"/>
  <c r="V873" i="3"/>
  <c r="U873" i="3"/>
  <c r="I873" i="3"/>
  <c r="H873" i="3"/>
  <c r="AG872" i="3"/>
  <c r="AF872" i="3"/>
  <c r="AB872" i="3"/>
  <c r="AA872" i="3"/>
  <c r="Z872" i="3"/>
  <c r="Y872" i="3"/>
  <c r="X872" i="3"/>
  <c r="W872" i="3"/>
  <c r="V872" i="3"/>
  <c r="U872" i="3"/>
  <c r="I872" i="3"/>
  <c r="H872" i="3"/>
  <c r="AG871" i="3"/>
  <c r="AF871" i="3"/>
  <c r="AB871" i="3"/>
  <c r="AA871" i="3"/>
  <c r="Z871" i="3"/>
  <c r="Y871" i="3"/>
  <c r="X871" i="3"/>
  <c r="W871" i="3"/>
  <c r="V871" i="3"/>
  <c r="U871" i="3"/>
  <c r="I871" i="3"/>
  <c r="H871" i="3"/>
  <c r="AG870" i="3"/>
  <c r="AF870" i="3"/>
  <c r="AB870" i="3"/>
  <c r="AA870" i="3"/>
  <c r="Z870" i="3"/>
  <c r="Y870" i="3"/>
  <c r="X870" i="3"/>
  <c r="W870" i="3"/>
  <c r="V870" i="3"/>
  <c r="U870" i="3"/>
  <c r="I870" i="3"/>
  <c r="H870" i="3"/>
  <c r="AG869" i="3"/>
  <c r="AF869" i="3"/>
  <c r="AB869" i="3"/>
  <c r="AA869" i="3"/>
  <c r="Z869" i="3"/>
  <c r="Y869" i="3"/>
  <c r="X869" i="3"/>
  <c r="W869" i="3"/>
  <c r="V869" i="3"/>
  <c r="U869" i="3"/>
  <c r="I869" i="3"/>
  <c r="H869" i="3"/>
  <c r="AG868" i="3"/>
  <c r="AF868" i="3"/>
  <c r="AB868" i="3"/>
  <c r="AA868" i="3"/>
  <c r="Z868" i="3"/>
  <c r="Y868" i="3"/>
  <c r="X868" i="3"/>
  <c r="W868" i="3"/>
  <c r="V868" i="3"/>
  <c r="U868" i="3"/>
  <c r="I868" i="3"/>
  <c r="H868" i="3"/>
  <c r="AG867" i="3"/>
  <c r="AF867" i="3"/>
  <c r="AB867" i="3"/>
  <c r="AA867" i="3"/>
  <c r="Z867" i="3"/>
  <c r="Y867" i="3"/>
  <c r="X867" i="3"/>
  <c r="W867" i="3"/>
  <c r="V867" i="3"/>
  <c r="U867" i="3"/>
  <c r="I867" i="3"/>
  <c r="H867" i="3"/>
  <c r="AG866" i="3"/>
  <c r="AF866" i="3"/>
  <c r="AB866" i="3"/>
  <c r="AA866" i="3"/>
  <c r="Z866" i="3"/>
  <c r="Y866" i="3"/>
  <c r="X866" i="3"/>
  <c r="W866" i="3"/>
  <c r="V866" i="3"/>
  <c r="U866" i="3"/>
  <c r="I866" i="3"/>
  <c r="H866" i="3"/>
  <c r="AG865" i="3"/>
  <c r="AF865" i="3"/>
  <c r="AB865" i="3"/>
  <c r="AA865" i="3"/>
  <c r="Z865" i="3"/>
  <c r="Y865" i="3"/>
  <c r="X865" i="3"/>
  <c r="W865" i="3"/>
  <c r="V865" i="3"/>
  <c r="U865" i="3"/>
  <c r="I865" i="3"/>
  <c r="H865" i="3"/>
  <c r="AG864" i="3"/>
  <c r="AF864" i="3"/>
  <c r="AB864" i="3"/>
  <c r="AA864" i="3"/>
  <c r="Z864" i="3"/>
  <c r="Y864" i="3"/>
  <c r="X864" i="3"/>
  <c r="W864" i="3"/>
  <c r="V864" i="3"/>
  <c r="U864" i="3"/>
  <c r="I864" i="3"/>
  <c r="H864" i="3"/>
  <c r="AG863" i="3"/>
  <c r="AF863" i="3"/>
  <c r="AB863" i="3"/>
  <c r="AA863" i="3"/>
  <c r="Z863" i="3"/>
  <c r="Y863" i="3"/>
  <c r="X863" i="3"/>
  <c r="W863" i="3"/>
  <c r="V863" i="3"/>
  <c r="U863" i="3"/>
  <c r="I863" i="3"/>
  <c r="H863" i="3"/>
  <c r="AG862" i="3"/>
  <c r="AF862" i="3"/>
  <c r="AB862" i="3"/>
  <c r="AA862" i="3"/>
  <c r="Z862" i="3"/>
  <c r="Y862" i="3"/>
  <c r="X862" i="3"/>
  <c r="W862" i="3"/>
  <c r="V862" i="3"/>
  <c r="U862" i="3"/>
  <c r="I862" i="3"/>
  <c r="H862" i="3"/>
  <c r="AG861" i="3"/>
  <c r="AF861" i="3"/>
  <c r="AB861" i="3"/>
  <c r="AA861" i="3"/>
  <c r="Z861" i="3"/>
  <c r="Y861" i="3"/>
  <c r="X861" i="3"/>
  <c r="W861" i="3"/>
  <c r="V861" i="3"/>
  <c r="U861" i="3"/>
  <c r="I861" i="3"/>
  <c r="H861" i="3"/>
  <c r="AG860" i="3"/>
  <c r="AF860" i="3"/>
  <c r="AB860" i="3"/>
  <c r="AA860" i="3"/>
  <c r="Z860" i="3"/>
  <c r="Y860" i="3"/>
  <c r="X860" i="3"/>
  <c r="W860" i="3"/>
  <c r="V860" i="3"/>
  <c r="U860" i="3"/>
  <c r="I860" i="3"/>
  <c r="H860" i="3"/>
  <c r="AG859" i="3"/>
  <c r="AF859" i="3"/>
  <c r="AB859" i="3"/>
  <c r="AA859" i="3"/>
  <c r="Z859" i="3"/>
  <c r="Y859" i="3"/>
  <c r="X859" i="3"/>
  <c r="W859" i="3"/>
  <c r="V859" i="3"/>
  <c r="U859" i="3"/>
  <c r="I859" i="3"/>
  <c r="H859" i="3"/>
  <c r="AG858" i="3"/>
  <c r="AF858" i="3"/>
  <c r="AB858" i="3"/>
  <c r="AA858" i="3"/>
  <c r="Z858" i="3"/>
  <c r="Y858" i="3"/>
  <c r="X858" i="3"/>
  <c r="W858" i="3"/>
  <c r="V858" i="3"/>
  <c r="U858" i="3"/>
  <c r="I858" i="3"/>
  <c r="H858" i="3"/>
  <c r="AG857" i="3"/>
  <c r="AF857" i="3"/>
  <c r="AB857" i="3"/>
  <c r="AA857" i="3"/>
  <c r="Z857" i="3"/>
  <c r="Y857" i="3"/>
  <c r="X857" i="3"/>
  <c r="W857" i="3"/>
  <c r="V857" i="3"/>
  <c r="U857" i="3"/>
  <c r="I857" i="3"/>
  <c r="H857" i="3"/>
  <c r="AG856" i="3"/>
  <c r="AF856" i="3"/>
  <c r="AB856" i="3"/>
  <c r="AA856" i="3"/>
  <c r="Z856" i="3"/>
  <c r="Y856" i="3"/>
  <c r="X856" i="3"/>
  <c r="W856" i="3"/>
  <c r="V856" i="3"/>
  <c r="U856" i="3"/>
  <c r="I856" i="3"/>
  <c r="H856" i="3"/>
  <c r="AG855" i="3"/>
  <c r="AF855" i="3"/>
  <c r="AB855" i="3"/>
  <c r="AA855" i="3"/>
  <c r="Z855" i="3"/>
  <c r="Y855" i="3"/>
  <c r="X855" i="3"/>
  <c r="W855" i="3"/>
  <c r="V855" i="3"/>
  <c r="U855" i="3"/>
  <c r="I855" i="3"/>
  <c r="H855" i="3"/>
  <c r="AG854" i="3"/>
  <c r="AF854" i="3"/>
  <c r="AB854" i="3"/>
  <c r="AA854" i="3"/>
  <c r="Z854" i="3"/>
  <c r="Y854" i="3"/>
  <c r="X854" i="3"/>
  <c r="W854" i="3"/>
  <c r="V854" i="3"/>
  <c r="U854" i="3"/>
  <c r="I854" i="3"/>
  <c r="H854" i="3"/>
  <c r="AG853" i="3"/>
  <c r="AF853" i="3"/>
  <c r="AB853" i="3"/>
  <c r="AA853" i="3"/>
  <c r="Z853" i="3"/>
  <c r="Y853" i="3"/>
  <c r="X853" i="3"/>
  <c r="W853" i="3"/>
  <c r="V853" i="3"/>
  <c r="U853" i="3"/>
  <c r="I853" i="3"/>
  <c r="H853" i="3"/>
  <c r="AG852" i="3"/>
  <c r="AF852" i="3"/>
  <c r="AB852" i="3"/>
  <c r="AA852" i="3"/>
  <c r="Z852" i="3"/>
  <c r="Y852" i="3"/>
  <c r="X852" i="3"/>
  <c r="W852" i="3"/>
  <c r="V852" i="3"/>
  <c r="U852" i="3"/>
  <c r="I852" i="3"/>
  <c r="H852" i="3"/>
  <c r="AG851" i="3"/>
  <c r="AF851" i="3"/>
  <c r="AB851" i="3"/>
  <c r="AA851" i="3"/>
  <c r="Z851" i="3"/>
  <c r="Y851" i="3"/>
  <c r="X851" i="3"/>
  <c r="W851" i="3"/>
  <c r="V851" i="3"/>
  <c r="U851" i="3"/>
  <c r="I851" i="3"/>
  <c r="H851" i="3"/>
  <c r="AG850" i="3"/>
  <c r="AF850" i="3"/>
  <c r="AB850" i="3"/>
  <c r="AA850" i="3"/>
  <c r="Z850" i="3"/>
  <c r="Y850" i="3"/>
  <c r="X850" i="3"/>
  <c r="W850" i="3"/>
  <c r="V850" i="3"/>
  <c r="U850" i="3"/>
  <c r="I850" i="3"/>
  <c r="H850" i="3"/>
  <c r="AG849" i="3"/>
  <c r="AF849" i="3"/>
  <c r="AB849" i="3"/>
  <c r="AA849" i="3"/>
  <c r="Z849" i="3"/>
  <c r="Y849" i="3"/>
  <c r="X849" i="3"/>
  <c r="W849" i="3"/>
  <c r="V849" i="3"/>
  <c r="U849" i="3"/>
  <c r="I849" i="3"/>
  <c r="H849" i="3"/>
  <c r="AG848" i="3"/>
  <c r="AF848" i="3"/>
  <c r="AB848" i="3"/>
  <c r="AA848" i="3"/>
  <c r="Z848" i="3"/>
  <c r="Y848" i="3"/>
  <c r="X848" i="3"/>
  <c r="W848" i="3"/>
  <c r="V848" i="3"/>
  <c r="U848" i="3"/>
  <c r="I848" i="3"/>
  <c r="H848" i="3"/>
  <c r="AG847" i="3"/>
  <c r="AF847" i="3"/>
  <c r="AB847" i="3"/>
  <c r="AA847" i="3"/>
  <c r="Z847" i="3"/>
  <c r="Y847" i="3"/>
  <c r="X847" i="3"/>
  <c r="W847" i="3"/>
  <c r="V847" i="3"/>
  <c r="U847" i="3"/>
  <c r="I847" i="3"/>
  <c r="H847" i="3"/>
  <c r="AG846" i="3"/>
  <c r="AF846" i="3"/>
  <c r="AB846" i="3"/>
  <c r="AA846" i="3"/>
  <c r="Z846" i="3"/>
  <c r="Y846" i="3"/>
  <c r="X846" i="3"/>
  <c r="W846" i="3"/>
  <c r="V846" i="3"/>
  <c r="U846" i="3"/>
  <c r="I846" i="3"/>
  <c r="H846" i="3"/>
  <c r="AG845" i="3"/>
  <c r="AF845" i="3"/>
  <c r="AB845" i="3"/>
  <c r="AA845" i="3"/>
  <c r="Z845" i="3"/>
  <c r="Y845" i="3"/>
  <c r="X845" i="3"/>
  <c r="W845" i="3"/>
  <c r="V845" i="3"/>
  <c r="U845" i="3"/>
  <c r="I845" i="3"/>
  <c r="H845" i="3"/>
  <c r="AG844" i="3"/>
  <c r="AF844" i="3"/>
  <c r="AB844" i="3"/>
  <c r="AA844" i="3"/>
  <c r="Z844" i="3"/>
  <c r="Y844" i="3"/>
  <c r="X844" i="3"/>
  <c r="W844" i="3"/>
  <c r="V844" i="3"/>
  <c r="U844" i="3"/>
  <c r="I844" i="3"/>
  <c r="H844" i="3"/>
  <c r="AG843" i="3"/>
  <c r="AF843" i="3"/>
  <c r="AB843" i="3"/>
  <c r="AA843" i="3"/>
  <c r="Z843" i="3"/>
  <c r="Y843" i="3"/>
  <c r="X843" i="3"/>
  <c r="W843" i="3"/>
  <c r="V843" i="3"/>
  <c r="U843" i="3"/>
  <c r="I843" i="3"/>
  <c r="H843" i="3"/>
  <c r="AG842" i="3"/>
  <c r="AF842" i="3"/>
  <c r="AB842" i="3"/>
  <c r="AA842" i="3"/>
  <c r="Z842" i="3"/>
  <c r="Y842" i="3"/>
  <c r="X842" i="3"/>
  <c r="W842" i="3"/>
  <c r="V842" i="3"/>
  <c r="U842" i="3"/>
  <c r="I842" i="3"/>
  <c r="H842" i="3"/>
  <c r="AG841" i="3"/>
  <c r="AF841" i="3"/>
  <c r="AB841" i="3"/>
  <c r="AA841" i="3"/>
  <c r="Z841" i="3"/>
  <c r="Y841" i="3"/>
  <c r="X841" i="3"/>
  <c r="W841" i="3"/>
  <c r="V841" i="3"/>
  <c r="U841" i="3"/>
  <c r="I841" i="3"/>
  <c r="H841" i="3"/>
  <c r="AG840" i="3"/>
  <c r="AF840" i="3"/>
  <c r="AB840" i="3"/>
  <c r="AA840" i="3"/>
  <c r="Z840" i="3"/>
  <c r="Y840" i="3"/>
  <c r="X840" i="3"/>
  <c r="W840" i="3"/>
  <c r="V840" i="3"/>
  <c r="U840" i="3"/>
  <c r="I840" i="3"/>
  <c r="H840" i="3"/>
  <c r="AG839" i="3"/>
  <c r="AF839" i="3"/>
  <c r="AB839" i="3"/>
  <c r="AA839" i="3"/>
  <c r="Z839" i="3"/>
  <c r="Y839" i="3"/>
  <c r="X839" i="3"/>
  <c r="W839" i="3"/>
  <c r="V839" i="3"/>
  <c r="U839" i="3"/>
  <c r="I839" i="3"/>
  <c r="H839" i="3"/>
  <c r="AG838" i="3"/>
  <c r="AF838" i="3"/>
  <c r="AB838" i="3"/>
  <c r="AA838" i="3"/>
  <c r="Z838" i="3"/>
  <c r="Y838" i="3"/>
  <c r="X838" i="3"/>
  <c r="W838" i="3"/>
  <c r="V838" i="3"/>
  <c r="U838" i="3"/>
  <c r="I838" i="3"/>
  <c r="H838" i="3"/>
  <c r="AG837" i="3"/>
  <c r="AF837" i="3"/>
  <c r="AB837" i="3"/>
  <c r="AA837" i="3"/>
  <c r="Z837" i="3"/>
  <c r="Y837" i="3"/>
  <c r="X837" i="3"/>
  <c r="W837" i="3"/>
  <c r="V837" i="3"/>
  <c r="U837" i="3"/>
  <c r="I837" i="3"/>
  <c r="H837" i="3"/>
  <c r="AG836" i="3"/>
  <c r="AF836" i="3"/>
  <c r="AB836" i="3"/>
  <c r="AA836" i="3"/>
  <c r="Z836" i="3"/>
  <c r="Y836" i="3"/>
  <c r="X836" i="3"/>
  <c r="W836" i="3"/>
  <c r="V836" i="3"/>
  <c r="U836" i="3"/>
  <c r="I836" i="3"/>
  <c r="H836" i="3"/>
  <c r="AG835" i="3"/>
  <c r="AF835" i="3"/>
  <c r="AB835" i="3"/>
  <c r="AA835" i="3"/>
  <c r="Z835" i="3"/>
  <c r="Y835" i="3"/>
  <c r="X835" i="3"/>
  <c r="W835" i="3"/>
  <c r="V835" i="3"/>
  <c r="U835" i="3"/>
  <c r="I835" i="3"/>
  <c r="H835" i="3"/>
  <c r="AG834" i="3"/>
  <c r="AF834" i="3"/>
  <c r="AB834" i="3"/>
  <c r="AA834" i="3"/>
  <c r="Z834" i="3"/>
  <c r="Y834" i="3"/>
  <c r="X834" i="3"/>
  <c r="W834" i="3"/>
  <c r="V834" i="3"/>
  <c r="U834" i="3"/>
  <c r="I834" i="3"/>
  <c r="H834" i="3"/>
  <c r="AG833" i="3"/>
  <c r="AF833" i="3"/>
  <c r="AB833" i="3"/>
  <c r="AA833" i="3"/>
  <c r="Z833" i="3"/>
  <c r="Y833" i="3"/>
  <c r="X833" i="3"/>
  <c r="W833" i="3"/>
  <c r="V833" i="3"/>
  <c r="U833" i="3"/>
  <c r="I833" i="3"/>
  <c r="H833" i="3"/>
  <c r="AG832" i="3"/>
  <c r="AF832" i="3"/>
  <c r="AB832" i="3"/>
  <c r="AA832" i="3"/>
  <c r="Z832" i="3"/>
  <c r="Y832" i="3"/>
  <c r="X832" i="3"/>
  <c r="W832" i="3"/>
  <c r="V832" i="3"/>
  <c r="U832" i="3"/>
  <c r="I832" i="3"/>
  <c r="H832" i="3"/>
  <c r="AG831" i="3"/>
  <c r="AF831" i="3"/>
  <c r="AB831" i="3"/>
  <c r="AA831" i="3"/>
  <c r="Z831" i="3"/>
  <c r="Y831" i="3"/>
  <c r="X831" i="3"/>
  <c r="W831" i="3"/>
  <c r="V831" i="3"/>
  <c r="U831" i="3"/>
  <c r="I831" i="3"/>
  <c r="H831" i="3"/>
  <c r="AG830" i="3"/>
  <c r="AF830" i="3"/>
  <c r="AB830" i="3"/>
  <c r="AA830" i="3"/>
  <c r="Z830" i="3"/>
  <c r="Y830" i="3"/>
  <c r="X830" i="3"/>
  <c r="W830" i="3"/>
  <c r="V830" i="3"/>
  <c r="U830" i="3"/>
  <c r="I830" i="3"/>
  <c r="H830" i="3"/>
  <c r="AG829" i="3"/>
  <c r="AF829" i="3"/>
  <c r="AB829" i="3"/>
  <c r="AA829" i="3"/>
  <c r="Z829" i="3"/>
  <c r="Y829" i="3"/>
  <c r="X829" i="3"/>
  <c r="W829" i="3"/>
  <c r="V829" i="3"/>
  <c r="U829" i="3"/>
  <c r="I829" i="3"/>
  <c r="H829" i="3"/>
  <c r="AG828" i="3"/>
  <c r="AF828" i="3"/>
  <c r="AB828" i="3"/>
  <c r="AA828" i="3"/>
  <c r="Z828" i="3"/>
  <c r="Y828" i="3"/>
  <c r="X828" i="3"/>
  <c r="W828" i="3"/>
  <c r="V828" i="3"/>
  <c r="U828" i="3"/>
  <c r="I828" i="3"/>
  <c r="H828" i="3"/>
  <c r="AG827" i="3"/>
  <c r="AF827" i="3"/>
  <c r="AB827" i="3"/>
  <c r="AA827" i="3"/>
  <c r="Z827" i="3"/>
  <c r="Y827" i="3"/>
  <c r="X827" i="3"/>
  <c r="W827" i="3"/>
  <c r="V827" i="3"/>
  <c r="U827" i="3"/>
  <c r="I827" i="3"/>
  <c r="H827" i="3"/>
  <c r="AG826" i="3"/>
  <c r="AF826" i="3"/>
  <c r="AB826" i="3"/>
  <c r="AA826" i="3"/>
  <c r="Z826" i="3"/>
  <c r="Y826" i="3"/>
  <c r="X826" i="3"/>
  <c r="W826" i="3"/>
  <c r="V826" i="3"/>
  <c r="U826" i="3"/>
  <c r="I826" i="3"/>
  <c r="H826" i="3"/>
  <c r="AG825" i="3"/>
  <c r="AF825" i="3"/>
  <c r="AB825" i="3"/>
  <c r="AA825" i="3"/>
  <c r="Z825" i="3"/>
  <c r="Y825" i="3"/>
  <c r="X825" i="3"/>
  <c r="W825" i="3"/>
  <c r="V825" i="3"/>
  <c r="U825" i="3"/>
  <c r="I825" i="3"/>
  <c r="H825" i="3"/>
  <c r="AG824" i="3"/>
  <c r="AF824" i="3"/>
  <c r="AB824" i="3"/>
  <c r="AA824" i="3"/>
  <c r="Z824" i="3"/>
  <c r="Y824" i="3"/>
  <c r="X824" i="3"/>
  <c r="W824" i="3"/>
  <c r="V824" i="3"/>
  <c r="U824" i="3"/>
  <c r="I824" i="3"/>
  <c r="H824" i="3"/>
  <c r="AG823" i="3"/>
  <c r="AF823" i="3"/>
  <c r="AB823" i="3"/>
  <c r="AA823" i="3"/>
  <c r="Z823" i="3"/>
  <c r="Y823" i="3"/>
  <c r="X823" i="3"/>
  <c r="W823" i="3"/>
  <c r="V823" i="3"/>
  <c r="U823" i="3"/>
  <c r="I823" i="3"/>
  <c r="H823" i="3"/>
  <c r="AG822" i="3"/>
  <c r="AF822" i="3"/>
  <c r="AB822" i="3"/>
  <c r="AA822" i="3"/>
  <c r="Z822" i="3"/>
  <c r="Y822" i="3"/>
  <c r="X822" i="3"/>
  <c r="W822" i="3"/>
  <c r="V822" i="3"/>
  <c r="U822" i="3"/>
  <c r="I822" i="3"/>
  <c r="H822" i="3"/>
  <c r="AG821" i="3"/>
  <c r="AF821" i="3"/>
  <c r="AB821" i="3"/>
  <c r="AA821" i="3"/>
  <c r="Z821" i="3"/>
  <c r="Y821" i="3"/>
  <c r="X821" i="3"/>
  <c r="W821" i="3"/>
  <c r="V821" i="3"/>
  <c r="U821" i="3"/>
  <c r="I821" i="3"/>
  <c r="H821" i="3"/>
  <c r="AG820" i="3"/>
  <c r="AF820" i="3"/>
  <c r="AB820" i="3"/>
  <c r="AA820" i="3"/>
  <c r="Z820" i="3"/>
  <c r="Y820" i="3"/>
  <c r="X820" i="3"/>
  <c r="W820" i="3"/>
  <c r="V820" i="3"/>
  <c r="U820" i="3"/>
  <c r="I820" i="3"/>
  <c r="H820" i="3"/>
  <c r="AG819" i="3"/>
  <c r="AF819" i="3"/>
  <c r="AB819" i="3"/>
  <c r="AA819" i="3"/>
  <c r="Z819" i="3"/>
  <c r="Y819" i="3"/>
  <c r="X819" i="3"/>
  <c r="W819" i="3"/>
  <c r="V819" i="3"/>
  <c r="U819" i="3"/>
  <c r="I819" i="3"/>
  <c r="H819" i="3"/>
  <c r="AG818" i="3"/>
  <c r="AF818" i="3"/>
  <c r="AB818" i="3"/>
  <c r="AA818" i="3"/>
  <c r="Z818" i="3"/>
  <c r="Y818" i="3"/>
  <c r="X818" i="3"/>
  <c r="W818" i="3"/>
  <c r="V818" i="3"/>
  <c r="U818" i="3"/>
  <c r="I818" i="3"/>
  <c r="H818" i="3"/>
  <c r="AG817" i="3"/>
  <c r="AF817" i="3"/>
  <c r="AB817" i="3"/>
  <c r="AA817" i="3"/>
  <c r="Z817" i="3"/>
  <c r="Y817" i="3"/>
  <c r="X817" i="3"/>
  <c r="W817" i="3"/>
  <c r="V817" i="3"/>
  <c r="U817" i="3"/>
  <c r="I817" i="3"/>
  <c r="H817" i="3"/>
  <c r="AG816" i="3"/>
  <c r="AF816" i="3"/>
  <c r="AB816" i="3"/>
  <c r="AA816" i="3"/>
  <c r="Z816" i="3"/>
  <c r="Y816" i="3"/>
  <c r="X816" i="3"/>
  <c r="W816" i="3"/>
  <c r="V816" i="3"/>
  <c r="U816" i="3"/>
  <c r="I816" i="3"/>
  <c r="H816" i="3"/>
  <c r="AG815" i="3"/>
  <c r="AF815" i="3"/>
  <c r="AB815" i="3"/>
  <c r="AA815" i="3"/>
  <c r="Z815" i="3"/>
  <c r="Y815" i="3"/>
  <c r="X815" i="3"/>
  <c r="W815" i="3"/>
  <c r="V815" i="3"/>
  <c r="U815" i="3"/>
  <c r="I815" i="3"/>
  <c r="H815" i="3"/>
  <c r="AG814" i="3"/>
  <c r="AF814" i="3"/>
  <c r="AB814" i="3"/>
  <c r="AA814" i="3"/>
  <c r="Z814" i="3"/>
  <c r="Y814" i="3"/>
  <c r="X814" i="3"/>
  <c r="W814" i="3"/>
  <c r="V814" i="3"/>
  <c r="U814" i="3"/>
  <c r="I814" i="3"/>
  <c r="H814" i="3"/>
  <c r="AG813" i="3"/>
  <c r="AF813" i="3"/>
  <c r="AB813" i="3"/>
  <c r="AA813" i="3"/>
  <c r="Z813" i="3"/>
  <c r="Y813" i="3"/>
  <c r="X813" i="3"/>
  <c r="W813" i="3"/>
  <c r="V813" i="3"/>
  <c r="U813" i="3"/>
  <c r="I813" i="3"/>
  <c r="H813" i="3"/>
  <c r="AG812" i="3"/>
  <c r="AF812" i="3"/>
  <c r="AB812" i="3"/>
  <c r="AA812" i="3"/>
  <c r="Z812" i="3"/>
  <c r="Y812" i="3"/>
  <c r="X812" i="3"/>
  <c r="W812" i="3"/>
  <c r="V812" i="3"/>
  <c r="U812" i="3"/>
  <c r="I812" i="3"/>
  <c r="H812" i="3"/>
  <c r="AG811" i="3"/>
  <c r="AF811" i="3"/>
  <c r="AB811" i="3"/>
  <c r="AA811" i="3"/>
  <c r="Z811" i="3"/>
  <c r="Y811" i="3"/>
  <c r="X811" i="3"/>
  <c r="W811" i="3"/>
  <c r="V811" i="3"/>
  <c r="U811" i="3"/>
  <c r="I811" i="3"/>
  <c r="H811" i="3"/>
  <c r="AG810" i="3"/>
  <c r="AF810" i="3"/>
  <c r="AB810" i="3"/>
  <c r="AA810" i="3"/>
  <c r="Z810" i="3"/>
  <c r="Y810" i="3"/>
  <c r="X810" i="3"/>
  <c r="W810" i="3"/>
  <c r="V810" i="3"/>
  <c r="U810" i="3"/>
  <c r="I810" i="3"/>
  <c r="H810" i="3"/>
  <c r="AG809" i="3"/>
  <c r="AF809" i="3"/>
  <c r="AB809" i="3"/>
  <c r="AA809" i="3"/>
  <c r="Z809" i="3"/>
  <c r="Y809" i="3"/>
  <c r="X809" i="3"/>
  <c r="W809" i="3"/>
  <c r="V809" i="3"/>
  <c r="U809" i="3"/>
  <c r="I809" i="3"/>
  <c r="H809" i="3"/>
  <c r="AG808" i="3"/>
  <c r="AF808" i="3"/>
  <c r="AB808" i="3"/>
  <c r="AA808" i="3"/>
  <c r="Z808" i="3"/>
  <c r="Y808" i="3"/>
  <c r="X808" i="3"/>
  <c r="W808" i="3"/>
  <c r="V808" i="3"/>
  <c r="U808" i="3"/>
  <c r="I808" i="3"/>
  <c r="H808" i="3"/>
  <c r="AG807" i="3"/>
  <c r="AF807" i="3"/>
  <c r="AB807" i="3"/>
  <c r="AA807" i="3"/>
  <c r="Z807" i="3"/>
  <c r="Y807" i="3"/>
  <c r="X807" i="3"/>
  <c r="W807" i="3"/>
  <c r="V807" i="3"/>
  <c r="U807" i="3"/>
  <c r="I807" i="3"/>
  <c r="H807" i="3"/>
  <c r="AG806" i="3"/>
  <c r="AF806" i="3"/>
  <c r="AB806" i="3"/>
  <c r="AA806" i="3"/>
  <c r="Z806" i="3"/>
  <c r="Y806" i="3"/>
  <c r="X806" i="3"/>
  <c r="W806" i="3"/>
  <c r="V806" i="3"/>
  <c r="U806" i="3"/>
  <c r="I806" i="3"/>
  <c r="H806" i="3"/>
  <c r="AG805" i="3"/>
  <c r="AF805" i="3"/>
  <c r="AB805" i="3"/>
  <c r="AA805" i="3"/>
  <c r="Z805" i="3"/>
  <c r="Y805" i="3"/>
  <c r="X805" i="3"/>
  <c r="W805" i="3"/>
  <c r="V805" i="3"/>
  <c r="U805" i="3"/>
  <c r="I805" i="3"/>
  <c r="H805" i="3"/>
  <c r="AG804" i="3"/>
  <c r="AF804" i="3"/>
  <c r="AB804" i="3"/>
  <c r="AA804" i="3"/>
  <c r="Z804" i="3"/>
  <c r="Y804" i="3"/>
  <c r="X804" i="3"/>
  <c r="W804" i="3"/>
  <c r="V804" i="3"/>
  <c r="U804" i="3"/>
  <c r="I804" i="3"/>
  <c r="H804" i="3"/>
  <c r="AG803" i="3"/>
  <c r="AF803" i="3"/>
  <c r="AB803" i="3"/>
  <c r="AA803" i="3"/>
  <c r="Z803" i="3"/>
  <c r="Y803" i="3"/>
  <c r="X803" i="3"/>
  <c r="W803" i="3"/>
  <c r="V803" i="3"/>
  <c r="U803" i="3"/>
  <c r="I803" i="3"/>
  <c r="H803" i="3"/>
  <c r="AG802" i="3"/>
  <c r="AF802" i="3"/>
  <c r="AB802" i="3"/>
  <c r="AA802" i="3"/>
  <c r="Z802" i="3"/>
  <c r="Y802" i="3"/>
  <c r="X802" i="3"/>
  <c r="W802" i="3"/>
  <c r="V802" i="3"/>
  <c r="U802" i="3"/>
  <c r="I802" i="3"/>
  <c r="H802" i="3"/>
  <c r="AG801" i="3"/>
  <c r="AF801" i="3"/>
  <c r="AB801" i="3"/>
  <c r="AA801" i="3"/>
  <c r="Z801" i="3"/>
  <c r="Y801" i="3"/>
  <c r="X801" i="3"/>
  <c r="W801" i="3"/>
  <c r="V801" i="3"/>
  <c r="U801" i="3"/>
  <c r="I801" i="3"/>
  <c r="H801" i="3"/>
  <c r="AG800" i="3"/>
  <c r="AF800" i="3"/>
  <c r="AB800" i="3"/>
  <c r="AA800" i="3"/>
  <c r="Z800" i="3"/>
  <c r="Y800" i="3"/>
  <c r="X800" i="3"/>
  <c r="W800" i="3"/>
  <c r="V800" i="3"/>
  <c r="U800" i="3"/>
  <c r="I800" i="3"/>
  <c r="H800" i="3"/>
  <c r="AG799" i="3"/>
  <c r="AF799" i="3"/>
  <c r="AB799" i="3"/>
  <c r="AA799" i="3"/>
  <c r="Z799" i="3"/>
  <c r="Y799" i="3"/>
  <c r="X799" i="3"/>
  <c r="W799" i="3"/>
  <c r="V799" i="3"/>
  <c r="U799" i="3"/>
  <c r="I799" i="3"/>
  <c r="H799" i="3"/>
  <c r="AG798" i="3"/>
  <c r="AF798" i="3"/>
  <c r="AB798" i="3"/>
  <c r="AA798" i="3"/>
  <c r="Z798" i="3"/>
  <c r="Y798" i="3"/>
  <c r="X798" i="3"/>
  <c r="W798" i="3"/>
  <c r="V798" i="3"/>
  <c r="U798" i="3"/>
  <c r="I798" i="3"/>
  <c r="H798" i="3"/>
  <c r="AG797" i="3"/>
  <c r="AF797" i="3"/>
  <c r="AB797" i="3"/>
  <c r="AA797" i="3"/>
  <c r="Z797" i="3"/>
  <c r="Y797" i="3"/>
  <c r="X797" i="3"/>
  <c r="W797" i="3"/>
  <c r="V797" i="3"/>
  <c r="U797" i="3"/>
  <c r="I797" i="3"/>
  <c r="H797" i="3"/>
  <c r="AG796" i="3"/>
  <c r="AF796" i="3"/>
  <c r="AB796" i="3"/>
  <c r="AA796" i="3"/>
  <c r="Z796" i="3"/>
  <c r="Y796" i="3"/>
  <c r="X796" i="3"/>
  <c r="W796" i="3"/>
  <c r="V796" i="3"/>
  <c r="U796" i="3"/>
  <c r="I796" i="3"/>
  <c r="H796" i="3"/>
  <c r="AG795" i="3"/>
  <c r="AF795" i="3"/>
  <c r="AB795" i="3"/>
  <c r="AA795" i="3"/>
  <c r="Z795" i="3"/>
  <c r="Y795" i="3"/>
  <c r="X795" i="3"/>
  <c r="W795" i="3"/>
  <c r="V795" i="3"/>
  <c r="U795" i="3"/>
  <c r="I795" i="3"/>
  <c r="H795" i="3"/>
  <c r="AG794" i="3"/>
  <c r="AF794" i="3"/>
  <c r="AB794" i="3"/>
  <c r="AA794" i="3"/>
  <c r="Z794" i="3"/>
  <c r="Y794" i="3"/>
  <c r="X794" i="3"/>
  <c r="W794" i="3"/>
  <c r="V794" i="3"/>
  <c r="U794" i="3"/>
  <c r="I794" i="3"/>
  <c r="H794" i="3"/>
  <c r="AG793" i="3"/>
  <c r="AF793" i="3"/>
  <c r="AB793" i="3"/>
  <c r="AA793" i="3"/>
  <c r="Z793" i="3"/>
  <c r="Y793" i="3"/>
  <c r="X793" i="3"/>
  <c r="W793" i="3"/>
  <c r="V793" i="3"/>
  <c r="U793" i="3"/>
  <c r="I793" i="3"/>
  <c r="H793" i="3"/>
  <c r="AG792" i="3"/>
  <c r="AF792" i="3"/>
  <c r="AB792" i="3"/>
  <c r="AA792" i="3"/>
  <c r="Z792" i="3"/>
  <c r="Y792" i="3"/>
  <c r="X792" i="3"/>
  <c r="W792" i="3"/>
  <c r="V792" i="3"/>
  <c r="U792" i="3"/>
  <c r="I792" i="3"/>
  <c r="H792" i="3"/>
  <c r="AG791" i="3"/>
  <c r="AF791" i="3"/>
  <c r="AB791" i="3"/>
  <c r="AA791" i="3"/>
  <c r="Z791" i="3"/>
  <c r="Y791" i="3"/>
  <c r="X791" i="3"/>
  <c r="W791" i="3"/>
  <c r="V791" i="3"/>
  <c r="U791" i="3"/>
  <c r="I791" i="3"/>
  <c r="H791" i="3"/>
  <c r="AG790" i="3"/>
  <c r="AF790" i="3"/>
  <c r="AB790" i="3"/>
  <c r="AA790" i="3"/>
  <c r="Z790" i="3"/>
  <c r="Y790" i="3"/>
  <c r="X790" i="3"/>
  <c r="W790" i="3"/>
  <c r="V790" i="3"/>
  <c r="U790" i="3"/>
  <c r="I790" i="3"/>
  <c r="H790" i="3"/>
  <c r="AG789" i="3"/>
  <c r="AF789" i="3"/>
  <c r="AB789" i="3"/>
  <c r="AA789" i="3"/>
  <c r="Z789" i="3"/>
  <c r="Y789" i="3"/>
  <c r="X789" i="3"/>
  <c r="W789" i="3"/>
  <c r="V789" i="3"/>
  <c r="U789" i="3"/>
  <c r="I789" i="3"/>
  <c r="H789" i="3"/>
  <c r="AG788" i="3"/>
  <c r="AF788" i="3"/>
  <c r="AB788" i="3"/>
  <c r="AA788" i="3"/>
  <c r="Z788" i="3"/>
  <c r="Y788" i="3"/>
  <c r="X788" i="3"/>
  <c r="W788" i="3"/>
  <c r="V788" i="3"/>
  <c r="U788" i="3"/>
  <c r="I788" i="3"/>
  <c r="H788" i="3"/>
  <c r="AG787" i="3"/>
  <c r="AF787" i="3"/>
  <c r="AB787" i="3"/>
  <c r="AA787" i="3"/>
  <c r="Z787" i="3"/>
  <c r="Y787" i="3"/>
  <c r="X787" i="3"/>
  <c r="W787" i="3"/>
  <c r="V787" i="3"/>
  <c r="U787" i="3"/>
  <c r="I787" i="3"/>
  <c r="H787" i="3"/>
  <c r="AG786" i="3"/>
  <c r="AF786" i="3"/>
  <c r="AB786" i="3"/>
  <c r="AA786" i="3"/>
  <c r="Z786" i="3"/>
  <c r="Y786" i="3"/>
  <c r="X786" i="3"/>
  <c r="W786" i="3"/>
  <c r="V786" i="3"/>
  <c r="U786" i="3"/>
  <c r="I786" i="3"/>
  <c r="H786" i="3"/>
  <c r="AG785" i="3"/>
  <c r="AF785" i="3"/>
  <c r="AB785" i="3"/>
  <c r="AA785" i="3"/>
  <c r="Z785" i="3"/>
  <c r="Y785" i="3"/>
  <c r="X785" i="3"/>
  <c r="W785" i="3"/>
  <c r="V785" i="3"/>
  <c r="U785" i="3"/>
  <c r="I785" i="3"/>
  <c r="H785" i="3"/>
  <c r="AG784" i="3"/>
  <c r="AF784" i="3"/>
  <c r="AB784" i="3"/>
  <c r="AA784" i="3"/>
  <c r="Z784" i="3"/>
  <c r="Y784" i="3"/>
  <c r="X784" i="3"/>
  <c r="W784" i="3"/>
  <c r="V784" i="3"/>
  <c r="U784" i="3"/>
  <c r="I784" i="3"/>
  <c r="H784" i="3"/>
  <c r="AG783" i="3"/>
  <c r="AF783" i="3"/>
  <c r="AB783" i="3"/>
  <c r="AA783" i="3"/>
  <c r="Z783" i="3"/>
  <c r="Y783" i="3"/>
  <c r="X783" i="3"/>
  <c r="W783" i="3"/>
  <c r="V783" i="3"/>
  <c r="U783" i="3"/>
  <c r="I783" i="3"/>
  <c r="H783" i="3"/>
  <c r="AG782" i="3"/>
  <c r="AF782" i="3"/>
  <c r="AB782" i="3"/>
  <c r="AA782" i="3"/>
  <c r="Z782" i="3"/>
  <c r="Y782" i="3"/>
  <c r="X782" i="3"/>
  <c r="W782" i="3"/>
  <c r="V782" i="3"/>
  <c r="U782" i="3"/>
  <c r="I782" i="3"/>
  <c r="H782" i="3"/>
  <c r="AG781" i="3"/>
  <c r="AF781" i="3"/>
  <c r="AB781" i="3"/>
  <c r="AA781" i="3"/>
  <c r="Z781" i="3"/>
  <c r="Y781" i="3"/>
  <c r="X781" i="3"/>
  <c r="W781" i="3"/>
  <c r="V781" i="3"/>
  <c r="U781" i="3"/>
  <c r="I781" i="3"/>
  <c r="H781" i="3"/>
  <c r="AG780" i="3"/>
  <c r="AF780" i="3"/>
  <c r="AB780" i="3"/>
  <c r="AA780" i="3"/>
  <c r="Z780" i="3"/>
  <c r="Y780" i="3"/>
  <c r="X780" i="3"/>
  <c r="W780" i="3"/>
  <c r="V780" i="3"/>
  <c r="U780" i="3"/>
  <c r="I780" i="3"/>
  <c r="H780" i="3"/>
  <c r="AG779" i="3"/>
  <c r="AF779" i="3"/>
  <c r="AB779" i="3"/>
  <c r="AA779" i="3"/>
  <c r="Z779" i="3"/>
  <c r="Y779" i="3"/>
  <c r="X779" i="3"/>
  <c r="W779" i="3"/>
  <c r="V779" i="3"/>
  <c r="U779" i="3"/>
  <c r="I779" i="3"/>
  <c r="H779" i="3"/>
  <c r="AG778" i="3"/>
  <c r="AF778" i="3"/>
  <c r="AB778" i="3"/>
  <c r="AA778" i="3"/>
  <c r="Z778" i="3"/>
  <c r="Y778" i="3"/>
  <c r="X778" i="3"/>
  <c r="W778" i="3"/>
  <c r="V778" i="3"/>
  <c r="U778" i="3"/>
  <c r="I778" i="3"/>
  <c r="H778" i="3"/>
  <c r="AG777" i="3"/>
  <c r="AF777" i="3"/>
  <c r="AB777" i="3"/>
  <c r="AA777" i="3"/>
  <c r="Z777" i="3"/>
  <c r="Y777" i="3"/>
  <c r="X777" i="3"/>
  <c r="W777" i="3"/>
  <c r="V777" i="3"/>
  <c r="U777" i="3"/>
  <c r="I777" i="3"/>
  <c r="H777" i="3"/>
  <c r="AG776" i="3"/>
  <c r="AF776" i="3"/>
  <c r="AB776" i="3"/>
  <c r="AA776" i="3"/>
  <c r="Z776" i="3"/>
  <c r="Y776" i="3"/>
  <c r="X776" i="3"/>
  <c r="W776" i="3"/>
  <c r="V776" i="3"/>
  <c r="U776" i="3"/>
  <c r="I776" i="3"/>
  <c r="H776" i="3"/>
  <c r="AG775" i="3"/>
  <c r="AF775" i="3"/>
  <c r="AB775" i="3"/>
  <c r="AA775" i="3"/>
  <c r="Z775" i="3"/>
  <c r="Y775" i="3"/>
  <c r="X775" i="3"/>
  <c r="W775" i="3"/>
  <c r="V775" i="3"/>
  <c r="U775" i="3"/>
  <c r="I775" i="3"/>
  <c r="H775" i="3"/>
  <c r="AG774" i="3"/>
  <c r="AF774" i="3"/>
  <c r="AB774" i="3"/>
  <c r="AA774" i="3"/>
  <c r="Z774" i="3"/>
  <c r="Y774" i="3"/>
  <c r="X774" i="3"/>
  <c r="W774" i="3"/>
  <c r="V774" i="3"/>
  <c r="U774" i="3"/>
  <c r="I774" i="3"/>
  <c r="H774" i="3"/>
  <c r="AG773" i="3"/>
  <c r="AF773" i="3"/>
  <c r="AB773" i="3"/>
  <c r="AA773" i="3"/>
  <c r="Z773" i="3"/>
  <c r="Y773" i="3"/>
  <c r="X773" i="3"/>
  <c r="W773" i="3"/>
  <c r="V773" i="3"/>
  <c r="U773" i="3"/>
  <c r="I773" i="3"/>
  <c r="H773" i="3"/>
  <c r="AG772" i="3"/>
  <c r="AF772" i="3"/>
  <c r="AB772" i="3"/>
  <c r="AA772" i="3"/>
  <c r="Z772" i="3"/>
  <c r="Y772" i="3"/>
  <c r="X772" i="3"/>
  <c r="W772" i="3"/>
  <c r="V772" i="3"/>
  <c r="U772" i="3"/>
  <c r="I772" i="3"/>
  <c r="H772" i="3"/>
  <c r="AG771" i="3"/>
  <c r="AF771" i="3"/>
  <c r="AB771" i="3"/>
  <c r="AA771" i="3"/>
  <c r="Z771" i="3"/>
  <c r="Y771" i="3"/>
  <c r="X771" i="3"/>
  <c r="W771" i="3"/>
  <c r="V771" i="3"/>
  <c r="U771" i="3"/>
  <c r="I771" i="3"/>
  <c r="H771" i="3"/>
  <c r="AG770" i="3"/>
  <c r="AF770" i="3"/>
  <c r="AB770" i="3"/>
  <c r="AA770" i="3"/>
  <c r="Z770" i="3"/>
  <c r="Y770" i="3"/>
  <c r="X770" i="3"/>
  <c r="W770" i="3"/>
  <c r="V770" i="3"/>
  <c r="U770" i="3"/>
  <c r="I770" i="3"/>
  <c r="H770" i="3"/>
  <c r="AG769" i="3"/>
  <c r="AF769" i="3"/>
  <c r="AB769" i="3"/>
  <c r="AA769" i="3"/>
  <c r="Z769" i="3"/>
  <c r="Y769" i="3"/>
  <c r="X769" i="3"/>
  <c r="W769" i="3"/>
  <c r="V769" i="3"/>
  <c r="U769" i="3"/>
  <c r="I769" i="3"/>
  <c r="H769" i="3"/>
  <c r="AG768" i="3"/>
  <c r="AF768" i="3"/>
  <c r="AB768" i="3"/>
  <c r="AA768" i="3"/>
  <c r="Z768" i="3"/>
  <c r="Y768" i="3"/>
  <c r="X768" i="3"/>
  <c r="W768" i="3"/>
  <c r="V768" i="3"/>
  <c r="U768" i="3"/>
  <c r="I768" i="3"/>
  <c r="H768" i="3"/>
  <c r="AG767" i="3"/>
  <c r="AF767" i="3"/>
  <c r="AB767" i="3"/>
  <c r="AA767" i="3"/>
  <c r="Z767" i="3"/>
  <c r="Y767" i="3"/>
  <c r="X767" i="3"/>
  <c r="W767" i="3"/>
  <c r="V767" i="3"/>
  <c r="U767" i="3"/>
  <c r="I767" i="3"/>
  <c r="H767" i="3"/>
  <c r="AG766" i="3"/>
  <c r="AF766" i="3"/>
  <c r="AB766" i="3"/>
  <c r="AA766" i="3"/>
  <c r="Z766" i="3"/>
  <c r="Y766" i="3"/>
  <c r="X766" i="3"/>
  <c r="W766" i="3"/>
  <c r="V766" i="3"/>
  <c r="U766" i="3"/>
  <c r="I766" i="3"/>
  <c r="H766" i="3"/>
  <c r="AG765" i="3"/>
  <c r="AF765" i="3"/>
  <c r="AB765" i="3"/>
  <c r="AA765" i="3"/>
  <c r="Z765" i="3"/>
  <c r="Y765" i="3"/>
  <c r="X765" i="3"/>
  <c r="W765" i="3"/>
  <c r="V765" i="3"/>
  <c r="U765" i="3"/>
  <c r="I765" i="3"/>
  <c r="H765" i="3"/>
  <c r="AG764" i="3"/>
  <c r="AF764" i="3"/>
  <c r="AB764" i="3"/>
  <c r="AA764" i="3"/>
  <c r="Z764" i="3"/>
  <c r="Y764" i="3"/>
  <c r="X764" i="3"/>
  <c r="W764" i="3"/>
  <c r="V764" i="3"/>
  <c r="U764" i="3"/>
  <c r="I764" i="3"/>
  <c r="H764" i="3"/>
  <c r="AG763" i="3"/>
  <c r="AF763" i="3"/>
  <c r="AB763" i="3"/>
  <c r="AA763" i="3"/>
  <c r="Z763" i="3"/>
  <c r="Y763" i="3"/>
  <c r="X763" i="3"/>
  <c r="W763" i="3"/>
  <c r="V763" i="3"/>
  <c r="U763" i="3"/>
  <c r="I763" i="3"/>
  <c r="H763" i="3"/>
  <c r="AG762" i="3"/>
  <c r="AF762" i="3"/>
  <c r="AB762" i="3"/>
  <c r="AA762" i="3"/>
  <c r="Z762" i="3"/>
  <c r="Y762" i="3"/>
  <c r="X762" i="3"/>
  <c r="W762" i="3"/>
  <c r="V762" i="3"/>
  <c r="U762" i="3"/>
  <c r="I762" i="3"/>
  <c r="H762" i="3"/>
  <c r="AG761" i="3"/>
  <c r="AF761" i="3"/>
  <c r="AB761" i="3"/>
  <c r="AA761" i="3"/>
  <c r="Z761" i="3"/>
  <c r="Y761" i="3"/>
  <c r="X761" i="3"/>
  <c r="W761" i="3"/>
  <c r="V761" i="3"/>
  <c r="U761" i="3"/>
  <c r="I761" i="3"/>
  <c r="H761" i="3"/>
  <c r="AG760" i="3"/>
  <c r="AF760" i="3"/>
  <c r="AB760" i="3"/>
  <c r="AA760" i="3"/>
  <c r="Z760" i="3"/>
  <c r="Y760" i="3"/>
  <c r="X760" i="3"/>
  <c r="W760" i="3"/>
  <c r="V760" i="3"/>
  <c r="U760" i="3"/>
  <c r="I760" i="3"/>
  <c r="H760" i="3"/>
  <c r="AG759" i="3"/>
  <c r="AF759" i="3"/>
  <c r="AB759" i="3"/>
  <c r="AA759" i="3"/>
  <c r="Z759" i="3"/>
  <c r="Y759" i="3"/>
  <c r="X759" i="3"/>
  <c r="W759" i="3"/>
  <c r="V759" i="3"/>
  <c r="U759" i="3"/>
  <c r="I759" i="3"/>
  <c r="H759" i="3"/>
  <c r="AG758" i="3"/>
  <c r="AF758" i="3"/>
  <c r="AB758" i="3"/>
  <c r="AA758" i="3"/>
  <c r="Z758" i="3"/>
  <c r="Y758" i="3"/>
  <c r="X758" i="3"/>
  <c r="W758" i="3"/>
  <c r="V758" i="3"/>
  <c r="U758" i="3"/>
  <c r="I758" i="3"/>
  <c r="H758" i="3"/>
  <c r="AG757" i="3"/>
  <c r="AF757" i="3"/>
  <c r="AB757" i="3"/>
  <c r="AA757" i="3"/>
  <c r="Z757" i="3"/>
  <c r="Y757" i="3"/>
  <c r="X757" i="3"/>
  <c r="W757" i="3"/>
  <c r="V757" i="3"/>
  <c r="U757" i="3"/>
  <c r="I757" i="3"/>
  <c r="H757" i="3"/>
  <c r="AG756" i="3"/>
  <c r="AF756" i="3"/>
  <c r="AB756" i="3"/>
  <c r="AA756" i="3"/>
  <c r="Z756" i="3"/>
  <c r="Y756" i="3"/>
  <c r="X756" i="3"/>
  <c r="W756" i="3"/>
  <c r="V756" i="3"/>
  <c r="U756" i="3"/>
  <c r="I756" i="3"/>
  <c r="H756" i="3"/>
  <c r="AG755" i="3"/>
  <c r="AF755" i="3"/>
  <c r="AB755" i="3"/>
  <c r="AA755" i="3"/>
  <c r="Z755" i="3"/>
  <c r="Y755" i="3"/>
  <c r="X755" i="3"/>
  <c r="W755" i="3"/>
  <c r="V755" i="3"/>
  <c r="U755" i="3"/>
  <c r="I755" i="3"/>
  <c r="H755" i="3"/>
  <c r="AG754" i="3"/>
  <c r="AF754" i="3"/>
  <c r="AB754" i="3"/>
  <c r="AA754" i="3"/>
  <c r="Z754" i="3"/>
  <c r="Y754" i="3"/>
  <c r="X754" i="3"/>
  <c r="W754" i="3"/>
  <c r="V754" i="3"/>
  <c r="U754" i="3"/>
  <c r="I754" i="3"/>
  <c r="H754" i="3"/>
  <c r="AG753" i="3"/>
  <c r="AF753" i="3"/>
  <c r="AB753" i="3"/>
  <c r="AA753" i="3"/>
  <c r="Z753" i="3"/>
  <c r="Y753" i="3"/>
  <c r="X753" i="3"/>
  <c r="W753" i="3"/>
  <c r="V753" i="3"/>
  <c r="U753" i="3"/>
  <c r="I753" i="3"/>
  <c r="H753" i="3"/>
  <c r="AG752" i="3"/>
  <c r="AF752" i="3"/>
  <c r="AB752" i="3"/>
  <c r="AA752" i="3"/>
  <c r="Z752" i="3"/>
  <c r="Y752" i="3"/>
  <c r="X752" i="3"/>
  <c r="W752" i="3"/>
  <c r="V752" i="3"/>
  <c r="U752" i="3"/>
  <c r="I752" i="3"/>
  <c r="H752" i="3"/>
  <c r="AG751" i="3"/>
  <c r="AF751" i="3"/>
  <c r="AB751" i="3"/>
  <c r="AA751" i="3"/>
  <c r="Z751" i="3"/>
  <c r="Y751" i="3"/>
  <c r="X751" i="3"/>
  <c r="W751" i="3"/>
  <c r="V751" i="3"/>
  <c r="U751" i="3"/>
  <c r="I751" i="3"/>
  <c r="H751" i="3"/>
  <c r="AG750" i="3"/>
  <c r="AF750" i="3"/>
  <c r="AB750" i="3"/>
  <c r="AA750" i="3"/>
  <c r="Z750" i="3"/>
  <c r="Y750" i="3"/>
  <c r="X750" i="3"/>
  <c r="W750" i="3"/>
  <c r="V750" i="3"/>
  <c r="U750" i="3"/>
  <c r="I750" i="3"/>
  <c r="H750" i="3"/>
  <c r="AG749" i="3"/>
  <c r="AF749" i="3"/>
  <c r="AB749" i="3"/>
  <c r="AA749" i="3"/>
  <c r="Z749" i="3"/>
  <c r="Y749" i="3"/>
  <c r="X749" i="3"/>
  <c r="W749" i="3"/>
  <c r="V749" i="3"/>
  <c r="U749" i="3"/>
  <c r="I749" i="3"/>
  <c r="H749" i="3"/>
  <c r="AG748" i="3"/>
  <c r="AF748" i="3"/>
  <c r="AB748" i="3"/>
  <c r="AA748" i="3"/>
  <c r="Z748" i="3"/>
  <c r="Y748" i="3"/>
  <c r="X748" i="3"/>
  <c r="W748" i="3"/>
  <c r="V748" i="3"/>
  <c r="U748" i="3"/>
  <c r="I748" i="3"/>
  <c r="H748" i="3"/>
  <c r="AG747" i="3"/>
  <c r="AF747" i="3"/>
  <c r="AB747" i="3"/>
  <c r="AA747" i="3"/>
  <c r="Z747" i="3"/>
  <c r="Y747" i="3"/>
  <c r="X747" i="3"/>
  <c r="W747" i="3"/>
  <c r="V747" i="3"/>
  <c r="U747" i="3"/>
  <c r="I747" i="3"/>
  <c r="H747" i="3"/>
  <c r="AG746" i="3"/>
  <c r="AF746" i="3"/>
  <c r="AB746" i="3"/>
  <c r="AA746" i="3"/>
  <c r="Z746" i="3"/>
  <c r="Y746" i="3"/>
  <c r="X746" i="3"/>
  <c r="W746" i="3"/>
  <c r="V746" i="3"/>
  <c r="U746" i="3"/>
  <c r="I746" i="3"/>
  <c r="H746" i="3"/>
  <c r="AG745" i="3"/>
  <c r="AF745" i="3"/>
  <c r="AB745" i="3"/>
  <c r="AA745" i="3"/>
  <c r="Z745" i="3"/>
  <c r="Y745" i="3"/>
  <c r="X745" i="3"/>
  <c r="W745" i="3"/>
  <c r="V745" i="3"/>
  <c r="U745" i="3"/>
  <c r="I745" i="3"/>
  <c r="H745" i="3"/>
  <c r="AG744" i="3"/>
  <c r="AF744" i="3"/>
  <c r="AB744" i="3"/>
  <c r="AA744" i="3"/>
  <c r="Z744" i="3"/>
  <c r="Y744" i="3"/>
  <c r="X744" i="3"/>
  <c r="W744" i="3"/>
  <c r="V744" i="3"/>
  <c r="U744" i="3"/>
  <c r="I744" i="3"/>
  <c r="H744" i="3"/>
  <c r="AG743" i="3"/>
  <c r="AF743" i="3"/>
  <c r="AB743" i="3"/>
  <c r="AA743" i="3"/>
  <c r="Z743" i="3"/>
  <c r="Y743" i="3"/>
  <c r="X743" i="3"/>
  <c r="W743" i="3"/>
  <c r="V743" i="3"/>
  <c r="U743" i="3"/>
  <c r="I743" i="3"/>
  <c r="H743" i="3"/>
  <c r="AG742" i="3"/>
  <c r="AF742" i="3"/>
  <c r="AB742" i="3"/>
  <c r="AA742" i="3"/>
  <c r="Z742" i="3"/>
  <c r="Y742" i="3"/>
  <c r="X742" i="3"/>
  <c r="W742" i="3"/>
  <c r="V742" i="3"/>
  <c r="U742" i="3"/>
  <c r="I742" i="3"/>
  <c r="H742" i="3"/>
  <c r="AG741" i="3"/>
  <c r="AF741" i="3"/>
  <c r="AB741" i="3"/>
  <c r="AA741" i="3"/>
  <c r="Z741" i="3"/>
  <c r="Y741" i="3"/>
  <c r="X741" i="3"/>
  <c r="W741" i="3"/>
  <c r="V741" i="3"/>
  <c r="U741" i="3"/>
  <c r="I741" i="3"/>
  <c r="H741" i="3"/>
  <c r="AG740" i="3"/>
  <c r="AF740" i="3"/>
  <c r="AB740" i="3"/>
  <c r="AA740" i="3"/>
  <c r="Z740" i="3"/>
  <c r="Y740" i="3"/>
  <c r="X740" i="3"/>
  <c r="W740" i="3"/>
  <c r="V740" i="3"/>
  <c r="U740" i="3"/>
  <c r="I740" i="3"/>
  <c r="H740" i="3"/>
  <c r="AG739" i="3"/>
  <c r="AF739" i="3"/>
  <c r="AB739" i="3"/>
  <c r="AA739" i="3"/>
  <c r="Z739" i="3"/>
  <c r="Y739" i="3"/>
  <c r="X739" i="3"/>
  <c r="W739" i="3"/>
  <c r="V739" i="3"/>
  <c r="U739" i="3"/>
  <c r="I739" i="3"/>
  <c r="H739" i="3"/>
  <c r="AG738" i="3"/>
  <c r="AF738" i="3"/>
  <c r="AB738" i="3"/>
  <c r="AA738" i="3"/>
  <c r="Z738" i="3"/>
  <c r="Y738" i="3"/>
  <c r="X738" i="3"/>
  <c r="W738" i="3"/>
  <c r="V738" i="3"/>
  <c r="U738" i="3"/>
  <c r="I738" i="3"/>
  <c r="H738" i="3"/>
  <c r="AG737" i="3"/>
  <c r="AF737" i="3"/>
  <c r="AB737" i="3"/>
  <c r="AA737" i="3"/>
  <c r="Z737" i="3"/>
  <c r="Y737" i="3"/>
  <c r="X737" i="3"/>
  <c r="W737" i="3"/>
  <c r="V737" i="3"/>
  <c r="U737" i="3"/>
  <c r="I737" i="3"/>
  <c r="H737" i="3"/>
  <c r="AG736" i="3"/>
  <c r="AF736" i="3"/>
  <c r="AB736" i="3"/>
  <c r="AA736" i="3"/>
  <c r="Z736" i="3"/>
  <c r="Y736" i="3"/>
  <c r="X736" i="3"/>
  <c r="W736" i="3"/>
  <c r="V736" i="3"/>
  <c r="U736" i="3"/>
  <c r="I736" i="3"/>
  <c r="H736" i="3"/>
  <c r="AG735" i="3"/>
  <c r="AF735" i="3"/>
  <c r="AB735" i="3"/>
  <c r="AA735" i="3"/>
  <c r="Z735" i="3"/>
  <c r="Y735" i="3"/>
  <c r="X735" i="3"/>
  <c r="W735" i="3"/>
  <c r="V735" i="3"/>
  <c r="U735" i="3"/>
  <c r="I735" i="3"/>
  <c r="H735" i="3"/>
  <c r="AG734" i="3"/>
  <c r="AF734" i="3"/>
  <c r="AB734" i="3"/>
  <c r="AA734" i="3"/>
  <c r="Z734" i="3"/>
  <c r="Y734" i="3"/>
  <c r="X734" i="3"/>
  <c r="W734" i="3"/>
  <c r="V734" i="3"/>
  <c r="U734" i="3"/>
  <c r="I734" i="3"/>
  <c r="H734" i="3"/>
  <c r="AG733" i="3"/>
  <c r="AF733" i="3"/>
  <c r="AB733" i="3"/>
  <c r="AA733" i="3"/>
  <c r="Z733" i="3"/>
  <c r="Y733" i="3"/>
  <c r="X733" i="3"/>
  <c r="W733" i="3"/>
  <c r="V733" i="3"/>
  <c r="U733" i="3"/>
  <c r="I733" i="3"/>
  <c r="H733" i="3"/>
  <c r="AG732" i="3"/>
  <c r="AF732" i="3"/>
  <c r="AB732" i="3"/>
  <c r="AA732" i="3"/>
  <c r="Z732" i="3"/>
  <c r="Y732" i="3"/>
  <c r="X732" i="3"/>
  <c r="W732" i="3"/>
  <c r="V732" i="3"/>
  <c r="U732" i="3"/>
  <c r="I732" i="3"/>
  <c r="H732" i="3"/>
  <c r="AG731" i="3"/>
  <c r="AF731" i="3"/>
  <c r="AB731" i="3"/>
  <c r="AA731" i="3"/>
  <c r="Z731" i="3"/>
  <c r="Y731" i="3"/>
  <c r="X731" i="3"/>
  <c r="W731" i="3"/>
  <c r="V731" i="3"/>
  <c r="U731" i="3"/>
  <c r="I731" i="3"/>
  <c r="H731" i="3"/>
  <c r="AG730" i="3"/>
  <c r="AF730" i="3"/>
  <c r="AB730" i="3"/>
  <c r="AA730" i="3"/>
  <c r="Z730" i="3"/>
  <c r="Y730" i="3"/>
  <c r="X730" i="3"/>
  <c r="W730" i="3"/>
  <c r="V730" i="3"/>
  <c r="U730" i="3"/>
  <c r="I730" i="3"/>
  <c r="H730" i="3"/>
  <c r="AG729" i="3"/>
  <c r="AF729" i="3"/>
  <c r="AB729" i="3"/>
  <c r="AA729" i="3"/>
  <c r="Z729" i="3"/>
  <c r="Y729" i="3"/>
  <c r="X729" i="3"/>
  <c r="W729" i="3"/>
  <c r="V729" i="3"/>
  <c r="U729" i="3"/>
  <c r="I729" i="3"/>
  <c r="H729" i="3"/>
  <c r="AG728" i="3"/>
  <c r="AF728" i="3"/>
  <c r="AB728" i="3"/>
  <c r="AA728" i="3"/>
  <c r="Z728" i="3"/>
  <c r="Y728" i="3"/>
  <c r="X728" i="3"/>
  <c r="W728" i="3"/>
  <c r="V728" i="3"/>
  <c r="U728" i="3"/>
  <c r="I728" i="3"/>
  <c r="H728" i="3"/>
  <c r="AG727" i="3"/>
  <c r="AF727" i="3"/>
  <c r="AB727" i="3"/>
  <c r="AA727" i="3"/>
  <c r="Z727" i="3"/>
  <c r="Y727" i="3"/>
  <c r="X727" i="3"/>
  <c r="W727" i="3"/>
  <c r="V727" i="3"/>
  <c r="U727" i="3"/>
  <c r="I727" i="3"/>
  <c r="H727" i="3"/>
  <c r="AG726" i="3"/>
  <c r="AF726" i="3"/>
  <c r="AB726" i="3"/>
  <c r="AA726" i="3"/>
  <c r="Z726" i="3"/>
  <c r="Y726" i="3"/>
  <c r="X726" i="3"/>
  <c r="W726" i="3"/>
  <c r="V726" i="3"/>
  <c r="U726" i="3"/>
  <c r="I726" i="3"/>
  <c r="H726" i="3"/>
  <c r="AG725" i="3"/>
  <c r="AF725" i="3"/>
  <c r="AB725" i="3"/>
  <c r="AA725" i="3"/>
  <c r="Z725" i="3"/>
  <c r="Y725" i="3"/>
  <c r="X725" i="3"/>
  <c r="W725" i="3"/>
  <c r="V725" i="3"/>
  <c r="U725" i="3"/>
  <c r="I725" i="3"/>
  <c r="H725" i="3"/>
  <c r="AG724" i="3"/>
  <c r="AF724" i="3"/>
  <c r="AB724" i="3"/>
  <c r="AA724" i="3"/>
  <c r="Z724" i="3"/>
  <c r="Y724" i="3"/>
  <c r="X724" i="3"/>
  <c r="W724" i="3"/>
  <c r="V724" i="3"/>
  <c r="U724" i="3"/>
  <c r="I724" i="3"/>
  <c r="H724" i="3"/>
  <c r="AG723" i="3"/>
  <c r="AF723" i="3"/>
  <c r="AB723" i="3"/>
  <c r="AA723" i="3"/>
  <c r="Z723" i="3"/>
  <c r="Y723" i="3"/>
  <c r="X723" i="3"/>
  <c r="W723" i="3"/>
  <c r="V723" i="3"/>
  <c r="U723" i="3"/>
  <c r="I723" i="3"/>
  <c r="H723" i="3"/>
  <c r="AG722" i="3"/>
  <c r="AF722" i="3"/>
  <c r="AB722" i="3"/>
  <c r="AA722" i="3"/>
  <c r="Z722" i="3"/>
  <c r="Y722" i="3"/>
  <c r="X722" i="3"/>
  <c r="W722" i="3"/>
  <c r="V722" i="3"/>
  <c r="U722" i="3"/>
  <c r="I722" i="3"/>
  <c r="H722" i="3"/>
  <c r="AG721" i="3"/>
  <c r="AF721" i="3"/>
  <c r="AB721" i="3"/>
  <c r="AA721" i="3"/>
  <c r="Z721" i="3"/>
  <c r="Y721" i="3"/>
  <c r="X721" i="3"/>
  <c r="W721" i="3"/>
  <c r="V721" i="3"/>
  <c r="U721" i="3"/>
  <c r="I721" i="3"/>
  <c r="H721" i="3"/>
  <c r="AG720" i="3"/>
  <c r="AF720" i="3"/>
  <c r="AB720" i="3"/>
  <c r="AA720" i="3"/>
  <c r="Z720" i="3"/>
  <c r="Y720" i="3"/>
  <c r="X720" i="3"/>
  <c r="W720" i="3"/>
  <c r="V720" i="3"/>
  <c r="U720" i="3"/>
  <c r="I720" i="3"/>
  <c r="H720" i="3"/>
  <c r="AG719" i="3"/>
  <c r="AF719" i="3"/>
  <c r="AB719" i="3"/>
  <c r="AA719" i="3"/>
  <c r="Z719" i="3"/>
  <c r="Y719" i="3"/>
  <c r="X719" i="3"/>
  <c r="W719" i="3"/>
  <c r="V719" i="3"/>
  <c r="U719" i="3"/>
  <c r="I719" i="3"/>
  <c r="H719" i="3"/>
  <c r="AG718" i="3"/>
  <c r="AF718" i="3"/>
  <c r="AB718" i="3"/>
  <c r="AA718" i="3"/>
  <c r="Z718" i="3"/>
  <c r="Y718" i="3"/>
  <c r="X718" i="3"/>
  <c r="W718" i="3"/>
  <c r="V718" i="3"/>
  <c r="U718" i="3"/>
  <c r="I718" i="3"/>
  <c r="H718" i="3"/>
  <c r="AG717" i="3"/>
  <c r="AF717" i="3"/>
  <c r="AB717" i="3"/>
  <c r="AA717" i="3"/>
  <c r="Z717" i="3"/>
  <c r="Y717" i="3"/>
  <c r="X717" i="3"/>
  <c r="W717" i="3"/>
  <c r="V717" i="3"/>
  <c r="U717" i="3"/>
  <c r="I717" i="3"/>
  <c r="H717" i="3"/>
  <c r="AG716" i="3"/>
  <c r="AF716" i="3"/>
  <c r="AB716" i="3"/>
  <c r="AA716" i="3"/>
  <c r="Z716" i="3"/>
  <c r="Y716" i="3"/>
  <c r="X716" i="3"/>
  <c r="W716" i="3"/>
  <c r="V716" i="3"/>
  <c r="U716" i="3"/>
  <c r="I716" i="3"/>
  <c r="H716" i="3"/>
  <c r="AG715" i="3"/>
  <c r="AF715" i="3"/>
  <c r="AB715" i="3"/>
  <c r="AA715" i="3"/>
  <c r="Z715" i="3"/>
  <c r="Y715" i="3"/>
  <c r="X715" i="3"/>
  <c r="W715" i="3"/>
  <c r="V715" i="3"/>
  <c r="U715" i="3"/>
  <c r="I715" i="3"/>
  <c r="H715" i="3"/>
  <c r="AG714" i="3"/>
  <c r="AF714" i="3"/>
  <c r="AB714" i="3"/>
  <c r="AA714" i="3"/>
  <c r="Z714" i="3"/>
  <c r="Y714" i="3"/>
  <c r="X714" i="3"/>
  <c r="W714" i="3"/>
  <c r="V714" i="3"/>
  <c r="U714" i="3"/>
  <c r="I714" i="3"/>
  <c r="H714" i="3"/>
  <c r="AG713" i="3"/>
  <c r="AF713" i="3"/>
  <c r="AB713" i="3"/>
  <c r="AA713" i="3"/>
  <c r="Z713" i="3"/>
  <c r="Y713" i="3"/>
  <c r="X713" i="3"/>
  <c r="W713" i="3"/>
  <c r="V713" i="3"/>
  <c r="U713" i="3"/>
  <c r="I713" i="3"/>
  <c r="H713" i="3"/>
  <c r="AG712" i="3"/>
  <c r="AF712" i="3"/>
  <c r="AB712" i="3"/>
  <c r="AA712" i="3"/>
  <c r="Z712" i="3"/>
  <c r="Y712" i="3"/>
  <c r="X712" i="3"/>
  <c r="W712" i="3"/>
  <c r="V712" i="3"/>
  <c r="U712" i="3"/>
  <c r="I712" i="3"/>
  <c r="H712" i="3"/>
  <c r="AG711" i="3"/>
  <c r="AF711" i="3"/>
  <c r="AB711" i="3"/>
  <c r="AA711" i="3"/>
  <c r="Z711" i="3"/>
  <c r="Y711" i="3"/>
  <c r="X711" i="3"/>
  <c r="W711" i="3"/>
  <c r="V711" i="3"/>
  <c r="U711" i="3"/>
  <c r="I711" i="3"/>
  <c r="H711" i="3"/>
  <c r="AG710" i="3"/>
  <c r="AF710" i="3"/>
  <c r="AB710" i="3"/>
  <c r="AA710" i="3"/>
  <c r="Z710" i="3"/>
  <c r="Y710" i="3"/>
  <c r="X710" i="3"/>
  <c r="W710" i="3"/>
  <c r="V710" i="3"/>
  <c r="U710" i="3"/>
  <c r="I710" i="3"/>
  <c r="H710" i="3"/>
  <c r="AG709" i="3"/>
  <c r="AF709" i="3"/>
  <c r="AB709" i="3"/>
  <c r="AA709" i="3"/>
  <c r="Z709" i="3"/>
  <c r="Y709" i="3"/>
  <c r="X709" i="3"/>
  <c r="W709" i="3"/>
  <c r="V709" i="3"/>
  <c r="U709" i="3"/>
  <c r="I709" i="3"/>
  <c r="H709" i="3"/>
  <c r="AG708" i="3"/>
  <c r="AF708" i="3"/>
  <c r="AB708" i="3"/>
  <c r="AA708" i="3"/>
  <c r="Z708" i="3"/>
  <c r="Y708" i="3"/>
  <c r="X708" i="3"/>
  <c r="W708" i="3"/>
  <c r="V708" i="3"/>
  <c r="U708" i="3"/>
  <c r="I708" i="3"/>
  <c r="H708" i="3"/>
  <c r="AG707" i="3"/>
  <c r="AF707" i="3"/>
  <c r="AB707" i="3"/>
  <c r="AA707" i="3"/>
  <c r="Z707" i="3"/>
  <c r="Y707" i="3"/>
  <c r="X707" i="3"/>
  <c r="W707" i="3"/>
  <c r="V707" i="3"/>
  <c r="U707" i="3"/>
  <c r="I707" i="3"/>
  <c r="H707" i="3"/>
  <c r="AG706" i="3"/>
  <c r="AF706" i="3"/>
  <c r="AB706" i="3"/>
  <c r="AA706" i="3"/>
  <c r="Z706" i="3"/>
  <c r="Y706" i="3"/>
  <c r="X706" i="3"/>
  <c r="W706" i="3"/>
  <c r="V706" i="3"/>
  <c r="U706" i="3"/>
  <c r="I706" i="3"/>
  <c r="H706" i="3"/>
  <c r="AG705" i="3"/>
  <c r="AF705" i="3"/>
  <c r="AB705" i="3"/>
  <c r="AA705" i="3"/>
  <c r="Z705" i="3"/>
  <c r="Y705" i="3"/>
  <c r="X705" i="3"/>
  <c r="W705" i="3"/>
  <c r="V705" i="3"/>
  <c r="U705" i="3"/>
  <c r="I705" i="3"/>
  <c r="H705" i="3"/>
  <c r="AG704" i="3"/>
  <c r="AF704" i="3"/>
  <c r="AB704" i="3"/>
  <c r="AA704" i="3"/>
  <c r="Z704" i="3"/>
  <c r="Y704" i="3"/>
  <c r="X704" i="3"/>
  <c r="W704" i="3"/>
  <c r="V704" i="3"/>
  <c r="U704" i="3"/>
  <c r="I704" i="3"/>
  <c r="H704" i="3"/>
  <c r="AG703" i="3"/>
  <c r="AF703" i="3"/>
  <c r="AB703" i="3"/>
  <c r="AA703" i="3"/>
  <c r="Z703" i="3"/>
  <c r="Y703" i="3"/>
  <c r="X703" i="3"/>
  <c r="W703" i="3"/>
  <c r="V703" i="3"/>
  <c r="U703" i="3"/>
  <c r="I703" i="3"/>
  <c r="H703" i="3"/>
  <c r="AG702" i="3"/>
  <c r="AF702" i="3"/>
  <c r="AB702" i="3"/>
  <c r="AA702" i="3"/>
  <c r="Z702" i="3"/>
  <c r="Y702" i="3"/>
  <c r="X702" i="3"/>
  <c r="W702" i="3"/>
  <c r="V702" i="3"/>
  <c r="U702" i="3"/>
  <c r="I702" i="3"/>
  <c r="H702" i="3"/>
  <c r="AG701" i="3"/>
  <c r="AF701" i="3"/>
  <c r="AB701" i="3"/>
  <c r="AA701" i="3"/>
  <c r="Z701" i="3"/>
  <c r="Y701" i="3"/>
  <c r="X701" i="3"/>
  <c r="W701" i="3"/>
  <c r="V701" i="3"/>
  <c r="U701" i="3"/>
  <c r="I701" i="3"/>
  <c r="H701" i="3"/>
  <c r="AG700" i="3"/>
  <c r="AF700" i="3"/>
  <c r="AB700" i="3"/>
  <c r="AA700" i="3"/>
  <c r="Z700" i="3"/>
  <c r="Y700" i="3"/>
  <c r="X700" i="3"/>
  <c r="W700" i="3"/>
  <c r="V700" i="3"/>
  <c r="U700" i="3"/>
  <c r="I700" i="3"/>
  <c r="H700" i="3"/>
  <c r="AG699" i="3"/>
  <c r="AF699" i="3"/>
  <c r="AB699" i="3"/>
  <c r="AA699" i="3"/>
  <c r="Z699" i="3"/>
  <c r="Y699" i="3"/>
  <c r="X699" i="3"/>
  <c r="W699" i="3"/>
  <c r="V699" i="3"/>
  <c r="U699" i="3"/>
  <c r="I699" i="3"/>
  <c r="H699" i="3"/>
  <c r="AG698" i="3"/>
  <c r="AF698" i="3"/>
  <c r="AB698" i="3"/>
  <c r="AA698" i="3"/>
  <c r="Z698" i="3"/>
  <c r="Y698" i="3"/>
  <c r="X698" i="3"/>
  <c r="W698" i="3"/>
  <c r="V698" i="3"/>
  <c r="U698" i="3"/>
  <c r="I698" i="3"/>
  <c r="H698" i="3"/>
  <c r="AG697" i="3"/>
  <c r="AF697" i="3"/>
  <c r="AB697" i="3"/>
  <c r="AA697" i="3"/>
  <c r="Z697" i="3"/>
  <c r="Y697" i="3"/>
  <c r="X697" i="3"/>
  <c r="W697" i="3"/>
  <c r="V697" i="3"/>
  <c r="U697" i="3"/>
  <c r="I697" i="3"/>
  <c r="H697" i="3"/>
  <c r="AG696" i="3"/>
  <c r="AF696" i="3"/>
  <c r="AB696" i="3"/>
  <c r="AA696" i="3"/>
  <c r="Z696" i="3"/>
  <c r="Y696" i="3"/>
  <c r="X696" i="3"/>
  <c r="W696" i="3"/>
  <c r="V696" i="3"/>
  <c r="U696" i="3"/>
  <c r="I696" i="3"/>
  <c r="H696" i="3"/>
  <c r="AG695" i="3"/>
  <c r="AF695" i="3"/>
  <c r="AB695" i="3"/>
  <c r="AA695" i="3"/>
  <c r="Z695" i="3"/>
  <c r="Y695" i="3"/>
  <c r="X695" i="3"/>
  <c r="W695" i="3"/>
  <c r="V695" i="3"/>
  <c r="U695" i="3"/>
  <c r="I695" i="3"/>
  <c r="H695" i="3"/>
  <c r="AG694" i="3"/>
  <c r="AF694" i="3"/>
  <c r="AB694" i="3"/>
  <c r="AA694" i="3"/>
  <c r="Z694" i="3"/>
  <c r="Y694" i="3"/>
  <c r="X694" i="3"/>
  <c r="W694" i="3"/>
  <c r="V694" i="3"/>
  <c r="U694" i="3"/>
  <c r="I694" i="3"/>
  <c r="H694" i="3"/>
  <c r="AG693" i="3"/>
  <c r="AF693" i="3"/>
  <c r="AB693" i="3"/>
  <c r="AA693" i="3"/>
  <c r="Z693" i="3"/>
  <c r="Y693" i="3"/>
  <c r="X693" i="3"/>
  <c r="W693" i="3"/>
  <c r="V693" i="3"/>
  <c r="U693" i="3"/>
  <c r="I693" i="3"/>
  <c r="H693" i="3"/>
  <c r="AG692" i="3"/>
  <c r="AF692" i="3"/>
  <c r="AB692" i="3"/>
  <c r="AA692" i="3"/>
  <c r="Z692" i="3"/>
  <c r="Y692" i="3"/>
  <c r="X692" i="3"/>
  <c r="W692" i="3"/>
  <c r="V692" i="3"/>
  <c r="U692" i="3"/>
  <c r="I692" i="3"/>
  <c r="H692" i="3"/>
  <c r="AG691" i="3"/>
  <c r="AF691" i="3"/>
  <c r="AB691" i="3"/>
  <c r="AA691" i="3"/>
  <c r="Z691" i="3"/>
  <c r="Y691" i="3"/>
  <c r="X691" i="3"/>
  <c r="W691" i="3"/>
  <c r="V691" i="3"/>
  <c r="U691" i="3"/>
  <c r="I691" i="3"/>
  <c r="H691" i="3"/>
  <c r="AG690" i="3"/>
  <c r="AF690" i="3"/>
  <c r="AB690" i="3"/>
  <c r="AA690" i="3"/>
  <c r="Z690" i="3"/>
  <c r="Y690" i="3"/>
  <c r="X690" i="3"/>
  <c r="W690" i="3"/>
  <c r="V690" i="3"/>
  <c r="U690" i="3"/>
  <c r="I690" i="3"/>
  <c r="H690" i="3"/>
  <c r="AG689" i="3"/>
  <c r="AF689" i="3"/>
  <c r="AB689" i="3"/>
  <c r="AA689" i="3"/>
  <c r="Z689" i="3"/>
  <c r="Y689" i="3"/>
  <c r="X689" i="3"/>
  <c r="W689" i="3"/>
  <c r="V689" i="3"/>
  <c r="U689" i="3"/>
  <c r="I689" i="3"/>
  <c r="H689" i="3"/>
  <c r="AG688" i="3"/>
  <c r="AF688" i="3"/>
  <c r="AB688" i="3"/>
  <c r="AA688" i="3"/>
  <c r="Z688" i="3"/>
  <c r="Y688" i="3"/>
  <c r="X688" i="3"/>
  <c r="W688" i="3"/>
  <c r="V688" i="3"/>
  <c r="U688" i="3"/>
  <c r="I688" i="3"/>
  <c r="H688" i="3"/>
  <c r="AG687" i="3"/>
  <c r="AF687" i="3"/>
  <c r="AB687" i="3"/>
  <c r="AA687" i="3"/>
  <c r="Z687" i="3"/>
  <c r="Y687" i="3"/>
  <c r="X687" i="3"/>
  <c r="W687" i="3"/>
  <c r="V687" i="3"/>
  <c r="U687" i="3"/>
  <c r="I687" i="3"/>
  <c r="H687" i="3"/>
  <c r="AG686" i="3"/>
  <c r="AF686" i="3"/>
  <c r="AB686" i="3"/>
  <c r="AA686" i="3"/>
  <c r="Z686" i="3"/>
  <c r="Y686" i="3"/>
  <c r="X686" i="3"/>
  <c r="W686" i="3"/>
  <c r="V686" i="3"/>
  <c r="U686" i="3"/>
  <c r="I686" i="3"/>
  <c r="H686" i="3"/>
  <c r="AG685" i="3"/>
  <c r="AF685" i="3"/>
  <c r="AB685" i="3"/>
  <c r="AA685" i="3"/>
  <c r="Z685" i="3"/>
  <c r="Y685" i="3"/>
  <c r="X685" i="3"/>
  <c r="W685" i="3"/>
  <c r="V685" i="3"/>
  <c r="U685" i="3"/>
  <c r="I685" i="3"/>
  <c r="H685" i="3"/>
  <c r="AG684" i="3"/>
  <c r="AF684" i="3"/>
  <c r="AB684" i="3"/>
  <c r="AA684" i="3"/>
  <c r="Z684" i="3"/>
  <c r="Y684" i="3"/>
  <c r="X684" i="3"/>
  <c r="W684" i="3"/>
  <c r="V684" i="3"/>
  <c r="U684" i="3"/>
  <c r="I684" i="3"/>
  <c r="H684" i="3"/>
  <c r="AG683" i="3"/>
  <c r="AF683" i="3"/>
  <c r="AB683" i="3"/>
  <c r="AA683" i="3"/>
  <c r="Z683" i="3"/>
  <c r="Y683" i="3"/>
  <c r="X683" i="3"/>
  <c r="W683" i="3"/>
  <c r="V683" i="3"/>
  <c r="U683" i="3"/>
  <c r="I683" i="3"/>
  <c r="H683" i="3"/>
  <c r="AG682" i="3"/>
  <c r="AF682" i="3"/>
  <c r="AB682" i="3"/>
  <c r="AA682" i="3"/>
  <c r="Z682" i="3"/>
  <c r="Y682" i="3"/>
  <c r="X682" i="3"/>
  <c r="W682" i="3"/>
  <c r="V682" i="3"/>
  <c r="U682" i="3"/>
  <c r="I682" i="3"/>
  <c r="H682" i="3"/>
  <c r="AG681" i="3"/>
  <c r="AF681" i="3"/>
  <c r="AB681" i="3"/>
  <c r="AA681" i="3"/>
  <c r="Z681" i="3"/>
  <c r="Y681" i="3"/>
  <c r="X681" i="3"/>
  <c r="W681" i="3"/>
  <c r="V681" i="3"/>
  <c r="U681" i="3"/>
  <c r="I681" i="3"/>
  <c r="H681" i="3"/>
  <c r="AG680" i="3"/>
  <c r="AF680" i="3"/>
  <c r="AB680" i="3"/>
  <c r="AA680" i="3"/>
  <c r="Z680" i="3"/>
  <c r="Y680" i="3"/>
  <c r="X680" i="3"/>
  <c r="W680" i="3"/>
  <c r="V680" i="3"/>
  <c r="U680" i="3"/>
  <c r="I680" i="3"/>
  <c r="H680" i="3"/>
  <c r="AG679" i="3"/>
  <c r="AF679" i="3"/>
  <c r="AB679" i="3"/>
  <c r="AA679" i="3"/>
  <c r="Z679" i="3"/>
  <c r="Y679" i="3"/>
  <c r="X679" i="3"/>
  <c r="W679" i="3"/>
  <c r="V679" i="3"/>
  <c r="U679" i="3"/>
  <c r="I679" i="3"/>
  <c r="H679" i="3"/>
  <c r="AG678" i="3"/>
  <c r="AF678" i="3"/>
  <c r="AB678" i="3"/>
  <c r="AA678" i="3"/>
  <c r="Z678" i="3"/>
  <c r="Y678" i="3"/>
  <c r="X678" i="3"/>
  <c r="W678" i="3"/>
  <c r="V678" i="3"/>
  <c r="U678" i="3"/>
  <c r="I678" i="3"/>
  <c r="H678" i="3"/>
  <c r="AG677" i="3"/>
  <c r="AF677" i="3"/>
  <c r="AB677" i="3"/>
  <c r="AA677" i="3"/>
  <c r="Z677" i="3"/>
  <c r="Y677" i="3"/>
  <c r="X677" i="3"/>
  <c r="W677" i="3"/>
  <c r="V677" i="3"/>
  <c r="U677" i="3"/>
  <c r="I677" i="3"/>
  <c r="H677" i="3"/>
  <c r="AG676" i="3"/>
  <c r="AF676" i="3"/>
  <c r="AB676" i="3"/>
  <c r="AA676" i="3"/>
  <c r="Z676" i="3"/>
  <c r="Y676" i="3"/>
  <c r="X676" i="3"/>
  <c r="W676" i="3"/>
  <c r="V676" i="3"/>
  <c r="U676" i="3"/>
  <c r="I676" i="3"/>
  <c r="H676" i="3"/>
  <c r="AG675" i="3"/>
  <c r="AF675" i="3"/>
  <c r="AB675" i="3"/>
  <c r="AA675" i="3"/>
  <c r="Z675" i="3"/>
  <c r="Y675" i="3"/>
  <c r="X675" i="3"/>
  <c r="W675" i="3"/>
  <c r="V675" i="3"/>
  <c r="U675" i="3"/>
  <c r="I675" i="3"/>
  <c r="H675" i="3"/>
  <c r="AG674" i="3"/>
  <c r="AF674" i="3"/>
  <c r="AB674" i="3"/>
  <c r="AA674" i="3"/>
  <c r="Z674" i="3"/>
  <c r="Y674" i="3"/>
  <c r="X674" i="3"/>
  <c r="W674" i="3"/>
  <c r="V674" i="3"/>
  <c r="U674" i="3"/>
  <c r="I674" i="3"/>
  <c r="H674" i="3"/>
  <c r="AG673" i="3"/>
  <c r="AF673" i="3"/>
  <c r="AB673" i="3"/>
  <c r="AA673" i="3"/>
  <c r="Z673" i="3"/>
  <c r="Y673" i="3"/>
  <c r="X673" i="3"/>
  <c r="W673" i="3"/>
  <c r="V673" i="3"/>
  <c r="U673" i="3"/>
  <c r="I673" i="3"/>
  <c r="H673" i="3"/>
  <c r="AG672" i="3"/>
  <c r="AF672" i="3"/>
  <c r="AB672" i="3"/>
  <c r="AA672" i="3"/>
  <c r="Z672" i="3"/>
  <c r="Y672" i="3"/>
  <c r="X672" i="3"/>
  <c r="W672" i="3"/>
  <c r="V672" i="3"/>
  <c r="U672" i="3"/>
  <c r="I672" i="3"/>
  <c r="H672" i="3"/>
  <c r="AG671" i="3"/>
  <c r="AF671" i="3"/>
  <c r="AB671" i="3"/>
  <c r="AA671" i="3"/>
  <c r="Z671" i="3"/>
  <c r="Y671" i="3"/>
  <c r="X671" i="3"/>
  <c r="W671" i="3"/>
  <c r="V671" i="3"/>
  <c r="U671" i="3"/>
  <c r="I671" i="3"/>
  <c r="H671" i="3"/>
  <c r="AG670" i="3"/>
  <c r="AF670" i="3"/>
  <c r="AB670" i="3"/>
  <c r="AA670" i="3"/>
  <c r="Z670" i="3"/>
  <c r="Y670" i="3"/>
  <c r="X670" i="3"/>
  <c r="W670" i="3"/>
  <c r="V670" i="3"/>
  <c r="U670" i="3"/>
  <c r="I670" i="3"/>
  <c r="H670" i="3"/>
  <c r="AG669" i="3"/>
  <c r="AF669" i="3"/>
  <c r="AB669" i="3"/>
  <c r="AA669" i="3"/>
  <c r="Z669" i="3"/>
  <c r="Y669" i="3"/>
  <c r="X669" i="3"/>
  <c r="W669" i="3"/>
  <c r="V669" i="3"/>
  <c r="U669" i="3"/>
  <c r="I669" i="3"/>
  <c r="H669" i="3"/>
  <c r="AG668" i="3"/>
  <c r="AF668" i="3"/>
  <c r="AB668" i="3"/>
  <c r="AA668" i="3"/>
  <c r="Z668" i="3"/>
  <c r="Y668" i="3"/>
  <c r="X668" i="3"/>
  <c r="W668" i="3"/>
  <c r="V668" i="3"/>
  <c r="U668" i="3"/>
  <c r="I668" i="3"/>
  <c r="H668" i="3"/>
  <c r="AG667" i="3"/>
  <c r="AF667" i="3"/>
  <c r="AB667" i="3"/>
  <c r="AA667" i="3"/>
  <c r="Z667" i="3"/>
  <c r="Y667" i="3"/>
  <c r="X667" i="3"/>
  <c r="W667" i="3"/>
  <c r="V667" i="3"/>
  <c r="U667" i="3"/>
  <c r="I667" i="3"/>
  <c r="H667" i="3"/>
  <c r="AG666" i="3"/>
  <c r="AF666" i="3"/>
  <c r="AB666" i="3"/>
  <c r="AA666" i="3"/>
  <c r="Z666" i="3"/>
  <c r="Y666" i="3"/>
  <c r="X666" i="3"/>
  <c r="W666" i="3"/>
  <c r="V666" i="3"/>
  <c r="U666" i="3"/>
  <c r="I666" i="3"/>
  <c r="H666" i="3"/>
  <c r="AG665" i="3"/>
  <c r="AF665" i="3"/>
  <c r="AB665" i="3"/>
  <c r="AA665" i="3"/>
  <c r="Z665" i="3"/>
  <c r="Y665" i="3"/>
  <c r="X665" i="3"/>
  <c r="W665" i="3"/>
  <c r="V665" i="3"/>
  <c r="U665" i="3"/>
  <c r="I665" i="3"/>
  <c r="H665" i="3"/>
  <c r="AG664" i="3"/>
  <c r="AF664" i="3"/>
  <c r="AB664" i="3"/>
  <c r="AA664" i="3"/>
  <c r="Z664" i="3"/>
  <c r="Y664" i="3"/>
  <c r="X664" i="3"/>
  <c r="W664" i="3"/>
  <c r="V664" i="3"/>
  <c r="U664" i="3"/>
  <c r="I664" i="3"/>
  <c r="H664" i="3"/>
  <c r="AG663" i="3"/>
  <c r="AF663" i="3"/>
  <c r="AB663" i="3"/>
  <c r="AA663" i="3"/>
  <c r="Z663" i="3"/>
  <c r="Y663" i="3"/>
  <c r="X663" i="3"/>
  <c r="W663" i="3"/>
  <c r="V663" i="3"/>
  <c r="U663" i="3"/>
  <c r="I663" i="3"/>
  <c r="H663" i="3"/>
  <c r="AG662" i="3"/>
  <c r="AF662" i="3"/>
  <c r="AB662" i="3"/>
  <c r="AA662" i="3"/>
  <c r="Z662" i="3"/>
  <c r="Y662" i="3"/>
  <c r="X662" i="3"/>
  <c r="W662" i="3"/>
  <c r="V662" i="3"/>
  <c r="U662" i="3"/>
  <c r="I662" i="3"/>
  <c r="H662" i="3"/>
  <c r="AG661" i="3"/>
  <c r="AF661" i="3"/>
  <c r="AB661" i="3"/>
  <c r="AA661" i="3"/>
  <c r="Z661" i="3"/>
  <c r="Y661" i="3"/>
  <c r="X661" i="3"/>
  <c r="W661" i="3"/>
  <c r="V661" i="3"/>
  <c r="U661" i="3"/>
  <c r="I661" i="3"/>
  <c r="H661" i="3"/>
  <c r="AG660" i="3"/>
  <c r="AF660" i="3"/>
  <c r="AB660" i="3"/>
  <c r="AA660" i="3"/>
  <c r="Z660" i="3"/>
  <c r="Y660" i="3"/>
  <c r="X660" i="3"/>
  <c r="W660" i="3"/>
  <c r="V660" i="3"/>
  <c r="U660" i="3"/>
  <c r="I660" i="3"/>
  <c r="H660" i="3"/>
  <c r="AG659" i="3"/>
  <c r="AF659" i="3"/>
  <c r="AB659" i="3"/>
  <c r="AA659" i="3"/>
  <c r="Z659" i="3"/>
  <c r="Y659" i="3"/>
  <c r="X659" i="3"/>
  <c r="W659" i="3"/>
  <c r="V659" i="3"/>
  <c r="U659" i="3"/>
  <c r="I659" i="3"/>
  <c r="H659" i="3"/>
  <c r="AG658" i="3"/>
  <c r="AF658" i="3"/>
  <c r="AB658" i="3"/>
  <c r="AA658" i="3"/>
  <c r="Z658" i="3"/>
  <c r="Y658" i="3"/>
  <c r="X658" i="3"/>
  <c r="W658" i="3"/>
  <c r="V658" i="3"/>
  <c r="U658" i="3"/>
  <c r="I658" i="3"/>
  <c r="H658" i="3"/>
  <c r="AG657" i="3"/>
  <c r="AF657" i="3"/>
  <c r="AB657" i="3"/>
  <c r="AA657" i="3"/>
  <c r="Z657" i="3"/>
  <c r="Y657" i="3"/>
  <c r="X657" i="3"/>
  <c r="W657" i="3"/>
  <c r="V657" i="3"/>
  <c r="U657" i="3"/>
  <c r="I657" i="3"/>
  <c r="H657" i="3"/>
  <c r="AG656" i="3"/>
  <c r="AF656" i="3"/>
  <c r="AB656" i="3"/>
  <c r="AA656" i="3"/>
  <c r="Z656" i="3"/>
  <c r="Y656" i="3"/>
  <c r="X656" i="3"/>
  <c r="W656" i="3"/>
  <c r="V656" i="3"/>
  <c r="U656" i="3"/>
  <c r="I656" i="3"/>
  <c r="H656" i="3"/>
  <c r="AG655" i="3"/>
  <c r="AF655" i="3"/>
  <c r="AB655" i="3"/>
  <c r="AA655" i="3"/>
  <c r="Z655" i="3"/>
  <c r="Y655" i="3"/>
  <c r="X655" i="3"/>
  <c r="W655" i="3"/>
  <c r="V655" i="3"/>
  <c r="U655" i="3"/>
  <c r="I655" i="3"/>
  <c r="H655" i="3"/>
  <c r="AG654" i="3"/>
  <c r="AF654" i="3"/>
  <c r="AB654" i="3"/>
  <c r="AA654" i="3"/>
  <c r="Z654" i="3"/>
  <c r="Y654" i="3"/>
  <c r="X654" i="3"/>
  <c r="W654" i="3"/>
  <c r="V654" i="3"/>
  <c r="U654" i="3"/>
  <c r="I654" i="3"/>
  <c r="H654" i="3"/>
  <c r="AG653" i="3"/>
  <c r="AF653" i="3"/>
  <c r="AB653" i="3"/>
  <c r="AA653" i="3"/>
  <c r="Z653" i="3"/>
  <c r="Y653" i="3"/>
  <c r="X653" i="3"/>
  <c r="W653" i="3"/>
  <c r="V653" i="3"/>
  <c r="U653" i="3"/>
  <c r="I653" i="3"/>
  <c r="H653" i="3"/>
  <c r="AG652" i="3"/>
  <c r="AF652" i="3"/>
  <c r="AB652" i="3"/>
  <c r="AA652" i="3"/>
  <c r="Z652" i="3"/>
  <c r="Y652" i="3"/>
  <c r="X652" i="3"/>
  <c r="W652" i="3"/>
  <c r="V652" i="3"/>
  <c r="U652" i="3"/>
  <c r="I652" i="3"/>
  <c r="H652" i="3"/>
  <c r="AG651" i="3"/>
  <c r="AF651" i="3"/>
  <c r="AB651" i="3"/>
  <c r="AA651" i="3"/>
  <c r="Z651" i="3"/>
  <c r="Y651" i="3"/>
  <c r="X651" i="3"/>
  <c r="W651" i="3"/>
  <c r="V651" i="3"/>
  <c r="U651" i="3"/>
  <c r="I651" i="3"/>
  <c r="H651" i="3"/>
  <c r="AG650" i="3"/>
  <c r="AF650" i="3"/>
  <c r="AB650" i="3"/>
  <c r="AA650" i="3"/>
  <c r="Z650" i="3"/>
  <c r="Y650" i="3"/>
  <c r="X650" i="3"/>
  <c r="W650" i="3"/>
  <c r="V650" i="3"/>
  <c r="U650" i="3"/>
  <c r="I650" i="3"/>
  <c r="H650" i="3"/>
  <c r="AG649" i="3"/>
  <c r="AF649" i="3"/>
  <c r="AB649" i="3"/>
  <c r="AA649" i="3"/>
  <c r="Z649" i="3"/>
  <c r="Y649" i="3"/>
  <c r="X649" i="3"/>
  <c r="W649" i="3"/>
  <c r="V649" i="3"/>
  <c r="U649" i="3"/>
  <c r="I649" i="3"/>
  <c r="H649" i="3"/>
  <c r="AG648" i="3"/>
  <c r="AF648" i="3"/>
  <c r="AB648" i="3"/>
  <c r="AA648" i="3"/>
  <c r="Z648" i="3"/>
  <c r="Y648" i="3"/>
  <c r="X648" i="3"/>
  <c r="W648" i="3"/>
  <c r="V648" i="3"/>
  <c r="U648" i="3"/>
  <c r="I648" i="3"/>
  <c r="H648" i="3"/>
  <c r="AG647" i="3"/>
  <c r="AF647" i="3"/>
  <c r="AB647" i="3"/>
  <c r="AA647" i="3"/>
  <c r="Z647" i="3"/>
  <c r="Y647" i="3"/>
  <c r="X647" i="3"/>
  <c r="W647" i="3"/>
  <c r="V647" i="3"/>
  <c r="U647" i="3"/>
  <c r="I647" i="3"/>
  <c r="H647" i="3"/>
  <c r="AG646" i="3"/>
  <c r="AF646" i="3"/>
  <c r="AB646" i="3"/>
  <c r="AA646" i="3"/>
  <c r="Z646" i="3"/>
  <c r="Y646" i="3"/>
  <c r="X646" i="3"/>
  <c r="W646" i="3"/>
  <c r="V646" i="3"/>
  <c r="U646" i="3"/>
  <c r="I646" i="3"/>
  <c r="H646" i="3"/>
  <c r="AG645" i="3"/>
  <c r="AF645" i="3"/>
  <c r="AB645" i="3"/>
  <c r="AA645" i="3"/>
  <c r="Z645" i="3"/>
  <c r="Y645" i="3"/>
  <c r="X645" i="3"/>
  <c r="W645" i="3"/>
  <c r="V645" i="3"/>
  <c r="U645" i="3"/>
  <c r="I645" i="3"/>
  <c r="H645" i="3"/>
  <c r="AG644" i="3"/>
  <c r="AF644" i="3"/>
  <c r="AB644" i="3"/>
  <c r="AA644" i="3"/>
  <c r="Z644" i="3"/>
  <c r="Y644" i="3"/>
  <c r="X644" i="3"/>
  <c r="W644" i="3"/>
  <c r="V644" i="3"/>
  <c r="U644" i="3"/>
  <c r="I644" i="3"/>
  <c r="H644" i="3"/>
  <c r="AG643" i="3"/>
  <c r="AF643" i="3"/>
  <c r="AB643" i="3"/>
  <c r="AA643" i="3"/>
  <c r="Z643" i="3"/>
  <c r="Y643" i="3"/>
  <c r="X643" i="3"/>
  <c r="W643" i="3"/>
  <c r="V643" i="3"/>
  <c r="U643" i="3"/>
  <c r="I643" i="3"/>
  <c r="H643" i="3"/>
  <c r="AG642" i="3"/>
  <c r="AF642" i="3"/>
  <c r="AB642" i="3"/>
  <c r="AA642" i="3"/>
  <c r="Z642" i="3"/>
  <c r="Y642" i="3"/>
  <c r="X642" i="3"/>
  <c r="W642" i="3"/>
  <c r="V642" i="3"/>
  <c r="U642" i="3"/>
  <c r="I642" i="3"/>
  <c r="H642" i="3"/>
  <c r="AG641" i="3"/>
  <c r="AF641" i="3"/>
  <c r="AB641" i="3"/>
  <c r="AA641" i="3"/>
  <c r="Z641" i="3"/>
  <c r="Y641" i="3"/>
  <c r="X641" i="3"/>
  <c r="W641" i="3"/>
  <c r="V641" i="3"/>
  <c r="U641" i="3"/>
  <c r="I641" i="3"/>
  <c r="H641" i="3"/>
  <c r="AG640" i="3"/>
  <c r="AF640" i="3"/>
  <c r="AB640" i="3"/>
  <c r="AA640" i="3"/>
  <c r="Z640" i="3"/>
  <c r="Y640" i="3"/>
  <c r="X640" i="3"/>
  <c r="W640" i="3"/>
  <c r="V640" i="3"/>
  <c r="U640" i="3"/>
  <c r="I640" i="3"/>
  <c r="H640" i="3"/>
  <c r="AG639" i="3"/>
  <c r="AF639" i="3"/>
  <c r="AB639" i="3"/>
  <c r="AA639" i="3"/>
  <c r="Z639" i="3"/>
  <c r="Y639" i="3"/>
  <c r="X639" i="3"/>
  <c r="W639" i="3"/>
  <c r="V639" i="3"/>
  <c r="U639" i="3"/>
  <c r="I639" i="3"/>
  <c r="H639" i="3"/>
  <c r="AG638" i="3"/>
  <c r="AF638" i="3"/>
  <c r="AB638" i="3"/>
  <c r="AA638" i="3"/>
  <c r="Z638" i="3"/>
  <c r="Y638" i="3"/>
  <c r="X638" i="3"/>
  <c r="W638" i="3"/>
  <c r="V638" i="3"/>
  <c r="U638" i="3"/>
  <c r="I638" i="3"/>
  <c r="H638" i="3"/>
  <c r="AG637" i="3"/>
  <c r="AF637" i="3"/>
  <c r="AB637" i="3"/>
  <c r="AA637" i="3"/>
  <c r="Z637" i="3"/>
  <c r="Y637" i="3"/>
  <c r="X637" i="3"/>
  <c r="W637" i="3"/>
  <c r="V637" i="3"/>
  <c r="U637" i="3"/>
  <c r="I637" i="3"/>
  <c r="H637" i="3"/>
  <c r="AG636" i="3"/>
  <c r="AF636" i="3"/>
  <c r="AB636" i="3"/>
  <c r="AA636" i="3"/>
  <c r="Z636" i="3"/>
  <c r="Y636" i="3"/>
  <c r="X636" i="3"/>
  <c r="W636" i="3"/>
  <c r="V636" i="3"/>
  <c r="U636" i="3"/>
  <c r="I636" i="3"/>
  <c r="H636" i="3"/>
  <c r="AG635" i="3"/>
  <c r="AF635" i="3"/>
  <c r="AB635" i="3"/>
  <c r="AA635" i="3"/>
  <c r="Z635" i="3"/>
  <c r="Y635" i="3"/>
  <c r="X635" i="3"/>
  <c r="W635" i="3"/>
  <c r="V635" i="3"/>
  <c r="U635" i="3"/>
  <c r="I635" i="3"/>
  <c r="H635" i="3"/>
  <c r="AG634" i="3"/>
  <c r="AF634" i="3"/>
  <c r="AB634" i="3"/>
  <c r="AA634" i="3"/>
  <c r="Z634" i="3"/>
  <c r="Y634" i="3"/>
  <c r="X634" i="3"/>
  <c r="W634" i="3"/>
  <c r="V634" i="3"/>
  <c r="U634" i="3"/>
  <c r="I634" i="3"/>
  <c r="H634" i="3"/>
  <c r="AG633" i="3"/>
  <c r="AF633" i="3"/>
  <c r="AB633" i="3"/>
  <c r="AA633" i="3"/>
  <c r="Z633" i="3"/>
  <c r="Y633" i="3"/>
  <c r="X633" i="3"/>
  <c r="W633" i="3"/>
  <c r="V633" i="3"/>
  <c r="U633" i="3"/>
  <c r="I633" i="3"/>
  <c r="H633" i="3"/>
  <c r="AG632" i="3"/>
  <c r="AF632" i="3"/>
  <c r="AB632" i="3"/>
  <c r="AA632" i="3"/>
  <c r="Z632" i="3"/>
  <c r="Y632" i="3"/>
  <c r="X632" i="3"/>
  <c r="W632" i="3"/>
  <c r="V632" i="3"/>
  <c r="U632" i="3"/>
  <c r="I632" i="3"/>
  <c r="H632" i="3"/>
  <c r="AG631" i="3"/>
  <c r="AF631" i="3"/>
  <c r="AB631" i="3"/>
  <c r="AA631" i="3"/>
  <c r="Z631" i="3"/>
  <c r="Y631" i="3"/>
  <c r="X631" i="3"/>
  <c r="W631" i="3"/>
  <c r="V631" i="3"/>
  <c r="U631" i="3"/>
  <c r="I631" i="3"/>
  <c r="H631" i="3"/>
  <c r="AG630" i="3"/>
  <c r="AF630" i="3"/>
  <c r="AB630" i="3"/>
  <c r="AA630" i="3"/>
  <c r="Z630" i="3"/>
  <c r="Y630" i="3"/>
  <c r="X630" i="3"/>
  <c r="W630" i="3"/>
  <c r="V630" i="3"/>
  <c r="U630" i="3"/>
  <c r="I630" i="3"/>
  <c r="H630" i="3"/>
  <c r="AG629" i="3"/>
  <c r="AF629" i="3"/>
  <c r="AB629" i="3"/>
  <c r="AA629" i="3"/>
  <c r="Z629" i="3"/>
  <c r="Y629" i="3"/>
  <c r="X629" i="3"/>
  <c r="W629" i="3"/>
  <c r="V629" i="3"/>
  <c r="U629" i="3"/>
  <c r="I629" i="3"/>
  <c r="H629" i="3"/>
  <c r="AG628" i="3"/>
  <c r="AF628" i="3"/>
  <c r="AB628" i="3"/>
  <c r="AA628" i="3"/>
  <c r="Z628" i="3"/>
  <c r="Y628" i="3"/>
  <c r="X628" i="3"/>
  <c r="W628" i="3"/>
  <c r="V628" i="3"/>
  <c r="U628" i="3"/>
  <c r="I628" i="3"/>
  <c r="H628" i="3"/>
  <c r="AG627" i="3"/>
  <c r="AF627" i="3"/>
  <c r="AB627" i="3"/>
  <c r="AA627" i="3"/>
  <c r="Z627" i="3"/>
  <c r="Y627" i="3"/>
  <c r="X627" i="3"/>
  <c r="W627" i="3"/>
  <c r="V627" i="3"/>
  <c r="U627" i="3"/>
  <c r="I627" i="3"/>
  <c r="H627" i="3"/>
  <c r="AG626" i="3"/>
  <c r="AF626" i="3"/>
  <c r="AB626" i="3"/>
  <c r="AA626" i="3"/>
  <c r="Z626" i="3"/>
  <c r="Y626" i="3"/>
  <c r="X626" i="3"/>
  <c r="W626" i="3"/>
  <c r="V626" i="3"/>
  <c r="U626" i="3"/>
  <c r="I626" i="3"/>
  <c r="H626" i="3"/>
  <c r="AG625" i="3"/>
  <c r="AF625" i="3"/>
  <c r="AB625" i="3"/>
  <c r="AA625" i="3"/>
  <c r="Z625" i="3"/>
  <c r="Y625" i="3"/>
  <c r="X625" i="3"/>
  <c r="W625" i="3"/>
  <c r="V625" i="3"/>
  <c r="U625" i="3"/>
  <c r="I625" i="3"/>
  <c r="H625" i="3"/>
  <c r="AG624" i="3"/>
  <c r="AF624" i="3"/>
  <c r="AB624" i="3"/>
  <c r="AA624" i="3"/>
  <c r="Z624" i="3"/>
  <c r="Y624" i="3"/>
  <c r="X624" i="3"/>
  <c r="W624" i="3"/>
  <c r="V624" i="3"/>
  <c r="U624" i="3"/>
  <c r="I624" i="3"/>
  <c r="H624" i="3"/>
  <c r="AG623" i="3"/>
  <c r="AF623" i="3"/>
  <c r="AB623" i="3"/>
  <c r="AA623" i="3"/>
  <c r="Z623" i="3"/>
  <c r="Y623" i="3"/>
  <c r="X623" i="3"/>
  <c r="W623" i="3"/>
  <c r="V623" i="3"/>
  <c r="U623" i="3"/>
  <c r="I623" i="3"/>
  <c r="H623" i="3"/>
  <c r="AG622" i="3"/>
  <c r="AF622" i="3"/>
  <c r="AB622" i="3"/>
  <c r="AA622" i="3"/>
  <c r="Z622" i="3"/>
  <c r="Y622" i="3"/>
  <c r="X622" i="3"/>
  <c r="W622" i="3"/>
  <c r="V622" i="3"/>
  <c r="U622" i="3"/>
  <c r="I622" i="3"/>
  <c r="H622" i="3"/>
  <c r="AG621" i="3"/>
  <c r="AF621" i="3"/>
  <c r="AB621" i="3"/>
  <c r="AA621" i="3"/>
  <c r="Z621" i="3"/>
  <c r="Y621" i="3"/>
  <c r="X621" i="3"/>
  <c r="W621" i="3"/>
  <c r="V621" i="3"/>
  <c r="U621" i="3"/>
  <c r="I621" i="3"/>
  <c r="H621" i="3"/>
  <c r="AG620" i="3"/>
  <c r="AF620" i="3"/>
  <c r="AB620" i="3"/>
  <c r="AA620" i="3"/>
  <c r="Z620" i="3"/>
  <c r="Y620" i="3"/>
  <c r="X620" i="3"/>
  <c r="W620" i="3"/>
  <c r="V620" i="3"/>
  <c r="U620" i="3"/>
  <c r="I620" i="3"/>
  <c r="H620" i="3"/>
  <c r="AG619" i="3"/>
  <c r="AF619" i="3"/>
  <c r="AB619" i="3"/>
  <c r="AA619" i="3"/>
  <c r="Z619" i="3"/>
  <c r="Y619" i="3"/>
  <c r="X619" i="3"/>
  <c r="W619" i="3"/>
  <c r="V619" i="3"/>
  <c r="U619" i="3"/>
  <c r="I619" i="3"/>
  <c r="H619" i="3"/>
  <c r="AG618" i="3"/>
  <c r="AF618" i="3"/>
  <c r="AB618" i="3"/>
  <c r="AA618" i="3"/>
  <c r="Z618" i="3"/>
  <c r="Y618" i="3"/>
  <c r="X618" i="3"/>
  <c r="W618" i="3"/>
  <c r="V618" i="3"/>
  <c r="U618" i="3"/>
  <c r="I618" i="3"/>
  <c r="H618" i="3"/>
  <c r="AG617" i="3"/>
  <c r="AF617" i="3"/>
  <c r="AB617" i="3"/>
  <c r="AA617" i="3"/>
  <c r="Z617" i="3"/>
  <c r="Y617" i="3"/>
  <c r="X617" i="3"/>
  <c r="W617" i="3"/>
  <c r="V617" i="3"/>
  <c r="U617" i="3"/>
  <c r="I617" i="3"/>
  <c r="H617" i="3"/>
  <c r="AG616" i="3"/>
  <c r="AF616" i="3"/>
  <c r="AB616" i="3"/>
  <c r="AA616" i="3"/>
  <c r="Z616" i="3"/>
  <c r="Y616" i="3"/>
  <c r="X616" i="3"/>
  <c r="W616" i="3"/>
  <c r="V616" i="3"/>
  <c r="U616" i="3"/>
  <c r="I616" i="3"/>
  <c r="H616" i="3"/>
  <c r="AG615" i="3"/>
  <c r="AF615" i="3"/>
  <c r="AB615" i="3"/>
  <c r="AA615" i="3"/>
  <c r="Z615" i="3"/>
  <c r="Y615" i="3"/>
  <c r="X615" i="3"/>
  <c r="W615" i="3"/>
  <c r="V615" i="3"/>
  <c r="U615" i="3"/>
  <c r="I615" i="3"/>
  <c r="H615" i="3"/>
  <c r="AG614" i="3"/>
  <c r="AF614" i="3"/>
  <c r="AB614" i="3"/>
  <c r="AA614" i="3"/>
  <c r="Z614" i="3"/>
  <c r="Y614" i="3"/>
  <c r="X614" i="3"/>
  <c r="W614" i="3"/>
  <c r="V614" i="3"/>
  <c r="U614" i="3"/>
  <c r="I614" i="3"/>
  <c r="H614" i="3"/>
  <c r="AG613" i="3"/>
  <c r="AF613" i="3"/>
  <c r="AB613" i="3"/>
  <c r="AA613" i="3"/>
  <c r="Z613" i="3"/>
  <c r="Y613" i="3"/>
  <c r="X613" i="3"/>
  <c r="W613" i="3"/>
  <c r="V613" i="3"/>
  <c r="U613" i="3"/>
  <c r="I613" i="3"/>
  <c r="H613" i="3"/>
  <c r="AG612" i="3"/>
  <c r="AF612" i="3"/>
  <c r="AB612" i="3"/>
  <c r="AA612" i="3"/>
  <c r="Z612" i="3"/>
  <c r="Y612" i="3"/>
  <c r="X612" i="3"/>
  <c r="W612" i="3"/>
  <c r="V612" i="3"/>
  <c r="U612" i="3"/>
  <c r="I612" i="3"/>
  <c r="H612" i="3"/>
  <c r="AG611" i="3"/>
  <c r="AF611" i="3"/>
  <c r="AB611" i="3"/>
  <c r="AA611" i="3"/>
  <c r="Z611" i="3"/>
  <c r="Y611" i="3"/>
  <c r="X611" i="3"/>
  <c r="W611" i="3"/>
  <c r="V611" i="3"/>
  <c r="U611" i="3"/>
  <c r="I611" i="3"/>
  <c r="H611" i="3"/>
  <c r="AG610" i="3"/>
  <c r="AF610" i="3"/>
  <c r="AB610" i="3"/>
  <c r="AA610" i="3"/>
  <c r="Z610" i="3"/>
  <c r="Y610" i="3"/>
  <c r="X610" i="3"/>
  <c r="W610" i="3"/>
  <c r="V610" i="3"/>
  <c r="U610" i="3"/>
  <c r="I610" i="3"/>
  <c r="H610" i="3"/>
  <c r="AG609" i="3"/>
  <c r="AF609" i="3"/>
  <c r="AB609" i="3"/>
  <c r="AA609" i="3"/>
  <c r="Z609" i="3"/>
  <c r="Y609" i="3"/>
  <c r="X609" i="3"/>
  <c r="W609" i="3"/>
  <c r="V609" i="3"/>
  <c r="U609" i="3"/>
  <c r="I609" i="3"/>
  <c r="H609" i="3"/>
  <c r="AG608" i="3"/>
  <c r="AF608" i="3"/>
  <c r="AB608" i="3"/>
  <c r="AA608" i="3"/>
  <c r="Z608" i="3"/>
  <c r="Y608" i="3"/>
  <c r="X608" i="3"/>
  <c r="W608" i="3"/>
  <c r="V608" i="3"/>
  <c r="U608" i="3"/>
  <c r="I608" i="3"/>
  <c r="H608" i="3"/>
  <c r="AG607" i="3"/>
  <c r="AF607" i="3"/>
  <c r="AB607" i="3"/>
  <c r="AA607" i="3"/>
  <c r="Z607" i="3"/>
  <c r="Y607" i="3"/>
  <c r="X607" i="3"/>
  <c r="W607" i="3"/>
  <c r="V607" i="3"/>
  <c r="U607" i="3"/>
  <c r="I607" i="3"/>
  <c r="H607" i="3"/>
  <c r="AG606" i="3"/>
  <c r="AF606" i="3"/>
  <c r="AB606" i="3"/>
  <c r="AA606" i="3"/>
  <c r="Z606" i="3"/>
  <c r="Y606" i="3"/>
  <c r="X606" i="3"/>
  <c r="W606" i="3"/>
  <c r="V606" i="3"/>
  <c r="U606" i="3"/>
  <c r="I606" i="3"/>
  <c r="H606" i="3"/>
  <c r="AG605" i="3"/>
  <c r="AF605" i="3"/>
  <c r="AB605" i="3"/>
  <c r="AA605" i="3"/>
  <c r="Z605" i="3"/>
  <c r="Y605" i="3"/>
  <c r="X605" i="3"/>
  <c r="W605" i="3"/>
  <c r="V605" i="3"/>
  <c r="U605" i="3"/>
  <c r="I605" i="3"/>
  <c r="H605" i="3"/>
  <c r="AG604" i="3"/>
  <c r="AF604" i="3"/>
  <c r="AB604" i="3"/>
  <c r="AA604" i="3"/>
  <c r="Z604" i="3"/>
  <c r="Y604" i="3"/>
  <c r="X604" i="3"/>
  <c r="W604" i="3"/>
  <c r="V604" i="3"/>
  <c r="U604" i="3"/>
  <c r="I604" i="3"/>
  <c r="H604" i="3"/>
  <c r="AG603" i="3"/>
  <c r="AF603" i="3"/>
  <c r="AB603" i="3"/>
  <c r="AA603" i="3"/>
  <c r="Z603" i="3"/>
  <c r="Y603" i="3"/>
  <c r="X603" i="3"/>
  <c r="W603" i="3"/>
  <c r="V603" i="3"/>
  <c r="U603" i="3"/>
  <c r="I603" i="3"/>
  <c r="H603" i="3"/>
  <c r="AG602" i="3"/>
  <c r="AF602" i="3"/>
  <c r="AB602" i="3"/>
  <c r="AA602" i="3"/>
  <c r="Z602" i="3"/>
  <c r="Y602" i="3"/>
  <c r="X602" i="3"/>
  <c r="W602" i="3"/>
  <c r="V602" i="3"/>
  <c r="U602" i="3"/>
  <c r="I602" i="3"/>
  <c r="H602" i="3"/>
  <c r="AG601" i="3"/>
  <c r="AF601" i="3"/>
  <c r="AB601" i="3"/>
  <c r="AA601" i="3"/>
  <c r="Z601" i="3"/>
  <c r="Y601" i="3"/>
  <c r="X601" i="3"/>
  <c r="W601" i="3"/>
  <c r="V601" i="3"/>
  <c r="U601" i="3"/>
  <c r="I601" i="3"/>
  <c r="H601" i="3"/>
  <c r="AG600" i="3"/>
  <c r="AF600" i="3"/>
  <c r="AB600" i="3"/>
  <c r="AA600" i="3"/>
  <c r="Z600" i="3"/>
  <c r="Y600" i="3"/>
  <c r="X600" i="3"/>
  <c r="W600" i="3"/>
  <c r="V600" i="3"/>
  <c r="U600" i="3"/>
  <c r="I600" i="3"/>
  <c r="H600" i="3"/>
  <c r="AG599" i="3"/>
  <c r="AF599" i="3"/>
  <c r="AB599" i="3"/>
  <c r="AA599" i="3"/>
  <c r="Z599" i="3"/>
  <c r="Y599" i="3"/>
  <c r="X599" i="3"/>
  <c r="W599" i="3"/>
  <c r="V599" i="3"/>
  <c r="U599" i="3"/>
  <c r="I599" i="3"/>
  <c r="H599" i="3"/>
  <c r="AG598" i="3"/>
  <c r="AF598" i="3"/>
  <c r="AB598" i="3"/>
  <c r="AA598" i="3"/>
  <c r="Z598" i="3"/>
  <c r="Y598" i="3"/>
  <c r="X598" i="3"/>
  <c r="W598" i="3"/>
  <c r="V598" i="3"/>
  <c r="U598" i="3"/>
  <c r="I598" i="3"/>
  <c r="H598" i="3"/>
  <c r="AG597" i="3"/>
  <c r="AF597" i="3"/>
  <c r="AB597" i="3"/>
  <c r="AA597" i="3"/>
  <c r="Z597" i="3"/>
  <c r="Y597" i="3"/>
  <c r="X597" i="3"/>
  <c r="W597" i="3"/>
  <c r="V597" i="3"/>
  <c r="U597" i="3"/>
  <c r="I597" i="3"/>
  <c r="H597" i="3"/>
  <c r="AG596" i="3"/>
  <c r="AF596" i="3"/>
  <c r="AB596" i="3"/>
  <c r="AA596" i="3"/>
  <c r="Z596" i="3"/>
  <c r="Y596" i="3"/>
  <c r="X596" i="3"/>
  <c r="W596" i="3"/>
  <c r="V596" i="3"/>
  <c r="U596" i="3"/>
  <c r="I596" i="3"/>
  <c r="H596" i="3"/>
  <c r="AG595" i="3"/>
  <c r="AF595" i="3"/>
  <c r="AB595" i="3"/>
  <c r="AA595" i="3"/>
  <c r="Z595" i="3"/>
  <c r="Y595" i="3"/>
  <c r="X595" i="3"/>
  <c r="W595" i="3"/>
  <c r="V595" i="3"/>
  <c r="U595" i="3"/>
  <c r="I595" i="3"/>
  <c r="H595" i="3"/>
  <c r="AG594" i="3"/>
  <c r="AF594" i="3"/>
  <c r="AB594" i="3"/>
  <c r="AA594" i="3"/>
  <c r="Z594" i="3"/>
  <c r="Y594" i="3"/>
  <c r="X594" i="3"/>
  <c r="W594" i="3"/>
  <c r="V594" i="3"/>
  <c r="U594" i="3"/>
  <c r="I594" i="3"/>
  <c r="H594" i="3"/>
  <c r="AG593" i="3"/>
  <c r="AF593" i="3"/>
  <c r="AB593" i="3"/>
  <c r="AA593" i="3"/>
  <c r="Z593" i="3"/>
  <c r="Y593" i="3"/>
  <c r="X593" i="3"/>
  <c r="W593" i="3"/>
  <c r="V593" i="3"/>
  <c r="U593" i="3"/>
  <c r="I593" i="3"/>
  <c r="H593" i="3"/>
  <c r="AG592" i="3"/>
  <c r="AF592" i="3"/>
  <c r="AB592" i="3"/>
  <c r="AA592" i="3"/>
  <c r="Z592" i="3"/>
  <c r="Y592" i="3"/>
  <c r="X592" i="3"/>
  <c r="W592" i="3"/>
  <c r="V592" i="3"/>
  <c r="U592" i="3"/>
  <c r="I592" i="3"/>
  <c r="H592" i="3"/>
  <c r="AG591" i="3"/>
  <c r="AF591" i="3"/>
  <c r="AB591" i="3"/>
  <c r="AA591" i="3"/>
  <c r="Z591" i="3"/>
  <c r="Y591" i="3"/>
  <c r="X591" i="3"/>
  <c r="W591" i="3"/>
  <c r="V591" i="3"/>
  <c r="U591" i="3"/>
  <c r="I591" i="3"/>
  <c r="H591" i="3"/>
  <c r="AG590" i="3"/>
  <c r="AF590" i="3"/>
  <c r="AB590" i="3"/>
  <c r="AA590" i="3"/>
  <c r="Z590" i="3"/>
  <c r="Y590" i="3"/>
  <c r="X590" i="3"/>
  <c r="W590" i="3"/>
  <c r="V590" i="3"/>
  <c r="U590" i="3"/>
  <c r="I590" i="3"/>
  <c r="H590" i="3"/>
  <c r="AG589" i="3"/>
  <c r="AF589" i="3"/>
  <c r="AB589" i="3"/>
  <c r="AA589" i="3"/>
  <c r="Z589" i="3"/>
  <c r="Y589" i="3"/>
  <c r="X589" i="3"/>
  <c r="W589" i="3"/>
  <c r="V589" i="3"/>
  <c r="U589" i="3"/>
  <c r="I589" i="3"/>
  <c r="H589" i="3"/>
  <c r="AG588" i="3"/>
  <c r="AF588" i="3"/>
  <c r="AB588" i="3"/>
  <c r="AA588" i="3"/>
  <c r="Z588" i="3"/>
  <c r="Y588" i="3"/>
  <c r="X588" i="3"/>
  <c r="W588" i="3"/>
  <c r="V588" i="3"/>
  <c r="U588" i="3"/>
  <c r="I588" i="3"/>
  <c r="H588" i="3"/>
  <c r="AG587" i="3"/>
  <c r="AF587" i="3"/>
  <c r="AB587" i="3"/>
  <c r="AA587" i="3"/>
  <c r="Z587" i="3"/>
  <c r="Y587" i="3"/>
  <c r="X587" i="3"/>
  <c r="W587" i="3"/>
  <c r="V587" i="3"/>
  <c r="U587" i="3"/>
  <c r="I587" i="3"/>
  <c r="H587" i="3"/>
  <c r="AG586" i="3"/>
  <c r="AF586" i="3"/>
  <c r="AB586" i="3"/>
  <c r="AA586" i="3"/>
  <c r="Z586" i="3"/>
  <c r="Y586" i="3"/>
  <c r="X586" i="3"/>
  <c r="W586" i="3"/>
  <c r="V586" i="3"/>
  <c r="U586" i="3"/>
  <c r="I586" i="3"/>
  <c r="H586" i="3"/>
  <c r="AG585" i="3"/>
  <c r="AF585" i="3"/>
  <c r="AB585" i="3"/>
  <c r="AA585" i="3"/>
  <c r="Z585" i="3"/>
  <c r="Y585" i="3"/>
  <c r="X585" i="3"/>
  <c r="W585" i="3"/>
  <c r="V585" i="3"/>
  <c r="U585" i="3"/>
  <c r="I585" i="3"/>
  <c r="H585" i="3"/>
  <c r="AG584" i="3"/>
  <c r="AF584" i="3"/>
  <c r="AB584" i="3"/>
  <c r="AA584" i="3"/>
  <c r="Z584" i="3"/>
  <c r="Y584" i="3"/>
  <c r="X584" i="3"/>
  <c r="W584" i="3"/>
  <c r="V584" i="3"/>
  <c r="U584" i="3"/>
  <c r="I584" i="3"/>
  <c r="H584" i="3"/>
  <c r="AG583" i="3"/>
  <c r="AF583" i="3"/>
  <c r="AB583" i="3"/>
  <c r="AA583" i="3"/>
  <c r="Z583" i="3"/>
  <c r="Y583" i="3"/>
  <c r="X583" i="3"/>
  <c r="W583" i="3"/>
  <c r="V583" i="3"/>
  <c r="U583" i="3"/>
  <c r="I583" i="3"/>
  <c r="H583" i="3"/>
  <c r="AG582" i="3"/>
  <c r="AF582" i="3"/>
  <c r="AB582" i="3"/>
  <c r="AA582" i="3"/>
  <c r="Z582" i="3"/>
  <c r="Y582" i="3"/>
  <c r="X582" i="3"/>
  <c r="W582" i="3"/>
  <c r="V582" i="3"/>
  <c r="U582" i="3"/>
  <c r="I582" i="3"/>
  <c r="H582" i="3"/>
  <c r="AG581" i="3"/>
  <c r="AF581" i="3"/>
  <c r="AB581" i="3"/>
  <c r="AA581" i="3"/>
  <c r="Z581" i="3"/>
  <c r="Y581" i="3"/>
  <c r="X581" i="3"/>
  <c r="W581" i="3"/>
  <c r="V581" i="3"/>
  <c r="U581" i="3"/>
  <c r="I581" i="3"/>
  <c r="H581" i="3"/>
  <c r="AG580" i="3"/>
  <c r="AF580" i="3"/>
  <c r="AB580" i="3"/>
  <c r="AA580" i="3"/>
  <c r="Z580" i="3"/>
  <c r="Y580" i="3"/>
  <c r="X580" i="3"/>
  <c r="W580" i="3"/>
  <c r="V580" i="3"/>
  <c r="U580" i="3"/>
  <c r="I580" i="3"/>
  <c r="H580" i="3"/>
  <c r="AG579" i="3"/>
  <c r="AF579" i="3"/>
  <c r="AB579" i="3"/>
  <c r="AA579" i="3"/>
  <c r="Z579" i="3"/>
  <c r="Y579" i="3"/>
  <c r="X579" i="3"/>
  <c r="W579" i="3"/>
  <c r="V579" i="3"/>
  <c r="U579" i="3"/>
  <c r="I579" i="3"/>
  <c r="H579" i="3"/>
  <c r="AG578" i="3"/>
  <c r="AF578" i="3"/>
  <c r="AB578" i="3"/>
  <c r="AA578" i="3"/>
  <c r="Z578" i="3"/>
  <c r="Y578" i="3"/>
  <c r="X578" i="3"/>
  <c r="W578" i="3"/>
  <c r="V578" i="3"/>
  <c r="U578" i="3"/>
  <c r="I578" i="3"/>
  <c r="H578" i="3"/>
  <c r="AG577" i="3"/>
  <c r="AF577" i="3"/>
  <c r="AB577" i="3"/>
  <c r="AA577" i="3"/>
  <c r="Z577" i="3"/>
  <c r="Y577" i="3"/>
  <c r="X577" i="3"/>
  <c r="W577" i="3"/>
  <c r="V577" i="3"/>
  <c r="U577" i="3"/>
  <c r="I577" i="3"/>
  <c r="H577" i="3"/>
  <c r="AG576" i="3"/>
  <c r="AF576" i="3"/>
  <c r="AB576" i="3"/>
  <c r="AA576" i="3"/>
  <c r="Z576" i="3"/>
  <c r="Y576" i="3"/>
  <c r="X576" i="3"/>
  <c r="W576" i="3"/>
  <c r="V576" i="3"/>
  <c r="U576" i="3"/>
  <c r="I576" i="3"/>
  <c r="H576" i="3"/>
  <c r="AG575" i="3"/>
  <c r="AF575" i="3"/>
  <c r="AB575" i="3"/>
  <c r="AA575" i="3"/>
  <c r="Z575" i="3"/>
  <c r="Y575" i="3"/>
  <c r="X575" i="3"/>
  <c r="W575" i="3"/>
  <c r="V575" i="3"/>
  <c r="U575" i="3"/>
  <c r="I575" i="3"/>
  <c r="H575" i="3"/>
  <c r="AG574" i="3"/>
  <c r="AF574" i="3"/>
  <c r="AB574" i="3"/>
  <c r="AA574" i="3"/>
  <c r="Z574" i="3"/>
  <c r="Y574" i="3"/>
  <c r="X574" i="3"/>
  <c r="W574" i="3"/>
  <c r="V574" i="3"/>
  <c r="U574" i="3"/>
  <c r="I574" i="3"/>
  <c r="H574" i="3"/>
  <c r="AG573" i="3"/>
  <c r="AF573" i="3"/>
  <c r="AB573" i="3"/>
  <c r="AA573" i="3"/>
  <c r="Z573" i="3"/>
  <c r="Y573" i="3"/>
  <c r="X573" i="3"/>
  <c r="W573" i="3"/>
  <c r="V573" i="3"/>
  <c r="U573" i="3"/>
  <c r="I573" i="3"/>
  <c r="H573" i="3"/>
  <c r="AG572" i="3"/>
  <c r="AF572" i="3"/>
  <c r="AB572" i="3"/>
  <c r="AA572" i="3"/>
  <c r="Z572" i="3"/>
  <c r="Y572" i="3"/>
  <c r="X572" i="3"/>
  <c r="W572" i="3"/>
  <c r="V572" i="3"/>
  <c r="U572" i="3"/>
  <c r="I572" i="3"/>
  <c r="H572" i="3"/>
  <c r="AG571" i="3"/>
  <c r="AF571" i="3"/>
  <c r="AB571" i="3"/>
  <c r="AA571" i="3"/>
  <c r="Z571" i="3"/>
  <c r="Y571" i="3"/>
  <c r="X571" i="3"/>
  <c r="W571" i="3"/>
  <c r="V571" i="3"/>
  <c r="U571" i="3"/>
  <c r="I571" i="3"/>
  <c r="H571" i="3"/>
  <c r="AG570" i="3"/>
  <c r="AF570" i="3"/>
  <c r="AB570" i="3"/>
  <c r="AA570" i="3"/>
  <c r="Z570" i="3"/>
  <c r="Y570" i="3"/>
  <c r="X570" i="3"/>
  <c r="W570" i="3"/>
  <c r="V570" i="3"/>
  <c r="U570" i="3"/>
  <c r="I570" i="3"/>
  <c r="H570" i="3"/>
  <c r="AG569" i="3"/>
  <c r="AF569" i="3"/>
  <c r="AB569" i="3"/>
  <c r="AA569" i="3"/>
  <c r="Z569" i="3"/>
  <c r="Y569" i="3"/>
  <c r="X569" i="3"/>
  <c r="W569" i="3"/>
  <c r="V569" i="3"/>
  <c r="U569" i="3"/>
  <c r="I569" i="3"/>
  <c r="H569" i="3"/>
  <c r="AG568" i="3"/>
  <c r="AF568" i="3"/>
  <c r="AB568" i="3"/>
  <c r="AA568" i="3"/>
  <c r="Z568" i="3"/>
  <c r="Y568" i="3"/>
  <c r="X568" i="3"/>
  <c r="W568" i="3"/>
  <c r="V568" i="3"/>
  <c r="U568" i="3"/>
  <c r="I568" i="3"/>
  <c r="H568" i="3"/>
  <c r="AG567" i="3"/>
  <c r="AF567" i="3"/>
  <c r="AB567" i="3"/>
  <c r="AA567" i="3"/>
  <c r="Z567" i="3"/>
  <c r="Y567" i="3"/>
  <c r="X567" i="3"/>
  <c r="W567" i="3"/>
  <c r="V567" i="3"/>
  <c r="U567" i="3"/>
  <c r="I567" i="3"/>
  <c r="H567" i="3"/>
  <c r="AG566" i="3"/>
  <c r="AF566" i="3"/>
  <c r="AB566" i="3"/>
  <c r="AA566" i="3"/>
  <c r="Z566" i="3"/>
  <c r="Y566" i="3"/>
  <c r="X566" i="3"/>
  <c r="W566" i="3"/>
  <c r="V566" i="3"/>
  <c r="U566" i="3"/>
  <c r="I566" i="3"/>
  <c r="H566" i="3"/>
  <c r="AG565" i="3"/>
  <c r="AF565" i="3"/>
  <c r="AB565" i="3"/>
  <c r="AA565" i="3"/>
  <c r="Z565" i="3"/>
  <c r="Y565" i="3"/>
  <c r="X565" i="3"/>
  <c r="W565" i="3"/>
  <c r="V565" i="3"/>
  <c r="U565" i="3"/>
  <c r="I565" i="3"/>
  <c r="H565" i="3"/>
  <c r="AG564" i="3"/>
  <c r="AF564" i="3"/>
  <c r="AB564" i="3"/>
  <c r="AA564" i="3"/>
  <c r="Z564" i="3"/>
  <c r="Y564" i="3"/>
  <c r="X564" i="3"/>
  <c r="W564" i="3"/>
  <c r="V564" i="3"/>
  <c r="U564" i="3"/>
  <c r="I564" i="3"/>
  <c r="H564" i="3"/>
  <c r="AG563" i="3"/>
  <c r="AF563" i="3"/>
  <c r="AB563" i="3"/>
  <c r="AA563" i="3"/>
  <c r="Z563" i="3"/>
  <c r="Y563" i="3"/>
  <c r="X563" i="3"/>
  <c r="W563" i="3"/>
  <c r="V563" i="3"/>
  <c r="U563" i="3"/>
  <c r="I563" i="3"/>
  <c r="H563" i="3"/>
  <c r="AG562" i="3"/>
  <c r="AF562" i="3"/>
  <c r="AB562" i="3"/>
  <c r="AA562" i="3"/>
  <c r="Z562" i="3"/>
  <c r="Y562" i="3"/>
  <c r="X562" i="3"/>
  <c r="W562" i="3"/>
  <c r="V562" i="3"/>
  <c r="U562" i="3"/>
  <c r="I562" i="3"/>
  <c r="H562" i="3"/>
  <c r="AG561" i="3"/>
  <c r="AF561" i="3"/>
  <c r="AB561" i="3"/>
  <c r="AA561" i="3"/>
  <c r="Z561" i="3"/>
  <c r="Y561" i="3"/>
  <c r="X561" i="3"/>
  <c r="W561" i="3"/>
  <c r="V561" i="3"/>
  <c r="U561" i="3"/>
  <c r="I561" i="3"/>
  <c r="H561" i="3"/>
  <c r="AG560" i="3"/>
  <c r="AF560" i="3"/>
  <c r="AB560" i="3"/>
  <c r="AA560" i="3"/>
  <c r="Z560" i="3"/>
  <c r="Y560" i="3"/>
  <c r="X560" i="3"/>
  <c r="W560" i="3"/>
  <c r="V560" i="3"/>
  <c r="U560" i="3"/>
  <c r="I560" i="3"/>
  <c r="H560" i="3"/>
  <c r="AG559" i="3"/>
  <c r="AF559" i="3"/>
  <c r="AB559" i="3"/>
  <c r="AA559" i="3"/>
  <c r="Z559" i="3"/>
  <c r="Y559" i="3"/>
  <c r="X559" i="3"/>
  <c r="W559" i="3"/>
  <c r="V559" i="3"/>
  <c r="U559" i="3"/>
  <c r="I559" i="3"/>
  <c r="H559" i="3"/>
  <c r="AG558" i="3"/>
  <c r="AF558" i="3"/>
  <c r="AB558" i="3"/>
  <c r="AA558" i="3"/>
  <c r="Z558" i="3"/>
  <c r="Y558" i="3"/>
  <c r="X558" i="3"/>
  <c r="W558" i="3"/>
  <c r="V558" i="3"/>
  <c r="U558" i="3"/>
  <c r="I558" i="3"/>
  <c r="H558" i="3"/>
  <c r="AG557" i="3"/>
  <c r="AF557" i="3"/>
  <c r="AB557" i="3"/>
  <c r="AA557" i="3"/>
  <c r="Z557" i="3"/>
  <c r="Y557" i="3"/>
  <c r="X557" i="3"/>
  <c r="W557" i="3"/>
  <c r="V557" i="3"/>
  <c r="U557" i="3"/>
  <c r="I557" i="3"/>
  <c r="H557" i="3"/>
  <c r="AG556" i="3"/>
  <c r="AF556" i="3"/>
  <c r="AB556" i="3"/>
  <c r="AA556" i="3"/>
  <c r="Z556" i="3"/>
  <c r="Y556" i="3"/>
  <c r="X556" i="3"/>
  <c r="W556" i="3"/>
  <c r="V556" i="3"/>
  <c r="U556" i="3"/>
  <c r="I556" i="3"/>
  <c r="H556" i="3"/>
  <c r="AG555" i="3"/>
  <c r="AF555" i="3"/>
  <c r="AB555" i="3"/>
  <c r="AA555" i="3"/>
  <c r="Z555" i="3"/>
  <c r="Y555" i="3"/>
  <c r="X555" i="3"/>
  <c r="W555" i="3"/>
  <c r="V555" i="3"/>
  <c r="U555" i="3"/>
  <c r="I555" i="3"/>
  <c r="H555" i="3"/>
  <c r="AG554" i="3"/>
  <c r="AF554" i="3"/>
  <c r="AB554" i="3"/>
  <c r="AA554" i="3"/>
  <c r="Z554" i="3"/>
  <c r="Y554" i="3"/>
  <c r="X554" i="3"/>
  <c r="W554" i="3"/>
  <c r="V554" i="3"/>
  <c r="U554" i="3"/>
  <c r="I554" i="3"/>
  <c r="H554" i="3"/>
  <c r="AG553" i="3"/>
  <c r="AF553" i="3"/>
  <c r="AB553" i="3"/>
  <c r="AA553" i="3"/>
  <c r="Z553" i="3"/>
  <c r="Y553" i="3"/>
  <c r="X553" i="3"/>
  <c r="W553" i="3"/>
  <c r="V553" i="3"/>
  <c r="U553" i="3"/>
  <c r="I553" i="3"/>
  <c r="H553" i="3"/>
  <c r="AG552" i="3"/>
  <c r="AF552" i="3"/>
  <c r="AB552" i="3"/>
  <c r="AA552" i="3"/>
  <c r="Z552" i="3"/>
  <c r="Y552" i="3"/>
  <c r="X552" i="3"/>
  <c r="W552" i="3"/>
  <c r="V552" i="3"/>
  <c r="U552" i="3"/>
  <c r="I552" i="3"/>
  <c r="H552" i="3"/>
  <c r="AG551" i="3"/>
  <c r="AF551" i="3"/>
  <c r="AB551" i="3"/>
  <c r="AA551" i="3"/>
  <c r="Z551" i="3"/>
  <c r="Y551" i="3"/>
  <c r="X551" i="3"/>
  <c r="W551" i="3"/>
  <c r="V551" i="3"/>
  <c r="U551" i="3"/>
  <c r="I551" i="3"/>
  <c r="H551" i="3"/>
  <c r="AG550" i="3"/>
  <c r="AF550" i="3"/>
  <c r="AB550" i="3"/>
  <c r="AA550" i="3"/>
  <c r="Z550" i="3"/>
  <c r="Y550" i="3"/>
  <c r="X550" i="3"/>
  <c r="W550" i="3"/>
  <c r="V550" i="3"/>
  <c r="U550" i="3"/>
  <c r="I550" i="3"/>
  <c r="H550" i="3"/>
  <c r="AG549" i="3"/>
  <c r="AF549" i="3"/>
  <c r="AB549" i="3"/>
  <c r="AA549" i="3"/>
  <c r="Z549" i="3"/>
  <c r="Y549" i="3"/>
  <c r="X549" i="3"/>
  <c r="W549" i="3"/>
  <c r="V549" i="3"/>
  <c r="U549" i="3"/>
  <c r="I549" i="3"/>
  <c r="H549" i="3"/>
  <c r="AG548" i="3"/>
  <c r="AF548" i="3"/>
  <c r="AB548" i="3"/>
  <c r="AA548" i="3"/>
  <c r="Z548" i="3"/>
  <c r="Y548" i="3"/>
  <c r="X548" i="3"/>
  <c r="W548" i="3"/>
  <c r="V548" i="3"/>
  <c r="U548" i="3"/>
  <c r="I548" i="3"/>
  <c r="H548" i="3"/>
  <c r="AG547" i="3"/>
  <c r="AF547" i="3"/>
  <c r="AB547" i="3"/>
  <c r="AA547" i="3"/>
  <c r="Z547" i="3"/>
  <c r="Y547" i="3"/>
  <c r="X547" i="3"/>
  <c r="W547" i="3"/>
  <c r="V547" i="3"/>
  <c r="U547" i="3"/>
  <c r="I547" i="3"/>
  <c r="H547" i="3"/>
  <c r="AG546" i="3"/>
  <c r="AF546" i="3"/>
  <c r="AB546" i="3"/>
  <c r="AA546" i="3"/>
  <c r="Z546" i="3"/>
  <c r="Y546" i="3"/>
  <c r="X546" i="3"/>
  <c r="W546" i="3"/>
  <c r="V546" i="3"/>
  <c r="U546" i="3"/>
  <c r="I546" i="3"/>
  <c r="H546" i="3"/>
  <c r="AG545" i="3"/>
  <c r="AF545" i="3"/>
  <c r="AB545" i="3"/>
  <c r="AA545" i="3"/>
  <c r="Z545" i="3"/>
  <c r="Y545" i="3"/>
  <c r="X545" i="3"/>
  <c r="W545" i="3"/>
  <c r="V545" i="3"/>
  <c r="U545" i="3"/>
  <c r="I545" i="3"/>
  <c r="H545" i="3"/>
  <c r="AG544" i="3"/>
  <c r="AF544" i="3"/>
  <c r="AB544" i="3"/>
  <c r="AA544" i="3"/>
  <c r="Z544" i="3"/>
  <c r="Y544" i="3"/>
  <c r="X544" i="3"/>
  <c r="W544" i="3"/>
  <c r="V544" i="3"/>
  <c r="U544" i="3"/>
  <c r="I544" i="3"/>
  <c r="H544" i="3"/>
  <c r="AG543" i="3"/>
  <c r="AF543" i="3"/>
  <c r="AB543" i="3"/>
  <c r="AA543" i="3"/>
  <c r="Z543" i="3"/>
  <c r="Y543" i="3"/>
  <c r="X543" i="3"/>
  <c r="W543" i="3"/>
  <c r="V543" i="3"/>
  <c r="U543" i="3"/>
  <c r="I543" i="3"/>
  <c r="H543" i="3"/>
  <c r="AG542" i="3"/>
  <c r="AF542" i="3"/>
  <c r="AB542" i="3"/>
  <c r="AA542" i="3"/>
  <c r="Z542" i="3"/>
  <c r="Y542" i="3"/>
  <c r="X542" i="3"/>
  <c r="W542" i="3"/>
  <c r="V542" i="3"/>
  <c r="U542" i="3"/>
  <c r="I542" i="3"/>
  <c r="H542" i="3"/>
  <c r="AG541" i="3"/>
  <c r="AF541" i="3"/>
  <c r="AB541" i="3"/>
  <c r="AA541" i="3"/>
  <c r="Z541" i="3"/>
  <c r="Y541" i="3"/>
  <c r="X541" i="3"/>
  <c r="W541" i="3"/>
  <c r="V541" i="3"/>
  <c r="U541" i="3"/>
  <c r="I541" i="3"/>
  <c r="H541" i="3"/>
  <c r="AG540" i="3"/>
  <c r="AF540" i="3"/>
  <c r="AB540" i="3"/>
  <c r="AA540" i="3"/>
  <c r="Z540" i="3"/>
  <c r="Y540" i="3"/>
  <c r="X540" i="3"/>
  <c r="W540" i="3"/>
  <c r="V540" i="3"/>
  <c r="U540" i="3"/>
  <c r="I540" i="3"/>
  <c r="H540" i="3"/>
  <c r="AG539" i="3"/>
  <c r="AF539" i="3"/>
  <c r="AB539" i="3"/>
  <c r="AA539" i="3"/>
  <c r="Z539" i="3"/>
  <c r="Y539" i="3"/>
  <c r="X539" i="3"/>
  <c r="W539" i="3"/>
  <c r="V539" i="3"/>
  <c r="U539" i="3"/>
  <c r="I539" i="3"/>
  <c r="H539" i="3"/>
  <c r="AG538" i="3"/>
  <c r="AF538" i="3"/>
  <c r="AB538" i="3"/>
  <c r="AA538" i="3"/>
  <c r="Z538" i="3"/>
  <c r="Y538" i="3"/>
  <c r="X538" i="3"/>
  <c r="W538" i="3"/>
  <c r="V538" i="3"/>
  <c r="U538" i="3"/>
  <c r="I538" i="3"/>
  <c r="H538" i="3"/>
  <c r="AG537" i="3"/>
  <c r="AF537" i="3"/>
  <c r="AB537" i="3"/>
  <c r="AA537" i="3"/>
  <c r="Z537" i="3"/>
  <c r="Y537" i="3"/>
  <c r="X537" i="3"/>
  <c r="W537" i="3"/>
  <c r="V537" i="3"/>
  <c r="U537" i="3"/>
  <c r="I537" i="3"/>
  <c r="H537" i="3"/>
  <c r="AG536" i="3"/>
  <c r="AF536" i="3"/>
  <c r="AB536" i="3"/>
  <c r="AA536" i="3"/>
  <c r="Z536" i="3"/>
  <c r="Y536" i="3"/>
  <c r="X536" i="3"/>
  <c r="W536" i="3"/>
  <c r="V536" i="3"/>
  <c r="U536" i="3"/>
  <c r="I536" i="3"/>
  <c r="H536" i="3"/>
  <c r="AG535" i="3"/>
  <c r="AF535" i="3"/>
  <c r="AB535" i="3"/>
  <c r="AA535" i="3"/>
  <c r="Z535" i="3"/>
  <c r="Y535" i="3"/>
  <c r="X535" i="3"/>
  <c r="W535" i="3"/>
  <c r="V535" i="3"/>
  <c r="U535" i="3"/>
  <c r="I535" i="3"/>
  <c r="H535" i="3"/>
  <c r="AG534" i="3"/>
  <c r="AF534" i="3"/>
  <c r="AB534" i="3"/>
  <c r="AA534" i="3"/>
  <c r="Z534" i="3"/>
  <c r="Y534" i="3"/>
  <c r="X534" i="3"/>
  <c r="W534" i="3"/>
  <c r="V534" i="3"/>
  <c r="U534" i="3"/>
  <c r="I534" i="3"/>
  <c r="H534" i="3"/>
  <c r="AG533" i="3"/>
  <c r="AF533" i="3"/>
  <c r="AB533" i="3"/>
  <c r="AA533" i="3"/>
  <c r="Z533" i="3"/>
  <c r="Y533" i="3"/>
  <c r="X533" i="3"/>
  <c r="W533" i="3"/>
  <c r="V533" i="3"/>
  <c r="U533" i="3"/>
  <c r="I533" i="3"/>
  <c r="H533" i="3"/>
  <c r="AG532" i="3"/>
  <c r="AF532" i="3"/>
  <c r="AB532" i="3"/>
  <c r="AA532" i="3"/>
  <c r="Z532" i="3"/>
  <c r="Y532" i="3"/>
  <c r="X532" i="3"/>
  <c r="W532" i="3"/>
  <c r="V532" i="3"/>
  <c r="U532" i="3"/>
  <c r="I532" i="3"/>
  <c r="H532" i="3"/>
  <c r="AG531" i="3"/>
  <c r="AF531" i="3"/>
  <c r="AB531" i="3"/>
  <c r="AA531" i="3"/>
  <c r="Z531" i="3"/>
  <c r="Y531" i="3"/>
  <c r="X531" i="3"/>
  <c r="W531" i="3"/>
  <c r="V531" i="3"/>
  <c r="U531" i="3"/>
  <c r="I531" i="3"/>
  <c r="H531" i="3"/>
  <c r="AG530" i="3"/>
  <c r="AF530" i="3"/>
  <c r="AB530" i="3"/>
  <c r="AA530" i="3"/>
  <c r="Z530" i="3"/>
  <c r="Y530" i="3"/>
  <c r="X530" i="3"/>
  <c r="W530" i="3"/>
  <c r="V530" i="3"/>
  <c r="U530" i="3"/>
  <c r="I530" i="3"/>
  <c r="H530" i="3"/>
  <c r="AG529" i="3"/>
  <c r="AF529" i="3"/>
  <c r="AB529" i="3"/>
  <c r="AA529" i="3"/>
  <c r="Z529" i="3"/>
  <c r="Y529" i="3"/>
  <c r="X529" i="3"/>
  <c r="W529" i="3"/>
  <c r="V529" i="3"/>
  <c r="U529" i="3"/>
  <c r="I529" i="3"/>
  <c r="H529" i="3"/>
  <c r="AG528" i="3"/>
  <c r="AF528" i="3"/>
  <c r="AB528" i="3"/>
  <c r="AA528" i="3"/>
  <c r="Z528" i="3"/>
  <c r="Y528" i="3"/>
  <c r="X528" i="3"/>
  <c r="W528" i="3"/>
  <c r="V528" i="3"/>
  <c r="U528" i="3"/>
  <c r="I528" i="3"/>
  <c r="H528" i="3"/>
  <c r="AG527" i="3"/>
  <c r="AF527" i="3"/>
  <c r="AB527" i="3"/>
  <c r="AA527" i="3"/>
  <c r="Z527" i="3"/>
  <c r="Y527" i="3"/>
  <c r="X527" i="3"/>
  <c r="W527" i="3"/>
  <c r="V527" i="3"/>
  <c r="U527" i="3"/>
  <c r="I527" i="3"/>
  <c r="H527" i="3"/>
  <c r="AG526" i="3"/>
  <c r="AF526" i="3"/>
  <c r="AB526" i="3"/>
  <c r="AA526" i="3"/>
  <c r="Z526" i="3"/>
  <c r="Y526" i="3"/>
  <c r="X526" i="3"/>
  <c r="W526" i="3"/>
  <c r="V526" i="3"/>
  <c r="U526" i="3"/>
  <c r="I526" i="3"/>
  <c r="H526" i="3"/>
  <c r="AG525" i="3"/>
  <c r="AF525" i="3"/>
  <c r="AB525" i="3"/>
  <c r="AA525" i="3"/>
  <c r="Z525" i="3"/>
  <c r="Y525" i="3"/>
  <c r="X525" i="3"/>
  <c r="W525" i="3"/>
  <c r="V525" i="3"/>
  <c r="U525" i="3"/>
  <c r="I525" i="3"/>
  <c r="H525" i="3"/>
  <c r="AG524" i="3"/>
  <c r="AF524" i="3"/>
  <c r="AB524" i="3"/>
  <c r="AA524" i="3"/>
  <c r="Z524" i="3"/>
  <c r="Y524" i="3"/>
  <c r="X524" i="3"/>
  <c r="W524" i="3"/>
  <c r="V524" i="3"/>
  <c r="U524" i="3"/>
  <c r="I524" i="3"/>
  <c r="H524" i="3"/>
  <c r="AG523" i="3"/>
  <c r="AF523" i="3"/>
  <c r="AB523" i="3"/>
  <c r="AA523" i="3"/>
  <c r="Z523" i="3"/>
  <c r="Y523" i="3"/>
  <c r="X523" i="3"/>
  <c r="W523" i="3"/>
  <c r="V523" i="3"/>
  <c r="U523" i="3"/>
  <c r="I523" i="3"/>
  <c r="H523" i="3"/>
  <c r="AG522" i="3"/>
  <c r="AF522" i="3"/>
  <c r="AB522" i="3"/>
  <c r="AA522" i="3"/>
  <c r="Z522" i="3"/>
  <c r="Y522" i="3"/>
  <c r="X522" i="3"/>
  <c r="W522" i="3"/>
  <c r="V522" i="3"/>
  <c r="U522" i="3"/>
  <c r="I522" i="3"/>
  <c r="H522" i="3"/>
  <c r="AG521" i="3"/>
  <c r="AF521" i="3"/>
  <c r="AB521" i="3"/>
  <c r="AA521" i="3"/>
  <c r="Z521" i="3"/>
  <c r="Y521" i="3"/>
  <c r="X521" i="3"/>
  <c r="W521" i="3"/>
  <c r="V521" i="3"/>
  <c r="U521" i="3"/>
  <c r="I521" i="3"/>
  <c r="H521" i="3"/>
  <c r="AG520" i="3"/>
  <c r="AF520" i="3"/>
  <c r="AB520" i="3"/>
  <c r="AA520" i="3"/>
  <c r="Z520" i="3"/>
  <c r="Y520" i="3"/>
  <c r="X520" i="3"/>
  <c r="W520" i="3"/>
  <c r="V520" i="3"/>
  <c r="U520" i="3"/>
  <c r="I520" i="3"/>
  <c r="H520" i="3"/>
  <c r="AG519" i="3"/>
  <c r="AF519" i="3"/>
  <c r="AB519" i="3"/>
  <c r="AA519" i="3"/>
  <c r="Z519" i="3"/>
  <c r="Y519" i="3"/>
  <c r="X519" i="3"/>
  <c r="W519" i="3"/>
  <c r="V519" i="3"/>
  <c r="U519" i="3"/>
  <c r="I519" i="3"/>
  <c r="H519" i="3"/>
  <c r="AG518" i="3"/>
  <c r="AF518" i="3"/>
  <c r="AB518" i="3"/>
  <c r="AA518" i="3"/>
  <c r="Z518" i="3"/>
  <c r="Y518" i="3"/>
  <c r="X518" i="3"/>
  <c r="W518" i="3"/>
  <c r="V518" i="3"/>
  <c r="U518" i="3"/>
  <c r="I518" i="3"/>
  <c r="H518" i="3"/>
  <c r="AG517" i="3"/>
  <c r="AF517" i="3"/>
  <c r="AB517" i="3"/>
  <c r="AA517" i="3"/>
  <c r="Z517" i="3"/>
  <c r="Y517" i="3"/>
  <c r="X517" i="3"/>
  <c r="W517" i="3"/>
  <c r="V517" i="3"/>
  <c r="U517" i="3"/>
  <c r="I517" i="3"/>
  <c r="H517" i="3"/>
  <c r="AG516" i="3"/>
  <c r="AF516" i="3"/>
  <c r="AB516" i="3"/>
  <c r="AA516" i="3"/>
  <c r="Z516" i="3"/>
  <c r="Y516" i="3"/>
  <c r="X516" i="3"/>
  <c r="W516" i="3"/>
  <c r="V516" i="3"/>
  <c r="U516" i="3"/>
  <c r="I516" i="3"/>
  <c r="H516" i="3"/>
  <c r="AG515" i="3"/>
  <c r="AF515" i="3"/>
  <c r="AB515" i="3"/>
  <c r="AA515" i="3"/>
  <c r="Z515" i="3"/>
  <c r="Y515" i="3"/>
  <c r="X515" i="3"/>
  <c r="W515" i="3"/>
  <c r="V515" i="3"/>
  <c r="U515" i="3"/>
  <c r="I515" i="3"/>
  <c r="H515" i="3"/>
  <c r="AG514" i="3"/>
  <c r="AF514" i="3"/>
  <c r="AB514" i="3"/>
  <c r="AA514" i="3"/>
  <c r="Z514" i="3"/>
  <c r="Y514" i="3"/>
  <c r="X514" i="3"/>
  <c r="W514" i="3"/>
  <c r="V514" i="3"/>
  <c r="U514" i="3"/>
  <c r="I514" i="3"/>
  <c r="H514" i="3"/>
  <c r="AG513" i="3"/>
  <c r="AF513" i="3"/>
  <c r="AB513" i="3"/>
  <c r="AA513" i="3"/>
  <c r="Z513" i="3"/>
  <c r="Y513" i="3"/>
  <c r="X513" i="3"/>
  <c r="W513" i="3"/>
  <c r="V513" i="3"/>
  <c r="U513" i="3"/>
  <c r="I513" i="3"/>
  <c r="H513" i="3"/>
  <c r="AG512" i="3"/>
  <c r="AF512" i="3"/>
  <c r="AB512" i="3"/>
  <c r="AA512" i="3"/>
  <c r="Z512" i="3"/>
  <c r="Y512" i="3"/>
  <c r="X512" i="3"/>
  <c r="W512" i="3"/>
  <c r="V512" i="3"/>
  <c r="U512" i="3"/>
  <c r="I512" i="3"/>
  <c r="H512" i="3"/>
  <c r="AG511" i="3"/>
  <c r="AF511" i="3"/>
  <c r="AB511" i="3"/>
  <c r="AA511" i="3"/>
  <c r="Z511" i="3"/>
  <c r="Y511" i="3"/>
  <c r="X511" i="3"/>
  <c r="W511" i="3"/>
  <c r="V511" i="3"/>
  <c r="U511" i="3"/>
  <c r="I511" i="3"/>
  <c r="H511" i="3"/>
  <c r="AG510" i="3"/>
  <c r="AF510" i="3"/>
  <c r="AB510" i="3"/>
  <c r="AA510" i="3"/>
  <c r="Z510" i="3"/>
  <c r="Y510" i="3"/>
  <c r="X510" i="3"/>
  <c r="W510" i="3"/>
  <c r="V510" i="3"/>
  <c r="U510" i="3"/>
  <c r="I510" i="3"/>
  <c r="H510" i="3"/>
  <c r="AG509" i="3"/>
  <c r="AF509" i="3"/>
  <c r="AB509" i="3"/>
  <c r="AA509" i="3"/>
  <c r="Z509" i="3"/>
  <c r="Y509" i="3"/>
  <c r="X509" i="3"/>
  <c r="W509" i="3"/>
  <c r="V509" i="3"/>
  <c r="U509" i="3"/>
  <c r="I509" i="3"/>
  <c r="H509" i="3"/>
  <c r="AG508" i="3"/>
  <c r="AF508" i="3"/>
  <c r="AB508" i="3"/>
  <c r="AA508" i="3"/>
  <c r="Z508" i="3"/>
  <c r="Y508" i="3"/>
  <c r="X508" i="3"/>
  <c r="W508" i="3"/>
  <c r="V508" i="3"/>
  <c r="U508" i="3"/>
  <c r="I508" i="3"/>
  <c r="H508" i="3"/>
  <c r="AG507" i="3"/>
  <c r="AF507" i="3"/>
  <c r="AB507" i="3"/>
  <c r="AA507" i="3"/>
  <c r="Z507" i="3"/>
  <c r="Y507" i="3"/>
  <c r="X507" i="3"/>
  <c r="W507" i="3"/>
  <c r="V507" i="3"/>
  <c r="U507" i="3"/>
  <c r="I507" i="3"/>
  <c r="H507" i="3"/>
  <c r="AG506" i="3"/>
  <c r="AF506" i="3"/>
  <c r="AB506" i="3"/>
  <c r="AA506" i="3"/>
  <c r="Z506" i="3"/>
  <c r="Y506" i="3"/>
  <c r="X506" i="3"/>
  <c r="W506" i="3"/>
  <c r="V506" i="3"/>
  <c r="U506" i="3"/>
  <c r="I506" i="3"/>
  <c r="H506" i="3"/>
  <c r="AG505" i="3"/>
  <c r="AF505" i="3"/>
  <c r="AB505" i="3"/>
  <c r="AA505" i="3"/>
  <c r="Z505" i="3"/>
  <c r="Y505" i="3"/>
  <c r="X505" i="3"/>
  <c r="W505" i="3"/>
  <c r="V505" i="3"/>
  <c r="U505" i="3"/>
  <c r="I505" i="3"/>
  <c r="H505" i="3"/>
  <c r="AG504" i="3"/>
  <c r="AF504" i="3"/>
  <c r="AB504" i="3"/>
  <c r="AA504" i="3"/>
  <c r="Z504" i="3"/>
  <c r="Y504" i="3"/>
  <c r="X504" i="3"/>
  <c r="W504" i="3"/>
  <c r="V504" i="3"/>
  <c r="U504" i="3"/>
  <c r="I504" i="3"/>
  <c r="H504" i="3"/>
  <c r="AG503" i="3"/>
  <c r="AF503" i="3"/>
  <c r="AB503" i="3"/>
  <c r="AA503" i="3"/>
  <c r="Z503" i="3"/>
  <c r="Y503" i="3"/>
  <c r="X503" i="3"/>
  <c r="W503" i="3"/>
  <c r="V503" i="3"/>
  <c r="U503" i="3"/>
  <c r="I503" i="3"/>
  <c r="H503" i="3"/>
  <c r="AG502" i="3"/>
  <c r="AF502" i="3"/>
  <c r="AB502" i="3"/>
  <c r="AA502" i="3"/>
  <c r="Z502" i="3"/>
  <c r="Y502" i="3"/>
  <c r="X502" i="3"/>
  <c r="W502" i="3"/>
  <c r="V502" i="3"/>
  <c r="U502" i="3"/>
  <c r="I502" i="3"/>
  <c r="H502" i="3"/>
  <c r="AG501" i="3"/>
  <c r="AF501" i="3"/>
  <c r="AB501" i="3"/>
  <c r="AA501" i="3"/>
  <c r="Z501" i="3"/>
  <c r="Y501" i="3"/>
  <c r="X501" i="3"/>
  <c r="W501" i="3"/>
  <c r="V501" i="3"/>
  <c r="U501" i="3"/>
  <c r="I501" i="3"/>
  <c r="H501" i="3"/>
  <c r="AG500" i="3"/>
  <c r="AF500" i="3"/>
  <c r="AB500" i="3"/>
  <c r="AA500" i="3"/>
  <c r="Z500" i="3"/>
  <c r="Y500" i="3"/>
  <c r="X500" i="3"/>
  <c r="W500" i="3"/>
  <c r="V500" i="3"/>
  <c r="U500" i="3"/>
  <c r="I500" i="3"/>
  <c r="H500" i="3"/>
  <c r="AG499" i="3"/>
  <c r="AF499" i="3"/>
  <c r="AB499" i="3"/>
  <c r="AA499" i="3"/>
  <c r="Z499" i="3"/>
  <c r="Y499" i="3"/>
  <c r="X499" i="3"/>
  <c r="W499" i="3"/>
  <c r="V499" i="3"/>
  <c r="U499" i="3"/>
  <c r="I499" i="3"/>
  <c r="H499" i="3"/>
  <c r="AG498" i="3"/>
  <c r="AF498" i="3"/>
  <c r="AB498" i="3"/>
  <c r="AA498" i="3"/>
  <c r="Z498" i="3"/>
  <c r="Y498" i="3"/>
  <c r="X498" i="3"/>
  <c r="W498" i="3"/>
  <c r="V498" i="3"/>
  <c r="U498" i="3"/>
  <c r="I498" i="3"/>
  <c r="H498" i="3"/>
  <c r="AG497" i="3"/>
  <c r="AF497" i="3"/>
  <c r="AB497" i="3"/>
  <c r="AA497" i="3"/>
  <c r="Z497" i="3"/>
  <c r="Y497" i="3"/>
  <c r="X497" i="3"/>
  <c r="W497" i="3"/>
  <c r="V497" i="3"/>
  <c r="U497" i="3"/>
  <c r="I497" i="3"/>
  <c r="H497" i="3"/>
  <c r="AG496" i="3"/>
  <c r="AF496" i="3"/>
  <c r="AB496" i="3"/>
  <c r="AA496" i="3"/>
  <c r="Z496" i="3"/>
  <c r="Y496" i="3"/>
  <c r="X496" i="3"/>
  <c r="W496" i="3"/>
  <c r="V496" i="3"/>
  <c r="U496" i="3"/>
  <c r="I496" i="3"/>
  <c r="H496" i="3"/>
  <c r="AG495" i="3"/>
  <c r="AF495" i="3"/>
  <c r="AB495" i="3"/>
  <c r="AA495" i="3"/>
  <c r="Z495" i="3"/>
  <c r="Y495" i="3"/>
  <c r="X495" i="3"/>
  <c r="W495" i="3"/>
  <c r="V495" i="3"/>
  <c r="U495" i="3"/>
  <c r="I495" i="3"/>
  <c r="H495" i="3"/>
  <c r="AG494" i="3"/>
  <c r="AF494" i="3"/>
  <c r="AB494" i="3"/>
  <c r="AA494" i="3"/>
  <c r="Z494" i="3"/>
  <c r="Y494" i="3"/>
  <c r="X494" i="3"/>
  <c r="W494" i="3"/>
  <c r="V494" i="3"/>
  <c r="U494" i="3"/>
  <c r="I494" i="3"/>
  <c r="H494" i="3"/>
  <c r="AG493" i="3"/>
  <c r="AF493" i="3"/>
  <c r="AB493" i="3"/>
  <c r="AA493" i="3"/>
  <c r="Z493" i="3"/>
  <c r="Y493" i="3"/>
  <c r="X493" i="3"/>
  <c r="W493" i="3"/>
  <c r="V493" i="3"/>
  <c r="U493" i="3"/>
  <c r="I493" i="3"/>
  <c r="H493" i="3"/>
  <c r="AG492" i="3"/>
  <c r="AF492" i="3"/>
  <c r="AB492" i="3"/>
  <c r="AA492" i="3"/>
  <c r="Z492" i="3"/>
  <c r="Y492" i="3"/>
  <c r="X492" i="3"/>
  <c r="W492" i="3"/>
  <c r="V492" i="3"/>
  <c r="U492" i="3"/>
  <c r="I492" i="3"/>
  <c r="H492" i="3"/>
  <c r="AG491" i="3"/>
  <c r="AF491" i="3"/>
  <c r="AB491" i="3"/>
  <c r="AA491" i="3"/>
  <c r="Z491" i="3"/>
  <c r="Y491" i="3"/>
  <c r="X491" i="3"/>
  <c r="W491" i="3"/>
  <c r="V491" i="3"/>
  <c r="U491" i="3"/>
  <c r="I491" i="3"/>
  <c r="H491" i="3"/>
  <c r="AG490" i="3"/>
  <c r="AF490" i="3"/>
  <c r="AB490" i="3"/>
  <c r="AA490" i="3"/>
  <c r="Z490" i="3"/>
  <c r="Y490" i="3"/>
  <c r="X490" i="3"/>
  <c r="W490" i="3"/>
  <c r="V490" i="3"/>
  <c r="U490" i="3"/>
  <c r="I490" i="3"/>
  <c r="H490" i="3"/>
  <c r="AG489" i="3"/>
  <c r="AF489" i="3"/>
  <c r="AB489" i="3"/>
  <c r="AA489" i="3"/>
  <c r="Z489" i="3"/>
  <c r="Y489" i="3"/>
  <c r="X489" i="3"/>
  <c r="W489" i="3"/>
  <c r="V489" i="3"/>
  <c r="U489" i="3"/>
  <c r="I489" i="3"/>
  <c r="H489" i="3"/>
  <c r="AG488" i="3"/>
  <c r="AF488" i="3"/>
  <c r="AB488" i="3"/>
  <c r="AA488" i="3"/>
  <c r="Z488" i="3"/>
  <c r="Y488" i="3"/>
  <c r="X488" i="3"/>
  <c r="W488" i="3"/>
  <c r="V488" i="3"/>
  <c r="U488" i="3"/>
  <c r="I488" i="3"/>
  <c r="H488" i="3"/>
  <c r="AG487" i="3"/>
  <c r="AF487" i="3"/>
  <c r="AB487" i="3"/>
  <c r="AA487" i="3"/>
  <c r="Z487" i="3"/>
  <c r="Y487" i="3"/>
  <c r="X487" i="3"/>
  <c r="W487" i="3"/>
  <c r="V487" i="3"/>
  <c r="U487" i="3"/>
  <c r="I487" i="3"/>
  <c r="H487" i="3"/>
  <c r="AG486" i="3"/>
  <c r="AF486" i="3"/>
  <c r="AB486" i="3"/>
  <c r="AA486" i="3"/>
  <c r="Z486" i="3"/>
  <c r="Y486" i="3"/>
  <c r="X486" i="3"/>
  <c r="W486" i="3"/>
  <c r="V486" i="3"/>
  <c r="U486" i="3"/>
  <c r="I486" i="3"/>
  <c r="H486" i="3"/>
  <c r="AG485" i="3"/>
  <c r="AF485" i="3"/>
  <c r="AB485" i="3"/>
  <c r="AA485" i="3"/>
  <c r="Z485" i="3"/>
  <c r="Y485" i="3"/>
  <c r="X485" i="3"/>
  <c r="W485" i="3"/>
  <c r="V485" i="3"/>
  <c r="U485" i="3"/>
  <c r="I485" i="3"/>
  <c r="H485" i="3"/>
  <c r="AG484" i="3"/>
  <c r="AF484" i="3"/>
  <c r="AB484" i="3"/>
  <c r="AA484" i="3"/>
  <c r="Z484" i="3"/>
  <c r="Y484" i="3"/>
  <c r="X484" i="3"/>
  <c r="W484" i="3"/>
  <c r="V484" i="3"/>
  <c r="U484" i="3"/>
  <c r="I484" i="3"/>
  <c r="H484" i="3"/>
  <c r="AG483" i="3"/>
  <c r="AF483" i="3"/>
  <c r="AB483" i="3"/>
  <c r="AA483" i="3"/>
  <c r="Z483" i="3"/>
  <c r="Y483" i="3"/>
  <c r="X483" i="3"/>
  <c r="W483" i="3"/>
  <c r="V483" i="3"/>
  <c r="U483" i="3"/>
  <c r="I483" i="3"/>
  <c r="H483" i="3"/>
  <c r="AG482" i="3"/>
  <c r="AF482" i="3"/>
  <c r="AB482" i="3"/>
  <c r="AA482" i="3"/>
  <c r="Z482" i="3"/>
  <c r="Y482" i="3"/>
  <c r="X482" i="3"/>
  <c r="W482" i="3"/>
  <c r="V482" i="3"/>
  <c r="U482" i="3"/>
  <c r="I482" i="3"/>
  <c r="H482" i="3"/>
  <c r="AG481" i="3"/>
  <c r="AF481" i="3"/>
  <c r="AB481" i="3"/>
  <c r="AA481" i="3"/>
  <c r="Z481" i="3"/>
  <c r="Y481" i="3"/>
  <c r="X481" i="3"/>
  <c r="W481" i="3"/>
  <c r="V481" i="3"/>
  <c r="U481" i="3"/>
  <c r="I481" i="3"/>
  <c r="H481" i="3"/>
  <c r="AG480" i="3"/>
  <c r="AF480" i="3"/>
  <c r="AB480" i="3"/>
  <c r="AA480" i="3"/>
  <c r="Z480" i="3"/>
  <c r="Y480" i="3"/>
  <c r="X480" i="3"/>
  <c r="W480" i="3"/>
  <c r="V480" i="3"/>
  <c r="U480" i="3"/>
  <c r="I480" i="3"/>
  <c r="H480" i="3"/>
  <c r="AG479" i="3"/>
  <c r="AF479" i="3"/>
  <c r="AB479" i="3"/>
  <c r="AA479" i="3"/>
  <c r="Z479" i="3"/>
  <c r="Y479" i="3"/>
  <c r="X479" i="3"/>
  <c r="W479" i="3"/>
  <c r="V479" i="3"/>
  <c r="U479" i="3"/>
  <c r="I479" i="3"/>
  <c r="H479" i="3"/>
  <c r="AG478" i="3"/>
  <c r="AF478" i="3"/>
  <c r="AB478" i="3"/>
  <c r="AA478" i="3"/>
  <c r="Z478" i="3"/>
  <c r="Y478" i="3"/>
  <c r="X478" i="3"/>
  <c r="W478" i="3"/>
  <c r="V478" i="3"/>
  <c r="U478" i="3"/>
  <c r="I478" i="3"/>
  <c r="H478" i="3"/>
  <c r="AG477" i="3"/>
  <c r="AF477" i="3"/>
  <c r="AB477" i="3"/>
  <c r="AA477" i="3"/>
  <c r="Z477" i="3"/>
  <c r="Y477" i="3"/>
  <c r="X477" i="3"/>
  <c r="W477" i="3"/>
  <c r="V477" i="3"/>
  <c r="U477" i="3"/>
  <c r="I477" i="3"/>
  <c r="H477" i="3"/>
  <c r="AG476" i="3"/>
  <c r="AF476" i="3"/>
  <c r="AB476" i="3"/>
  <c r="AA476" i="3"/>
  <c r="Z476" i="3"/>
  <c r="Y476" i="3"/>
  <c r="X476" i="3"/>
  <c r="W476" i="3"/>
  <c r="V476" i="3"/>
  <c r="U476" i="3"/>
  <c r="I476" i="3"/>
  <c r="H476" i="3"/>
  <c r="AG475" i="3"/>
  <c r="AF475" i="3"/>
  <c r="AB475" i="3"/>
  <c r="AA475" i="3"/>
  <c r="Z475" i="3"/>
  <c r="Y475" i="3"/>
  <c r="X475" i="3"/>
  <c r="W475" i="3"/>
  <c r="V475" i="3"/>
  <c r="U475" i="3"/>
  <c r="I475" i="3"/>
  <c r="H475" i="3"/>
  <c r="AG474" i="3"/>
  <c r="AF474" i="3"/>
  <c r="AB474" i="3"/>
  <c r="AA474" i="3"/>
  <c r="Z474" i="3"/>
  <c r="Y474" i="3"/>
  <c r="X474" i="3"/>
  <c r="W474" i="3"/>
  <c r="V474" i="3"/>
  <c r="U474" i="3"/>
  <c r="I474" i="3"/>
  <c r="H474" i="3"/>
  <c r="AG473" i="3"/>
  <c r="AF473" i="3"/>
  <c r="AB473" i="3"/>
  <c r="AA473" i="3"/>
  <c r="Z473" i="3"/>
  <c r="Y473" i="3"/>
  <c r="X473" i="3"/>
  <c r="W473" i="3"/>
  <c r="V473" i="3"/>
  <c r="U473" i="3"/>
  <c r="I473" i="3"/>
  <c r="H473" i="3"/>
  <c r="AG472" i="3"/>
  <c r="AF472" i="3"/>
  <c r="AB472" i="3"/>
  <c r="AA472" i="3"/>
  <c r="Z472" i="3"/>
  <c r="Y472" i="3"/>
  <c r="X472" i="3"/>
  <c r="W472" i="3"/>
  <c r="V472" i="3"/>
  <c r="U472" i="3"/>
  <c r="I472" i="3"/>
  <c r="H472" i="3"/>
  <c r="AG471" i="3"/>
  <c r="AF471" i="3"/>
  <c r="AB471" i="3"/>
  <c r="AA471" i="3"/>
  <c r="Z471" i="3"/>
  <c r="Y471" i="3"/>
  <c r="X471" i="3"/>
  <c r="W471" i="3"/>
  <c r="V471" i="3"/>
  <c r="U471" i="3"/>
  <c r="I471" i="3"/>
  <c r="H471" i="3"/>
  <c r="AG470" i="3"/>
  <c r="AF470" i="3"/>
  <c r="AB470" i="3"/>
  <c r="AA470" i="3"/>
  <c r="Z470" i="3"/>
  <c r="Y470" i="3"/>
  <c r="X470" i="3"/>
  <c r="W470" i="3"/>
  <c r="V470" i="3"/>
  <c r="U470" i="3"/>
  <c r="I470" i="3"/>
  <c r="H470" i="3"/>
  <c r="AG469" i="3"/>
  <c r="AF469" i="3"/>
  <c r="AB469" i="3"/>
  <c r="AA469" i="3"/>
  <c r="Z469" i="3"/>
  <c r="Y469" i="3"/>
  <c r="X469" i="3"/>
  <c r="W469" i="3"/>
  <c r="V469" i="3"/>
  <c r="U469" i="3"/>
  <c r="I469" i="3"/>
  <c r="H469" i="3"/>
  <c r="AG468" i="3"/>
  <c r="AF468" i="3"/>
  <c r="AB468" i="3"/>
  <c r="AA468" i="3"/>
  <c r="Z468" i="3"/>
  <c r="Y468" i="3"/>
  <c r="X468" i="3"/>
  <c r="W468" i="3"/>
  <c r="V468" i="3"/>
  <c r="U468" i="3"/>
  <c r="I468" i="3"/>
  <c r="H468" i="3"/>
  <c r="AG467" i="3"/>
  <c r="AF467" i="3"/>
  <c r="AB467" i="3"/>
  <c r="AA467" i="3"/>
  <c r="Z467" i="3"/>
  <c r="Y467" i="3"/>
  <c r="X467" i="3"/>
  <c r="W467" i="3"/>
  <c r="V467" i="3"/>
  <c r="U467" i="3"/>
  <c r="I467" i="3"/>
  <c r="H467" i="3"/>
  <c r="AG466" i="3"/>
  <c r="AF466" i="3"/>
  <c r="AB466" i="3"/>
  <c r="AA466" i="3"/>
  <c r="Z466" i="3"/>
  <c r="Y466" i="3"/>
  <c r="X466" i="3"/>
  <c r="W466" i="3"/>
  <c r="V466" i="3"/>
  <c r="U466" i="3"/>
  <c r="I466" i="3"/>
  <c r="H466" i="3"/>
  <c r="AG465" i="3"/>
  <c r="AF465" i="3"/>
  <c r="AB465" i="3"/>
  <c r="AA465" i="3"/>
  <c r="Z465" i="3"/>
  <c r="Y465" i="3"/>
  <c r="X465" i="3"/>
  <c r="W465" i="3"/>
  <c r="V465" i="3"/>
  <c r="U465" i="3"/>
  <c r="I465" i="3"/>
  <c r="H465" i="3"/>
  <c r="AG464" i="3"/>
  <c r="AF464" i="3"/>
  <c r="AB464" i="3"/>
  <c r="AA464" i="3"/>
  <c r="Z464" i="3"/>
  <c r="Y464" i="3"/>
  <c r="X464" i="3"/>
  <c r="W464" i="3"/>
  <c r="V464" i="3"/>
  <c r="U464" i="3"/>
  <c r="I464" i="3"/>
  <c r="H464" i="3"/>
  <c r="AG463" i="3"/>
  <c r="AF463" i="3"/>
  <c r="AB463" i="3"/>
  <c r="AA463" i="3"/>
  <c r="Z463" i="3"/>
  <c r="Y463" i="3"/>
  <c r="X463" i="3"/>
  <c r="W463" i="3"/>
  <c r="V463" i="3"/>
  <c r="U463" i="3"/>
  <c r="I463" i="3"/>
  <c r="H463" i="3"/>
  <c r="AG462" i="3"/>
  <c r="AF462" i="3"/>
  <c r="AB462" i="3"/>
  <c r="AA462" i="3"/>
  <c r="Z462" i="3"/>
  <c r="Y462" i="3"/>
  <c r="X462" i="3"/>
  <c r="W462" i="3"/>
  <c r="V462" i="3"/>
  <c r="U462" i="3"/>
  <c r="I462" i="3"/>
  <c r="H462" i="3"/>
  <c r="AG461" i="3"/>
  <c r="AF461" i="3"/>
  <c r="AB461" i="3"/>
  <c r="AA461" i="3"/>
  <c r="Z461" i="3"/>
  <c r="Y461" i="3"/>
  <c r="X461" i="3"/>
  <c r="W461" i="3"/>
  <c r="V461" i="3"/>
  <c r="U461" i="3"/>
  <c r="I461" i="3"/>
  <c r="H461" i="3"/>
  <c r="AG460" i="3"/>
  <c r="AF460" i="3"/>
  <c r="AB460" i="3"/>
  <c r="AA460" i="3"/>
  <c r="Z460" i="3"/>
  <c r="Y460" i="3"/>
  <c r="X460" i="3"/>
  <c r="W460" i="3"/>
  <c r="V460" i="3"/>
  <c r="U460" i="3"/>
  <c r="I460" i="3"/>
  <c r="H460" i="3"/>
  <c r="AG459" i="3"/>
  <c r="AF459" i="3"/>
  <c r="AB459" i="3"/>
  <c r="AA459" i="3"/>
  <c r="Z459" i="3"/>
  <c r="Y459" i="3"/>
  <c r="X459" i="3"/>
  <c r="W459" i="3"/>
  <c r="V459" i="3"/>
  <c r="U459" i="3"/>
  <c r="I459" i="3"/>
  <c r="H459" i="3"/>
  <c r="AG458" i="3"/>
  <c r="AF458" i="3"/>
  <c r="AB458" i="3"/>
  <c r="AA458" i="3"/>
  <c r="Z458" i="3"/>
  <c r="Y458" i="3"/>
  <c r="X458" i="3"/>
  <c r="W458" i="3"/>
  <c r="V458" i="3"/>
  <c r="U458" i="3"/>
  <c r="I458" i="3"/>
  <c r="H458" i="3"/>
  <c r="AG457" i="3"/>
  <c r="AF457" i="3"/>
  <c r="AB457" i="3"/>
  <c r="AA457" i="3"/>
  <c r="Z457" i="3"/>
  <c r="Y457" i="3"/>
  <c r="X457" i="3"/>
  <c r="W457" i="3"/>
  <c r="V457" i="3"/>
  <c r="U457" i="3"/>
  <c r="I457" i="3"/>
  <c r="H457" i="3"/>
  <c r="AG456" i="3"/>
  <c r="AF456" i="3"/>
  <c r="AB456" i="3"/>
  <c r="AA456" i="3"/>
  <c r="Z456" i="3"/>
  <c r="Y456" i="3"/>
  <c r="X456" i="3"/>
  <c r="W456" i="3"/>
  <c r="V456" i="3"/>
  <c r="U456" i="3"/>
  <c r="I456" i="3"/>
  <c r="H456" i="3"/>
  <c r="AG455" i="3"/>
  <c r="AF455" i="3"/>
  <c r="AB455" i="3"/>
  <c r="AA455" i="3"/>
  <c r="Z455" i="3"/>
  <c r="Y455" i="3"/>
  <c r="X455" i="3"/>
  <c r="W455" i="3"/>
  <c r="V455" i="3"/>
  <c r="U455" i="3"/>
  <c r="I455" i="3"/>
  <c r="H455" i="3"/>
  <c r="AG454" i="3"/>
  <c r="AF454" i="3"/>
  <c r="AB454" i="3"/>
  <c r="AA454" i="3"/>
  <c r="Z454" i="3"/>
  <c r="Y454" i="3"/>
  <c r="X454" i="3"/>
  <c r="W454" i="3"/>
  <c r="V454" i="3"/>
  <c r="U454" i="3"/>
  <c r="I454" i="3"/>
  <c r="H454" i="3"/>
  <c r="AG453" i="3"/>
  <c r="AF453" i="3"/>
  <c r="AB453" i="3"/>
  <c r="AA453" i="3"/>
  <c r="Z453" i="3"/>
  <c r="Y453" i="3"/>
  <c r="X453" i="3"/>
  <c r="W453" i="3"/>
  <c r="V453" i="3"/>
  <c r="U453" i="3"/>
  <c r="I453" i="3"/>
  <c r="H453" i="3"/>
  <c r="AG452" i="3"/>
  <c r="AF452" i="3"/>
  <c r="AB452" i="3"/>
  <c r="AA452" i="3"/>
  <c r="Z452" i="3"/>
  <c r="Y452" i="3"/>
  <c r="X452" i="3"/>
  <c r="W452" i="3"/>
  <c r="V452" i="3"/>
  <c r="U452" i="3"/>
  <c r="I452" i="3"/>
  <c r="H452" i="3"/>
  <c r="AG451" i="3"/>
  <c r="AF451" i="3"/>
  <c r="AB451" i="3"/>
  <c r="AA451" i="3"/>
  <c r="Z451" i="3"/>
  <c r="Y451" i="3"/>
  <c r="X451" i="3"/>
  <c r="W451" i="3"/>
  <c r="V451" i="3"/>
  <c r="U451" i="3"/>
  <c r="I451" i="3"/>
  <c r="H451" i="3"/>
  <c r="AG450" i="3"/>
  <c r="AF450" i="3"/>
  <c r="AB450" i="3"/>
  <c r="AA450" i="3"/>
  <c r="Z450" i="3"/>
  <c r="Y450" i="3"/>
  <c r="X450" i="3"/>
  <c r="W450" i="3"/>
  <c r="V450" i="3"/>
  <c r="U450" i="3"/>
  <c r="I450" i="3"/>
  <c r="H450" i="3"/>
  <c r="AG449" i="3"/>
  <c r="AF449" i="3"/>
  <c r="AB449" i="3"/>
  <c r="AA449" i="3"/>
  <c r="Z449" i="3"/>
  <c r="Y449" i="3"/>
  <c r="X449" i="3"/>
  <c r="W449" i="3"/>
  <c r="V449" i="3"/>
  <c r="U449" i="3"/>
  <c r="I449" i="3"/>
  <c r="H449" i="3"/>
  <c r="AG448" i="3"/>
  <c r="AF448" i="3"/>
  <c r="AB448" i="3"/>
  <c r="AA448" i="3"/>
  <c r="Z448" i="3"/>
  <c r="Y448" i="3"/>
  <c r="X448" i="3"/>
  <c r="W448" i="3"/>
  <c r="V448" i="3"/>
  <c r="U448" i="3"/>
  <c r="I448" i="3"/>
  <c r="H448" i="3"/>
  <c r="AG447" i="3"/>
  <c r="AF447" i="3"/>
  <c r="AB447" i="3"/>
  <c r="AA447" i="3"/>
  <c r="Z447" i="3"/>
  <c r="Y447" i="3"/>
  <c r="X447" i="3"/>
  <c r="W447" i="3"/>
  <c r="V447" i="3"/>
  <c r="U447" i="3"/>
  <c r="I447" i="3"/>
  <c r="H447" i="3"/>
  <c r="AG446" i="3"/>
  <c r="AF446" i="3"/>
  <c r="AB446" i="3"/>
  <c r="AA446" i="3"/>
  <c r="Z446" i="3"/>
  <c r="Y446" i="3"/>
  <c r="X446" i="3"/>
  <c r="W446" i="3"/>
  <c r="V446" i="3"/>
  <c r="U446" i="3"/>
  <c r="I446" i="3"/>
  <c r="H446" i="3"/>
  <c r="AG445" i="3"/>
  <c r="AF445" i="3"/>
  <c r="AB445" i="3"/>
  <c r="AA445" i="3"/>
  <c r="Z445" i="3"/>
  <c r="Y445" i="3"/>
  <c r="X445" i="3"/>
  <c r="W445" i="3"/>
  <c r="V445" i="3"/>
  <c r="U445" i="3"/>
  <c r="I445" i="3"/>
  <c r="H445" i="3"/>
  <c r="AG444" i="3"/>
  <c r="AF444" i="3"/>
  <c r="AB444" i="3"/>
  <c r="AA444" i="3"/>
  <c r="Z444" i="3"/>
  <c r="Y444" i="3"/>
  <c r="X444" i="3"/>
  <c r="W444" i="3"/>
  <c r="V444" i="3"/>
  <c r="U444" i="3"/>
  <c r="I444" i="3"/>
  <c r="H444" i="3"/>
  <c r="AG443" i="3"/>
  <c r="AF443" i="3"/>
  <c r="AB443" i="3"/>
  <c r="AA443" i="3"/>
  <c r="Z443" i="3"/>
  <c r="Y443" i="3"/>
  <c r="X443" i="3"/>
  <c r="W443" i="3"/>
  <c r="V443" i="3"/>
  <c r="U443" i="3"/>
  <c r="I443" i="3"/>
  <c r="H443" i="3"/>
  <c r="AG442" i="3"/>
  <c r="AF442" i="3"/>
  <c r="AB442" i="3"/>
  <c r="AA442" i="3"/>
  <c r="Z442" i="3"/>
  <c r="Y442" i="3"/>
  <c r="X442" i="3"/>
  <c r="W442" i="3"/>
  <c r="V442" i="3"/>
  <c r="U442" i="3"/>
  <c r="I442" i="3"/>
  <c r="H442" i="3"/>
  <c r="AG441" i="3"/>
  <c r="AF441" i="3"/>
  <c r="AB441" i="3"/>
  <c r="AA441" i="3"/>
  <c r="Z441" i="3"/>
  <c r="Y441" i="3"/>
  <c r="X441" i="3"/>
  <c r="W441" i="3"/>
  <c r="V441" i="3"/>
  <c r="U441" i="3"/>
  <c r="I441" i="3"/>
  <c r="H441" i="3"/>
  <c r="AG440" i="3"/>
  <c r="AF440" i="3"/>
  <c r="AB440" i="3"/>
  <c r="AA440" i="3"/>
  <c r="Z440" i="3"/>
  <c r="Y440" i="3"/>
  <c r="X440" i="3"/>
  <c r="W440" i="3"/>
  <c r="V440" i="3"/>
  <c r="U440" i="3"/>
  <c r="I440" i="3"/>
  <c r="H440" i="3"/>
  <c r="AG439" i="3"/>
  <c r="AF439" i="3"/>
  <c r="AB439" i="3"/>
  <c r="AA439" i="3"/>
  <c r="Z439" i="3"/>
  <c r="Y439" i="3"/>
  <c r="X439" i="3"/>
  <c r="W439" i="3"/>
  <c r="V439" i="3"/>
  <c r="U439" i="3"/>
  <c r="I439" i="3"/>
  <c r="H439" i="3"/>
  <c r="AG438" i="3"/>
  <c r="AF438" i="3"/>
  <c r="AB438" i="3"/>
  <c r="AA438" i="3"/>
  <c r="Z438" i="3"/>
  <c r="Y438" i="3"/>
  <c r="X438" i="3"/>
  <c r="W438" i="3"/>
  <c r="V438" i="3"/>
  <c r="U438" i="3"/>
  <c r="I438" i="3"/>
  <c r="H438" i="3"/>
  <c r="AG437" i="3"/>
  <c r="AF437" i="3"/>
  <c r="AB437" i="3"/>
  <c r="AA437" i="3"/>
  <c r="Z437" i="3"/>
  <c r="Y437" i="3"/>
  <c r="X437" i="3"/>
  <c r="W437" i="3"/>
  <c r="V437" i="3"/>
  <c r="U437" i="3"/>
  <c r="I437" i="3"/>
  <c r="H437" i="3"/>
  <c r="AG436" i="3"/>
  <c r="AF436" i="3"/>
  <c r="AB436" i="3"/>
  <c r="AA436" i="3"/>
  <c r="Z436" i="3"/>
  <c r="Y436" i="3"/>
  <c r="X436" i="3"/>
  <c r="W436" i="3"/>
  <c r="V436" i="3"/>
  <c r="U436" i="3"/>
  <c r="I436" i="3"/>
  <c r="H436" i="3"/>
  <c r="AG435" i="3"/>
  <c r="AF435" i="3"/>
  <c r="AB435" i="3"/>
  <c r="AA435" i="3"/>
  <c r="Z435" i="3"/>
  <c r="Y435" i="3"/>
  <c r="X435" i="3"/>
  <c r="W435" i="3"/>
  <c r="V435" i="3"/>
  <c r="U435" i="3"/>
  <c r="I435" i="3"/>
  <c r="H435" i="3"/>
  <c r="AG434" i="3"/>
  <c r="AF434" i="3"/>
  <c r="AB434" i="3"/>
  <c r="AA434" i="3"/>
  <c r="Z434" i="3"/>
  <c r="Y434" i="3"/>
  <c r="X434" i="3"/>
  <c r="W434" i="3"/>
  <c r="V434" i="3"/>
  <c r="U434" i="3"/>
  <c r="I434" i="3"/>
  <c r="H434" i="3"/>
  <c r="AG433" i="3"/>
  <c r="AF433" i="3"/>
  <c r="AB433" i="3"/>
  <c r="AA433" i="3"/>
  <c r="Z433" i="3"/>
  <c r="Y433" i="3"/>
  <c r="X433" i="3"/>
  <c r="W433" i="3"/>
  <c r="V433" i="3"/>
  <c r="U433" i="3"/>
  <c r="I433" i="3"/>
  <c r="H433" i="3"/>
  <c r="AG432" i="3"/>
  <c r="AF432" i="3"/>
  <c r="AB432" i="3"/>
  <c r="AA432" i="3"/>
  <c r="Z432" i="3"/>
  <c r="Y432" i="3"/>
  <c r="X432" i="3"/>
  <c r="W432" i="3"/>
  <c r="V432" i="3"/>
  <c r="U432" i="3"/>
  <c r="I432" i="3"/>
  <c r="H432" i="3"/>
  <c r="AG431" i="3"/>
  <c r="AF431" i="3"/>
  <c r="AB431" i="3"/>
  <c r="AA431" i="3"/>
  <c r="Z431" i="3"/>
  <c r="Y431" i="3"/>
  <c r="X431" i="3"/>
  <c r="W431" i="3"/>
  <c r="V431" i="3"/>
  <c r="U431" i="3"/>
  <c r="I431" i="3"/>
  <c r="H431" i="3"/>
  <c r="AG430" i="3"/>
  <c r="AF430" i="3"/>
  <c r="AB430" i="3"/>
  <c r="AA430" i="3"/>
  <c r="Z430" i="3"/>
  <c r="Y430" i="3"/>
  <c r="X430" i="3"/>
  <c r="W430" i="3"/>
  <c r="V430" i="3"/>
  <c r="U430" i="3"/>
  <c r="I430" i="3"/>
  <c r="H430" i="3"/>
  <c r="AG429" i="3"/>
  <c r="AF429" i="3"/>
  <c r="AB429" i="3"/>
  <c r="AA429" i="3"/>
  <c r="Z429" i="3"/>
  <c r="Y429" i="3"/>
  <c r="X429" i="3"/>
  <c r="W429" i="3"/>
  <c r="V429" i="3"/>
  <c r="U429" i="3"/>
  <c r="I429" i="3"/>
  <c r="H429" i="3"/>
  <c r="AG428" i="3"/>
  <c r="AF428" i="3"/>
  <c r="AB428" i="3"/>
  <c r="AA428" i="3"/>
  <c r="Z428" i="3"/>
  <c r="Y428" i="3"/>
  <c r="X428" i="3"/>
  <c r="W428" i="3"/>
  <c r="V428" i="3"/>
  <c r="U428" i="3"/>
  <c r="I428" i="3"/>
  <c r="H428" i="3"/>
  <c r="AG427" i="3"/>
  <c r="AF427" i="3"/>
  <c r="AB427" i="3"/>
  <c r="AA427" i="3"/>
  <c r="Z427" i="3"/>
  <c r="Y427" i="3"/>
  <c r="X427" i="3"/>
  <c r="W427" i="3"/>
  <c r="V427" i="3"/>
  <c r="U427" i="3"/>
  <c r="I427" i="3"/>
  <c r="H427" i="3"/>
  <c r="AG426" i="3"/>
  <c r="AF426" i="3"/>
  <c r="AB426" i="3"/>
  <c r="AA426" i="3"/>
  <c r="Z426" i="3"/>
  <c r="Y426" i="3"/>
  <c r="X426" i="3"/>
  <c r="W426" i="3"/>
  <c r="V426" i="3"/>
  <c r="U426" i="3"/>
  <c r="I426" i="3"/>
  <c r="H426" i="3"/>
  <c r="AG425" i="3"/>
  <c r="AF425" i="3"/>
  <c r="AB425" i="3"/>
  <c r="AA425" i="3"/>
  <c r="Z425" i="3"/>
  <c r="Y425" i="3"/>
  <c r="X425" i="3"/>
  <c r="W425" i="3"/>
  <c r="V425" i="3"/>
  <c r="U425" i="3"/>
  <c r="I425" i="3"/>
  <c r="H425" i="3"/>
  <c r="AG424" i="3"/>
  <c r="AF424" i="3"/>
  <c r="AB424" i="3"/>
  <c r="AA424" i="3"/>
  <c r="Z424" i="3"/>
  <c r="Y424" i="3"/>
  <c r="X424" i="3"/>
  <c r="W424" i="3"/>
  <c r="V424" i="3"/>
  <c r="U424" i="3"/>
  <c r="I424" i="3"/>
  <c r="H424" i="3"/>
  <c r="AG423" i="3"/>
  <c r="AF423" i="3"/>
  <c r="AB423" i="3"/>
  <c r="AA423" i="3"/>
  <c r="Z423" i="3"/>
  <c r="Y423" i="3"/>
  <c r="X423" i="3"/>
  <c r="W423" i="3"/>
  <c r="V423" i="3"/>
  <c r="U423" i="3"/>
  <c r="I423" i="3"/>
  <c r="H423" i="3"/>
  <c r="AG422" i="3"/>
  <c r="AF422" i="3"/>
  <c r="AB422" i="3"/>
  <c r="AA422" i="3"/>
  <c r="Z422" i="3"/>
  <c r="Y422" i="3"/>
  <c r="X422" i="3"/>
  <c r="W422" i="3"/>
  <c r="V422" i="3"/>
  <c r="U422" i="3"/>
  <c r="I422" i="3"/>
  <c r="H422" i="3"/>
  <c r="AG421" i="3"/>
  <c r="AF421" i="3"/>
  <c r="AB421" i="3"/>
  <c r="AA421" i="3"/>
  <c r="Z421" i="3"/>
  <c r="Y421" i="3"/>
  <c r="X421" i="3"/>
  <c r="W421" i="3"/>
  <c r="V421" i="3"/>
  <c r="U421" i="3"/>
  <c r="I421" i="3"/>
  <c r="H421" i="3"/>
  <c r="AG420" i="3"/>
  <c r="AF420" i="3"/>
  <c r="AB420" i="3"/>
  <c r="AA420" i="3"/>
  <c r="Z420" i="3"/>
  <c r="Y420" i="3"/>
  <c r="X420" i="3"/>
  <c r="W420" i="3"/>
  <c r="V420" i="3"/>
  <c r="U420" i="3"/>
  <c r="I420" i="3"/>
  <c r="H420" i="3"/>
  <c r="AG419" i="3"/>
  <c r="AF419" i="3"/>
  <c r="AB419" i="3"/>
  <c r="AA419" i="3"/>
  <c r="Z419" i="3"/>
  <c r="Y419" i="3"/>
  <c r="X419" i="3"/>
  <c r="W419" i="3"/>
  <c r="V419" i="3"/>
  <c r="U419" i="3"/>
  <c r="I419" i="3"/>
  <c r="H419" i="3"/>
  <c r="AG418" i="3"/>
  <c r="AF418" i="3"/>
  <c r="AB418" i="3"/>
  <c r="AA418" i="3"/>
  <c r="Z418" i="3"/>
  <c r="Y418" i="3"/>
  <c r="X418" i="3"/>
  <c r="W418" i="3"/>
  <c r="V418" i="3"/>
  <c r="U418" i="3"/>
  <c r="I418" i="3"/>
  <c r="H418" i="3"/>
  <c r="AG417" i="3"/>
  <c r="AF417" i="3"/>
  <c r="AB417" i="3"/>
  <c r="AA417" i="3"/>
  <c r="Z417" i="3"/>
  <c r="Y417" i="3"/>
  <c r="X417" i="3"/>
  <c r="W417" i="3"/>
  <c r="V417" i="3"/>
  <c r="U417" i="3"/>
  <c r="I417" i="3"/>
  <c r="H417" i="3"/>
  <c r="AG416" i="3"/>
  <c r="AF416" i="3"/>
  <c r="AB416" i="3"/>
  <c r="AA416" i="3"/>
  <c r="Z416" i="3"/>
  <c r="Y416" i="3"/>
  <c r="X416" i="3"/>
  <c r="W416" i="3"/>
  <c r="V416" i="3"/>
  <c r="U416" i="3"/>
  <c r="I416" i="3"/>
  <c r="H416" i="3"/>
  <c r="AG415" i="3"/>
  <c r="AF415" i="3"/>
  <c r="AB415" i="3"/>
  <c r="AA415" i="3"/>
  <c r="Z415" i="3"/>
  <c r="Y415" i="3"/>
  <c r="X415" i="3"/>
  <c r="W415" i="3"/>
  <c r="V415" i="3"/>
  <c r="U415" i="3"/>
  <c r="I415" i="3"/>
  <c r="H415" i="3"/>
  <c r="AG414" i="3"/>
  <c r="AF414" i="3"/>
  <c r="AB414" i="3"/>
  <c r="AA414" i="3"/>
  <c r="Z414" i="3"/>
  <c r="Y414" i="3"/>
  <c r="X414" i="3"/>
  <c r="W414" i="3"/>
  <c r="V414" i="3"/>
  <c r="U414" i="3"/>
  <c r="I414" i="3"/>
  <c r="H414" i="3"/>
  <c r="AG413" i="3"/>
  <c r="AF413" i="3"/>
  <c r="AB413" i="3"/>
  <c r="AA413" i="3"/>
  <c r="Z413" i="3"/>
  <c r="Y413" i="3"/>
  <c r="X413" i="3"/>
  <c r="W413" i="3"/>
  <c r="V413" i="3"/>
  <c r="U413" i="3"/>
  <c r="I413" i="3"/>
  <c r="H413" i="3"/>
  <c r="AG412" i="3"/>
  <c r="AF412" i="3"/>
  <c r="AB412" i="3"/>
  <c r="AA412" i="3"/>
  <c r="Z412" i="3"/>
  <c r="Y412" i="3"/>
  <c r="X412" i="3"/>
  <c r="W412" i="3"/>
  <c r="V412" i="3"/>
  <c r="U412" i="3"/>
  <c r="I412" i="3"/>
  <c r="H412" i="3"/>
  <c r="AG411" i="3"/>
  <c r="AF411" i="3"/>
  <c r="AB411" i="3"/>
  <c r="AA411" i="3"/>
  <c r="Z411" i="3"/>
  <c r="Y411" i="3"/>
  <c r="X411" i="3"/>
  <c r="W411" i="3"/>
  <c r="V411" i="3"/>
  <c r="U411" i="3"/>
  <c r="I411" i="3"/>
  <c r="H411" i="3"/>
  <c r="AG410" i="3"/>
  <c r="AF410" i="3"/>
  <c r="AB410" i="3"/>
  <c r="AA410" i="3"/>
  <c r="Z410" i="3"/>
  <c r="Y410" i="3"/>
  <c r="X410" i="3"/>
  <c r="W410" i="3"/>
  <c r="V410" i="3"/>
  <c r="U410" i="3"/>
  <c r="I410" i="3"/>
  <c r="H410" i="3"/>
  <c r="AG409" i="3"/>
  <c r="AF409" i="3"/>
  <c r="AB409" i="3"/>
  <c r="AA409" i="3"/>
  <c r="Z409" i="3"/>
  <c r="Y409" i="3"/>
  <c r="X409" i="3"/>
  <c r="W409" i="3"/>
  <c r="V409" i="3"/>
  <c r="U409" i="3"/>
  <c r="I409" i="3"/>
  <c r="H409" i="3"/>
  <c r="AG408" i="3"/>
  <c r="AF408" i="3"/>
  <c r="AB408" i="3"/>
  <c r="AA408" i="3"/>
  <c r="Z408" i="3"/>
  <c r="Y408" i="3"/>
  <c r="X408" i="3"/>
  <c r="W408" i="3"/>
  <c r="V408" i="3"/>
  <c r="U408" i="3"/>
  <c r="I408" i="3"/>
  <c r="H408" i="3"/>
  <c r="AG407" i="3"/>
  <c r="AF407" i="3"/>
  <c r="AB407" i="3"/>
  <c r="AA407" i="3"/>
  <c r="Z407" i="3"/>
  <c r="Y407" i="3"/>
  <c r="X407" i="3"/>
  <c r="W407" i="3"/>
  <c r="V407" i="3"/>
  <c r="U407" i="3"/>
  <c r="I407" i="3"/>
  <c r="H407" i="3"/>
  <c r="AG406" i="3"/>
  <c r="AF406" i="3"/>
  <c r="AB406" i="3"/>
  <c r="AA406" i="3"/>
  <c r="Z406" i="3"/>
  <c r="Y406" i="3"/>
  <c r="X406" i="3"/>
  <c r="W406" i="3"/>
  <c r="V406" i="3"/>
  <c r="U406" i="3"/>
  <c r="I406" i="3"/>
  <c r="H406" i="3"/>
  <c r="AG405" i="3"/>
  <c r="AF405" i="3"/>
  <c r="AB405" i="3"/>
  <c r="AA405" i="3"/>
  <c r="Z405" i="3"/>
  <c r="Y405" i="3"/>
  <c r="X405" i="3"/>
  <c r="W405" i="3"/>
  <c r="V405" i="3"/>
  <c r="U405" i="3"/>
  <c r="I405" i="3"/>
  <c r="H405" i="3"/>
  <c r="AG404" i="3"/>
  <c r="AF404" i="3"/>
  <c r="AB404" i="3"/>
  <c r="AA404" i="3"/>
  <c r="Z404" i="3"/>
  <c r="Y404" i="3"/>
  <c r="X404" i="3"/>
  <c r="W404" i="3"/>
  <c r="V404" i="3"/>
  <c r="U404" i="3"/>
  <c r="I404" i="3"/>
  <c r="H404" i="3"/>
  <c r="AG403" i="3"/>
  <c r="AF403" i="3"/>
  <c r="AB403" i="3"/>
  <c r="AA403" i="3"/>
  <c r="Z403" i="3"/>
  <c r="Y403" i="3"/>
  <c r="X403" i="3"/>
  <c r="W403" i="3"/>
  <c r="V403" i="3"/>
  <c r="U403" i="3"/>
  <c r="I403" i="3"/>
  <c r="H403" i="3"/>
  <c r="AG402" i="3"/>
  <c r="AF402" i="3"/>
  <c r="AB402" i="3"/>
  <c r="AA402" i="3"/>
  <c r="Z402" i="3"/>
  <c r="Y402" i="3"/>
  <c r="X402" i="3"/>
  <c r="W402" i="3"/>
  <c r="V402" i="3"/>
  <c r="U402" i="3"/>
  <c r="I402" i="3"/>
  <c r="H402" i="3"/>
  <c r="AG401" i="3"/>
  <c r="AF401" i="3"/>
  <c r="AB401" i="3"/>
  <c r="AA401" i="3"/>
  <c r="Z401" i="3"/>
  <c r="Y401" i="3"/>
  <c r="X401" i="3"/>
  <c r="W401" i="3"/>
  <c r="V401" i="3"/>
  <c r="U401" i="3"/>
  <c r="I401" i="3"/>
  <c r="H401" i="3"/>
  <c r="AG400" i="3"/>
  <c r="AF400" i="3"/>
  <c r="AB400" i="3"/>
  <c r="AA400" i="3"/>
  <c r="Z400" i="3"/>
  <c r="Y400" i="3"/>
  <c r="X400" i="3"/>
  <c r="W400" i="3"/>
  <c r="V400" i="3"/>
  <c r="U400" i="3"/>
  <c r="I400" i="3"/>
  <c r="H400" i="3"/>
  <c r="AG399" i="3"/>
  <c r="AF399" i="3"/>
  <c r="AB399" i="3"/>
  <c r="AA399" i="3"/>
  <c r="Z399" i="3"/>
  <c r="Y399" i="3"/>
  <c r="X399" i="3"/>
  <c r="W399" i="3"/>
  <c r="V399" i="3"/>
  <c r="U399" i="3"/>
  <c r="I399" i="3"/>
  <c r="H399" i="3"/>
  <c r="AG398" i="3"/>
  <c r="AF398" i="3"/>
  <c r="AB398" i="3"/>
  <c r="AA398" i="3"/>
  <c r="Z398" i="3"/>
  <c r="Y398" i="3"/>
  <c r="X398" i="3"/>
  <c r="W398" i="3"/>
  <c r="V398" i="3"/>
  <c r="U398" i="3"/>
  <c r="I398" i="3"/>
  <c r="H398" i="3"/>
  <c r="AG397" i="3"/>
  <c r="AF397" i="3"/>
  <c r="AB397" i="3"/>
  <c r="AA397" i="3"/>
  <c r="Z397" i="3"/>
  <c r="Y397" i="3"/>
  <c r="X397" i="3"/>
  <c r="W397" i="3"/>
  <c r="V397" i="3"/>
  <c r="U397" i="3"/>
  <c r="I397" i="3"/>
  <c r="H397" i="3"/>
  <c r="AG396" i="3"/>
  <c r="AF396" i="3"/>
  <c r="AB396" i="3"/>
  <c r="AA396" i="3"/>
  <c r="Z396" i="3"/>
  <c r="Y396" i="3"/>
  <c r="X396" i="3"/>
  <c r="W396" i="3"/>
  <c r="V396" i="3"/>
  <c r="U396" i="3"/>
  <c r="I396" i="3"/>
  <c r="H396" i="3"/>
  <c r="AG395" i="3"/>
  <c r="AF395" i="3"/>
  <c r="AB395" i="3"/>
  <c r="AA395" i="3"/>
  <c r="Z395" i="3"/>
  <c r="Y395" i="3"/>
  <c r="X395" i="3"/>
  <c r="W395" i="3"/>
  <c r="V395" i="3"/>
  <c r="U395" i="3"/>
  <c r="I395" i="3"/>
  <c r="H395" i="3"/>
  <c r="AG394" i="3"/>
  <c r="AF394" i="3"/>
  <c r="AB394" i="3"/>
  <c r="AA394" i="3"/>
  <c r="Z394" i="3"/>
  <c r="Y394" i="3"/>
  <c r="X394" i="3"/>
  <c r="W394" i="3"/>
  <c r="V394" i="3"/>
  <c r="U394" i="3"/>
  <c r="I394" i="3"/>
  <c r="H394" i="3"/>
  <c r="AG393" i="3"/>
  <c r="AF393" i="3"/>
  <c r="AB393" i="3"/>
  <c r="AA393" i="3"/>
  <c r="Z393" i="3"/>
  <c r="Y393" i="3"/>
  <c r="X393" i="3"/>
  <c r="W393" i="3"/>
  <c r="V393" i="3"/>
  <c r="U393" i="3"/>
  <c r="I393" i="3"/>
  <c r="H393" i="3"/>
  <c r="AG392" i="3"/>
  <c r="AF392" i="3"/>
  <c r="AB392" i="3"/>
  <c r="AA392" i="3"/>
  <c r="Z392" i="3"/>
  <c r="Y392" i="3"/>
  <c r="X392" i="3"/>
  <c r="W392" i="3"/>
  <c r="V392" i="3"/>
  <c r="U392" i="3"/>
  <c r="I392" i="3"/>
  <c r="H392" i="3"/>
  <c r="AG391" i="3"/>
  <c r="AF391" i="3"/>
  <c r="AB391" i="3"/>
  <c r="AA391" i="3"/>
  <c r="Z391" i="3"/>
  <c r="Y391" i="3"/>
  <c r="X391" i="3"/>
  <c r="W391" i="3"/>
  <c r="V391" i="3"/>
  <c r="U391" i="3"/>
  <c r="I391" i="3"/>
  <c r="H391" i="3"/>
  <c r="AG390" i="3"/>
  <c r="AF390" i="3"/>
  <c r="AB390" i="3"/>
  <c r="AA390" i="3"/>
  <c r="Z390" i="3"/>
  <c r="Y390" i="3"/>
  <c r="X390" i="3"/>
  <c r="W390" i="3"/>
  <c r="V390" i="3"/>
  <c r="U390" i="3"/>
  <c r="I390" i="3"/>
  <c r="H390" i="3"/>
  <c r="AG389" i="3"/>
  <c r="AF389" i="3"/>
  <c r="AB389" i="3"/>
  <c r="AA389" i="3"/>
  <c r="Z389" i="3"/>
  <c r="Y389" i="3"/>
  <c r="X389" i="3"/>
  <c r="W389" i="3"/>
  <c r="V389" i="3"/>
  <c r="U389" i="3"/>
  <c r="I389" i="3"/>
  <c r="H389" i="3"/>
  <c r="AG388" i="3"/>
  <c r="AF388" i="3"/>
  <c r="AB388" i="3"/>
  <c r="AA388" i="3"/>
  <c r="Z388" i="3"/>
  <c r="Y388" i="3"/>
  <c r="X388" i="3"/>
  <c r="W388" i="3"/>
  <c r="V388" i="3"/>
  <c r="U388" i="3"/>
  <c r="I388" i="3"/>
  <c r="H388" i="3"/>
  <c r="AG387" i="3"/>
  <c r="AF387" i="3"/>
  <c r="AB387" i="3"/>
  <c r="AA387" i="3"/>
  <c r="Z387" i="3"/>
  <c r="Y387" i="3"/>
  <c r="X387" i="3"/>
  <c r="W387" i="3"/>
  <c r="V387" i="3"/>
  <c r="U387" i="3"/>
  <c r="I387" i="3"/>
  <c r="H387" i="3"/>
  <c r="AG386" i="3"/>
  <c r="AF386" i="3"/>
  <c r="AB386" i="3"/>
  <c r="AA386" i="3"/>
  <c r="Z386" i="3"/>
  <c r="Y386" i="3"/>
  <c r="X386" i="3"/>
  <c r="W386" i="3"/>
  <c r="V386" i="3"/>
  <c r="U386" i="3"/>
  <c r="I386" i="3"/>
  <c r="H386" i="3"/>
  <c r="AG385" i="3"/>
  <c r="AF385" i="3"/>
  <c r="AB385" i="3"/>
  <c r="AA385" i="3"/>
  <c r="Z385" i="3"/>
  <c r="Y385" i="3"/>
  <c r="X385" i="3"/>
  <c r="W385" i="3"/>
  <c r="V385" i="3"/>
  <c r="U385" i="3"/>
  <c r="I385" i="3"/>
  <c r="H385" i="3"/>
  <c r="AG384" i="3"/>
  <c r="AF384" i="3"/>
  <c r="AB384" i="3"/>
  <c r="AA384" i="3"/>
  <c r="Z384" i="3"/>
  <c r="Y384" i="3"/>
  <c r="X384" i="3"/>
  <c r="W384" i="3"/>
  <c r="V384" i="3"/>
  <c r="U384" i="3"/>
  <c r="I384" i="3"/>
  <c r="H384" i="3"/>
  <c r="AG383" i="3"/>
  <c r="AF383" i="3"/>
  <c r="AB383" i="3"/>
  <c r="AA383" i="3"/>
  <c r="Z383" i="3"/>
  <c r="Y383" i="3"/>
  <c r="X383" i="3"/>
  <c r="W383" i="3"/>
  <c r="V383" i="3"/>
  <c r="U383" i="3"/>
  <c r="I383" i="3"/>
  <c r="H383" i="3"/>
  <c r="AG382" i="3"/>
  <c r="AF382" i="3"/>
  <c r="AB382" i="3"/>
  <c r="AA382" i="3"/>
  <c r="Z382" i="3"/>
  <c r="Y382" i="3"/>
  <c r="X382" i="3"/>
  <c r="W382" i="3"/>
  <c r="V382" i="3"/>
  <c r="U382" i="3"/>
  <c r="I382" i="3"/>
  <c r="H382" i="3"/>
  <c r="AG381" i="3"/>
  <c r="AF381" i="3"/>
  <c r="AB381" i="3"/>
  <c r="AA381" i="3"/>
  <c r="Z381" i="3"/>
  <c r="Y381" i="3"/>
  <c r="X381" i="3"/>
  <c r="W381" i="3"/>
  <c r="V381" i="3"/>
  <c r="U381" i="3"/>
  <c r="I381" i="3"/>
  <c r="H381" i="3"/>
  <c r="AG380" i="3"/>
  <c r="AF380" i="3"/>
  <c r="AB380" i="3"/>
  <c r="AA380" i="3"/>
  <c r="Z380" i="3"/>
  <c r="Y380" i="3"/>
  <c r="X380" i="3"/>
  <c r="W380" i="3"/>
  <c r="V380" i="3"/>
  <c r="U380" i="3"/>
  <c r="I380" i="3"/>
  <c r="H380" i="3"/>
  <c r="AG379" i="3"/>
  <c r="AF379" i="3"/>
  <c r="AB379" i="3"/>
  <c r="AA379" i="3"/>
  <c r="Z379" i="3"/>
  <c r="Y379" i="3"/>
  <c r="X379" i="3"/>
  <c r="W379" i="3"/>
  <c r="V379" i="3"/>
  <c r="U379" i="3"/>
  <c r="I379" i="3"/>
  <c r="H379" i="3"/>
  <c r="AG378" i="3"/>
  <c r="AF378" i="3"/>
  <c r="AB378" i="3"/>
  <c r="AA378" i="3"/>
  <c r="Z378" i="3"/>
  <c r="Y378" i="3"/>
  <c r="X378" i="3"/>
  <c r="W378" i="3"/>
  <c r="V378" i="3"/>
  <c r="U378" i="3"/>
  <c r="I378" i="3"/>
  <c r="H378" i="3"/>
  <c r="AG377" i="3"/>
  <c r="AF377" i="3"/>
  <c r="AB377" i="3"/>
  <c r="AA377" i="3"/>
  <c r="Z377" i="3"/>
  <c r="Y377" i="3"/>
  <c r="X377" i="3"/>
  <c r="W377" i="3"/>
  <c r="V377" i="3"/>
  <c r="U377" i="3"/>
  <c r="I377" i="3"/>
  <c r="H377" i="3"/>
  <c r="AG376" i="3"/>
  <c r="AF376" i="3"/>
  <c r="AB376" i="3"/>
  <c r="AA376" i="3"/>
  <c r="Z376" i="3"/>
  <c r="Y376" i="3"/>
  <c r="X376" i="3"/>
  <c r="W376" i="3"/>
  <c r="V376" i="3"/>
  <c r="U376" i="3"/>
  <c r="I376" i="3"/>
  <c r="H376" i="3"/>
  <c r="AG375" i="3"/>
  <c r="AF375" i="3"/>
  <c r="AB375" i="3"/>
  <c r="AA375" i="3"/>
  <c r="Z375" i="3"/>
  <c r="Y375" i="3"/>
  <c r="X375" i="3"/>
  <c r="W375" i="3"/>
  <c r="V375" i="3"/>
  <c r="U375" i="3"/>
  <c r="I375" i="3"/>
  <c r="H375" i="3"/>
  <c r="AG374" i="3"/>
  <c r="AF374" i="3"/>
  <c r="AB374" i="3"/>
  <c r="AA374" i="3"/>
  <c r="Z374" i="3"/>
  <c r="Y374" i="3"/>
  <c r="X374" i="3"/>
  <c r="W374" i="3"/>
  <c r="V374" i="3"/>
  <c r="U374" i="3"/>
  <c r="I374" i="3"/>
  <c r="H374" i="3"/>
  <c r="AG373" i="3"/>
  <c r="AF373" i="3"/>
  <c r="AB373" i="3"/>
  <c r="AA373" i="3"/>
  <c r="Z373" i="3"/>
  <c r="Y373" i="3"/>
  <c r="X373" i="3"/>
  <c r="W373" i="3"/>
  <c r="V373" i="3"/>
  <c r="U373" i="3"/>
  <c r="I373" i="3"/>
  <c r="H373" i="3"/>
  <c r="AG372" i="3"/>
  <c r="AF372" i="3"/>
  <c r="AB372" i="3"/>
  <c r="AA372" i="3"/>
  <c r="Z372" i="3"/>
  <c r="Y372" i="3"/>
  <c r="X372" i="3"/>
  <c r="W372" i="3"/>
  <c r="V372" i="3"/>
  <c r="U372" i="3"/>
  <c r="I372" i="3"/>
  <c r="H372" i="3"/>
  <c r="AG371" i="3"/>
  <c r="AF371" i="3"/>
  <c r="AB371" i="3"/>
  <c r="AA371" i="3"/>
  <c r="Z371" i="3"/>
  <c r="Y371" i="3"/>
  <c r="X371" i="3"/>
  <c r="W371" i="3"/>
  <c r="V371" i="3"/>
  <c r="U371" i="3"/>
  <c r="I371" i="3"/>
  <c r="H371" i="3"/>
  <c r="AG370" i="3"/>
  <c r="AF370" i="3"/>
  <c r="AB370" i="3"/>
  <c r="AA370" i="3"/>
  <c r="Z370" i="3"/>
  <c r="Y370" i="3"/>
  <c r="X370" i="3"/>
  <c r="W370" i="3"/>
  <c r="V370" i="3"/>
  <c r="U370" i="3"/>
  <c r="I370" i="3"/>
  <c r="H370" i="3"/>
  <c r="AG369" i="3"/>
  <c r="AF369" i="3"/>
  <c r="AB369" i="3"/>
  <c r="AA369" i="3"/>
  <c r="Z369" i="3"/>
  <c r="Y369" i="3"/>
  <c r="X369" i="3"/>
  <c r="W369" i="3"/>
  <c r="V369" i="3"/>
  <c r="U369" i="3"/>
  <c r="I369" i="3"/>
  <c r="H369" i="3"/>
  <c r="AG368" i="3"/>
  <c r="AF368" i="3"/>
  <c r="AB368" i="3"/>
  <c r="AA368" i="3"/>
  <c r="Z368" i="3"/>
  <c r="Y368" i="3"/>
  <c r="X368" i="3"/>
  <c r="W368" i="3"/>
  <c r="V368" i="3"/>
  <c r="U368" i="3"/>
  <c r="I368" i="3"/>
  <c r="H368" i="3"/>
  <c r="AG367" i="3"/>
  <c r="AF367" i="3"/>
  <c r="AB367" i="3"/>
  <c r="AA367" i="3"/>
  <c r="Z367" i="3"/>
  <c r="Y367" i="3"/>
  <c r="X367" i="3"/>
  <c r="W367" i="3"/>
  <c r="V367" i="3"/>
  <c r="U367" i="3"/>
  <c r="I367" i="3"/>
  <c r="H367" i="3"/>
  <c r="AG366" i="3"/>
  <c r="AF366" i="3"/>
  <c r="AB366" i="3"/>
  <c r="AA366" i="3"/>
  <c r="Z366" i="3"/>
  <c r="Y366" i="3"/>
  <c r="X366" i="3"/>
  <c r="W366" i="3"/>
  <c r="V366" i="3"/>
  <c r="U366" i="3"/>
  <c r="I366" i="3"/>
  <c r="H366" i="3"/>
  <c r="AG365" i="3"/>
  <c r="AF365" i="3"/>
  <c r="AB365" i="3"/>
  <c r="AA365" i="3"/>
  <c r="Z365" i="3"/>
  <c r="Y365" i="3"/>
  <c r="X365" i="3"/>
  <c r="W365" i="3"/>
  <c r="V365" i="3"/>
  <c r="U365" i="3"/>
  <c r="I365" i="3"/>
  <c r="H365" i="3"/>
  <c r="AG364" i="3"/>
  <c r="AF364" i="3"/>
  <c r="AB364" i="3"/>
  <c r="AA364" i="3"/>
  <c r="Z364" i="3"/>
  <c r="Y364" i="3"/>
  <c r="X364" i="3"/>
  <c r="W364" i="3"/>
  <c r="V364" i="3"/>
  <c r="U364" i="3"/>
  <c r="I364" i="3"/>
  <c r="H364" i="3"/>
  <c r="AG363" i="3"/>
  <c r="AF363" i="3"/>
  <c r="AB363" i="3"/>
  <c r="AA363" i="3"/>
  <c r="Z363" i="3"/>
  <c r="Y363" i="3"/>
  <c r="X363" i="3"/>
  <c r="W363" i="3"/>
  <c r="V363" i="3"/>
  <c r="U363" i="3"/>
  <c r="I363" i="3"/>
  <c r="H363" i="3"/>
  <c r="AG362" i="3"/>
  <c r="AF362" i="3"/>
  <c r="AB362" i="3"/>
  <c r="AA362" i="3"/>
  <c r="Z362" i="3"/>
  <c r="Y362" i="3"/>
  <c r="X362" i="3"/>
  <c r="W362" i="3"/>
  <c r="V362" i="3"/>
  <c r="U362" i="3"/>
  <c r="I362" i="3"/>
  <c r="H362" i="3"/>
  <c r="AG361" i="3"/>
  <c r="AF361" i="3"/>
  <c r="AB361" i="3"/>
  <c r="AA361" i="3"/>
  <c r="Z361" i="3"/>
  <c r="Y361" i="3"/>
  <c r="X361" i="3"/>
  <c r="W361" i="3"/>
  <c r="V361" i="3"/>
  <c r="U361" i="3"/>
  <c r="I361" i="3"/>
  <c r="H361" i="3"/>
  <c r="AG360" i="3"/>
  <c r="AF360" i="3"/>
  <c r="AB360" i="3"/>
  <c r="AA360" i="3"/>
  <c r="Z360" i="3"/>
  <c r="Y360" i="3"/>
  <c r="X360" i="3"/>
  <c r="W360" i="3"/>
  <c r="V360" i="3"/>
  <c r="U360" i="3"/>
  <c r="I360" i="3"/>
  <c r="H360" i="3"/>
  <c r="AG359" i="3"/>
  <c r="AF359" i="3"/>
  <c r="AB359" i="3"/>
  <c r="AA359" i="3"/>
  <c r="Z359" i="3"/>
  <c r="Y359" i="3"/>
  <c r="X359" i="3"/>
  <c r="W359" i="3"/>
  <c r="V359" i="3"/>
  <c r="U359" i="3"/>
  <c r="I359" i="3"/>
  <c r="H359" i="3"/>
  <c r="AG358" i="3"/>
  <c r="AF358" i="3"/>
  <c r="AB358" i="3"/>
  <c r="AA358" i="3"/>
  <c r="Z358" i="3"/>
  <c r="Y358" i="3"/>
  <c r="X358" i="3"/>
  <c r="W358" i="3"/>
  <c r="V358" i="3"/>
  <c r="U358" i="3"/>
  <c r="I358" i="3"/>
  <c r="H358" i="3"/>
  <c r="AG357" i="3"/>
  <c r="AF357" i="3"/>
  <c r="AB357" i="3"/>
  <c r="AA357" i="3"/>
  <c r="Z357" i="3"/>
  <c r="Y357" i="3"/>
  <c r="X357" i="3"/>
  <c r="W357" i="3"/>
  <c r="V357" i="3"/>
  <c r="U357" i="3"/>
  <c r="I357" i="3"/>
  <c r="H357" i="3"/>
  <c r="AG356" i="3"/>
  <c r="AF356" i="3"/>
  <c r="AB356" i="3"/>
  <c r="AA356" i="3"/>
  <c r="Z356" i="3"/>
  <c r="Y356" i="3"/>
  <c r="X356" i="3"/>
  <c r="W356" i="3"/>
  <c r="V356" i="3"/>
  <c r="U356" i="3"/>
  <c r="I356" i="3"/>
  <c r="H356" i="3"/>
  <c r="AG355" i="3"/>
  <c r="AF355" i="3"/>
  <c r="AB355" i="3"/>
  <c r="AA355" i="3"/>
  <c r="Z355" i="3"/>
  <c r="Y355" i="3"/>
  <c r="X355" i="3"/>
  <c r="W355" i="3"/>
  <c r="V355" i="3"/>
  <c r="U355" i="3"/>
  <c r="I355" i="3"/>
  <c r="H355" i="3"/>
  <c r="AG354" i="3"/>
  <c r="AF354" i="3"/>
  <c r="AB354" i="3"/>
  <c r="AA354" i="3"/>
  <c r="Z354" i="3"/>
  <c r="Y354" i="3"/>
  <c r="X354" i="3"/>
  <c r="W354" i="3"/>
  <c r="V354" i="3"/>
  <c r="U354" i="3"/>
  <c r="I354" i="3"/>
  <c r="H354" i="3"/>
  <c r="AG353" i="3"/>
  <c r="AF353" i="3"/>
  <c r="AB353" i="3"/>
  <c r="AA353" i="3"/>
  <c r="Z353" i="3"/>
  <c r="Y353" i="3"/>
  <c r="X353" i="3"/>
  <c r="W353" i="3"/>
  <c r="V353" i="3"/>
  <c r="U353" i="3"/>
  <c r="I353" i="3"/>
  <c r="H353" i="3"/>
  <c r="AG352" i="3"/>
  <c r="AF352" i="3"/>
  <c r="AB352" i="3"/>
  <c r="AA352" i="3"/>
  <c r="Z352" i="3"/>
  <c r="Y352" i="3"/>
  <c r="X352" i="3"/>
  <c r="W352" i="3"/>
  <c r="V352" i="3"/>
  <c r="U352" i="3"/>
  <c r="I352" i="3"/>
  <c r="H352" i="3"/>
  <c r="AG351" i="3"/>
  <c r="AF351" i="3"/>
  <c r="AB351" i="3"/>
  <c r="AA351" i="3"/>
  <c r="Z351" i="3"/>
  <c r="Y351" i="3"/>
  <c r="X351" i="3"/>
  <c r="W351" i="3"/>
  <c r="V351" i="3"/>
  <c r="U351" i="3"/>
  <c r="I351" i="3"/>
  <c r="H351" i="3"/>
  <c r="AG350" i="3"/>
  <c r="AF350" i="3"/>
  <c r="AB350" i="3"/>
  <c r="AA350" i="3"/>
  <c r="Z350" i="3"/>
  <c r="Y350" i="3"/>
  <c r="X350" i="3"/>
  <c r="W350" i="3"/>
  <c r="V350" i="3"/>
  <c r="U350" i="3"/>
  <c r="I350" i="3"/>
  <c r="H350" i="3"/>
  <c r="AG349" i="3"/>
  <c r="AF349" i="3"/>
  <c r="AB349" i="3"/>
  <c r="AA349" i="3"/>
  <c r="Z349" i="3"/>
  <c r="Y349" i="3"/>
  <c r="X349" i="3"/>
  <c r="W349" i="3"/>
  <c r="V349" i="3"/>
  <c r="U349" i="3"/>
  <c r="I349" i="3"/>
  <c r="H349" i="3"/>
  <c r="AG348" i="3"/>
  <c r="AF348" i="3"/>
  <c r="AB348" i="3"/>
  <c r="AA348" i="3"/>
  <c r="Z348" i="3"/>
  <c r="Y348" i="3"/>
  <c r="X348" i="3"/>
  <c r="W348" i="3"/>
  <c r="V348" i="3"/>
  <c r="U348" i="3"/>
  <c r="I348" i="3"/>
  <c r="H348" i="3"/>
  <c r="AG347" i="3"/>
  <c r="AF347" i="3"/>
  <c r="AB347" i="3"/>
  <c r="AA347" i="3"/>
  <c r="Z347" i="3"/>
  <c r="Y347" i="3"/>
  <c r="X347" i="3"/>
  <c r="W347" i="3"/>
  <c r="V347" i="3"/>
  <c r="U347" i="3"/>
  <c r="I347" i="3"/>
  <c r="H347" i="3"/>
  <c r="AG346" i="3"/>
  <c r="AF346" i="3"/>
  <c r="AB346" i="3"/>
  <c r="AA346" i="3"/>
  <c r="Z346" i="3"/>
  <c r="Y346" i="3"/>
  <c r="X346" i="3"/>
  <c r="W346" i="3"/>
  <c r="V346" i="3"/>
  <c r="U346" i="3"/>
  <c r="I346" i="3"/>
  <c r="H346" i="3"/>
  <c r="AG345" i="3"/>
  <c r="AF345" i="3"/>
  <c r="AB345" i="3"/>
  <c r="AA345" i="3"/>
  <c r="Z345" i="3"/>
  <c r="Y345" i="3"/>
  <c r="X345" i="3"/>
  <c r="W345" i="3"/>
  <c r="V345" i="3"/>
  <c r="U345" i="3"/>
  <c r="I345" i="3"/>
  <c r="H345" i="3"/>
  <c r="AG344" i="3"/>
  <c r="AF344" i="3"/>
  <c r="AB344" i="3"/>
  <c r="AA344" i="3"/>
  <c r="Z344" i="3"/>
  <c r="Y344" i="3"/>
  <c r="X344" i="3"/>
  <c r="W344" i="3"/>
  <c r="V344" i="3"/>
  <c r="U344" i="3"/>
  <c r="I344" i="3"/>
  <c r="H344" i="3"/>
  <c r="AG343" i="3"/>
  <c r="AF343" i="3"/>
  <c r="AB343" i="3"/>
  <c r="AA343" i="3"/>
  <c r="Z343" i="3"/>
  <c r="Y343" i="3"/>
  <c r="X343" i="3"/>
  <c r="W343" i="3"/>
  <c r="V343" i="3"/>
  <c r="U343" i="3"/>
  <c r="I343" i="3"/>
  <c r="H343" i="3"/>
  <c r="AG342" i="3"/>
  <c r="AF342" i="3"/>
  <c r="AB342" i="3"/>
  <c r="AA342" i="3"/>
  <c r="Z342" i="3"/>
  <c r="Y342" i="3"/>
  <c r="X342" i="3"/>
  <c r="W342" i="3"/>
  <c r="V342" i="3"/>
  <c r="U342" i="3"/>
  <c r="I342" i="3"/>
  <c r="H342" i="3"/>
  <c r="AG341" i="3"/>
  <c r="AF341" i="3"/>
  <c r="AB341" i="3"/>
  <c r="AA341" i="3"/>
  <c r="Z341" i="3"/>
  <c r="Y341" i="3"/>
  <c r="X341" i="3"/>
  <c r="W341" i="3"/>
  <c r="V341" i="3"/>
  <c r="U341" i="3"/>
  <c r="I341" i="3"/>
  <c r="H341" i="3"/>
  <c r="AG340" i="3"/>
  <c r="AF340" i="3"/>
  <c r="AB340" i="3"/>
  <c r="AA340" i="3"/>
  <c r="Z340" i="3"/>
  <c r="Y340" i="3"/>
  <c r="X340" i="3"/>
  <c r="W340" i="3"/>
  <c r="V340" i="3"/>
  <c r="U340" i="3"/>
  <c r="I340" i="3"/>
  <c r="H340" i="3"/>
  <c r="AG339" i="3"/>
  <c r="AF339" i="3"/>
  <c r="AB339" i="3"/>
  <c r="AA339" i="3"/>
  <c r="Z339" i="3"/>
  <c r="Y339" i="3"/>
  <c r="X339" i="3"/>
  <c r="W339" i="3"/>
  <c r="V339" i="3"/>
  <c r="U339" i="3"/>
  <c r="I339" i="3"/>
  <c r="H339" i="3"/>
  <c r="AG338" i="3"/>
  <c r="AF338" i="3"/>
  <c r="AB338" i="3"/>
  <c r="AA338" i="3"/>
  <c r="Z338" i="3"/>
  <c r="Y338" i="3"/>
  <c r="X338" i="3"/>
  <c r="W338" i="3"/>
  <c r="V338" i="3"/>
  <c r="U338" i="3"/>
  <c r="I338" i="3"/>
  <c r="H338" i="3"/>
  <c r="AG337" i="3"/>
  <c r="AF337" i="3"/>
  <c r="AB337" i="3"/>
  <c r="AA337" i="3"/>
  <c r="Z337" i="3"/>
  <c r="Y337" i="3"/>
  <c r="X337" i="3"/>
  <c r="W337" i="3"/>
  <c r="V337" i="3"/>
  <c r="U337" i="3"/>
  <c r="I337" i="3"/>
  <c r="H337" i="3"/>
  <c r="AG336" i="3"/>
  <c r="AF336" i="3"/>
  <c r="AB336" i="3"/>
  <c r="AA336" i="3"/>
  <c r="Z336" i="3"/>
  <c r="Y336" i="3"/>
  <c r="X336" i="3"/>
  <c r="W336" i="3"/>
  <c r="V336" i="3"/>
  <c r="U336" i="3"/>
  <c r="I336" i="3"/>
  <c r="H336" i="3"/>
  <c r="AG335" i="3"/>
  <c r="AF335" i="3"/>
  <c r="AB335" i="3"/>
  <c r="AA335" i="3"/>
  <c r="Z335" i="3"/>
  <c r="Y335" i="3"/>
  <c r="X335" i="3"/>
  <c r="W335" i="3"/>
  <c r="V335" i="3"/>
  <c r="U335" i="3"/>
  <c r="I335" i="3"/>
  <c r="H335" i="3"/>
  <c r="AG334" i="3"/>
  <c r="AF334" i="3"/>
  <c r="AB334" i="3"/>
  <c r="AA334" i="3"/>
  <c r="Z334" i="3"/>
  <c r="Y334" i="3"/>
  <c r="X334" i="3"/>
  <c r="W334" i="3"/>
  <c r="V334" i="3"/>
  <c r="U334" i="3"/>
  <c r="I334" i="3"/>
  <c r="H334" i="3"/>
  <c r="AG333" i="3"/>
  <c r="AF333" i="3"/>
  <c r="AB333" i="3"/>
  <c r="AA333" i="3"/>
  <c r="Z333" i="3"/>
  <c r="Y333" i="3"/>
  <c r="X333" i="3"/>
  <c r="W333" i="3"/>
  <c r="V333" i="3"/>
  <c r="U333" i="3"/>
  <c r="I333" i="3"/>
  <c r="H333" i="3"/>
  <c r="AG332" i="3"/>
  <c r="AF332" i="3"/>
  <c r="AB332" i="3"/>
  <c r="AA332" i="3"/>
  <c r="Z332" i="3"/>
  <c r="Y332" i="3"/>
  <c r="X332" i="3"/>
  <c r="W332" i="3"/>
  <c r="V332" i="3"/>
  <c r="U332" i="3"/>
  <c r="I332" i="3"/>
  <c r="H332" i="3"/>
  <c r="AG331" i="3"/>
  <c r="AF331" i="3"/>
  <c r="AB331" i="3"/>
  <c r="AA331" i="3"/>
  <c r="Z331" i="3"/>
  <c r="Y331" i="3"/>
  <c r="X331" i="3"/>
  <c r="W331" i="3"/>
  <c r="V331" i="3"/>
  <c r="U331" i="3"/>
  <c r="I331" i="3"/>
  <c r="H331" i="3"/>
  <c r="AG330" i="3"/>
  <c r="AF330" i="3"/>
  <c r="AB330" i="3"/>
  <c r="AA330" i="3"/>
  <c r="Z330" i="3"/>
  <c r="Y330" i="3"/>
  <c r="X330" i="3"/>
  <c r="W330" i="3"/>
  <c r="V330" i="3"/>
  <c r="U330" i="3"/>
  <c r="I330" i="3"/>
  <c r="H330" i="3"/>
  <c r="AG329" i="3"/>
  <c r="AF329" i="3"/>
  <c r="AB329" i="3"/>
  <c r="AA329" i="3"/>
  <c r="Z329" i="3"/>
  <c r="Y329" i="3"/>
  <c r="X329" i="3"/>
  <c r="W329" i="3"/>
  <c r="V329" i="3"/>
  <c r="U329" i="3"/>
  <c r="I329" i="3"/>
  <c r="H329" i="3"/>
  <c r="AG328" i="3"/>
  <c r="AF328" i="3"/>
  <c r="AB328" i="3"/>
  <c r="AA328" i="3"/>
  <c r="Z328" i="3"/>
  <c r="Y328" i="3"/>
  <c r="X328" i="3"/>
  <c r="W328" i="3"/>
  <c r="V328" i="3"/>
  <c r="U328" i="3"/>
  <c r="I328" i="3"/>
  <c r="H328" i="3"/>
  <c r="AG327" i="3"/>
  <c r="AF327" i="3"/>
  <c r="AB327" i="3"/>
  <c r="AA327" i="3"/>
  <c r="Z327" i="3"/>
  <c r="Y327" i="3"/>
  <c r="X327" i="3"/>
  <c r="W327" i="3"/>
  <c r="V327" i="3"/>
  <c r="U327" i="3"/>
  <c r="I327" i="3"/>
  <c r="H327" i="3"/>
  <c r="AG326" i="3"/>
  <c r="AF326" i="3"/>
  <c r="AB326" i="3"/>
  <c r="AA326" i="3"/>
  <c r="Z326" i="3"/>
  <c r="Y326" i="3"/>
  <c r="X326" i="3"/>
  <c r="W326" i="3"/>
  <c r="V326" i="3"/>
  <c r="U326" i="3"/>
  <c r="I326" i="3"/>
  <c r="H326" i="3"/>
  <c r="AG325" i="3"/>
  <c r="AF325" i="3"/>
  <c r="AB325" i="3"/>
  <c r="AA325" i="3"/>
  <c r="Z325" i="3"/>
  <c r="Y325" i="3"/>
  <c r="X325" i="3"/>
  <c r="W325" i="3"/>
  <c r="V325" i="3"/>
  <c r="U325" i="3"/>
  <c r="I325" i="3"/>
  <c r="H325" i="3"/>
  <c r="AG324" i="3"/>
  <c r="AF324" i="3"/>
  <c r="AB324" i="3"/>
  <c r="AA324" i="3"/>
  <c r="Z324" i="3"/>
  <c r="Y324" i="3"/>
  <c r="X324" i="3"/>
  <c r="W324" i="3"/>
  <c r="V324" i="3"/>
  <c r="U324" i="3"/>
  <c r="I324" i="3"/>
  <c r="H324" i="3"/>
  <c r="AG323" i="3"/>
  <c r="AF323" i="3"/>
  <c r="AB323" i="3"/>
  <c r="AA323" i="3"/>
  <c r="Z323" i="3"/>
  <c r="Y323" i="3"/>
  <c r="X323" i="3"/>
  <c r="W323" i="3"/>
  <c r="V323" i="3"/>
  <c r="U323" i="3"/>
  <c r="I323" i="3"/>
  <c r="H323" i="3"/>
  <c r="AG322" i="3"/>
  <c r="AF322" i="3"/>
  <c r="AB322" i="3"/>
  <c r="AA322" i="3"/>
  <c r="Z322" i="3"/>
  <c r="Y322" i="3"/>
  <c r="X322" i="3"/>
  <c r="W322" i="3"/>
  <c r="V322" i="3"/>
  <c r="U322" i="3"/>
  <c r="I322" i="3"/>
  <c r="H322" i="3"/>
  <c r="AG321" i="3"/>
  <c r="AF321" i="3"/>
  <c r="AB321" i="3"/>
  <c r="AA321" i="3"/>
  <c r="Z321" i="3"/>
  <c r="Y321" i="3"/>
  <c r="X321" i="3"/>
  <c r="W321" i="3"/>
  <c r="V321" i="3"/>
  <c r="U321" i="3"/>
  <c r="I321" i="3"/>
  <c r="H321" i="3"/>
  <c r="AG320" i="3"/>
  <c r="AF320" i="3"/>
  <c r="AB320" i="3"/>
  <c r="AA320" i="3"/>
  <c r="Z320" i="3"/>
  <c r="Y320" i="3"/>
  <c r="X320" i="3"/>
  <c r="W320" i="3"/>
  <c r="V320" i="3"/>
  <c r="U320" i="3"/>
  <c r="I320" i="3"/>
  <c r="H320" i="3"/>
  <c r="AG319" i="3"/>
  <c r="AF319" i="3"/>
  <c r="AB319" i="3"/>
  <c r="AA319" i="3"/>
  <c r="Z319" i="3"/>
  <c r="Y319" i="3"/>
  <c r="X319" i="3"/>
  <c r="W319" i="3"/>
  <c r="V319" i="3"/>
  <c r="U319" i="3"/>
  <c r="I319" i="3"/>
  <c r="H319" i="3"/>
  <c r="AG318" i="3"/>
  <c r="AF318" i="3"/>
  <c r="AB318" i="3"/>
  <c r="AA318" i="3"/>
  <c r="Z318" i="3"/>
  <c r="Y318" i="3"/>
  <c r="X318" i="3"/>
  <c r="W318" i="3"/>
  <c r="V318" i="3"/>
  <c r="U318" i="3"/>
  <c r="I318" i="3"/>
  <c r="H318" i="3"/>
  <c r="AG317" i="3"/>
  <c r="AF317" i="3"/>
  <c r="AB317" i="3"/>
  <c r="AA317" i="3"/>
  <c r="Z317" i="3"/>
  <c r="Y317" i="3"/>
  <c r="X317" i="3"/>
  <c r="W317" i="3"/>
  <c r="V317" i="3"/>
  <c r="U317" i="3"/>
  <c r="I317" i="3"/>
  <c r="H317" i="3"/>
  <c r="AG316" i="3"/>
  <c r="AF316" i="3"/>
  <c r="AB316" i="3"/>
  <c r="AA316" i="3"/>
  <c r="Z316" i="3"/>
  <c r="Y316" i="3"/>
  <c r="X316" i="3"/>
  <c r="W316" i="3"/>
  <c r="V316" i="3"/>
  <c r="U316" i="3"/>
  <c r="I316" i="3"/>
  <c r="H316" i="3"/>
  <c r="AG315" i="3"/>
  <c r="AF315" i="3"/>
  <c r="AB315" i="3"/>
  <c r="AA315" i="3"/>
  <c r="Z315" i="3"/>
  <c r="Y315" i="3"/>
  <c r="X315" i="3"/>
  <c r="W315" i="3"/>
  <c r="V315" i="3"/>
  <c r="U315" i="3"/>
  <c r="I315" i="3"/>
  <c r="H315" i="3"/>
  <c r="AG314" i="3"/>
  <c r="AF314" i="3"/>
  <c r="AB314" i="3"/>
  <c r="AA314" i="3"/>
  <c r="Z314" i="3"/>
  <c r="Y314" i="3"/>
  <c r="X314" i="3"/>
  <c r="W314" i="3"/>
  <c r="V314" i="3"/>
  <c r="U314" i="3"/>
  <c r="I314" i="3"/>
  <c r="H314" i="3"/>
  <c r="AG313" i="3"/>
  <c r="AF313" i="3"/>
  <c r="AB313" i="3"/>
  <c r="AA313" i="3"/>
  <c r="Z313" i="3"/>
  <c r="Y313" i="3"/>
  <c r="X313" i="3"/>
  <c r="W313" i="3"/>
  <c r="V313" i="3"/>
  <c r="U313" i="3"/>
  <c r="I313" i="3"/>
  <c r="H313" i="3"/>
  <c r="AG312" i="3"/>
  <c r="AF312" i="3"/>
  <c r="AB312" i="3"/>
  <c r="AA312" i="3"/>
  <c r="Z312" i="3"/>
  <c r="Y312" i="3"/>
  <c r="X312" i="3"/>
  <c r="W312" i="3"/>
  <c r="V312" i="3"/>
  <c r="U312" i="3"/>
  <c r="I312" i="3"/>
  <c r="H312" i="3"/>
  <c r="AG311" i="3"/>
  <c r="AF311" i="3"/>
  <c r="AB311" i="3"/>
  <c r="AA311" i="3"/>
  <c r="Z311" i="3"/>
  <c r="Y311" i="3"/>
  <c r="X311" i="3"/>
  <c r="W311" i="3"/>
  <c r="V311" i="3"/>
  <c r="U311" i="3"/>
  <c r="I311" i="3"/>
  <c r="H311" i="3"/>
  <c r="AG310" i="3"/>
  <c r="AF310" i="3"/>
  <c r="AB310" i="3"/>
  <c r="AA310" i="3"/>
  <c r="Z310" i="3"/>
  <c r="Y310" i="3"/>
  <c r="X310" i="3"/>
  <c r="W310" i="3"/>
  <c r="V310" i="3"/>
  <c r="U310" i="3"/>
  <c r="I310" i="3"/>
  <c r="H310" i="3"/>
  <c r="AG309" i="3"/>
  <c r="AF309" i="3"/>
  <c r="AB309" i="3"/>
  <c r="AA309" i="3"/>
  <c r="Z309" i="3"/>
  <c r="Y309" i="3"/>
  <c r="X309" i="3"/>
  <c r="W309" i="3"/>
  <c r="V309" i="3"/>
  <c r="U309" i="3"/>
  <c r="I309" i="3"/>
  <c r="H309" i="3"/>
  <c r="AG308" i="3"/>
  <c r="AF308" i="3"/>
  <c r="AB308" i="3"/>
  <c r="AA308" i="3"/>
  <c r="Z308" i="3"/>
  <c r="Y308" i="3"/>
  <c r="X308" i="3"/>
  <c r="W308" i="3"/>
  <c r="V308" i="3"/>
  <c r="U308" i="3"/>
  <c r="I308" i="3"/>
  <c r="H308" i="3"/>
  <c r="AG307" i="3"/>
  <c r="AF307" i="3"/>
  <c r="AB307" i="3"/>
  <c r="AA307" i="3"/>
  <c r="Z307" i="3"/>
  <c r="Y307" i="3"/>
  <c r="X307" i="3"/>
  <c r="W307" i="3"/>
  <c r="V307" i="3"/>
  <c r="U307" i="3"/>
  <c r="I307" i="3"/>
  <c r="H307" i="3"/>
  <c r="AG306" i="3"/>
  <c r="AF306" i="3"/>
  <c r="AB306" i="3"/>
  <c r="AA306" i="3"/>
  <c r="Z306" i="3"/>
  <c r="Y306" i="3"/>
  <c r="X306" i="3"/>
  <c r="W306" i="3"/>
  <c r="V306" i="3"/>
  <c r="U306" i="3"/>
  <c r="I306" i="3"/>
  <c r="H306" i="3"/>
  <c r="AG305" i="3"/>
  <c r="AF305" i="3"/>
  <c r="AB305" i="3"/>
  <c r="AA305" i="3"/>
  <c r="Z305" i="3"/>
  <c r="Y305" i="3"/>
  <c r="X305" i="3"/>
  <c r="W305" i="3"/>
  <c r="V305" i="3"/>
  <c r="U305" i="3"/>
  <c r="I305" i="3"/>
  <c r="H305" i="3"/>
  <c r="AG304" i="3"/>
  <c r="AF304" i="3"/>
  <c r="AB304" i="3"/>
  <c r="AA304" i="3"/>
  <c r="Z304" i="3"/>
  <c r="Y304" i="3"/>
  <c r="X304" i="3"/>
  <c r="W304" i="3"/>
  <c r="V304" i="3"/>
  <c r="U304" i="3"/>
  <c r="I304" i="3"/>
  <c r="H304" i="3"/>
  <c r="AG303" i="3"/>
  <c r="AF303" i="3"/>
  <c r="AB303" i="3"/>
  <c r="AA303" i="3"/>
  <c r="Z303" i="3"/>
  <c r="Y303" i="3"/>
  <c r="X303" i="3"/>
  <c r="W303" i="3"/>
  <c r="V303" i="3"/>
  <c r="U303" i="3"/>
  <c r="I303" i="3"/>
  <c r="H303" i="3"/>
  <c r="AG302" i="3"/>
  <c r="AF302" i="3"/>
  <c r="AB302" i="3"/>
  <c r="AA302" i="3"/>
  <c r="Z302" i="3"/>
  <c r="Y302" i="3"/>
  <c r="X302" i="3"/>
  <c r="W302" i="3"/>
  <c r="V302" i="3"/>
  <c r="U302" i="3"/>
  <c r="I302" i="3"/>
  <c r="H302" i="3"/>
  <c r="AG301" i="3"/>
  <c r="AF301" i="3"/>
  <c r="AB301" i="3"/>
  <c r="AA301" i="3"/>
  <c r="Z301" i="3"/>
  <c r="Y301" i="3"/>
  <c r="X301" i="3"/>
  <c r="W301" i="3"/>
  <c r="V301" i="3"/>
  <c r="U301" i="3"/>
  <c r="I301" i="3"/>
  <c r="H301" i="3"/>
  <c r="AG300" i="3"/>
  <c r="AF300" i="3"/>
  <c r="AB300" i="3"/>
  <c r="AA300" i="3"/>
  <c r="Z300" i="3"/>
  <c r="Y300" i="3"/>
  <c r="X300" i="3"/>
  <c r="W300" i="3"/>
  <c r="V300" i="3"/>
  <c r="U300" i="3"/>
  <c r="I300" i="3"/>
  <c r="H300" i="3"/>
  <c r="AG299" i="3"/>
  <c r="AF299" i="3"/>
  <c r="AB299" i="3"/>
  <c r="AA299" i="3"/>
  <c r="Z299" i="3"/>
  <c r="Y299" i="3"/>
  <c r="X299" i="3"/>
  <c r="W299" i="3"/>
  <c r="V299" i="3"/>
  <c r="U299" i="3"/>
  <c r="I299" i="3"/>
  <c r="H299" i="3"/>
  <c r="AG298" i="3"/>
  <c r="AF298" i="3"/>
  <c r="AB298" i="3"/>
  <c r="AA298" i="3"/>
  <c r="Z298" i="3"/>
  <c r="Y298" i="3"/>
  <c r="X298" i="3"/>
  <c r="W298" i="3"/>
  <c r="V298" i="3"/>
  <c r="U298" i="3"/>
  <c r="I298" i="3"/>
  <c r="H298" i="3"/>
  <c r="AG297" i="3"/>
  <c r="AF297" i="3"/>
  <c r="AB297" i="3"/>
  <c r="AA297" i="3"/>
  <c r="Z297" i="3"/>
  <c r="Y297" i="3"/>
  <c r="X297" i="3"/>
  <c r="W297" i="3"/>
  <c r="V297" i="3"/>
  <c r="U297" i="3"/>
  <c r="I297" i="3"/>
  <c r="H297" i="3"/>
  <c r="AG296" i="3"/>
  <c r="AF296" i="3"/>
  <c r="AB296" i="3"/>
  <c r="AA296" i="3"/>
  <c r="Z296" i="3"/>
  <c r="Y296" i="3"/>
  <c r="X296" i="3"/>
  <c r="W296" i="3"/>
  <c r="V296" i="3"/>
  <c r="U296" i="3"/>
  <c r="I296" i="3"/>
  <c r="H296" i="3"/>
  <c r="AG295" i="3"/>
  <c r="AF295" i="3"/>
  <c r="AB295" i="3"/>
  <c r="AA295" i="3"/>
  <c r="Z295" i="3"/>
  <c r="Y295" i="3"/>
  <c r="X295" i="3"/>
  <c r="W295" i="3"/>
  <c r="V295" i="3"/>
  <c r="U295" i="3"/>
  <c r="I295" i="3"/>
  <c r="H295" i="3"/>
  <c r="AG294" i="3"/>
  <c r="AF294" i="3"/>
  <c r="AB294" i="3"/>
  <c r="AA294" i="3"/>
  <c r="Z294" i="3"/>
  <c r="Y294" i="3"/>
  <c r="X294" i="3"/>
  <c r="W294" i="3"/>
  <c r="V294" i="3"/>
  <c r="U294" i="3"/>
  <c r="I294" i="3"/>
  <c r="H294" i="3"/>
  <c r="AG293" i="3"/>
  <c r="AF293" i="3"/>
  <c r="AB293" i="3"/>
  <c r="AA293" i="3"/>
  <c r="Z293" i="3"/>
  <c r="Y293" i="3"/>
  <c r="X293" i="3"/>
  <c r="W293" i="3"/>
  <c r="V293" i="3"/>
  <c r="U293" i="3"/>
  <c r="I293" i="3"/>
  <c r="H293" i="3"/>
  <c r="AG292" i="3"/>
  <c r="AF292" i="3"/>
  <c r="AB292" i="3"/>
  <c r="AA292" i="3"/>
  <c r="Z292" i="3"/>
  <c r="Y292" i="3"/>
  <c r="X292" i="3"/>
  <c r="W292" i="3"/>
  <c r="V292" i="3"/>
  <c r="U292" i="3"/>
  <c r="I292" i="3"/>
  <c r="H292" i="3"/>
  <c r="AG291" i="3"/>
  <c r="AF291" i="3"/>
  <c r="AB291" i="3"/>
  <c r="AA291" i="3"/>
  <c r="Z291" i="3"/>
  <c r="Y291" i="3"/>
  <c r="X291" i="3"/>
  <c r="W291" i="3"/>
  <c r="V291" i="3"/>
  <c r="U291" i="3"/>
  <c r="I291" i="3"/>
  <c r="H291" i="3"/>
  <c r="AG290" i="3"/>
  <c r="AF290" i="3"/>
  <c r="AB290" i="3"/>
  <c r="AA290" i="3"/>
  <c r="Z290" i="3"/>
  <c r="Y290" i="3"/>
  <c r="X290" i="3"/>
  <c r="W290" i="3"/>
  <c r="V290" i="3"/>
  <c r="U290" i="3"/>
  <c r="I290" i="3"/>
  <c r="H290" i="3"/>
  <c r="AG289" i="3"/>
  <c r="AF289" i="3"/>
  <c r="AB289" i="3"/>
  <c r="AA289" i="3"/>
  <c r="Z289" i="3"/>
  <c r="Y289" i="3"/>
  <c r="X289" i="3"/>
  <c r="W289" i="3"/>
  <c r="V289" i="3"/>
  <c r="U289" i="3"/>
  <c r="I289" i="3"/>
  <c r="H289" i="3"/>
  <c r="AG288" i="3"/>
  <c r="AF288" i="3"/>
  <c r="AB288" i="3"/>
  <c r="AA288" i="3"/>
  <c r="Z288" i="3"/>
  <c r="Y288" i="3"/>
  <c r="X288" i="3"/>
  <c r="W288" i="3"/>
  <c r="V288" i="3"/>
  <c r="U288" i="3"/>
  <c r="I288" i="3"/>
  <c r="H288" i="3"/>
  <c r="AG287" i="3"/>
  <c r="AF287" i="3"/>
  <c r="AB287" i="3"/>
  <c r="AA287" i="3"/>
  <c r="Z287" i="3"/>
  <c r="Y287" i="3"/>
  <c r="X287" i="3"/>
  <c r="W287" i="3"/>
  <c r="V287" i="3"/>
  <c r="U287" i="3"/>
  <c r="I287" i="3"/>
  <c r="H287" i="3"/>
  <c r="AG286" i="3"/>
  <c r="AF286" i="3"/>
  <c r="AB286" i="3"/>
  <c r="AA286" i="3"/>
  <c r="Z286" i="3"/>
  <c r="Y286" i="3"/>
  <c r="X286" i="3"/>
  <c r="W286" i="3"/>
  <c r="V286" i="3"/>
  <c r="U286" i="3"/>
  <c r="I286" i="3"/>
  <c r="H286" i="3"/>
  <c r="AG285" i="3"/>
  <c r="AF285" i="3"/>
  <c r="AB285" i="3"/>
  <c r="AA285" i="3"/>
  <c r="Z285" i="3"/>
  <c r="Y285" i="3"/>
  <c r="X285" i="3"/>
  <c r="W285" i="3"/>
  <c r="V285" i="3"/>
  <c r="U285" i="3"/>
  <c r="I285" i="3"/>
  <c r="H285" i="3"/>
  <c r="AG284" i="3"/>
  <c r="AF284" i="3"/>
  <c r="AB284" i="3"/>
  <c r="AA284" i="3"/>
  <c r="Z284" i="3"/>
  <c r="Y284" i="3"/>
  <c r="X284" i="3"/>
  <c r="W284" i="3"/>
  <c r="V284" i="3"/>
  <c r="U284" i="3"/>
  <c r="I284" i="3"/>
  <c r="H284" i="3"/>
  <c r="AG283" i="3"/>
  <c r="AF283" i="3"/>
  <c r="AB283" i="3"/>
  <c r="AA283" i="3"/>
  <c r="Z283" i="3"/>
  <c r="Y283" i="3"/>
  <c r="X283" i="3"/>
  <c r="W283" i="3"/>
  <c r="V283" i="3"/>
  <c r="U283" i="3"/>
  <c r="I283" i="3"/>
  <c r="H283" i="3"/>
  <c r="AG282" i="3"/>
  <c r="AF282" i="3"/>
  <c r="AB282" i="3"/>
  <c r="AA282" i="3"/>
  <c r="Z282" i="3"/>
  <c r="Y282" i="3"/>
  <c r="X282" i="3"/>
  <c r="W282" i="3"/>
  <c r="V282" i="3"/>
  <c r="U282" i="3"/>
  <c r="I282" i="3"/>
  <c r="H282" i="3"/>
  <c r="AG281" i="3"/>
  <c r="AF281" i="3"/>
  <c r="AB281" i="3"/>
  <c r="AA281" i="3"/>
  <c r="Z281" i="3"/>
  <c r="Y281" i="3"/>
  <c r="X281" i="3"/>
  <c r="W281" i="3"/>
  <c r="V281" i="3"/>
  <c r="U281" i="3"/>
  <c r="I281" i="3"/>
  <c r="H281" i="3"/>
  <c r="AG280" i="3"/>
  <c r="AF280" i="3"/>
  <c r="AB280" i="3"/>
  <c r="AA280" i="3"/>
  <c r="Z280" i="3"/>
  <c r="Y280" i="3"/>
  <c r="X280" i="3"/>
  <c r="W280" i="3"/>
  <c r="V280" i="3"/>
  <c r="U280" i="3"/>
  <c r="I280" i="3"/>
  <c r="H280" i="3"/>
  <c r="AG279" i="3"/>
  <c r="AF279" i="3"/>
  <c r="AB279" i="3"/>
  <c r="AA279" i="3"/>
  <c r="Z279" i="3"/>
  <c r="Y279" i="3"/>
  <c r="X279" i="3"/>
  <c r="W279" i="3"/>
  <c r="V279" i="3"/>
  <c r="U279" i="3"/>
  <c r="I279" i="3"/>
  <c r="H279" i="3"/>
  <c r="AG278" i="3"/>
  <c r="AF278" i="3"/>
  <c r="AB278" i="3"/>
  <c r="AA278" i="3"/>
  <c r="Z278" i="3"/>
  <c r="Y278" i="3"/>
  <c r="X278" i="3"/>
  <c r="W278" i="3"/>
  <c r="V278" i="3"/>
  <c r="U278" i="3"/>
  <c r="I278" i="3"/>
  <c r="H278" i="3"/>
  <c r="AG277" i="3"/>
  <c r="AF277" i="3"/>
  <c r="AB277" i="3"/>
  <c r="AA277" i="3"/>
  <c r="Z277" i="3"/>
  <c r="Y277" i="3"/>
  <c r="X277" i="3"/>
  <c r="W277" i="3"/>
  <c r="V277" i="3"/>
  <c r="U277" i="3"/>
  <c r="I277" i="3"/>
  <c r="H277" i="3"/>
  <c r="AG276" i="3"/>
  <c r="AF276" i="3"/>
  <c r="AB276" i="3"/>
  <c r="AA276" i="3"/>
  <c r="Z276" i="3"/>
  <c r="Y276" i="3"/>
  <c r="X276" i="3"/>
  <c r="W276" i="3"/>
  <c r="V276" i="3"/>
  <c r="U276" i="3"/>
  <c r="I276" i="3"/>
  <c r="H276" i="3"/>
  <c r="AG275" i="3"/>
  <c r="AF275" i="3"/>
  <c r="AB275" i="3"/>
  <c r="AA275" i="3"/>
  <c r="Z275" i="3"/>
  <c r="Y275" i="3"/>
  <c r="X275" i="3"/>
  <c r="W275" i="3"/>
  <c r="V275" i="3"/>
  <c r="U275" i="3"/>
  <c r="I275" i="3"/>
  <c r="H275" i="3"/>
  <c r="AG274" i="3"/>
  <c r="AF274" i="3"/>
  <c r="AB274" i="3"/>
  <c r="AA274" i="3"/>
  <c r="Z274" i="3"/>
  <c r="Y274" i="3"/>
  <c r="X274" i="3"/>
  <c r="W274" i="3"/>
  <c r="V274" i="3"/>
  <c r="U274" i="3"/>
  <c r="I274" i="3"/>
  <c r="H274" i="3"/>
  <c r="AG273" i="3"/>
  <c r="AF273" i="3"/>
  <c r="AB273" i="3"/>
  <c r="AA273" i="3"/>
  <c r="Z273" i="3"/>
  <c r="Y273" i="3"/>
  <c r="X273" i="3"/>
  <c r="W273" i="3"/>
  <c r="V273" i="3"/>
  <c r="U273" i="3"/>
  <c r="I273" i="3"/>
  <c r="H273" i="3"/>
  <c r="AG272" i="3"/>
  <c r="AF272" i="3"/>
  <c r="AB272" i="3"/>
  <c r="AA272" i="3"/>
  <c r="Z272" i="3"/>
  <c r="Y272" i="3"/>
  <c r="X272" i="3"/>
  <c r="W272" i="3"/>
  <c r="V272" i="3"/>
  <c r="U272" i="3"/>
  <c r="I272" i="3"/>
  <c r="H272" i="3"/>
  <c r="AG271" i="3"/>
  <c r="AF271" i="3"/>
  <c r="AB271" i="3"/>
  <c r="AA271" i="3"/>
  <c r="Z271" i="3"/>
  <c r="Y271" i="3"/>
  <c r="X271" i="3"/>
  <c r="W271" i="3"/>
  <c r="V271" i="3"/>
  <c r="U271" i="3"/>
  <c r="I271" i="3"/>
  <c r="H271" i="3"/>
  <c r="AG270" i="3"/>
  <c r="AF270" i="3"/>
  <c r="AB270" i="3"/>
  <c r="AA270" i="3"/>
  <c r="Z270" i="3"/>
  <c r="Y270" i="3"/>
  <c r="X270" i="3"/>
  <c r="W270" i="3"/>
  <c r="V270" i="3"/>
  <c r="U270" i="3"/>
  <c r="I270" i="3"/>
  <c r="H270" i="3"/>
  <c r="AG269" i="3"/>
  <c r="AF269" i="3"/>
  <c r="AB269" i="3"/>
  <c r="AA269" i="3"/>
  <c r="Z269" i="3"/>
  <c r="Y269" i="3"/>
  <c r="X269" i="3"/>
  <c r="W269" i="3"/>
  <c r="V269" i="3"/>
  <c r="U269" i="3"/>
  <c r="I269" i="3"/>
  <c r="H269" i="3"/>
  <c r="AG268" i="3"/>
  <c r="AF268" i="3"/>
  <c r="AB268" i="3"/>
  <c r="AA268" i="3"/>
  <c r="Z268" i="3"/>
  <c r="Y268" i="3"/>
  <c r="X268" i="3"/>
  <c r="W268" i="3"/>
  <c r="V268" i="3"/>
  <c r="U268" i="3"/>
  <c r="I268" i="3"/>
  <c r="H268" i="3"/>
  <c r="AG267" i="3"/>
  <c r="AF267" i="3"/>
  <c r="AB267" i="3"/>
  <c r="AA267" i="3"/>
  <c r="Z267" i="3"/>
  <c r="Y267" i="3"/>
  <c r="X267" i="3"/>
  <c r="W267" i="3"/>
  <c r="V267" i="3"/>
  <c r="U267" i="3"/>
  <c r="I267" i="3"/>
  <c r="H267" i="3"/>
  <c r="AG266" i="3"/>
  <c r="AF266" i="3"/>
  <c r="AB266" i="3"/>
  <c r="AA266" i="3"/>
  <c r="Z266" i="3"/>
  <c r="Y266" i="3"/>
  <c r="X266" i="3"/>
  <c r="W266" i="3"/>
  <c r="V266" i="3"/>
  <c r="U266" i="3"/>
  <c r="I266" i="3"/>
  <c r="H266" i="3"/>
  <c r="AG265" i="3"/>
  <c r="AF265" i="3"/>
  <c r="AB265" i="3"/>
  <c r="AA265" i="3"/>
  <c r="Z265" i="3"/>
  <c r="Y265" i="3"/>
  <c r="X265" i="3"/>
  <c r="W265" i="3"/>
  <c r="V265" i="3"/>
  <c r="U265" i="3"/>
  <c r="I265" i="3"/>
  <c r="H265" i="3"/>
  <c r="AG264" i="3"/>
  <c r="AF264" i="3"/>
  <c r="AB264" i="3"/>
  <c r="AA264" i="3"/>
  <c r="Z264" i="3"/>
  <c r="Y264" i="3"/>
  <c r="X264" i="3"/>
  <c r="W264" i="3"/>
  <c r="V264" i="3"/>
  <c r="U264" i="3"/>
  <c r="I264" i="3"/>
  <c r="H264" i="3"/>
  <c r="AG263" i="3"/>
  <c r="AF263" i="3"/>
  <c r="AB263" i="3"/>
  <c r="AA263" i="3"/>
  <c r="Z263" i="3"/>
  <c r="Y263" i="3"/>
  <c r="X263" i="3"/>
  <c r="W263" i="3"/>
  <c r="V263" i="3"/>
  <c r="U263" i="3"/>
  <c r="I263" i="3"/>
  <c r="H263" i="3"/>
  <c r="AG262" i="3"/>
  <c r="AF262" i="3"/>
  <c r="AB262" i="3"/>
  <c r="AA262" i="3"/>
  <c r="Z262" i="3"/>
  <c r="Y262" i="3"/>
  <c r="X262" i="3"/>
  <c r="W262" i="3"/>
  <c r="V262" i="3"/>
  <c r="U262" i="3"/>
  <c r="I262" i="3"/>
  <c r="H262" i="3"/>
  <c r="AG261" i="3"/>
  <c r="AF261" i="3"/>
  <c r="AB261" i="3"/>
  <c r="AA261" i="3"/>
  <c r="Z261" i="3"/>
  <c r="Y261" i="3"/>
  <c r="X261" i="3"/>
  <c r="W261" i="3"/>
  <c r="V261" i="3"/>
  <c r="U261" i="3"/>
  <c r="I261" i="3"/>
  <c r="H261" i="3"/>
  <c r="AG260" i="3"/>
  <c r="AF260" i="3"/>
  <c r="AB260" i="3"/>
  <c r="AA260" i="3"/>
  <c r="Z260" i="3"/>
  <c r="Y260" i="3"/>
  <c r="X260" i="3"/>
  <c r="W260" i="3"/>
  <c r="V260" i="3"/>
  <c r="U260" i="3"/>
  <c r="I260" i="3"/>
  <c r="H260" i="3"/>
  <c r="AG259" i="3"/>
  <c r="AF259" i="3"/>
  <c r="AB259" i="3"/>
  <c r="AA259" i="3"/>
  <c r="Z259" i="3"/>
  <c r="Y259" i="3"/>
  <c r="X259" i="3"/>
  <c r="W259" i="3"/>
  <c r="V259" i="3"/>
  <c r="U259" i="3"/>
  <c r="I259" i="3"/>
  <c r="H259" i="3"/>
  <c r="AG258" i="3"/>
  <c r="AF258" i="3"/>
  <c r="AB258" i="3"/>
  <c r="AA258" i="3"/>
  <c r="Z258" i="3"/>
  <c r="Y258" i="3"/>
  <c r="X258" i="3"/>
  <c r="W258" i="3"/>
  <c r="V258" i="3"/>
  <c r="U258" i="3"/>
  <c r="I258" i="3"/>
  <c r="H258" i="3"/>
  <c r="AG257" i="3"/>
  <c r="AF257" i="3"/>
  <c r="AB257" i="3"/>
  <c r="AA257" i="3"/>
  <c r="Z257" i="3"/>
  <c r="Y257" i="3"/>
  <c r="X257" i="3"/>
  <c r="W257" i="3"/>
  <c r="V257" i="3"/>
  <c r="U257" i="3"/>
  <c r="I257" i="3"/>
  <c r="H257" i="3"/>
  <c r="AG256" i="3"/>
  <c r="AF256" i="3"/>
  <c r="AB256" i="3"/>
  <c r="AA256" i="3"/>
  <c r="Z256" i="3"/>
  <c r="Y256" i="3"/>
  <c r="X256" i="3"/>
  <c r="W256" i="3"/>
  <c r="V256" i="3"/>
  <c r="U256" i="3"/>
  <c r="I256" i="3"/>
  <c r="H256" i="3"/>
  <c r="AG255" i="3"/>
  <c r="AF255" i="3"/>
  <c r="AB255" i="3"/>
  <c r="AA255" i="3"/>
  <c r="Z255" i="3"/>
  <c r="Y255" i="3"/>
  <c r="X255" i="3"/>
  <c r="W255" i="3"/>
  <c r="V255" i="3"/>
  <c r="U255" i="3"/>
  <c r="I255" i="3"/>
  <c r="H255" i="3"/>
  <c r="AG254" i="3"/>
  <c r="AF254" i="3"/>
  <c r="AB254" i="3"/>
  <c r="AA254" i="3"/>
  <c r="Z254" i="3"/>
  <c r="Y254" i="3"/>
  <c r="X254" i="3"/>
  <c r="W254" i="3"/>
  <c r="V254" i="3"/>
  <c r="U254" i="3"/>
  <c r="I254" i="3"/>
  <c r="H254" i="3"/>
  <c r="AG253" i="3"/>
  <c r="AF253" i="3"/>
  <c r="AB253" i="3"/>
  <c r="AA253" i="3"/>
  <c r="Z253" i="3"/>
  <c r="Y253" i="3"/>
  <c r="X253" i="3"/>
  <c r="W253" i="3"/>
  <c r="V253" i="3"/>
  <c r="U253" i="3"/>
  <c r="I253" i="3"/>
  <c r="H253" i="3"/>
  <c r="AG252" i="3"/>
  <c r="AF252" i="3"/>
  <c r="AB252" i="3"/>
  <c r="AA252" i="3"/>
  <c r="Z252" i="3"/>
  <c r="Y252" i="3"/>
  <c r="X252" i="3"/>
  <c r="W252" i="3"/>
  <c r="V252" i="3"/>
  <c r="U252" i="3"/>
  <c r="I252" i="3"/>
  <c r="H252" i="3"/>
  <c r="AG251" i="3"/>
  <c r="AF251" i="3"/>
  <c r="AB251" i="3"/>
  <c r="AA251" i="3"/>
  <c r="Z251" i="3"/>
  <c r="Y251" i="3"/>
  <c r="X251" i="3"/>
  <c r="W251" i="3"/>
  <c r="V251" i="3"/>
  <c r="U251" i="3"/>
  <c r="I251" i="3"/>
  <c r="H251" i="3"/>
  <c r="AG250" i="3"/>
  <c r="AF250" i="3"/>
  <c r="AB250" i="3"/>
  <c r="AA250" i="3"/>
  <c r="Z250" i="3"/>
  <c r="Y250" i="3"/>
  <c r="X250" i="3"/>
  <c r="W250" i="3"/>
  <c r="V250" i="3"/>
  <c r="U250" i="3"/>
  <c r="I250" i="3"/>
  <c r="H250" i="3"/>
  <c r="AG249" i="3"/>
  <c r="AF249" i="3"/>
  <c r="AB249" i="3"/>
  <c r="AA249" i="3"/>
  <c r="Z249" i="3"/>
  <c r="Y249" i="3"/>
  <c r="X249" i="3"/>
  <c r="W249" i="3"/>
  <c r="V249" i="3"/>
  <c r="U249" i="3"/>
  <c r="I249" i="3"/>
  <c r="H249" i="3"/>
  <c r="AG248" i="3"/>
  <c r="AF248" i="3"/>
  <c r="AB248" i="3"/>
  <c r="AA248" i="3"/>
  <c r="Z248" i="3"/>
  <c r="Y248" i="3"/>
  <c r="X248" i="3"/>
  <c r="W248" i="3"/>
  <c r="V248" i="3"/>
  <c r="U248" i="3"/>
  <c r="I248" i="3"/>
  <c r="H248" i="3"/>
  <c r="AG247" i="3"/>
  <c r="AF247" i="3"/>
  <c r="AB247" i="3"/>
  <c r="AA247" i="3"/>
  <c r="Z247" i="3"/>
  <c r="Y247" i="3"/>
  <c r="X247" i="3"/>
  <c r="W247" i="3"/>
  <c r="V247" i="3"/>
  <c r="U247" i="3"/>
  <c r="I247" i="3"/>
  <c r="H247" i="3"/>
  <c r="AG246" i="3"/>
  <c r="AF246" i="3"/>
  <c r="AB246" i="3"/>
  <c r="AA246" i="3"/>
  <c r="Z246" i="3"/>
  <c r="Y246" i="3"/>
  <c r="X246" i="3"/>
  <c r="W246" i="3"/>
  <c r="V246" i="3"/>
  <c r="U246" i="3"/>
  <c r="I246" i="3"/>
  <c r="H246" i="3"/>
  <c r="AG245" i="3"/>
  <c r="AF245" i="3"/>
  <c r="AB245" i="3"/>
  <c r="AA245" i="3"/>
  <c r="Z245" i="3"/>
  <c r="Y245" i="3"/>
  <c r="X245" i="3"/>
  <c r="W245" i="3"/>
  <c r="V245" i="3"/>
  <c r="U245" i="3"/>
  <c r="I245" i="3"/>
  <c r="H245" i="3"/>
  <c r="AG244" i="3"/>
  <c r="AF244" i="3"/>
  <c r="AB244" i="3"/>
  <c r="AA244" i="3"/>
  <c r="Z244" i="3"/>
  <c r="Y244" i="3"/>
  <c r="X244" i="3"/>
  <c r="W244" i="3"/>
  <c r="V244" i="3"/>
  <c r="U244" i="3"/>
  <c r="I244" i="3"/>
  <c r="H244" i="3"/>
  <c r="AG243" i="3"/>
  <c r="AF243" i="3"/>
  <c r="AB243" i="3"/>
  <c r="AA243" i="3"/>
  <c r="Z243" i="3"/>
  <c r="Y243" i="3"/>
  <c r="X243" i="3"/>
  <c r="W243" i="3"/>
  <c r="V243" i="3"/>
  <c r="U243" i="3"/>
  <c r="I243" i="3"/>
  <c r="H243" i="3"/>
  <c r="AG242" i="3"/>
  <c r="AF242" i="3"/>
  <c r="AB242" i="3"/>
  <c r="AA242" i="3"/>
  <c r="Z242" i="3"/>
  <c r="Y242" i="3"/>
  <c r="X242" i="3"/>
  <c r="W242" i="3"/>
  <c r="V242" i="3"/>
  <c r="U242" i="3"/>
  <c r="I242" i="3"/>
  <c r="H242" i="3"/>
  <c r="AG241" i="3"/>
  <c r="AF241" i="3"/>
  <c r="AB241" i="3"/>
  <c r="AA241" i="3"/>
  <c r="Z241" i="3"/>
  <c r="Y241" i="3"/>
  <c r="X241" i="3"/>
  <c r="W241" i="3"/>
  <c r="V241" i="3"/>
  <c r="U241" i="3"/>
  <c r="I241" i="3"/>
  <c r="H241" i="3"/>
  <c r="AG240" i="3"/>
  <c r="AF240" i="3"/>
  <c r="AB240" i="3"/>
  <c r="AA240" i="3"/>
  <c r="Z240" i="3"/>
  <c r="Y240" i="3"/>
  <c r="X240" i="3"/>
  <c r="W240" i="3"/>
  <c r="V240" i="3"/>
  <c r="U240" i="3"/>
  <c r="I240" i="3"/>
  <c r="H240" i="3"/>
  <c r="AG239" i="3"/>
  <c r="AF239" i="3"/>
  <c r="AB239" i="3"/>
  <c r="AA239" i="3"/>
  <c r="Z239" i="3"/>
  <c r="Y239" i="3"/>
  <c r="X239" i="3"/>
  <c r="W239" i="3"/>
  <c r="V239" i="3"/>
  <c r="U239" i="3"/>
  <c r="I239" i="3"/>
  <c r="H239" i="3"/>
  <c r="AG238" i="3"/>
  <c r="AF238" i="3"/>
  <c r="AB238" i="3"/>
  <c r="AA238" i="3"/>
  <c r="Z238" i="3"/>
  <c r="Y238" i="3"/>
  <c r="X238" i="3"/>
  <c r="W238" i="3"/>
  <c r="V238" i="3"/>
  <c r="U238" i="3"/>
  <c r="I238" i="3"/>
  <c r="H238" i="3"/>
  <c r="AG237" i="3"/>
  <c r="AF237" i="3"/>
  <c r="AB237" i="3"/>
  <c r="AA237" i="3"/>
  <c r="Z237" i="3"/>
  <c r="Y237" i="3"/>
  <c r="X237" i="3"/>
  <c r="W237" i="3"/>
  <c r="V237" i="3"/>
  <c r="U237" i="3"/>
  <c r="I237" i="3"/>
  <c r="H237" i="3"/>
  <c r="AG236" i="3"/>
  <c r="AF236" i="3"/>
  <c r="AB236" i="3"/>
  <c r="AA236" i="3"/>
  <c r="Z236" i="3"/>
  <c r="Y236" i="3"/>
  <c r="X236" i="3"/>
  <c r="W236" i="3"/>
  <c r="V236" i="3"/>
  <c r="U236" i="3"/>
  <c r="I236" i="3"/>
  <c r="H236" i="3"/>
  <c r="AG235" i="3"/>
  <c r="AF235" i="3"/>
  <c r="AB235" i="3"/>
  <c r="AA235" i="3"/>
  <c r="Z235" i="3"/>
  <c r="Y235" i="3"/>
  <c r="X235" i="3"/>
  <c r="W235" i="3"/>
  <c r="V235" i="3"/>
  <c r="U235" i="3"/>
  <c r="I235" i="3"/>
  <c r="H235" i="3"/>
  <c r="AG234" i="3"/>
  <c r="AF234" i="3"/>
  <c r="AB234" i="3"/>
  <c r="AA234" i="3"/>
  <c r="Z234" i="3"/>
  <c r="Y234" i="3"/>
  <c r="X234" i="3"/>
  <c r="W234" i="3"/>
  <c r="V234" i="3"/>
  <c r="U234" i="3"/>
  <c r="I234" i="3"/>
  <c r="H234" i="3"/>
  <c r="AG233" i="3"/>
  <c r="AF233" i="3"/>
  <c r="AB233" i="3"/>
  <c r="AA233" i="3"/>
  <c r="Z233" i="3"/>
  <c r="Y233" i="3"/>
  <c r="X233" i="3"/>
  <c r="W233" i="3"/>
  <c r="V233" i="3"/>
  <c r="U233" i="3"/>
  <c r="I233" i="3"/>
  <c r="H233" i="3"/>
  <c r="AG232" i="3"/>
  <c r="AF232" i="3"/>
  <c r="AB232" i="3"/>
  <c r="AA232" i="3"/>
  <c r="Z232" i="3"/>
  <c r="Y232" i="3"/>
  <c r="X232" i="3"/>
  <c r="W232" i="3"/>
  <c r="V232" i="3"/>
  <c r="U232" i="3"/>
  <c r="I232" i="3"/>
  <c r="H232" i="3"/>
  <c r="AG231" i="3"/>
  <c r="AF231" i="3"/>
  <c r="AB231" i="3"/>
  <c r="AA231" i="3"/>
  <c r="Z231" i="3"/>
  <c r="Y231" i="3"/>
  <c r="X231" i="3"/>
  <c r="W231" i="3"/>
  <c r="V231" i="3"/>
  <c r="U231" i="3"/>
  <c r="I231" i="3"/>
  <c r="H231" i="3"/>
  <c r="AG230" i="3"/>
  <c r="AF230" i="3"/>
  <c r="AB230" i="3"/>
  <c r="AA230" i="3"/>
  <c r="Z230" i="3"/>
  <c r="Y230" i="3"/>
  <c r="X230" i="3"/>
  <c r="W230" i="3"/>
  <c r="V230" i="3"/>
  <c r="U230" i="3"/>
  <c r="I230" i="3"/>
  <c r="H230" i="3"/>
  <c r="AG229" i="3"/>
  <c r="AF229" i="3"/>
  <c r="AB229" i="3"/>
  <c r="AA229" i="3"/>
  <c r="Z229" i="3"/>
  <c r="Y229" i="3"/>
  <c r="X229" i="3"/>
  <c r="W229" i="3"/>
  <c r="V229" i="3"/>
  <c r="U229" i="3"/>
  <c r="I229" i="3"/>
  <c r="H229" i="3"/>
  <c r="AG228" i="3"/>
  <c r="AF228" i="3"/>
  <c r="AB228" i="3"/>
  <c r="AA228" i="3"/>
  <c r="Z228" i="3"/>
  <c r="Y228" i="3"/>
  <c r="X228" i="3"/>
  <c r="W228" i="3"/>
  <c r="V228" i="3"/>
  <c r="U228" i="3"/>
  <c r="I228" i="3"/>
  <c r="H228" i="3"/>
  <c r="AG227" i="3"/>
  <c r="AF227" i="3"/>
  <c r="AB227" i="3"/>
  <c r="AA227" i="3"/>
  <c r="Z227" i="3"/>
  <c r="Y227" i="3"/>
  <c r="X227" i="3"/>
  <c r="W227" i="3"/>
  <c r="V227" i="3"/>
  <c r="U227" i="3"/>
  <c r="I227" i="3"/>
  <c r="H227" i="3"/>
  <c r="AG226" i="3"/>
  <c r="AF226" i="3"/>
  <c r="AB226" i="3"/>
  <c r="AA226" i="3"/>
  <c r="Z226" i="3"/>
  <c r="Y226" i="3"/>
  <c r="X226" i="3"/>
  <c r="W226" i="3"/>
  <c r="V226" i="3"/>
  <c r="U226" i="3"/>
  <c r="I226" i="3"/>
  <c r="H226" i="3"/>
  <c r="AG225" i="3"/>
  <c r="AF225" i="3"/>
  <c r="AB225" i="3"/>
  <c r="AA225" i="3"/>
  <c r="Z225" i="3"/>
  <c r="Y225" i="3"/>
  <c r="X225" i="3"/>
  <c r="W225" i="3"/>
  <c r="V225" i="3"/>
  <c r="U225" i="3"/>
  <c r="I225" i="3"/>
  <c r="H225" i="3"/>
  <c r="AG224" i="3"/>
  <c r="AF224" i="3"/>
  <c r="AB224" i="3"/>
  <c r="AA224" i="3"/>
  <c r="Z224" i="3"/>
  <c r="Y224" i="3"/>
  <c r="X224" i="3"/>
  <c r="W224" i="3"/>
  <c r="V224" i="3"/>
  <c r="U224" i="3"/>
  <c r="I224" i="3"/>
  <c r="H224" i="3"/>
  <c r="AG223" i="3"/>
  <c r="AF223" i="3"/>
  <c r="AB223" i="3"/>
  <c r="AA223" i="3"/>
  <c r="Z223" i="3"/>
  <c r="Y223" i="3"/>
  <c r="X223" i="3"/>
  <c r="W223" i="3"/>
  <c r="V223" i="3"/>
  <c r="U223" i="3"/>
  <c r="I223" i="3"/>
  <c r="H223" i="3"/>
  <c r="AG222" i="3"/>
  <c r="AF222" i="3"/>
  <c r="AB222" i="3"/>
  <c r="AA222" i="3"/>
  <c r="Z222" i="3"/>
  <c r="Y222" i="3"/>
  <c r="X222" i="3"/>
  <c r="W222" i="3"/>
  <c r="V222" i="3"/>
  <c r="U222" i="3"/>
  <c r="I222" i="3"/>
  <c r="H222" i="3"/>
  <c r="AG221" i="3"/>
  <c r="AF221" i="3"/>
  <c r="AB221" i="3"/>
  <c r="AA221" i="3"/>
  <c r="Z221" i="3"/>
  <c r="Y221" i="3"/>
  <c r="X221" i="3"/>
  <c r="W221" i="3"/>
  <c r="V221" i="3"/>
  <c r="U221" i="3"/>
  <c r="I221" i="3"/>
  <c r="H221" i="3"/>
  <c r="AG220" i="3"/>
  <c r="AF220" i="3"/>
  <c r="AB220" i="3"/>
  <c r="AA220" i="3"/>
  <c r="Z220" i="3"/>
  <c r="Y220" i="3"/>
  <c r="X220" i="3"/>
  <c r="W220" i="3"/>
  <c r="V220" i="3"/>
  <c r="U220" i="3"/>
  <c r="I220" i="3"/>
  <c r="H220" i="3"/>
  <c r="AG219" i="3"/>
  <c r="AF219" i="3"/>
  <c r="AB219" i="3"/>
  <c r="AA219" i="3"/>
  <c r="Z219" i="3"/>
  <c r="Y219" i="3"/>
  <c r="X219" i="3"/>
  <c r="W219" i="3"/>
  <c r="V219" i="3"/>
  <c r="U219" i="3"/>
  <c r="I219" i="3"/>
  <c r="H219" i="3"/>
  <c r="AG218" i="3"/>
  <c r="AF218" i="3"/>
  <c r="AB218" i="3"/>
  <c r="AA218" i="3"/>
  <c r="Z218" i="3"/>
  <c r="Y218" i="3"/>
  <c r="X218" i="3"/>
  <c r="W218" i="3"/>
  <c r="V218" i="3"/>
  <c r="U218" i="3"/>
  <c r="I218" i="3"/>
  <c r="H218" i="3"/>
  <c r="AG217" i="3"/>
  <c r="AF217" i="3"/>
  <c r="AB217" i="3"/>
  <c r="AA217" i="3"/>
  <c r="Z217" i="3"/>
  <c r="Y217" i="3"/>
  <c r="X217" i="3"/>
  <c r="W217" i="3"/>
  <c r="V217" i="3"/>
  <c r="U217" i="3"/>
  <c r="I217" i="3"/>
  <c r="H217" i="3"/>
  <c r="AG216" i="3"/>
  <c r="AF216" i="3"/>
  <c r="AB216" i="3"/>
  <c r="AA216" i="3"/>
  <c r="Z216" i="3"/>
  <c r="Y216" i="3"/>
  <c r="X216" i="3"/>
  <c r="W216" i="3"/>
  <c r="V216" i="3"/>
  <c r="U216" i="3"/>
  <c r="I216" i="3"/>
  <c r="H216" i="3"/>
  <c r="AG215" i="3"/>
  <c r="AF215" i="3"/>
  <c r="AB215" i="3"/>
  <c r="AA215" i="3"/>
  <c r="Z215" i="3"/>
  <c r="Y215" i="3"/>
  <c r="X215" i="3"/>
  <c r="W215" i="3"/>
  <c r="V215" i="3"/>
  <c r="U215" i="3"/>
  <c r="I215" i="3"/>
  <c r="H215" i="3"/>
  <c r="AG214" i="3"/>
  <c r="AF214" i="3"/>
  <c r="AB214" i="3"/>
  <c r="AA214" i="3"/>
  <c r="Z214" i="3"/>
  <c r="Y214" i="3"/>
  <c r="X214" i="3"/>
  <c r="W214" i="3"/>
  <c r="V214" i="3"/>
  <c r="U214" i="3"/>
  <c r="I214" i="3"/>
  <c r="H214" i="3"/>
  <c r="AG213" i="3"/>
  <c r="AF213" i="3"/>
  <c r="AB213" i="3"/>
  <c r="AA213" i="3"/>
  <c r="Z213" i="3"/>
  <c r="Y213" i="3"/>
  <c r="X213" i="3"/>
  <c r="W213" i="3"/>
  <c r="V213" i="3"/>
  <c r="U213" i="3"/>
  <c r="I213" i="3"/>
  <c r="H213" i="3"/>
  <c r="AG212" i="3"/>
  <c r="AF212" i="3"/>
  <c r="AB212" i="3"/>
  <c r="AA212" i="3"/>
  <c r="Z212" i="3"/>
  <c r="Y212" i="3"/>
  <c r="X212" i="3"/>
  <c r="W212" i="3"/>
  <c r="V212" i="3"/>
  <c r="U212" i="3"/>
  <c r="I212" i="3"/>
  <c r="H212" i="3"/>
  <c r="AG211" i="3"/>
  <c r="AF211" i="3"/>
  <c r="AB211" i="3"/>
  <c r="AA211" i="3"/>
  <c r="Z211" i="3"/>
  <c r="Y211" i="3"/>
  <c r="X211" i="3"/>
  <c r="W211" i="3"/>
  <c r="V211" i="3"/>
  <c r="U211" i="3"/>
  <c r="I211" i="3"/>
  <c r="H211" i="3"/>
  <c r="AG210" i="3"/>
  <c r="AF210" i="3"/>
  <c r="AB210" i="3"/>
  <c r="AA210" i="3"/>
  <c r="Z210" i="3"/>
  <c r="Y210" i="3"/>
  <c r="X210" i="3"/>
  <c r="W210" i="3"/>
  <c r="V210" i="3"/>
  <c r="U210" i="3"/>
  <c r="I210" i="3"/>
  <c r="H210" i="3"/>
  <c r="AG209" i="3"/>
  <c r="AF209" i="3"/>
  <c r="AB209" i="3"/>
  <c r="AA209" i="3"/>
  <c r="Z209" i="3"/>
  <c r="Y209" i="3"/>
  <c r="X209" i="3"/>
  <c r="W209" i="3"/>
  <c r="V209" i="3"/>
  <c r="U209" i="3"/>
  <c r="I209" i="3"/>
  <c r="H209" i="3"/>
  <c r="AG208" i="3"/>
  <c r="AF208" i="3"/>
  <c r="AB208" i="3"/>
  <c r="AA208" i="3"/>
  <c r="Z208" i="3"/>
  <c r="Y208" i="3"/>
  <c r="X208" i="3"/>
  <c r="W208" i="3"/>
  <c r="V208" i="3"/>
  <c r="U208" i="3"/>
  <c r="I208" i="3"/>
  <c r="H208" i="3"/>
  <c r="AG207" i="3"/>
  <c r="AF207" i="3"/>
  <c r="AB207" i="3"/>
  <c r="AA207" i="3"/>
  <c r="Z207" i="3"/>
  <c r="Y207" i="3"/>
  <c r="X207" i="3"/>
  <c r="W207" i="3"/>
  <c r="V207" i="3"/>
  <c r="U207" i="3"/>
  <c r="I207" i="3"/>
  <c r="H207" i="3"/>
  <c r="AG206" i="3"/>
  <c r="AF206" i="3"/>
  <c r="AB206" i="3"/>
  <c r="AA206" i="3"/>
  <c r="Z206" i="3"/>
  <c r="Y206" i="3"/>
  <c r="X206" i="3"/>
  <c r="W206" i="3"/>
  <c r="V206" i="3"/>
  <c r="U206" i="3"/>
  <c r="I206" i="3"/>
  <c r="H206" i="3"/>
  <c r="AG205" i="3"/>
  <c r="AF205" i="3"/>
  <c r="AB205" i="3"/>
  <c r="AA205" i="3"/>
  <c r="Z205" i="3"/>
  <c r="Y205" i="3"/>
  <c r="X205" i="3"/>
  <c r="W205" i="3"/>
  <c r="V205" i="3"/>
  <c r="U205" i="3"/>
  <c r="I205" i="3"/>
  <c r="H205" i="3"/>
  <c r="AG204" i="3"/>
  <c r="AF204" i="3"/>
  <c r="AB204" i="3"/>
  <c r="AA204" i="3"/>
  <c r="Z204" i="3"/>
  <c r="Y204" i="3"/>
  <c r="X204" i="3"/>
  <c r="W204" i="3"/>
  <c r="V204" i="3"/>
  <c r="U204" i="3"/>
  <c r="I204" i="3"/>
  <c r="H204" i="3"/>
  <c r="AG203" i="3"/>
  <c r="AF203" i="3"/>
  <c r="AB203" i="3"/>
  <c r="AA203" i="3"/>
  <c r="Z203" i="3"/>
  <c r="Y203" i="3"/>
  <c r="X203" i="3"/>
  <c r="W203" i="3"/>
  <c r="V203" i="3"/>
  <c r="U203" i="3"/>
  <c r="I203" i="3"/>
  <c r="H203" i="3"/>
  <c r="AG202" i="3"/>
  <c r="AF202" i="3"/>
  <c r="AB202" i="3"/>
  <c r="AA202" i="3"/>
  <c r="Z202" i="3"/>
  <c r="Y202" i="3"/>
  <c r="X202" i="3"/>
  <c r="W202" i="3"/>
  <c r="V202" i="3"/>
  <c r="U202" i="3"/>
  <c r="I202" i="3"/>
  <c r="H202" i="3"/>
  <c r="AG201" i="3"/>
  <c r="AF201" i="3"/>
  <c r="AB201" i="3"/>
  <c r="AA201" i="3"/>
  <c r="Z201" i="3"/>
  <c r="Y201" i="3"/>
  <c r="X201" i="3"/>
  <c r="W201" i="3"/>
  <c r="V201" i="3"/>
  <c r="U201" i="3"/>
  <c r="I201" i="3"/>
  <c r="H201" i="3"/>
  <c r="AG200" i="3"/>
  <c r="AF200" i="3"/>
  <c r="AB200" i="3"/>
  <c r="AA200" i="3"/>
  <c r="Z200" i="3"/>
  <c r="Y200" i="3"/>
  <c r="X200" i="3"/>
  <c r="W200" i="3"/>
  <c r="V200" i="3"/>
  <c r="U200" i="3"/>
  <c r="I200" i="3"/>
  <c r="H200" i="3"/>
  <c r="AG199" i="3"/>
  <c r="AF199" i="3"/>
  <c r="AB199" i="3"/>
  <c r="AA199" i="3"/>
  <c r="Z199" i="3"/>
  <c r="Y199" i="3"/>
  <c r="X199" i="3"/>
  <c r="W199" i="3"/>
  <c r="V199" i="3"/>
  <c r="U199" i="3"/>
  <c r="I199" i="3"/>
  <c r="H199" i="3"/>
  <c r="AG198" i="3"/>
  <c r="AF198" i="3"/>
  <c r="AB198" i="3"/>
  <c r="AA198" i="3"/>
  <c r="Z198" i="3"/>
  <c r="Y198" i="3"/>
  <c r="X198" i="3"/>
  <c r="W198" i="3"/>
  <c r="V198" i="3"/>
  <c r="U198" i="3"/>
  <c r="I198" i="3"/>
  <c r="H198" i="3"/>
  <c r="AG197" i="3"/>
  <c r="AF197" i="3"/>
  <c r="AB197" i="3"/>
  <c r="AA197" i="3"/>
  <c r="Z197" i="3"/>
  <c r="Y197" i="3"/>
  <c r="X197" i="3"/>
  <c r="W197" i="3"/>
  <c r="V197" i="3"/>
  <c r="U197" i="3"/>
  <c r="I197" i="3"/>
  <c r="H197" i="3"/>
  <c r="AG196" i="3"/>
  <c r="AF196" i="3"/>
  <c r="AB196" i="3"/>
  <c r="AA196" i="3"/>
  <c r="Z196" i="3"/>
  <c r="Y196" i="3"/>
  <c r="X196" i="3"/>
  <c r="W196" i="3"/>
  <c r="V196" i="3"/>
  <c r="U196" i="3"/>
  <c r="I196" i="3"/>
  <c r="H196" i="3"/>
  <c r="AG195" i="3"/>
  <c r="AF195" i="3"/>
  <c r="AB195" i="3"/>
  <c r="AA195" i="3"/>
  <c r="Z195" i="3"/>
  <c r="Y195" i="3"/>
  <c r="X195" i="3"/>
  <c r="W195" i="3"/>
  <c r="V195" i="3"/>
  <c r="U195" i="3"/>
  <c r="I195" i="3"/>
  <c r="H195" i="3"/>
  <c r="AG194" i="3"/>
  <c r="AF194" i="3"/>
  <c r="AB194" i="3"/>
  <c r="AA194" i="3"/>
  <c r="Z194" i="3"/>
  <c r="Y194" i="3"/>
  <c r="X194" i="3"/>
  <c r="W194" i="3"/>
  <c r="V194" i="3"/>
  <c r="U194" i="3"/>
  <c r="I194" i="3"/>
  <c r="H194" i="3"/>
  <c r="AG193" i="3"/>
  <c r="AF193" i="3"/>
  <c r="AB193" i="3"/>
  <c r="AA193" i="3"/>
  <c r="Z193" i="3"/>
  <c r="Y193" i="3"/>
  <c r="X193" i="3"/>
  <c r="W193" i="3"/>
  <c r="V193" i="3"/>
  <c r="U193" i="3"/>
  <c r="I193" i="3"/>
  <c r="H193" i="3"/>
  <c r="AG192" i="3"/>
  <c r="AF192" i="3"/>
  <c r="AB192" i="3"/>
  <c r="AA192" i="3"/>
  <c r="Z192" i="3"/>
  <c r="Y192" i="3"/>
  <c r="X192" i="3"/>
  <c r="W192" i="3"/>
  <c r="V192" i="3"/>
  <c r="U192" i="3"/>
  <c r="I192" i="3"/>
  <c r="H192" i="3"/>
  <c r="AG191" i="3"/>
  <c r="AF191" i="3"/>
  <c r="AB191" i="3"/>
  <c r="AA191" i="3"/>
  <c r="Z191" i="3"/>
  <c r="Y191" i="3"/>
  <c r="X191" i="3"/>
  <c r="W191" i="3"/>
  <c r="V191" i="3"/>
  <c r="U191" i="3"/>
  <c r="I191" i="3"/>
  <c r="H191" i="3"/>
  <c r="AG190" i="3"/>
  <c r="AF190" i="3"/>
  <c r="AB190" i="3"/>
  <c r="AA190" i="3"/>
  <c r="Z190" i="3"/>
  <c r="Y190" i="3"/>
  <c r="X190" i="3"/>
  <c r="W190" i="3"/>
  <c r="V190" i="3"/>
  <c r="U190" i="3"/>
  <c r="I190" i="3"/>
  <c r="H190" i="3"/>
  <c r="AG189" i="3"/>
  <c r="AF189" i="3"/>
  <c r="AB189" i="3"/>
  <c r="AA189" i="3"/>
  <c r="Z189" i="3"/>
  <c r="Y189" i="3"/>
  <c r="X189" i="3"/>
  <c r="W189" i="3"/>
  <c r="V189" i="3"/>
  <c r="U189" i="3"/>
  <c r="I189" i="3"/>
  <c r="H189" i="3"/>
  <c r="AG188" i="3"/>
  <c r="AF188" i="3"/>
  <c r="AB188" i="3"/>
  <c r="AA188" i="3"/>
  <c r="Z188" i="3"/>
  <c r="Y188" i="3"/>
  <c r="X188" i="3"/>
  <c r="W188" i="3"/>
  <c r="V188" i="3"/>
  <c r="U188" i="3"/>
  <c r="I188" i="3"/>
  <c r="H188" i="3"/>
  <c r="AG187" i="3"/>
  <c r="AF187" i="3"/>
  <c r="AB187" i="3"/>
  <c r="AA187" i="3"/>
  <c r="Z187" i="3"/>
  <c r="Y187" i="3"/>
  <c r="X187" i="3"/>
  <c r="W187" i="3"/>
  <c r="V187" i="3"/>
  <c r="U187" i="3"/>
  <c r="I187" i="3"/>
  <c r="H187" i="3"/>
  <c r="AG186" i="3"/>
  <c r="AF186" i="3"/>
  <c r="AB186" i="3"/>
  <c r="AA186" i="3"/>
  <c r="Z186" i="3"/>
  <c r="Y186" i="3"/>
  <c r="X186" i="3"/>
  <c r="W186" i="3"/>
  <c r="V186" i="3"/>
  <c r="U186" i="3"/>
  <c r="I186" i="3"/>
  <c r="H186" i="3"/>
  <c r="AG185" i="3"/>
  <c r="AF185" i="3"/>
  <c r="AB185" i="3"/>
  <c r="AA185" i="3"/>
  <c r="Z185" i="3"/>
  <c r="Y185" i="3"/>
  <c r="X185" i="3"/>
  <c r="W185" i="3"/>
  <c r="V185" i="3"/>
  <c r="U185" i="3"/>
  <c r="I185" i="3"/>
  <c r="H185" i="3"/>
  <c r="AG184" i="3"/>
  <c r="AF184" i="3"/>
  <c r="AB184" i="3"/>
  <c r="AA184" i="3"/>
  <c r="Z184" i="3"/>
  <c r="Y184" i="3"/>
  <c r="X184" i="3"/>
  <c r="W184" i="3"/>
  <c r="V184" i="3"/>
  <c r="U184" i="3"/>
  <c r="I184" i="3"/>
  <c r="H184" i="3"/>
  <c r="AG183" i="3"/>
  <c r="AF183" i="3"/>
  <c r="AB183" i="3"/>
  <c r="AA183" i="3"/>
  <c r="Z183" i="3"/>
  <c r="Y183" i="3"/>
  <c r="X183" i="3"/>
  <c r="W183" i="3"/>
  <c r="V183" i="3"/>
  <c r="U183" i="3"/>
  <c r="I183" i="3"/>
  <c r="H183" i="3"/>
  <c r="AG182" i="3"/>
  <c r="AF182" i="3"/>
  <c r="AB182" i="3"/>
  <c r="AA182" i="3"/>
  <c r="Z182" i="3"/>
  <c r="Y182" i="3"/>
  <c r="X182" i="3"/>
  <c r="W182" i="3"/>
  <c r="V182" i="3"/>
  <c r="U182" i="3"/>
  <c r="I182" i="3"/>
  <c r="H182" i="3"/>
  <c r="AG181" i="3"/>
  <c r="AF181" i="3"/>
  <c r="AB181" i="3"/>
  <c r="AA181" i="3"/>
  <c r="Z181" i="3"/>
  <c r="Y181" i="3"/>
  <c r="X181" i="3"/>
  <c r="W181" i="3"/>
  <c r="V181" i="3"/>
  <c r="U181" i="3"/>
  <c r="I181" i="3"/>
  <c r="H181" i="3"/>
  <c r="AG180" i="3"/>
  <c r="AF180" i="3"/>
  <c r="AB180" i="3"/>
  <c r="AA180" i="3"/>
  <c r="Z180" i="3"/>
  <c r="Y180" i="3"/>
  <c r="X180" i="3"/>
  <c r="W180" i="3"/>
  <c r="V180" i="3"/>
  <c r="U180" i="3"/>
  <c r="I180" i="3"/>
  <c r="H180" i="3"/>
  <c r="AG179" i="3"/>
  <c r="AF179" i="3"/>
  <c r="AB179" i="3"/>
  <c r="AA179" i="3"/>
  <c r="Z179" i="3"/>
  <c r="Y179" i="3"/>
  <c r="X179" i="3"/>
  <c r="W179" i="3"/>
  <c r="V179" i="3"/>
  <c r="U179" i="3"/>
  <c r="I179" i="3"/>
  <c r="H179" i="3"/>
  <c r="AG178" i="3"/>
  <c r="AF178" i="3"/>
  <c r="AB178" i="3"/>
  <c r="AA178" i="3"/>
  <c r="Z178" i="3"/>
  <c r="Y178" i="3"/>
  <c r="X178" i="3"/>
  <c r="W178" i="3"/>
  <c r="V178" i="3"/>
  <c r="U178" i="3"/>
  <c r="I178" i="3"/>
  <c r="H178" i="3"/>
  <c r="AG177" i="3"/>
  <c r="AF177" i="3"/>
  <c r="AB177" i="3"/>
  <c r="AA177" i="3"/>
  <c r="Z177" i="3"/>
  <c r="Y177" i="3"/>
  <c r="X177" i="3"/>
  <c r="W177" i="3"/>
  <c r="V177" i="3"/>
  <c r="U177" i="3"/>
  <c r="I177" i="3"/>
  <c r="H177" i="3"/>
  <c r="AG176" i="3"/>
  <c r="AF176" i="3"/>
  <c r="AB176" i="3"/>
  <c r="AA176" i="3"/>
  <c r="Z176" i="3"/>
  <c r="Y176" i="3"/>
  <c r="X176" i="3"/>
  <c r="W176" i="3"/>
  <c r="V176" i="3"/>
  <c r="U176" i="3"/>
  <c r="I176" i="3"/>
  <c r="H176" i="3"/>
  <c r="AG175" i="3"/>
  <c r="AF175" i="3"/>
  <c r="AB175" i="3"/>
  <c r="AA175" i="3"/>
  <c r="Z175" i="3"/>
  <c r="Y175" i="3"/>
  <c r="X175" i="3"/>
  <c r="W175" i="3"/>
  <c r="V175" i="3"/>
  <c r="U175" i="3"/>
  <c r="I175" i="3"/>
  <c r="H175" i="3"/>
  <c r="AG174" i="3"/>
  <c r="AF174" i="3"/>
  <c r="AB174" i="3"/>
  <c r="AA174" i="3"/>
  <c r="Z174" i="3"/>
  <c r="Y174" i="3"/>
  <c r="X174" i="3"/>
  <c r="W174" i="3"/>
  <c r="V174" i="3"/>
  <c r="U174" i="3"/>
  <c r="I174" i="3"/>
  <c r="H174" i="3"/>
  <c r="AG173" i="3"/>
  <c r="AF173" i="3"/>
  <c r="AB173" i="3"/>
  <c r="AA173" i="3"/>
  <c r="Z173" i="3"/>
  <c r="Y173" i="3"/>
  <c r="X173" i="3"/>
  <c r="W173" i="3"/>
  <c r="V173" i="3"/>
  <c r="U173" i="3"/>
  <c r="I173" i="3"/>
  <c r="H173" i="3"/>
  <c r="AG172" i="3"/>
  <c r="AF172" i="3"/>
  <c r="AB172" i="3"/>
  <c r="AA172" i="3"/>
  <c r="Z172" i="3"/>
  <c r="Y172" i="3"/>
  <c r="X172" i="3"/>
  <c r="W172" i="3"/>
  <c r="V172" i="3"/>
  <c r="U172" i="3"/>
  <c r="I172" i="3"/>
  <c r="H172" i="3"/>
  <c r="AG171" i="3"/>
  <c r="AF171" i="3"/>
  <c r="AB171" i="3"/>
  <c r="AA171" i="3"/>
  <c r="Z171" i="3"/>
  <c r="Y171" i="3"/>
  <c r="X171" i="3"/>
  <c r="W171" i="3"/>
  <c r="V171" i="3"/>
  <c r="U171" i="3"/>
  <c r="I171" i="3"/>
  <c r="H171" i="3"/>
  <c r="AG170" i="3"/>
  <c r="AF170" i="3"/>
  <c r="AB170" i="3"/>
  <c r="AA170" i="3"/>
  <c r="Z170" i="3"/>
  <c r="Y170" i="3"/>
  <c r="X170" i="3"/>
  <c r="W170" i="3"/>
  <c r="V170" i="3"/>
  <c r="U170" i="3"/>
  <c r="I170" i="3"/>
  <c r="H170" i="3"/>
  <c r="AG169" i="3"/>
  <c r="AF169" i="3"/>
  <c r="AB169" i="3"/>
  <c r="AA169" i="3"/>
  <c r="Z169" i="3"/>
  <c r="Y169" i="3"/>
  <c r="X169" i="3"/>
  <c r="W169" i="3"/>
  <c r="V169" i="3"/>
  <c r="U169" i="3"/>
  <c r="I169" i="3"/>
  <c r="H169" i="3"/>
  <c r="AG168" i="3"/>
  <c r="AF168" i="3"/>
  <c r="AB168" i="3"/>
  <c r="AA168" i="3"/>
  <c r="Z168" i="3"/>
  <c r="Y168" i="3"/>
  <c r="X168" i="3"/>
  <c r="W168" i="3"/>
  <c r="V168" i="3"/>
  <c r="U168" i="3"/>
  <c r="I168" i="3"/>
  <c r="H168" i="3"/>
  <c r="AG167" i="3"/>
  <c r="AF167" i="3"/>
  <c r="AB167" i="3"/>
  <c r="AA167" i="3"/>
  <c r="Z167" i="3"/>
  <c r="Y167" i="3"/>
  <c r="X167" i="3"/>
  <c r="W167" i="3"/>
  <c r="V167" i="3"/>
  <c r="U167" i="3"/>
  <c r="I167" i="3"/>
  <c r="H167" i="3"/>
  <c r="AG166" i="3"/>
  <c r="AF166" i="3"/>
  <c r="AB166" i="3"/>
  <c r="AA166" i="3"/>
  <c r="Z166" i="3"/>
  <c r="Y166" i="3"/>
  <c r="X166" i="3"/>
  <c r="W166" i="3"/>
  <c r="V166" i="3"/>
  <c r="U166" i="3"/>
  <c r="I166" i="3"/>
  <c r="H166" i="3"/>
  <c r="AG165" i="3"/>
  <c r="AF165" i="3"/>
  <c r="AB165" i="3"/>
  <c r="AA165" i="3"/>
  <c r="Z165" i="3"/>
  <c r="Y165" i="3"/>
  <c r="X165" i="3"/>
  <c r="W165" i="3"/>
  <c r="V165" i="3"/>
  <c r="U165" i="3"/>
  <c r="I165" i="3"/>
  <c r="H165" i="3"/>
  <c r="AG164" i="3"/>
  <c r="AF164" i="3"/>
  <c r="AB164" i="3"/>
  <c r="AA164" i="3"/>
  <c r="Z164" i="3"/>
  <c r="Y164" i="3"/>
  <c r="X164" i="3"/>
  <c r="W164" i="3"/>
  <c r="V164" i="3"/>
  <c r="U164" i="3"/>
  <c r="I164" i="3"/>
  <c r="H164" i="3"/>
  <c r="AG163" i="3"/>
  <c r="AF163" i="3"/>
  <c r="AB163" i="3"/>
  <c r="AA163" i="3"/>
  <c r="Z163" i="3"/>
  <c r="Y163" i="3"/>
  <c r="X163" i="3"/>
  <c r="W163" i="3"/>
  <c r="V163" i="3"/>
  <c r="U163" i="3"/>
  <c r="I163" i="3"/>
  <c r="H163" i="3"/>
  <c r="AG162" i="3"/>
  <c r="AF162" i="3"/>
  <c r="AB162" i="3"/>
  <c r="AA162" i="3"/>
  <c r="Z162" i="3"/>
  <c r="Y162" i="3"/>
  <c r="X162" i="3"/>
  <c r="W162" i="3"/>
  <c r="V162" i="3"/>
  <c r="U162" i="3"/>
  <c r="I162" i="3"/>
  <c r="H162" i="3"/>
  <c r="AG161" i="3"/>
  <c r="AF161" i="3"/>
  <c r="AB161" i="3"/>
  <c r="AA161" i="3"/>
  <c r="Z161" i="3"/>
  <c r="Y161" i="3"/>
  <c r="X161" i="3"/>
  <c r="W161" i="3"/>
  <c r="V161" i="3"/>
  <c r="U161" i="3"/>
  <c r="I161" i="3"/>
  <c r="H161" i="3"/>
  <c r="AG160" i="3"/>
  <c r="AF160" i="3"/>
  <c r="AB160" i="3"/>
  <c r="AA160" i="3"/>
  <c r="Z160" i="3"/>
  <c r="Y160" i="3"/>
  <c r="X160" i="3"/>
  <c r="W160" i="3"/>
  <c r="V160" i="3"/>
  <c r="U160" i="3"/>
  <c r="I160" i="3"/>
  <c r="H160" i="3"/>
  <c r="AG159" i="3"/>
  <c r="AF159" i="3"/>
  <c r="AB159" i="3"/>
  <c r="AA159" i="3"/>
  <c r="Z159" i="3"/>
  <c r="Y159" i="3"/>
  <c r="X159" i="3"/>
  <c r="W159" i="3"/>
  <c r="V159" i="3"/>
  <c r="U159" i="3"/>
  <c r="I159" i="3"/>
  <c r="H159" i="3"/>
  <c r="AG158" i="3"/>
  <c r="AF158" i="3"/>
  <c r="AB158" i="3"/>
  <c r="AA158" i="3"/>
  <c r="Z158" i="3"/>
  <c r="Y158" i="3"/>
  <c r="X158" i="3"/>
  <c r="W158" i="3"/>
  <c r="V158" i="3"/>
  <c r="U158" i="3"/>
  <c r="I158" i="3"/>
  <c r="H158" i="3"/>
  <c r="AG157" i="3"/>
  <c r="AF157" i="3"/>
  <c r="AB157" i="3"/>
  <c r="AA157" i="3"/>
  <c r="Z157" i="3"/>
  <c r="Y157" i="3"/>
  <c r="X157" i="3"/>
  <c r="W157" i="3"/>
  <c r="V157" i="3"/>
  <c r="U157" i="3"/>
  <c r="I157" i="3"/>
  <c r="H157" i="3"/>
  <c r="AG156" i="3"/>
  <c r="AF156" i="3"/>
  <c r="AB156" i="3"/>
  <c r="AA156" i="3"/>
  <c r="Z156" i="3"/>
  <c r="Y156" i="3"/>
  <c r="X156" i="3"/>
  <c r="W156" i="3"/>
  <c r="V156" i="3"/>
  <c r="U156" i="3"/>
  <c r="I156" i="3"/>
  <c r="H156" i="3"/>
  <c r="AG155" i="3"/>
  <c r="AF155" i="3"/>
  <c r="AB155" i="3"/>
  <c r="AA155" i="3"/>
  <c r="Z155" i="3"/>
  <c r="Y155" i="3"/>
  <c r="X155" i="3"/>
  <c r="W155" i="3"/>
  <c r="V155" i="3"/>
  <c r="U155" i="3"/>
  <c r="I155" i="3"/>
  <c r="H155" i="3"/>
  <c r="AG154" i="3"/>
  <c r="AF154" i="3"/>
  <c r="AB154" i="3"/>
  <c r="AA154" i="3"/>
  <c r="Z154" i="3"/>
  <c r="Y154" i="3"/>
  <c r="X154" i="3"/>
  <c r="W154" i="3"/>
  <c r="V154" i="3"/>
  <c r="U154" i="3"/>
  <c r="I154" i="3"/>
  <c r="H154" i="3"/>
  <c r="AG153" i="3"/>
  <c r="AF153" i="3"/>
  <c r="AB153" i="3"/>
  <c r="AA153" i="3"/>
  <c r="Z153" i="3"/>
  <c r="Y153" i="3"/>
  <c r="X153" i="3"/>
  <c r="W153" i="3"/>
  <c r="V153" i="3"/>
  <c r="U153" i="3"/>
  <c r="I153" i="3"/>
  <c r="H153" i="3"/>
  <c r="AG152" i="3"/>
  <c r="AF152" i="3"/>
  <c r="AB152" i="3"/>
  <c r="AA152" i="3"/>
  <c r="Z152" i="3"/>
  <c r="Y152" i="3"/>
  <c r="X152" i="3"/>
  <c r="W152" i="3"/>
  <c r="V152" i="3"/>
  <c r="U152" i="3"/>
  <c r="I152" i="3"/>
  <c r="H152" i="3"/>
  <c r="AG151" i="3"/>
  <c r="AF151" i="3"/>
  <c r="AB151" i="3"/>
  <c r="AA151" i="3"/>
  <c r="Z151" i="3"/>
  <c r="Y151" i="3"/>
  <c r="X151" i="3"/>
  <c r="W151" i="3"/>
  <c r="V151" i="3"/>
  <c r="U151" i="3"/>
  <c r="I151" i="3"/>
  <c r="H151" i="3"/>
  <c r="AG150" i="3"/>
  <c r="AF150" i="3"/>
  <c r="AB150" i="3"/>
  <c r="AA150" i="3"/>
  <c r="Z150" i="3"/>
  <c r="Y150" i="3"/>
  <c r="X150" i="3"/>
  <c r="W150" i="3"/>
  <c r="V150" i="3"/>
  <c r="U150" i="3"/>
  <c r="I150" i="3"/>
  <c r="H150" i="3"/>
  <c r="AG149" i="3"/>
  <c r="AF149" i="3"/>
  <c r="AB149" i="3"/>
  <c r="AA149" i="3"/>
  <c r="Z149" i="3"/>
  <c r="Y149" i="3"/>
  <c r="X149" i="3"/>
  <c r="W149" i="3"/>
  <c r="V149" i="3"/>
  <c r="U149" i="3"/>
  <c r="I149" i="3"/>
  <c r="H149" i="3"/>
  <c r="AG148" i="3"/>
  <c r="AF148" i="3"/>
  <c r="AB148" i="3"/>
  <c r="AA148" i="3"/>
  <c r="Z148" i="3"/>
  <c r="Y148" i="3"/>
  <c r="X148" i="3"/>
  <c r="W148" i="3"/>
  <c r="V148" i="3"/>
  <c r="U148" i="3"/>
  <c r="I148" i="3"/>
  <c r="H148" i="3"/>
  <c r="AG147" i="3"/>
  <c r="AF147" i="3"/>
  <c r="AB147" i="3"/>
  <c r="AA147" i="3"/>
  <c r="Z147" i="3"/>
  <c r="Y147" i="3"/>
  <c r="X147" i="3"/>
  <c r="W147" i="3"/>
  <c r="V147" i="3"/>
  <c r="U147" i="3"/>
  <c r="I147" i="3"/>
  <c r="H147" i="3"/>
  <c r="AG146" i="3"/>
  <c r="AF146" i="3"/>
  <c r="AB146" i="3"/>
  <c r="AA146" i="3"/>
  <c r="Z146" i="3"/>
  <c r="Y146" i="3"/>
  <c r="X146" i="3"/>
  <c r="W146" i="3"/>
  <c r="V146" i="3"/>
  <c r="U146" i="3"/>
  <c r="I146" i="3"/>
  <c r="H146" i="3"/>
  <c r="AG145" i="3"/>
  <c r="AF145" i="3"/>
  <c r="AB145" i="3"/>
  <c r="AA145" i="3"/>
  <c r="Z145" i="3"/>
  <c r="Y145" i="3"/>
  <c r="X145" i="3"/>
  <c r="W145" i="3"/>
  <c r="V145" i="3"/>
  <c r="U145" i="3"/>
  <c r="I145" i="3"/>
  <c r="H145" i="3"/>
  <c r="AG144" i="3"/>
  <c r="AF144" i="3"/>
  <c r="AB144" i="3"/>
  <c r="AA144" i="3"/>
  <c r="Z144" i="3"/>
  <c r="Y144" i="3"/>
  <c r="X144" i="3"/>
  <c r="W144" i="3"/>
  <c r="V144" i="3"/>
  <c r="U144" i="3"/>
  <c r="I144" i="3"/>
  <c r="H144" i="3"/>
  <c r="AG143" i="3"/>
  <c r="AF143" i="3"/>
  <c r="AB143" i="3"/>
  <c r="AA143" i="3"/>
  <c r="Z143" i="3"/>
  <c r="Y143" i="3"/>
  <c r="X143" i="3"/>
  <c r="W143" i="3"/>
  <c r="V143" i="3"/>
  <c r="U143" i="3"/>
  <c r="I143" i="3"/>
  <c r="H143" i="3"/>
  <c r="AG142" i="3"/>
  <c r="AF142" i="3"/>
  <c r="AB142" i="3"/>
  <c r="AA142" i="3"/>
  <c r="Z142" i="3"/>
  <c r="Y142" i="3"/>
  <c r="X142" i="3"/>
  <c r="W142" i="3"/>
  <c r="V142" i="3"/>
  <c r="U142" i="3"/>
  <c r="I142" i="3"/>
  <c r="H142" i="3"/>
  <c r="AG141" i="3"/>
  <c r="AF141" i="3"/>
  <c r="AB141" i="3"/>
  <c r="AA141" i="3"/>
  <c r="Z141" i="3"/>
  <c r="Y141" i="3"/>
  <c r="X141" i="3"/>
  <c r="W141" i="3"/>
  <c r="V141" i="3"/>
  <c r="U141" i="3"/>
  <c r="I141" i="3"/>
  <c r="H141" i="3"/>
  <c r="AG140" i="3"/>
  <c r="AF140" i="3"/>
  <c r="AB140" i="3"/>
  <c r="AA140" i="3"/>
  <c r="Z140" i="3"/>
  <c r="Y140" i="3"/>
  <c r="X140" i="3"/>
  <c r="W140" i="3"/>
  <c r="V140" i="3"/>
  <c r="U140" i="3"/>
  <c r="I140" i="3"/>
  <c r="H140" i="3"/>
  <c r="AG139" i="3"/>
  <c r="AF139" i="3"/>
  <c r="AB139" i="3"/>
  <c r="AA139" i="3"/>
  <c r="Z139" i="3"/>
  <c r="Y139" i="3"/>
  <c r="X139" i="3"/>
  <c r="W139" i="3"/>
  <c r="V139" i="3"/>
  <c r="U139" i="3"/>
  <c r="I139" i="3"/>
  <c r="H139" i="3"/>
  <c r="AG138" i="3"/>
  <c r="AF138" i="3"/>
  <c r="AB138" i="3"/>
  <c r="AA138" i="3"/>
  <c r="Z138" i="3"/>
  <c r="Y138" i="3"/>
  <c r="X138" i="3"/>
  <c r="W138" i="3"/>
  <c r="V138" i="3"/>
  <c r="U138" i="3"/>
  <c r="I138" i="3"/>
  <c r="H138" i="3"/>
  <c r="AG137" i="3"/>
  <c r="AF137" i="3"/>
  <c r="AB137" i="3"/>
  <c r="AA137" i="3"/>
  <c r="Z137" i="3"/>
  <c r="Y137" i="3"/>
  <c r="X137" i="3"/>
  <c r="W137" i="3"/>
  <c r="V137" i="3"/>
  <c r="U137" i="3"/>
  <c r="I137" i="3"/>
  <c r="H137" i="3"/>
  <c r="AG136" i="3"/>
  <c r="AF136" i="3"/>
  <c r="AB136" i="3"/>
  <c r="AA136" i="3"/>
  <c r="Z136" i="3"/>
  <c r="Y136" i="3"/>
  <c r="X136" i="3"/>
  <c r="W136" i="3"/>
  <c r="V136" i="3"/>
  <c r="U136" i="3"/>
  <c r="I136" i="3"/>
  <c r="H136" i="3"/>
  <c r="AG135" i="3"/>
  <c r="AF135" i="3"/>
  <c r="AB135" i="3"/>
  <c r="AA135" i="3"/>
  <c r="Z135" i="3"/>
  <c r="Y135" i="3"/>
  <c r="X135" i="3"/>
  <c r="W135" i="3"/>
  <c r="V135" i="3"/>
  <c r="U135" i="3"/>
  <c r="I135" i="3"/>
  <c r="H135" i="3"/>
  <c r="AG134" i="3"/>
  <c r="AF134" i="3"/>
  <c r="AB134" i="3"/>
  <c r="AA134" i="3"/>
  <c r="Z134" i="3"/>
  <c r="Y134" i="3"/>
  <c r="X134" i="3"/>
  <c r="W134" i="3"/>
  <c r="V134" i="3"/>
  <c r="U134" i="3"/>
  <c r="I134" i="3"/>
  <c r="H134" i="3"/>
  <c r="AG133" i="3"/>
  <c r="AF133" i="3"/>
  <c r="AB133" i="3"/>
  <c r="AA133" i="3"/>
  <c r="Z133" i="3"/>
  <c r="Y133" i="3"/>
  <c r="X133" i="3"/>
  <c r="W133" i="3"/>
  <c r="V133" i="3"/>
  <c r="U133" i="3"/>
  <c r="I133" i="3"/>
  <c r="H133" i="3"/>
  <c r="AG132" i="3"/>
  <c r="AF132" i="3"/>
  <c r="AB132" i="3"/>
  <c r="AA132" i="3"/>
  <c r="Z132" i="3"/>
  <c r="Y132" i="3"/>
  <c r="X132" i="3"/>
  <c r="W132" i="3"/>
  <c r="V132" i="3"/>
  <c r="U132" i="3"/>
  <c r="I132" i="3"/>
  <c r="H132" i="3"/>
  <c r="AG131" i="3"/>
  <c r="AF131" i="3"/>
  <c r="AB131" i="3"/>
  <c r="AA131" i="3"/>
  <c r="Z131" i="3"/>
  <c r="Y131" i="3"/>
  <c r="X131" i="3"/>
  <c r="W131" i="3"/>
  <c r="V131" i="3"/>
  <c r="U131" i="3"/>
  <c r="I131" i="3"/>
  <c r="H131" i="3"/>
  <c r="AG130" i="3"/>
  <c r="AF130" i="3"/>
  <c r="AB130" i="3"/>
  <c r="AA130" i="3"/>
  <c r="Z130" i="3"/>
  <c r="Y130" i="3"/>
  <c r="X130" i="3"/>
  <c r="W130" i="3"/>
  <c r="V130" i="3"/>
  <c r="U130" i="3"/>
  <c r="I130" i="3"/>
  <c r="H130" i="3"/>
  <c r="AG129" i="3"/>
  <c r="AF129" i="3"/>
  <c r="AB129" i="3"/>
  <c r="AA129" i="3"/>
  <c r="Z129" i="3"/>
  <c r="Y129" i="3"/>
  <c r="X129" i="3"/>
  <c r="W129" i="3"/>
  <c r="V129" i="3"/>
  <c r="U129" i="3"/>
  <c r="I129" i="3"/>
  <c r="H129" i="3"/>
  <c r="AG128" i="3"/>
  <c r="AF128" i="3"/>
  <c r="AB128" i="3"/>
  <c r="AA128" i="3"/>
  <c r="Z128" i="3"/>
  <c r="Y128" i="3"/>
  <c r="X128" i="3"/>
  <c r="W128" i="3"/>
  <c r="V128" i="3"/>
  <c r="U128" i="3"/>
  <c r="I128" i="3"/>
  <c r="H128" i="3"/>
  <c r="AG127" i="3"/>
  <c r="AF127" i="3"/>
  <c r="AB127" i="3"/>
  <c r="AA127" i="3"/>
  <c r="Z127" i="3"/>
  <c r="Y127" i="3"/>
  <c r="X127" i="3"/>
  <c r="W127" i="3"/>
  <c r="V127" i="3"/>
  <c r="U127" i="3"/>
  <c r="I127" i="3"/>
  <c r="H127" i="3"/>
  <c r="AG126" i="3"/>
  <c r="AF126" i="3"/>
  <c r="AB126" i="3"/>
  <c r="AA126" i="3"/>
  <c r="Z126" i="3"/>
  <c r="Y126" i="3"/>
  <c r="X126" i="3"/>
  <c r="W126" i="3"/>
  <c r="V126" i="3"/>
  <c r="U126" i="3"/>
  <c r="I126" i="3"/>
  <c r="H126" i="3"/>
  <c r="AG125" i="3"/>
  <c r="AF125" i="3"/>
  <c r="AB125" i="3"/>
  <c r="AA125" i="3"/>
  <c r="Z125" i="3"/>
  <c r="Y125" i="3"/>
  <c r="X125" i="3"/>
  <c r="W125" i="3"/>
  <c r="V125" i="3"/>
  <c r="U125" i="3"/>
  <c r="I125" i="3"/>
  <c r="H125" i="3"/>
  <c r="AG124" i="3"/>
  <c r="AF124" i="3"/>
  <c r="AB124" i="3"/>
  <c r="AA124" i="3"/>
  <c r="Z124" i="3"/>
  <c r="Y124" i="3"/>
  <c r="X124" i="3"/>
  <c r="W124" i="3"/>
  <c r="V124" i="3"/>
  <c r="U124" i="3"/>
  <c r="I124" i="3"/>
  <c r="H124" i="3"/>
  <c r="AG123" i="3"/>
  <c r="AF123" i="3"/>
  <c r="AB123" i="3"/>
  <c r="AA123" i="3"/>
  <c r="Z123" i="3"/>
  <c r="Y123" i="3"/>
  <c r="X123" i="3"/>
  <c r="W123" i="3"/>
  <c r="V123" i="3"/>
  <c r="U123" i="3"/>
  <c r="I123" i="3"/>
  <c r="H123" i="3"/>
  <c r="AG122" i="3"/>
  <c r="AF122" i="3"/>
  <c r="AB122" i="3"/>
  <c r="AA122" i="3"/>
  <c r="Z122" i="3"/>
  <c r="Y122" i="3"/>
  <c r="X122" i="3"/>
  <c r="W122" i="3"/>
  <c r="V122" i="3"/>
  <c r="U122" i="3"/>
  <c r="I122" i="3"/>
  <c r="H122" i="3"/>
  <c r="AG121" i="3"/>
  <c r="AF121" i="3"/>
  <c r="AB121" i="3"/>
  <c r="AA121" i="3"/>
  <c r="Z121" i="3"/>
  <c r="Y121" i="3"/>
  <c r="X121" i="3"/>
  <c r="W121" i="3"/>
  <c r="V121" i="3"/>
  <c r="U121" i="3"/>
  <c r="I121" i="3"/>
  <c r="H121" i="3"/>
  <c r="AG120" i="3"/>
  <c r="AF120" i="3"/>
  <c r="AB120" i="3"/>
  <c r="AA120" i="3"/>
  <c r="Z120" i="3"/>
  <c r="Y120" i="3"/>
  <c r="X120" i="3"/>
  <c r="W120" i="3"/>
  <c r="V120" i="3"/>
  <c r="U120" i="3"/>
  <c r="I120" i="3"/>
  <c r="H120" i="3"/>
  <c r="AG119" i="3"/>
  <c r="AF119" i="3"/>
  <c r="AB119" i="3"/>
  <c r="AA119" i="3"/>
  <c r="Z119" i="3"/>
  <c r="Y119" i="3"/>
  <c r="X119" i="3"/>
  <c r="W119" i="3"/>
  <c r="V119" i="3"/>
  <c r="U119" i="3"/>
  <c r="I119" i="3"/>
  <c r="H119" i="3"/>
  <c r="AG118" i="3"/>
  <c r="AF118" i="3"/>
  <c r="AB118" i="3"/>
  <c r="AA118" i="3"/>
  <c r="Z118" i="3"/>
  <c r="Y118" i="3"/>
  <c r="X118" i="3"/>
  <c r="W118" i="3"/>
  <c r="V118" i="3"/>
  <c r="U118" i="3"/>
  <c r="I118" i="3"/>
  <c r="H118" i="3"/>
  <c r="AG117" i="3"/>
  <c r="AF117" i="3"/>
  <c r="AB117" i="3"/>
  <c r="AA117" i="3"/>
  <c r="Z117" i="3"/>
  <c r="Y117" i="3"/>
  <c r="X117" i="3"/>
  <c r="W117" i="3"/>
  <c r="V117" i="3"/>
  <c r="U117" i="3"/>
  <c r="I117" i="3"/>
  <c r="H117" i="3"/>
  <c r="AG116" i="3"/>
  <c r="AF116" i="3"/>
  <c r="AB116" i="3"/>
  <c r="AA116" i="3"/>
  <c r="Z116" i="3"/>
  <c r="Y116" i="3"/>
  <c r="X116" i="3"/>
  <c r="W116" i="3"/>
  <c r="V116" i="3"/>
  <c r="U116" i="3"/>
  <c r="I116" i="3"/>
  <c r="H116" i="3"/>
  <c r="AG115" i="3"/>
  <c r="AF115" i="3"/>
  <c r="AB115" i="3"/>
  <c r="AA115" i="3"/>
  <c r="Z115" i="3"/>
  <c r="Y115" i="3"/>
  <c r="X115" i="3"/>
  <c r="W115" i="3"/>
  <c r="V115" i="3"/>
  <c r="U115" i="3"/>
  <c r="I115" i="3"/>
  <c r="H115" i="3"/>
  <c r="AG114" i="3"/>
  <c r="AF114" i="3"/>
  <c r="AB114" i="3"/>
  <c r="AA114" i="3"/>
  <c r="Z114" i="3"/>
  <c r="Y114" i="3"/>
  <c r="X114" i="3"/>
  <c r="W114" i="3"/>
  <c r="V114" i="3"/>
  <c r="U114" i="3"/>
  <c r="I114" i="3"/>
  <c r="H114" i="3"/>
  <c r="AG113" i="3"/>
  <c r="AF113" i="3"/>
  <c r="AB113" i="3"/>
  <c r="AA113" i="3"/>
  <c r="Z113" i="3"/>
  <c r="Y113" i="3"/>
  <c r="X113" i="3"/>
  <c r="W113" i="3"/>
  <c r="V113" i="3"/>
  <c r="U113" i="3"/>
  <c r="I113" i="3"/>
  <c r="H113" i="3"/>
  <c r="AG112" i="3"/>
  <c r="AF112" i="3"/>
  <c r="AB112" i="3"/>
  <c r="AA112" i="3"/>
  <c r="Z112" i="3"/>
  <c r="Y112" i="3"/>
  <c r="X112" i="3"/>
  <c r="W112" i="3"/>
  <c r="V112" i="3"/>
  <c r="U112" i="3"/>
  <c r="I112" i="3"/>
  <c r="H112" i="3"/>
  <c r="AG111" i="3"/>
  <c r="AF111" i="3"/>
  <c r="AB111" i="3"/>
  <c r="AA111" i="3"/>
  <c r="Z111" i="3"/>
  <c r="Y111" i="3"/>
  <c r="X111" i="3"/>
  <c r="W111" i="3"/>
  <c r="V111" i="3"/>
  <c r="U111" i="3"/>
  <c r="I111" i="3"/>
  <c r="H111" i="3"/>
  <c r="AG110" i="3"/>
  <c r="AF110" i="3"/>
  <c r="AB110" i="3"/>
  <c r="AA110" i="3"/>
  <c r="Z110" i="3"/>
  <c r="Y110" i="3"/>
  <c r="X110" i="3"/>
  <c r="W110" i="3"/>
  <c r="V110" i="3"/>
  <c r="U110" i="3"/>
  <c r="I110" i="3"/>
  <c r="H110" i="3"/>
  <c r="AG109" i="3"/>
  <c r="AF109" i="3"/>
  <c r="AB109" i="3"/>
  <c r="AA109" i="3"/>
  <c r="Z109" i="3"/>
  <c r="Y109" i="3"/>
  <c r="X109" i="3"/>
  <c r="W109" i="3"/>
  <c r="V109" i="3"/>
  <c r="U109" i="3"/>
  <c r="I109" i="3"/>
  <c r="H109" i="3"/>
  <c r="AG108" i="3"/>
  <c r="AF108" i="3"/>
  <c r="AB108" i="3"/>
  <c r="AA108" i="3"/>
  <c r="Z108" i="3"/>
  <c r="Y108" i="3"/>
  <c r="X108" i="3"/>
  <c r="W108" i="3"/>
  <c r="V108" i="3"/>
  <c r="U108" i="3"/>
  <c r="I108" i="3"/>
  <c r="H108" i="3"/>
  <c r="AG107" i="3"/>
  <c r="AF107" i="3"/>
  <c r="AB107" i="3"/>
  <c r="AA107" i="3"/>
  <c r="Z107" i="3"/>
  <c r="Y107" i="3"/>
  <c r="X107" i="3"/>
  <c r="W107" i="3"/>
  <c r="V107" i="3"/>
  <c r="U107" i="3"/>
  <c r="I107" i="3"/>
  <c r="H107" i="3"/>
  <c r="AG106" i="3"/>
  <c r="AF106" i="3"/>
  <c r="AB106" i="3"/>
  <c r="AA106" i="3"/>
  <c r="Z106" i="3"/>
  <c r="Y106" i="3"/>
  <c r="X106" i="3"/>
  <c r="W106" i="3"/>
  <c r="V106" i="3"/>
  <c r="U106" i="3"/>
  <c r="I106" i="3"/>
  <c r="H106" i="3"/>
  <c r="AG105" i="3"/>
  <c r="AF105" i="3"/>
  <c r="AB105" i="3"/>
  <c r="AA105" i="3"/>
  <c r="Z105" i="3"/>
  <c r="Y105" i="3"/>
  <c r="X105" i="3"/>
  <c r="W105" i="3"/>
  <c r="V105" i="3"/>
  <c r="U105" i="3"/>
  <c r="I105" i="3"/>
  <c r="H105" i="3"/>
  <c r="AG104" i="3"/>
  <c r="AF104" i="3"/>
  <c r="AB104" i="3"/>
  <c r="AA104" i="3"/>
  <c r="Z104" i="3"/>
  <c r="Y104" i="3"/>
  <c r="X104" i="3"/>
  <c r="W104" i="3"/>
  <c r="V104" i="3"/>
  <c r="U104" i="3"/>
  <c r="I104" i="3"/>
  <c r="H104" i="3"/>
  <c r="AG103" i="3"/>
  <c r="AF103" i="3"/>
  <c r="AB103" i="3"/>
  <c r="AA103" i="3"/>
  <c r="Z103" i="3"/>
  <c r="Y103" i="3"/>
  <c r="X103" i="3"/>
  <c r="W103" i="3"/>
  <c r="V103" i="3"/>
  <c r="U103" i="3"/>
  <c r="I103" i="3"/>
  <c r="H103" i="3"/>
  <c r="AG102" i="3"/>
  <c r="AF102" i="3"/>
  <c r="AB102" i="3"/>
  <c r="AA102" i="3"/>
  <c r="Z102" i="3"/>
  <c r="Y102" i="3"/>
  <c r="X102" i="3"/>
  <c r="W102" i="3"/>
  <c r="V102" i="3"/>
  <c r="U102" i="3"/>
  <c r="I102" i="3"/>
  <c r="H102" i="3"/>
  <c r="AG101" i="3"/>
  <c r="AF101" i="3"/>
  <c r="AB101" i="3"/>
  <c r="AA101" i="3"/>
  <c r="Z101" i="3"/>
  <c r="Y101" i="3"/>
  <c r="X101" i="3"/>
  <c r="W101" i="3"/>
  <c r="V101" i="3"/>
  <c r="U101" i="3"/>
  <c r="I101" i="3"/>
  <c r="H101" i="3"/>
  <c r="AG100" i="3"/>
  <c r="AF100" i="3"/>
  <c r="AB100" i="3"/>
  <c r="AA100" i="3"/>
  <c r="Z100" i="3"/>
  <c r="Y100" i="3"/>
  <c r="X100" i="3"/>
  <c r="W100" i="3"/>
  <c r="V100" i="3"/>
  <c r="U100" i="3"/>
  <c r="I100" i="3"/>
  <c r="H100" i="3"/>
  <c r="AG99" i="3"/>
  <c r="AF99" i="3"/>
  <c r="AB99" i="3"/>
  <c r="AA99" i="3"/>
  <c r="Z99" i="3"/>
  <c r="Y99" i="3"/>
  <c r="X99" i="3"/>
  <c r="W99" i="3"/>
  <c r="V99" i="3"/>
  <c r="U99" i="3"/>
  <c r="I99" i="3"/>
  <c r="H99" i="3"/>
  <c r="AG98" i="3"/>
  <c r="AF98" i="3"/>
  <c r="AB98" i="3"/>
  <c r="AA98" i="3"/>
  <c r="Z98" i="3"/>
  <c r="Y98" i="3"/>
  <c r="X98" i="3"/>
  <c r="W98" i="3"/>
  <c r="V98" i="3"/>
  <c r="U98" i="3"/>
  <c r="I98" i="3"/>
  <c r="H98" i="3"/>
  <c r="AG97" i="3"/>
  <c r="AF97" i="3"/>
  <c r="AB97" i="3"/>
  <c r="AA97" i="3"/>
  <c r="Z97" i="3"/>
  <c r="Y97" i="3"/>
  <c r="X97" i="3"/>
  <c r="W97" i="3"/>
  <c r="V97" i="3"/>
  <c r="U97" i="3"/>
  <c r="I97" i="3"/>
  <c r="H97" i="3"/>
  <c r="AG96" i="3"/>
  <c r="AF96" i="3"/>
  <c r="AB96" i="3"/>
  <c r="AA96" i="3"/>
  <c r="Z96" i="3"/>
  <c r="Y96" i="3"/>
  <c r="X96" i="3"/>
  <c r="W96" i="3"/>
  <c r="V96" i="3"/>
  <c r="U96" i="3"/>
  <c r="I96" i="3"/>
  <c r="H96" i="3"/>
  <c r="AG95" i="3"/>
  <c r="AF95" i="3"/>
  <c r="AB95" i="3"/>
  <c r="AA95" i="3"/>
  <c r="Z95" i="3"/>
  <c r="Y95" i="3"/>
  <c r="X95" i="3"/>
  <c r="W95" i="3"/>
  <c r="V95" i="3"/>
  <c r="U95" i="3"/>
  <c r="I95" i="3"/>
  <c r="H95" i="3"/>
  <c r="AG94" i="3"/>
  <c r="AF94" i="3"/>
  <c r="AB94" i="3"/>
  <c r="AA94" i="3"/>
  <c r="Z94" i="3"/>
  <c r="Y94" i="3"/>
  <c r="X94" i="3"/>
  <c r="W94" i="3"/>
  <c r="V94" i="3"/>
  <c r="U94" i="3"/>
  <c r="I94" i="3"/>
  <c r="H94" i="3"/>
  <c r="AG93" i="3"/>
  <c r="AF93" i="3"/>
  <c r="AB93" i="3"/>
  <c r="AA93" i="3"/>
  <c r="Z93" i="3"/>
  <c r="Y93" i="3"/>
  <c r="X93" i="3"/>
  <c r="W93" i="3"/>
  <c r="V93" i="3"/>
  <c r="U93" i="3"/>
  <c r="I93" i="3"/>
  <c r="H93" i="3"/>
  <c r="AG92" i="3"/>
  <c r="AF92" i="3"/>
  <c r="AB92" i="3"/>
  <c r="AA92" i="3"/>
  <c r="Z92" i="3"/>
  <c r="Y92" i="3"/>
  <c r="X92" i="3"/>
  <c r="W92" i="3"/>
  <c r="V92" i="3"/>
  <c r="U92" i="3"/>
  <c r="I92" i="3"/>
  <c r="H92" i="3"/>
  <c r="AG91" i="3"/>
  <c r="AF91" i="3"/>
  <c r="AB91" i="3"/>
  <c r="AA91" i="3"/>
  <c r="Z91" i="3"/>
  <c r="Y91" i="3"/>
  <c r="X91" i="3"/>
  <c r="W91" i="3"/>
  <c r="V91" i="3"/>
  <c r="U91" i="3"/>
  <c r="I91" i="3"/>
  <c r="H91" i="3"/>
  <c r="AG90" i="3"/>
  <c r="AF90" i="3"/>
  <c r="AB90" i="3"/>
  <c r="AA90" i="3"/>
  <c r="Z90" i="3"/>
  <c r="Y90" i="3"/>
  <c r="X90" i="3"/>
  <c r="W90" i="3"/>
  <c r="V90" i="3"/>
  <c r="U90" i="3"/>
  <c r="I90" i="3"/>
  <c r="H90" i="3"/>
  <c r="AG89" i="3"/>
  <c r="AF89" i="3"/>
  <c r="AB89" i="3"/>
  <c r="AA89" i="3"/>
  <c r="Z89" i="3"/>
  <c r="Y89" i="3"/>
  <c r="X89" i="3"/>
  <c r="W89" i="3"/>
  <c r="V89" i="3"/>
  <c r="U89" i="3"/>
  <c r="I89" i="3"/>
  <c r="H89" i="3"/>
  <c r="AG88" i="3"/>
  <c r="AF88" i="3"/>
  <c r="AB88" i="3"/>
  <c r="AA88" i="3"/>
  <c r="Z88" i="3"/>
  <c r="Y88" i="3"/>
  <c r="X88" i="3"/>
  <c r="W88" i="3"/>
  <c r="V88" i="3"/>
  <c r="U88" i="3"/>
  <c r="I88" i="3"/>
  <c r="H88" i="3"/>
  <c r="AG87" i="3"/>
  <c r="AF87" i="3"/>
  <c r="AB87" i="3"/>
  <c r="AA87" i="3"/>
  <c r="Z87" i="3"/>
  <c r="Y87" i="3"/>
  <c r="X87" i="3"/>
  <c r="W87" i="3"/>
  <c r="V87" i="3"/>
  <c r="U87" i="3"/>
  <c r="I87" i="3"/>
  <c r="H87" i="3"/>
  <c r="AG86" i="3"/>
  <c r="AF86" i="3"/>
  <c r="AB86" i="3"/>
  <c r="AA86" i="3"/>
  <c r="Z86" i="3"/>
  <c r="Y86" i="3"/>
  <c r="X86" i="3"/>
  <c r="W86" i="3"/>
  <c r="V86" i="3"/>
  <c r="U86" i="3"/>
  <c r="I86" i="3"/>
  <c r="H86" i="3"/>
  <c r="AG85" i="3"/>
  <c r="AF85" i="3"/>
  <c r="AB85" i="3"/>
  <c r="AA85" i="3"/>
  <c r="Z85" i="3"/>
  <c r="Y85" i="3"/>
  <c r="X85" i="3"/>
  <c r="W85" i="3"/>
  <c r="V85" i="3"/>
  <c r="U85" i="3"/>
  <c r="I85" i="3"/>
  <c r="H85" i="3"/>
  <c r="AG84" i="3"/>
  <c r="AF84" i="3"/>
  <c r="AB84" i="3"/>
  <c r="AA84" i="3"/>
  <c r="Z84" i="3"/>
  <c r="Y84" i="3"/>
  <c r="X84" i="3"/>
  <c r="W84" i="3"/>
  <c r="V84" i="3"/>
  <c r="U84" i="3"/>
  <c r="I84" i="3"/>
  <c r="H84" i="3"/>
  <c r="AG83" i="3"/>
  <c r="AF83" i="3"/>
  <c r="AB83" i="3"/>
  <c r="AA83" i="3"/>
  <c r="Z83" i="3"/>
  <c r="Y83" i="3"/>
  <c r="X83" i="3"/>
  <c r="W83" i="3"/>
  <c r="V83" i="3"/>
  <c r="U83" i="3"/>
  <c r="I83" i="3"/>
  <c r="H83" i="3"/>
  <c r="AG82" i="3"/>
  <c r="AF82" i="3"/>
  <c r="AB82" i="3"/>
  <c r="AA82" i="3"/>
  <c r="Z82" i="3"/>
  <c r="Y82" i="3"/>
  <c r="X82" i="3"/>
  <c r="W82" i="3"/>
  <c r="V82" i="3"/>
  <c r="U82" i="3"/>
  <c r="I82" i="3"/>
  <c r="H82" i="3"/>
  <c r="AG81" i="3"/>
  <c r="AF81" i="3"/>
  <c r="AB81" i="3"/>
  <c r="AA81" i="3"/>
  <c r="Z81" i="3"/>
  <c r="Y81" i="3"/>
  <c r="X81" i="3"/>
  <c r="W81" i="3"/>
  <c r="V81" i="3"/>
  <c r="U81" i="3"/>
  <c r="I81" i="3"/>
  <c r="H81" i="3"/>
  <c r="AG80" i="3"/>
  <c r="AF80" i="3"/>
  <c r="AB80" i="3"/>
  <c r="AA80" i="3"/>
  <c r="Z80" i="3"/>
  <c r="Y80" i="3"/>
  <c r="X80" i="3"/>
  <c r="W80" i="3"/>
  <c r="V80" i="3"/>
  <c r="U80" i="3"/>
  <c r="I80" i="3"/>
  <c r="H80" i="3"/>
  <c r="AG79" i="3"/>
  <c r="AF79" i="3"/>
  <c r="AB79" i="3"/>
  <c r="AA79" i="3"/>
  <c r="Z79" i="3"/>
  <c r="Y79" i="3"/>
  <c r="X79" i="3"/>
  <c r="W79" i="3"/>
  <c r="V79" i="3"/>
  <c r="U79" i="3"/>
  <c r="I79" i="3"/>
  <c r="H79" i="3"/>
  <c r="AG78" i="3"/>
  <c r="AF78" i="3"/>
  <c r="AB78" i="3"/>
  <c r="AA78" i="3"/>
  <c r="Z78" i="3"/>
  <c r="Y78" i="3"/>
  <c r="X78" i="3"/>
  <c r="W78" i="3"/>
  <c r="V78" i="3"/>
  <c r="U78" i="3"/>
  <c r="I78" i="3"/>
  <c r="H78" i="3"/>
  <c r="AG77" i="3"/>
  <c r="AF77" i="3"/>
  <c r="AB77" i="3"/>
  <c r="AA77" i="3"/>
  <c r="Z77" i="3"/>
  <c r="Y77" i="3"/>
  <c r="X77" i="3"/>
  <c r="W77" i="3"/>
  <c r="V77" i="3"/>
  <c r="U77" i="3"/>
  <c r="I77" i="3"/>
  <c r="H77" i="3"/>
  <c r="AG76" i="3"/>
  <c r="AF76" i="3"/>
  <c r="AB76" i="3"/>
  <c r="AA76" i="3"/>
  <c r="Z76" i="3"/>
  <c r="Y76" i="3"/>
  <c r="X76" i="3"/>
  <c r="W76" i="3"/>
  <c r="V76" i="3"/>
  <c r="U76" i="3"/>
  <c r="I76" i="3"/>
  <c r="H76" i="3"/>
  <c r="AG75" i="3"/>
  <c r="AF75" i="3"/>
  <c r="AB75" i="3"/>
  <c r="AA75" i="3"/>
  <c r="Z75" i="3"/>
  <c r="Y75" i="3"/>
  <c r="X75" i="3"/>
  <c r="W75" i="3"/>
  <c r="V75" i="3"/>
  <c r="U75" i="3"/>
  <c r="I75" i="3"/>
  <c r="H75" i="3"/>
  <c r="AG74" i="3"/>
  <c r="AF74" i="3"/>
  <c r="AB74" i="3"/>
  <c r="AA74" i="3"/>
  <c r="Z74" i="3"/>
  <c r="Y74" i="3"/>
  <c r="X74" i="3"/>
  <c r="W74" i="3"/>
  <c r="V74" i="3"/>
  <c r="U74" i="3"/>
  <c r="I74" i="3"/>
  <c r="H74" i="3"/>
  <c r="AG73" i="3"/>
  <c r="AF73" i="3"/>
  <c r="AB73" i="3"/>
  <c r="AA73" i="3"/>
  <c r="Z73" i="3"/>
  <c r="Y73" i="3"/>
  <c r="X73" i="3"/>
  <c r="W73" i="3"/>
  <c r="V73" i="3"/>
  <c r="U73" i="3"/>
  <c r="I73" i="3"/>
  <c r="H73" i="3"/>
  <c r="AG72" i="3"/>
  <c r="AF72" i="3"/>
  <c r="AB72" i="3"/>
  <c r="AA72" i="3"/>
  <c r="Z72" i="3"/>
  <c r="Y72" i="3"/>
  <c r="X72" i="3"/>
  <c r="W72" i="3"/>
  <c r="V72" i="3"/>
  <c r="U72" i="3"/>
  <c r="I72" i="3"/>
  <c r="H72" i="3"/>
  <c r="AG71" i="3"/>
  <c r="AF71" i="3"/>
  <c r="AB71" i="3"/>
  <c r="AA71" i="3"/>
  <c r="Z71" i="3"/>
  <c r="Y71" i="3"/>
  <c r="X71" i="3"/>
  <c r="W71" i="3"/>
  <c r="V71" i="3"/>
  <c r="U71" i="3"/>
  <c r="I71" i="3"/>
  <c r="H71" i="3"/>
  <c r="AG70" i="3"/>
  <c r="AF70" i="3"/>
  <c r="AB70" i="3"/>
  <c r="AA70" i="3"/>
  <c r="Z70" i="3"/>
  <c r="Y70" i="3"/>
  <c r="X70" i="3"/>
  <c r="W70" i="3"/>
  <c r="V70" i="3"/>
  <c r="U70" i="3"/>
  <c r="I70" i="3"/>
  <c r="H70" i="3"/>
  <c r="AG69" i="3"/>
  <c r="AF69" i="3"/>
  <c r="AB69" i="3"/>
  <c r="AA69" i="3"/>
  <c r="Z69" i="3"/>
  <c r="Y69" i="3"/>
  <c r="X69" i="3"/>
  <c r="W69" i="3"/>
  <c r="V69" i="3"/>
  <c r="U69" i="3"/>
  <c r="I69" i="3"/>
  <c r="H69" i="3"/>
  <c r="AG68" i="3"/>
  <c r="AF68" i="3"/>
  <c r="AB68" i="3"/>
  <c r="AA68" i="3"/>
  <c r="Z68" i="3"/>
  <c r="Y68" i="3"/>
  <c r="X68" i="3"/>
  <c r="W68" i="3"/>
  <c r="V68" i="3"/>
  <c r="U68" i="3"/>
  <c r="I68" i="3"/>
  <c r="H68" i="3"/>
  <c r="AG67" i="3"/>
  <c r="AF67" i="3"/>
  <c r="AB67" i="3"/>
  <c r="AA67" i="3"/>
  <c r="Z67" i="3"/>
  <c r="Y67" i="3"/>
  <c r="X67" i="3"/>
  <c r="W67" i="3"/>
  <c r="V67" i="3"/>
  <c r="U67" i="3"/>
  <c r="I67" i="3"/>
  <c r="H67" i="3"/>
  <c r="AG66" i="3"/>
  <c r="AF66" i="3"/>
  <c r="AB66" i="3"/>
  <c r="AA66" i="3"/>
  <c r="Z66" i="3"/>
  <c r="Y66" i="3"/>
  <c r="X66" i="3"/>
  <c r="W66" i="3"/>
  <c r="V66" i="3"/>
  <c r="U66" i="3"/>
  <c r="I66" i="3"/>
  <c r="H66" i="3"/>
  <c r="AG65" i="3"/>
  <c r="AF65" i="3"/>
  <c r="AB65" i="3"/>
  <c r="AA65" i="3"/>
  <c r="Z65" i="3"/>
  <c r="Y65" i="3"/>
  <c r="X65" i="3"/>
  <c r="W65" i="3"/>
  <c r="V65" i="3"/>
  <c r="U65" i="3"/>
  <c r="I65" i="3"/>
  <c r="H65" i="3"/>
  <c r="AG64" i="3"/>
  <c r="AF64" i="3"/>
  <c r="AB64" i="3"/>
  <c r="AA64" i="3"/>
  <c r="Z64" i="3"/>
  <c r="Y64" i="3"/>
  <c r="X64" i="3"/>
  <c r="W64" i="3"/>
  <c r="V64" i="3"/>
  <c r="U64" i="3"/>
  <c r="I64" i="3"/>
  <c r="H64" i="3"/>
  <c r="AG63" i="3"/>
  <c r="AF63" i="3"/>
  <c r="AB63" i="3"/>
  <c r="AA63" i="3"/>
  <c r="Z63" i="3"/>
  <c r="Y63" i="3"/>
  <c r="X63" i="3"/>
  <c r="W63" i="3"/>
  <c r="V63" i="3"/>
  <c r="U63" i="3"/>
  <c r="I63" i="3"/>
  <c r="H63" i="3"/>
  <c r="AG62" i="3"/>
  <c r="AF62" i="3"/>
  <c r="AB62" i="3"/>
  <c r="AA62" i="3"/>
  <c r="Z62" i="3"/>
  <c r="Y62" i="3"/>
  <c r="X62" i="3"/>
  <c r="W62" i="3"/>
  <c r="V62" i="3"/>
  <c r="U62" i="3"/>
  <c r="I62" i="3"/>
  <c r="H62" i="3"/>
  <c r="AG61" i="3"/>
  <c r="AF61" i="3"/>
  <c r="AB61" i="3"/>
  <c r="AA61" i="3"/>
  <c r="Z61" i="3"/>
  <c r="Y61" i="3"/>
  <c r="X61" i="3"/>
  <c r="W61" i="3"/>
  <c r="V61" i="3"/>
  <c r="U61" i="3"/>
  <c r="I61" i="3"/>
  <c r="H61" i="3"/>
  <c r="AG60" i="3"/>
  <c r="AF60" i="3"/>
  <c r="AB60" i="3"/>
  <c r="AA60" i="3"/>
  <c r="Z60" i="3"/>
  <c r="Y60" i="3"/>
  <c r="X60" i="3"/>
  <c r="W60" i="3"/>
  <c r="V60" i="3"/>
  <c r="U60" i="3"/>
  <c r="I60" i="3"/>
  <c r="H60" i="3"/>
  <c r="AG59" i="3"/>
  <c r="AF59" i="3"/>
  <c r="AB59" i="3"/>
  <c r="AA59" i="3"/>
  <c r="Z59" i="3"/>
  <c r="Y59" i="3"/>
  <c r="X59" i="3"/>
  <c r="W59" i="3"/>
  <c r="V59" i="3"/>
  <c r="U59" i="3"/>
  <c r="I59" i="3"/>
  <c r="H59" i="3"/>
  <c r="AG58" i="3"/>
  <c r="AF58" i="3"/>
  <c r="AB58" i="3"/>
  <c r="AA58" i="3"/>
  <c r="Z58" i="3"/>
  <c r="Y58" i="3"/>
  <c r="X58" i="3"/>
  <c r="W58" i="3"/>
  <c r="V58" i="3"/>
  <c r="U58" i="3"/>
  <c r="I58" i="3"/>
  <c r="H58" i="3"/>
  <c r="AG57" i="3"/>
  <c r="AF57" i="3"/>
  <c r="AB57" i="3"/>
  <c r="AA57" i="3"/>
  <c r="Z57" i="3"/>
  <c r="Y57" i="3"/>
  <c r="X57" i="3"/>
  <c r="W57" i="3"/>
  <c r="V57" i="3"/>
  <c r="U57" i="3"/>
  <c r="I57" i="3"/>
  <c r="H57" i="3"/>
  <c r="AG56" i="3"/>
  <c r="AF56" i="3"/>
  <c r="AB56" i="3"/>
  <c r="AA56" i="3"/>
  <c r="Z56" i="3"/>
  <c r="Y56" i="3"/>
  <c r="X56" i="3"/>
  <c r="W56" i="3"/>
  <c r="V56" i="3"/>
  <c r="U56" i="3"/>
  <c r="I56" i="3"/>
  <c r="H56" i="3"/>
  <c r="AG55" i="3"/>
  <c r="AF55" i="3"/>
  <c r="AB55" i="3"/>
  <c r="AA55" i="3"/>
  <c r="Z55" i="3"/>
  <c r="Y55" i="3"/>
  <c r="X55" i="3"/>
  <c r="W55" i="3"/>
  <c r="V55" i="3"/>
  <c r="U55" i="3"/>
  <c r="I55" i="3"/>
  <c r="H55" i="3"/>
  <c r="AG54" i="3"/>
  <c r="AF54" i="3"/>
  <c r="AB54" i="3"/>
  <c r="AA54" i="3"/>
  <c r="Z54" i="3"/>
  <c r="Y54" i="3"/>
  <c r="X54" i="3"/>
  <c r="W54" i="3"/>
  <c r="V54" i="3"/>
  <c r="U54" i="3"/>
  <c r="I54" i="3"/>
  <c r="H54" i="3"/>
  <c r="AG53" i="3"/>
  <c r="AF53" i="3"/>
  <c r="AB53" i="3"/>
  <c r="AA53" i="3"/>
  <c r="Z53" i="3"/>
  <c r="Y53" i="3"/>
  <c r="X53" i="3"/>
  <c r="W53" i="3"/>
  <c r="V53" i="3"/>
  <c r="U53" i="3"/>
  <c r="I53" i="3"/>
  <c r="H53" i="3"/>
  <c r="AG52" i="3"/>
  <c r="AF52" i="3"/>
  <c r="AB52" i="3"/>
  <c r="AA52" i="3"/>
  <c r="Z52" i="3"/>
  <c r="Y52" i="3"/>
  <c r="X52" i="3"/>
  <c r="W52" i="3"/>
  <c r="V52" i="3"/>
  <c r="U52" i="3"/>
  <c r="I52" i="3"/>
  <c r="H52" i="3"/>
  <c r="AG51" i="3"/>
  <c r="AF51" i="3"/>
  <c r="AB51" i="3"/>
  <c r="AA51" i="3"/>
  <c r="Z51" i="3"/>
  <c r="Y51" i="3"/>
  <c r="X51" i="3"/>
  <c r="W51" i="3"/>
  <c r="V51" i="3"/>
  <c r="U51" i="3"/>
  <c r="I51" i="3"/>
  <c r="H51" i="3"/>
  <c r="AG50" i="3"/>
  <c r="AF50" i="3"/>
  <c r="AB50" i="3"/>
  <c r="AA50" i="3"/>
  <c r="Z50" i="3"/>
  <c r="Y50" i="3"/>
  <c r="X50" i="3"/>
  <c r="W50" i="3"/>
  <c r="V50" i="3"/>
  <c r="U50" i="3"/>
  <c r="I50" i="3"/>
  <c r="H50" i="3"/>
  <c r="AG49" i="3"/>
  <c r="AF49" i="3"/>
  <c r="AB49" i="3"/>
  <c r="AA49" i="3"/>
  <c r="Z49" i="3"/>
  <c r="Y49" i="3"/>
  <c r="X49" i="3"/>
  <c r="W49" i="3"/>
  <c r="V49" i="3"/>
  <c r="U49" i="3"/>
  <c r="I49" i="3"/>
  <c r="H49" i="3"/>
  <c r="AG48" i="3"/>
  <c r="AF48" i="3"/>
  <c r="AB48" i="3"/>
  <c r="AA48" i="3"/>
  <c r="Z48" i="3"/>
  <c r="Y48" i="3"/>
  <c r="X48" i="3"/>
  <c r="W48" i="3"/>
  <c r="V48" i="3"/>
  <c r="U48" i="3"/>
  <c r="I48" i="3"/>
  <c r="H48" i="3"/>
  <c r="AG47" i="3"/>
  <c r="AF47" i="3"/>
  <c r="AB47" i="3"/>
  <c r="AA47" i="3"/>
  <c r="Z47" i="3"/>
  <c r="Y47" i="3"/>
  <c r="X47" i="3"/>
  <c r="W47" i="3"/>
  <c r="V47" i="3"/>
  <c r="U47" i="3"/>
  <c r="I47" i="3"/>
  <c r="H47" i="3"/>
  <c r="AG46" i="3"/>
  <c r="AF46" i="3"/>
  <c r="AB46" i="3"/>
  <c r="AA46" i="3"/>
  <c r="Z46" i="3"/>
  <c r="Y46" i="3"/>
  <c r="X46" i="3"/>
  <c r="W46" i="3"/>
  <c r="V46" i="3"/>
  <c r="U46" i="3"/>
  <c r="I46" i="3"/>
  <c r="H46" i="3"/>
  <c r="AG45" i="3"/>
  <c r="AF45" i="3"/>
  <c r="AB45" i="3"/>
  <c r="AA45" i="3"/>
  <c r="Z45" i="3"/>
  <c r="Y45" i="3"/>
  <c r="X45" i="3"/>
  <c r="W45" i="3"/>
  <c r="V45" i="3"/>
  <c r="U45" i="3"/>
  <c r="I45" i="3"/>
  <c r="H45" i="3"/>
  <c r="AG44" i="3"/>
  <c r="AF44" i="3"/>
  <c r="AB44" i="3"/>
  <c r="AA44" i="3"/>
  <c r="Z44" i="3"/>
  <c r="Y44" i="3"/>
  <c r="X44" i="3"/>
  <c r="W44" i="3"/>
  <c r="V44" i="3"/>
  <c r="U44" i="3"/>
  <c r="I44" i="3"/>
  <c r="H44" i="3"/>
  <c r="AF43" i="3"/>
  <c r="P43" i="4" s="1"/>
  <c r="AB43" i="3"/>
  <c r="Z43" i="3"/>
  <c r="Y43" i="3"/>
  <c r="X43" i="3"/>
  <c r="W43" i="3"/>
  <c r="V43" i="3"/>
  <c r="K43" i="4" s="1"/>
  <c r="U43" i="3"/>
  <c r="A43" i="4" s="1"/>
  <c r="I43" i="3"/>
  <c r="H43" i="3"/>
  <c r="AF42" i="3"/>
  <c r="P42" i="4" s="1"/>
  <c r="Z42" i="3"/>
  <c r="Y42" i="3"/>
  <c r="X42" i="3"/>
  <c r="W42" i="3"/>
  <c r="V42" i="3"/>
  <c r="K42" i="4" s="1"/>
  <c r="U42" i="3"/>
  <c r="A42" i="4" s="1"/>
  <c r="I42" i="3"/>
  <c r="H42" i="3"/>
  <c r="AF41" i="3"/>
  <c r="P41" i="4" s="1"/>
  <c r="Z41" i="3"/>
  <c r="Y41" i="3"/>
  <c r="X41" i="3"/>
  <c r="W41" i="3"/>
  <c r="V41" i="3"/>
  <c r="K41" i="4" s="1"/>
  <c r="U41" i="3"/>
  <c r="A41" i="4" s="1"/>
  <c r="I41" i="3"/>
  <c r="H41" i="3"/>
  <c r="AF40" i="3"/>
  <c r="P40" i="4" s="1"/>
  <c r="Z40" i="3"/>
  <c r="Y40" i="3"/>
  <c r="X40" i="3"/>
  <c r="W40" i="3"/>
  <c r="V40" i="3"/>
  <c r="K40" i="4" s="1"/>
  <c r="U40" i="3"/>
  <c r="A40" i="4" s="1"/>
  <c r="I40" i="3"/>
  <c r="H40" i="3"/>
  <c r="AF39" i="3"/>
  <c r="P39" i="4" s="1"/>
  <c r="Z39" i="3"/>
  <c r="Y39" i="3"/>
  <c r="X39" i="3"/>
  <c r="W39" i="3"/>
  <c r="V39" i="3"/>
  <c r="K39" i="4" s="1"/>
  <c r="U39" i="3"/>
  <c r="A39" i="4" s="1"/>
  <c r="I39" i="3"/>
  <c r="H39" i="3"/>
  <c r="AF38" i="3"/>
  <c r="P38" i="4" s="1"/>
  <c r="Z38" i="3"/>
  <c r="Y38" i="3"/>
  <c r="X38" i="3"/>
  <c r="W38" i="3"/>
  <c r="V38" i="3"/>
  <c r="K38" i="4" s="1"/>
  <c r="U38" i="3"/>
  <c r="A38" i="4" s="1"/>
  <c r="I38" i="3"/>
  <c r="H38" i="3"/>
  <c r="AF37" i="3"/>
  <c r="P37" i="4" s="1"/>
  <c r="Z37" i="3"/>
  <c r="Y37" i="3"/>
  <c r="X37" i="3"/>
  <c r="W37" i="3"/>
  <c r="V37" i="3"/>
  <c r="K37" i="4" s="1"/>
  <c r="U37" i="3"/>
  <c r="A37" i="4" s="1"/>
  <c r="I37" i="3"/>
  <c r="H37" i="3"/>
  <c r="AF36" i="3"/>
  <c r="P36" i="4" s="1"/>
  <c r="Z36" i="3"/>
  <c r="Y36" i="3"/>
  <c r="X36" i="3"/>
  <c r="W36" i="3"/>
  <c r="V36" i="3"/>
  <c r="K36" i="4" s="1"/>
  <c r="U36" i="3"/>
  <c r="A36" i="4" s="1"/>
  <c r="I36" i="3"/>
  <c r="H36" i="3"/>
  <c r="AF35" i="3"/>
  <c r="P35" i="4" s="1"/>
  <c r="Z35" i="3"/>
  <c r="Y35" i="3"/>
  <c r="X35" i="3"/>
  <c r="W35" i="3"/>
  <c r="V35" i="3"/>
  <c r="K35" i="4" s="1"/>
  <c r="U35" i="3"/>
  <c r="A35" i="4" s="1"/>
  <c r="I35" i="3"/>
  <c r="H35" i="3"/>
  <c r="AF34" i="3"/>
  <c r="P34" i="4" s="1"/>
  <c r="AB34" i="3"/>
  <c r="Z34" i="3"/>
  <c r="Y34" i="3"/>
  <c r="X34" i="3"/>
  <c r="W34" i="3"/>
  <c r="V34" i="3"/>
  <c r="K34" i="4" s="1"/>
  <c r="U34" i="3"/>
  <c r="A34" i="4" s="1"/>
  <c r="I34" i="3"/>
  <c r="H34" i="3"/>
  <c r="AF33" i="3"/>
  <c r="P33" i="4" s="1"/>
  <c r="AB33" i="3"/>
  <c r="Z33" i="3"/>
  <c r="Y33" i="3"/>
  <c r="X33" i="3"/>
  <c r="W33" i="3"/>
  <c r="V33" i="3"/>
  <c r="K33" i="4" s="1"/>
  <c r="U33" i="3"/>
  <c r="A33" i="4" s="1"/>
  <c r="I33" i="3"/>
  <c r="H33" i="3"/>
  <c r="AF32" i="3"/>
  <c r="P32" i="4" s="1"/>
  <c r="Z32" i="3"/>
  <c r="Y32" i="3"/>
  <c r="X32" i="3"/>
  <c r="W32" i="3"/>
  <c r="V32" i="3"/>
  <c r="K32" i="4" s="1"/>
  <c r="U32" i="3"/>
  <c r="A32" i="4" s="1"/>
  <c r="I32" i="3"/>
  <c r="H32" i="3"/>
  <c r="AF31" i="3"/>
  <c r="P31" i="4" s="1"/>
  <c r="Z31" i="3"/>
  <c r="Y31" i="3"/>
  <c r="X31" i="3"/>
  <c r="W31" i="3"/>
  <c r="V31" i="3"/>
  <c r="K31" i="4" s="1"/>
  <c r="U31" i="3"/>
  <c r="A31" i="4" s="1"/>
  <c r="I31" i="3"/>
  <c r="H31" i="3"/>
  <c r="AF30" i="3"/>
  <c r="P30" i="4" s="1"/>
  <c r="AB30" i="3"/>
  <c r="Z30" i="3"/>
  <c r="Y30" i="3"/>
  <c r="X30" i="3"/>
  <c r="W30" i="3"/>
  <c r="V30" i="3"/>
  <c r="K30" i="4" s="1"/>
  <c r="U30" i="3"/>
  <c r="A30" i="4" s="1"/>
  <c r="I30" i="3"/>
  <c r="H30" i="3"/>
  <c r="AF29" i="3"/>
  <c r="P29" i="4" s="1"/>
  <c r="AB29" i="3"/>
  <c r="Z29" i="3"/>
  <c r="Y29" i="3"/>
  <c r="X29" i="3"/>
  <c r="W29" i="3"/>
  <c r="V29" i="3"/>
  <c r="K29" i="4" s="1"/>
  <c r="U29" i="3"/>
  <c r="A29" i="4" s="1"/>
  <c r="I29" i="3"/>
  <c r="H29" i="3"/>
  <c r="AF28" i="3"/>
  <c r="P28" i="4" s="1"/>
  <c r="Z28" i="3"/>
  <c r="Y28" i="3"/>
  <c r="X28" i="3"/>
  <c r="W28" i="3"/>
  <c r="V28" i="3"/>
  <c r="K28" i="4" s="1"/>
  <c r="U28" i="3"/>
  <c r="A28" i="4" s="1"/>
  <c r="I28" i="3"/>
  <c r="H28" i="3"/>
  <c r="AF27" i="3"/>
  <c r="P27" i="4" s="1"/>
  <c r="Z27" i="3"/>
  <c r="Y27" i="3"/>
  <c r="X27" i="3"/>
  <c r="W27" i="3"/>
  <c r="V27" i="3"/>
  <c r="K27" i="4" s="1"/>
  <c r="U27" i="3"/>
  <c r="A27" i="4" s="1"/>
  <c r="I27" i="3"/>
  <c r="H27" i="3"/>
  <c r="AF26" i="3"/>
  <c r="P26" i="4" s="1"/>
  <c r="AB26" i="3"/>
  <c r="Z26" i="3"/>
  <c r="Y26" i="3"/>
  <c r="X26" i="3"/>
  <c r="W26" i="3"/>
  <c r="V26" i="3"/>
  <c r="K26" i="4" s="1"/>
  <c r="U26" i="3"/>
  <c r="A26" i="4" s="1"/>
  <c r="I26" i="3"/>
  <c r="H26" i="3"/>
  <c r="AF25" i="3"/>
  <c r="P25" i="4" s="1"/>
  <c r="Z25" i="3"/>
  <c r="Y25" i="3"/>
  <c r="X25" i="3"/>
  <c r="W25" i="3"/>
  <c r="V25" i="3"/>
  <c r="K25" i="4" s="1"/>
  <c r="U25" i="3"/>
  <c r="A25" i="4" s="1"/>
  <c r="I25" i="3"/>
  <c r="H25" i="3"/>
  <c r="AF24" i="3"/>
  <c r="P24" i="4" s="1"/>
  <c r="Z24" i="3"/>
  <c r="Y24" i="3"/>
  <c r="X24" i="3"/>
  <c r="W24" i="3"/>
  <c r="V24" i="3"/>
  <c r="K24" i="4" s="1"/>
  <c r="U24" i="3"/>
  <c r="A24" i="4" s="1"/>
  <c r="I24" i="3"/>
  <c r="H24" i="3"/>
  <c r="AF23" i="3"/>
  <c r="P23" i="4" s="1"/>
  <c r="AB23" i="3"/>
  <c r="Z23" i="3"/>
  <c r="Y23" i="3"/>
  <c r="X23" i="3"/>
  <c r="W23" i="3"/>
  <c r="V23" i="3"/>
  <c r="K23" i="4" s="1"/>
  <c r="U23" i="3"/>
  <c r="A23" i="4" s="1"/>
  <c r="I23" i="3"/>
  <c r="H23" i="3"/>
  <c r="AF22" i="3"/>
  <c r="P22" i="4" s="1"/>
  <c r="Z22" i="3"/>
  <c r="Y22" i="3"/>
  <c r="X22" i="3"/>
  <c r="W22" i="3"/>
  <c r="V22" i="3"/>
  <c r="K22" i="4" s="1"/>
  <c r="U22" i="3"/>
  <c r="A22" i="4" s="1"/>
  <c r="I22" i="3"/>
  <c r="H22" i="3"/>
  <c r="AF21" i="3"/>
  <c r="P21" i="4" s="1"/>
  <c r="Z21" i="3"/>
  <c r="Y21" i="3"/>
  <c r="X21" i="3"/>
  <c r="W21" i="3"/>
  <c r="V21" i="3"/>
  <c r="K21" i="4" s="1"/>
  <c r="U21" i="3"/>
  <c r="A21" i="4" s="1"/>
  <c r="I21" i="3"/>
  <c r="H21" i="3"/>
  <c r="AF20" i="3"/>
  <c r="P20" i="4" s="1"/>
  <c r="AB20" i="3"/>
  <c r="Z20" i="3"/>
  <c r="Y20" i="3"/>
  <c r="X20" i="3"/>
  <c r="W20" i="3"/>
  <c r="V20" i="3"/>
  <c r="K20" i="4" s="1"/>
  <c r="U20" i="3"/>
  <c r="A20" i="4" s="1"/>
  <c r="I20" i="3"/>
  <c r="H20" i="3"/>
  <c r="AF19" i="3"/>
  <c r="P19" i="4" s="1"/>
  <c r="Z19" i="3"/>
  <c r="Y19" i="3"/>
  <c r="X19" i="3"/>
  <c r="W19" i="3"/>
  <c r="V19" i="3"/>
  <c r="K19" i="4" s="1"/>
  <c r="U19" i="3"/>
  <c r="A19" i="4" s="1"/>
  <c r="I19" i="3"/>
  <c r="H19" i="3"/>
  <c r="AF18" i="3"/>
  <c r="P18" i="4" s="1"/>
  <c r="Z18" i="3"/>
  <c r="Y18" i="3"/>
  <c r="X18" i="3"/>
  <c r="W18" i="3"/>
  <c r="V18" i="3"/>
  <c r="K18" i="4" s="1"/>
  <c r="U18" i="3"/>
  <c r="A18" i="4" s="1"/>
  <c r="I18" i="3"/>
  <c r="H18" i="3"/>
  <c r="AF17" i="3"/>
  <c r="P17" i="4" s="1"/>
  <c r="AB17" i="3"/>
  <c r="Z17" i="3"/>
  <c r="Y17" i="3"/>
  <c r="X17" i="3"/>
  <c r="W17" i="3"/>
  <c r="V17" i="3"/>
  <c r="K17" i="4" s="1"/>
  <c r="U17" i="3"/>
  <c r="A17" i="4" s="1"/>
  <c r="I17" i="3"/>
  <c r="H17" i="3"/>
  <c r="AF16" i="3"/>
  <c r="Z16" i="3"/>
  <c r="Y16" i="3"/>
  <c r="X16" i="3"/>
  <c r="W16" i="3"/>
  <c r="V16" i="3"/>
  <c r="K16" i="4" s="1"/>
  <c r="U16" i="3"/>
  <c r="A16" i="4" s="1"/>
  <c r="I16" i="3"/>
  <c r="H16" i="3"/>
  <c r="AF15" i="3"/>
  <c r="P15" i="4" s="1"/>
  <c r="Z15" i="3"/>
  <c r="Y15" i="3"/>
  <c r="X15" i="3"/>
  <c r="W15" i="3"/>
  <c r="V15" i="3"/>
  <c r="K15" i="4" s="1"/>
  <c r="U15" i="3"/>
  <c r="A15" i="4" s="1"/>
  <c r="I15" i="3"/>
  <c r="H15" i="3"/>
  <c r="AF14" i="3"/>
  <c r="P14" i="4" s="1"/>
  <c r="AB14" i="3"/>
  <c r="Z14" i="3"/>
  <c r="Y14" i="3"/>
  <c r="X14" i="3"/>
  <c r="W14" i="3"/>
  <c r="V14" i="3"/>
  <c r="K14" i="4" s="1"/>
  <c r="U14" i="3"/>
  <c r="A14" i="4" s="1"/>
  <c r="I14" i="3"/>
  <c r="H14" i="3"/>
  <c r="AF13" i="3"/>
  <c r="P13" i="4" s="1"/>
  <c r="Z13" i="3"/>
  <c r="Y13" i="3"/>
  <c r="X13" i="3"/>
  <c r="W13" i="3"/>
  <c r="V13" i="3"/>
  <c r="K13" i="4" s="1"/>
  <c r="U13" i="3"/>
  <c r="A13" i="4" s="1"/>
  <c r="I13" i="3"/>
  <c r="H13" i="3"/>
  <c r="AF12" i="3"/>
  <c r="P12" i="4" s="1"/>
  <c r="Z12" i="3"/>
  <c r="Y12" i="3"/>
  <c r="X12" i="3"/>
  <c r="W12" i="3"/>
  <c r="V12" i="3"/>
  <c r="K12" i="4" s="1"/>
  <c r="U12" i="3"/>
  <c r="A12" i="4" s="1"/>
  <c r="I12" i="3"/>
  <c r="H12" i="3"/>
  <c r="AF11" i="3"/>
  <c r="P11" i="4" s="1"/>
  <c r="AB11" i="3"/>
  <c r="Z11" i="3"/>
  <c r="Y11" i="3"/>
  <c r="X11" i="3"/>
  <c r="W11" i="3"/>
  <c r="V11" i="3"/>
  <c r="K11" i="4" s="1"/>
  <c r="U11" i="3"/>
  <c r="A11" i="4" s="1"/>
  <c r="I11" i="3"/>
  <c r="H11" i="3"/>
  <c r="AF10" i="3"/>
  <c r="P10" i="4" s="1"/>
  <c r="Z10" i="3"/>
  <c r="Y10" i="3"/>
  <c r="X10" i="3"/>
  <c r="W10" i="3"/>
  <c r="V10" i="3"/>
  <c r="K10" i="4" s="1"/>
  <c r="U10" i="3"/>
  <c r="A10" i="4" s="1"/>
  <c r="I10" i="3"/>
  <c r="H10" i="3"/>
  <c r="AF9" i="3"/>
  <c r="Z9" i="3"/>
  <c r="Y9" i="3"/>
  <c r="X9" i="3"/>
  <c r="W9" i="3"/>
  <c r="V9" i="3"/>
  <c r="K9" i="4" s="1"/>
  <c r="U9" i="3"/>
  <c r="A9" i="4" s="1"/>
  <c r="I9" i="3"/>
  <c r="H9" i="3"/>
  <c r="AF8" i="3"/>
  <c r="AB8" i="3"/>
  <c r="Z8" i="3"/>
  <c r="Y8" i="3"/>
  <c r="X8" i="3"/>
  <c r="W8" i="3"/>
  <c r="V8" i="3"/>
  <c r="K8" i="4" s="1"/>
  <c r="U8" i="3"/>
  <c r="A8" i="4" s="1"/>
  <c r="I8" i="3"/>
  <c r="H8" i="3"/>
  <c r="M18" i="2"/>
  <c r="Y15" i="2"/>
  <c r="U15" i="2"/>
  <c r="Y14" i="2"/>
  <c r="U14" i="2"/>
  <c r="Y13" i="2"/>
  <c r="U13" i="2"/>
  <c r="Y12" i="2"/>
  <c r="U12" i="2"/>
  <c r="AF11" i="2"/>
  <c r="Y11" i="2"/>
  <c r="U11" i="2"/>
  <c r="AF10" i="2"/>
  <c r="Y10" i="2"/>
  <c r="U10" i="2"/>
  <c r="AF9" i="2"/>
  <c r="Y9" i="2"/>
  <c r="U9" i="2"/>
  <c r="AF8" i="2"/>
  <c r="Y8" i="2"/>
  <c r="U8" i="2"/>
  <c r="M8" i="2"/>
  <c r="A13" i="2" s="1"/>
  <c r="E8" i="2"/>
  <c r="A8" i="2"/>
  <c r="I8" i="2" s="1"/>
  <c r="AF7" i="2"/>
  <c r="Y7" i="2"/>
  <c r="U7" i="2"/>
  <c r="AF6" i="2"/>
  <c r="Y6" i="2"/>
  <c r="U6" i="2"/>
  <c r="AF5" i="2"/>
  <c r="Y5" i="2"/>
  <c r="U5" i="2"/>
  <c r="AF4" i="2"/>
  <c r="Y4" i="2"/>
  <c r="U4" i="2"/>
  <c r="F3" i="2"/>
  <c r="W15" i="2" l="1"/>
  <c r="S19" i="28"/>
  <c r="K19" i="28"/>
  <c r="V19" i="28"/>
  <c r="V20" i="28"/>
  <c r="V15" i="2"/>
  <c r="G19" i="28"/>
  <c r="V18" i="28"/>
  <c r="S18" i="28"/>
  <c r="W14" i="2"/>
  <c r="K18" i="28"/>
  <c r="G18" i="28"/>
  <c r="V14" i="2"/>
  <c r="V17" i="28"/>
  <c r="K17" i="28"/>
  <c r="W13" i="2"/>
  <c r="S17" i="28"/>
  <c r="V13" i="2"/>
  <c r="G17" i="28"/>
  <c r="S16" i="28"/>
  <c r="W12" i="2"/>
  <c r="K16" i="28"/>
  <c r="V16" i="28"/>
  <c r="B19" i="27" s="1"/>
  <c r="V12" i="2"/>
  <c r="G16" i="28"/>
  <c r="K15" i="28"/>
  <c r="W11" i="2"/>
  <c r="V15" i="28"/>
  <c r="S15" i="28"/>
  <c r="V11" i="2"/>
  <c r="G15" i="28"/>
  <c r="W10" i="2"/>
  <c r="S14" i="28"/>
  <c r="K14" i="28"/>
  <c r="V14" i="28"/>
  <c r="V10" i="2"/>
  <c r="G14" i="28"/>
  <c r="W9" i="2"/>
  <c r="K13" i="28"/>
  <c r="V13" i="28"/>
  <c r="S13" i="28"/>
  <c r="G13" i="28"/>
  <c r="V9" i="2"/>
  <c r="S12" i="28"/>
  <c r="K12" i="28"/>
  <c r="W8" i="2"/>
  <c r="V12" i="28"/>
  <c r="V8" i="2"/>
  <c r="G12" i="28"/>
  <c r="W7" i="2"/>
  <c r="K11" i="28"/>
  <c r="V11" i="28"/>
  <c r="S11" i="28"/>
  <c r="G11" i="28"/>
  <c r="V7" i="2"/>
  <c r="S10" i="28"/>
  <c r="K10" i="28"/>
  <c r="V10" i="28"/>
  <c r="W6" i="2"/>
  <c r="V6" i="2"/>
  <c r="G10" i="28"/>
  <c r="V9" i="28"/>
  <c r="V21" i="28" s="1"/>
  <c r="K9" i="28"/>
  <c r="S9" i="28"/>
  <c r="W5" i="2"/>
  <c r="G9" i="28"/>
  <c r="V5" i="2"/>
  <c r="U21" i="28"/>
  <c r="U20" i="28"/>
  <c r="R20" i="28"/>
  <c r="R21" i="28"/>
  <c r="Q20" i="28"/>
  <c r="Q21" i="28"/>
  <c r="P20" i="28"/>
  <c r="P21" i="28"/>
  <c r="O20" i="28"/>
  <c r="O21" i="28"/>
  <c r="N20" i="28"/>
  <c r="N21" i="28"/>
  <c r="M21" i="28"/>
  <c r="M20" i="28"/>
  <c r="L20" i="28"/>
  <c r="L21" i="28"/>
  <c r="J20" i="28"/>
  <c r="J21" i="28"/>
  <c r="T8" i="28"/>
  <c r="F21" i="28"/>
  <c r="F20" i="28"/>
  <c r="I8" i="28"/>
  <c r="I21" i="28" s="1"/>
  <c r="W4" i="2"/>
  <c r="K8" i="28"/>
  <c r="E21" i="28"/>
  <c r="S8" i="28"/>
  <c r="E20" i="28"/>
  <c r="AB4" i="28"/>
  <c r="C20" i="28"/>
  <c r="H8" i="28"/>
  <c r="G8" i="28"/>
  <c r="V4" i="2"/>
  <c r="C21" i="28"/>
  <c r="Z4" i="28"/>
  <c r="B29" i="26"/>
  <c r="D8" i="26"/>
  <c r="D9" i="25"/>
  <c r="K9" i="25"/>
  <c r="H9" i="25"/>
  <c r="F9" i="25"/>
  <c r="J9" i="25"/>
  <c r="E9" i="25"/>
  <c r="M9" i="25" s="1"/>
  <c r="I9" i="25"/>
  <c r="L9" i="25"/>
  <c r="G9" i="25"/>
  <c r="K8" i="25"/>
  <c r="H8" i="25"/>
  <c r="G8" i="25"/>
  <c r="L8" i="25"/>
  <c r="B19" i="25" s="1"/>
  <c r="J8" i="25"/>
  <c r="B18" i="25" s="1"/>
  <c r="I8" i="25"/>
  <c r="E8" i="25"/>
  <c r="B13" i="25" s="1"/>
  <c r="B15" i="25" s="1"/>
  <c r="F8" i="25"/>
  <c r="B17" i="25"/>
  <c r="B16" i="25"/>
  <c r="V22" i="24"/>
  <c r="U22" i="24"/>
  <c r="V21" i="24"/>
  <c r="U21" i="24"/>
  <c r="U20" i="24"/>
  <c r="V20" i="24"/>
  <c r="V19" i="24"/>
  <c r="U19" i="24"/>
  <c r="V18" i="24"/>
  <c r="U18" i="24"/>
  <c r="V17" i="24"/>
  <c r="O17" i="14" s="1"/>
  <c r="U17" i="24"/>
  <c r="V16" i="24"/>
  <c r="O16" i="14" s="1"/>
  <c r="U16" i="24"/>
  <c r="U15" i="24"/>
  <c r="V15" i="24" s="1"/>
  <c r="O15" i="14" s="1"/>
  <c r="X15" i="24"/>
  <c r="F15" i="14" s="1"/>
  <c r="W15" i="24"/>
  <c r="E15" i="14" s="1"/>
  <c r="U14" i="24"/>
  <c r="V14" i="24" s="1"/>
  <c r="O14" i="14" s="1"/>
  <c r="X14" i="24"/>
  <c r="F14" i="14" s="1"/>
  <c r="W14" i="24"/>
  <c r="E14" i="14" s="1"/>
  <c r="U13" i="24"/>
  <c r="V13" i="24" s="1"/>
  <c r="O13" i="14" s="1"/>
  <c r="W13" i="24"/>
  <c r="E13" i="14" s="1"/>
  <c r="X13" i="24"/>
  <c r="F13" i="14" s="1"/>
  <c r="U12" i="24"/>
  <c r="V12" i="24"/>
  <c r="O12" i="14" s="1"/>
  <c r="X12" i="24"/>
  <c r="F12" i="14" s="1"/>
  <c r="W12" i="24"/>
  <c r="E12" i="14" s="1"/>
  <c r="U11" i="24"/>
  <c r="V11" i="24" s="1"/>
  <c r="O11" i="14" s="1"/>
  <c r="G11" i="14"/>
  <c r="X11" i="24"/>
  <c r="F11" i="14" s="1"/>
  <c r="W11" i="24"/>
  <c r="E11" i="14" s="1"/>
  <c r="W10" i="24"/>
  <c r="E10" i="14" s="1"/>
  <c r="X10" i="24"/>
  <c r="F10" i="14" s="1"/>
  <c r="T10" i="24"/>
  <c r="U9" i="24"/>
  <c r="V9" i="24" s="1"/>
  <c r="O9" i="14" s="1"/>
  <c r="G9" i="14"/>
  <c r="X9" i="24"/>
  <c r="F9" i="14" s="1"/>
  <c r="W9" i="24"/>
  <c r="E9" i="14" s="1"/>
  <c r="G8" i="14"/>
  <c r="U8" i="24"/>
  <c r="V8" i="24" s="1"/>
  <c r="W8" i="24"/>
  <c r="X8" i="24"/>
  <c r="E22" i="23"/>
  <c r="E25" i="23"/>
  <c r="B22" i="23"/>
  <c r="F8" i="23"/>
  <c r="B24" i="23" s="1"/>
  <c r="G22" i="19"/>
  <c r="H22" i="19"/>
  <c r="H21" i="19"/>
  <c r="G21" i="19"/>
  <c r="H20" i="19"/>
  <c r="G20" i="19"/>
  <c r="G19" i="19"/>
  <c r="H19" i="19"/>
  <c r="H18" i="19"/>
  <c r="G18" i="19"/>
  <c r="G17" i="19"/>
  <c r="H17" i="19"/>
  <c r="H16" i="19"/>
  <c r="G16" i="19"/>
  <c r="G15" i="19"/>
  <c r="H15" i="19"/>
  <c r="H14" i="19"/>
  <c r="G14" i="19"/>
  <c r="G13" i="19"/>
  <c r="H13" i="19"/>
  <c r="G12" i="19"/>
  <c r="H12" i="19"/>
  <c r="G11" i="19"/>
  <c r="H11" i="19"/>
  <c r="G10" i="19"/>
  <c r="H10" i="19"/>
  <c r="H8" i="19"/>
  <c r="G8" i="19"/>
  <c r="G25" i="18"/>
  <c r="H25" i="18"/>
  <c r="G24" i="18"/>
  <c r="H24" i="18"/>
  <c r="G23" i="18"/>
  <c r="H23" i="18" s="1"/>
  <c r="F23" i="17"/>
  <c r="F18" i="17"/>
  <c r="F22" i="17"/>
  <c r="B10" i="17"/>
  <c r="F19" i="17"/>
  <c r="F20" i="17"/>
  <c r="F24" i="17"/>
  <c r="F21" i="17"/>
  <c r="I13" i="2"/>
  <c r="F25" i="17"/>
  <c r="L13" i="16"/>
  <c r="H13" i="16"/>
  <c r="L12" i="16"/>
  <c r="H12" i="16"/>
  <c r="H11" i="16"/>
  <c r="L11" i="16"/>
  <c r="L10" i="16"/>
  <c r="H10" i="16"/>
  <c r="H9" i="16"/>
  <c r="L9" i="16"/>
  <c r="L8" i="16"/>
  <c r="H8" i="16"/>
  <c r="G14" i="15"/>
  <c r="K14" i="15"/>
  <c r="G13" i="15"/>
  <c r="K13" i="15"/>
  <c r="G12" i="15"/>
  <c r="K12" i="15"/>
  <c r="G11" i="15"/>
  <c r="K11" i="15"/>
  <c r="K10" i="15"/>
  <c r="G10" i="15"/>
  <c r="G9" i="15"/>
  <c r="K9" i="15"/>
  <c r="G8" i="15"/>
  <c r="K8" i="15"/>
  <c r="R31" i="11"/>
  <c r="S31" i="11"/>
  <c r="S30" i="11"/>
  <c r="R30" i="11"/>
  <c r="R29" i="11"/>
  <c r="S29" i="11"/>
  <c r="S28" i="11"/>
  <c r="R28" i="11"/>
  <c r="S27" i="11"/>
  <c r="R27" i="11"/>
  <c r="S26" i="11"/>
  <c r="R26" i="11"/>
  <c r="B28" i="9"/>
  <c r="B29" i="9" s="1"/>
  <c r="B30" i="9" s="1"/>
  <c r="E8" i="9"/>
  <c r="B26" i="9"/>
  <c r="B27" i="9" s="1"/>
  <c r="F19" i="6"/>
  <c r="G19" i="6"/>
  <c r="F18" i="6"/>
  <c r="G18" i="6"/>
  <c r="G17" i="6"/>
  <c r="F17" i="6"/>
  <c r="G16" i="6"/>
  <c r="F16" i="6"/>
  <c r="G15" i="6"/>
  <c r="F15" i="6"/>
  <c r="G14" i="6"/>
  <c r="F14" i="6"/>
  <c r="F13" i="6"/>
  <c r="G13" i="6"/>
  <c r="F12" i="6"/>
  <c r="G12" i="6"/>
  <c r="F11" i="6"/>
  <c r="G11" i="6"/>
  <c r="G10" i="6"/>
  <c r="F10" i="6"/>
  <c r="F9" i="6"/>
  <c r="G9" i="6"/>
  <c r="F8" i="6"/>
  <c r="G8" i="6"/>
  <c r="B27" i="29"/>
  <c r="B15" i="27"/>
  <c r="B17" i="27"/>
  <c r="B28" i="29"/>
  <c r="B18" i="27"/>
  <c r="A18" i="2"/>
  <c r="B38" i="5"/>
  <c r="B36" i="5"/>
  <c r="J27" i="5"/>
  <c r="H27" i="5"/>
  <c r="R27" i="5"/>
  <c r="Q27" i="5"/>
  <c r="O27" i="5"/>
  <c r="S27" i="5" s="1"/>
  <c r="I27" i="5"/>
  <c r="G27" i="5"/>
  <c r="N27" i="5"/>
  <c r="L27" i="5"/>
  <c r="M27" i="5"/>
  <c r="P27" i="5"/>
  <c r="K27" i="5"/>
  <c r="A46" i="2"/>
  <c r="R23" i="2" s="1"/>
  <c r="T27" i="5"/>
  <c r="R26" i="5"/>
  <c r="I26" i="5"/>
  <c r="N26" i="5"/>
  <c r="L26" i="5"/>
  <c r="Q26" i="5"/>
  <c r="K26" i="5"/>
  <c r="P26" i="5"/>
  <c r="M26" i="5"/>
  <c r="J26" i="5"/>
  <c r="G26" i="5"/>
  <c r="O26" i="5"/>
  <c r="S26" i="5" s="1"/>
  <c r="T26" i="5"/>
  <c r="A45" i="2"/>
  <c r="R22" i="2" s="1"/>
  <c r="Q25" i="5"/>
  <c r="H25" i="5"/>
  <c r="K25" i="5"/>
  <c r="I25" i="5"/>
  <c r="M25" i="5"/>
  <c r="J25" i="5"/>
  <c r="R25" i="5"/>
  <c r="N25" i="5"/>
  <c r="G25" i="5"/>
  <c r="L25" i="5"/>
  <c r="P25" i="5"/>
  <c r="O25" i="5"/>
  <c r="S25" i="5" s="1"/>
  <c r="A44" i="2"/>
  <c r="R21" i="2" s="1"/>
  <c r="T25" i="5"/>
  <c r="H24" i="5"/>
  <c r="M24" i="5"/>
  <c r="N24" i="5"/>
  <c r="L24" i="5"/>
  <c r="I24" i="5"/>
  <c r="G24" i="5"/>
  <c r="J24" i="5"/>
  <c r="K24" i="5"/>
  <c r="O24" i="5"/>
  <c r="S24" i="5" s="1"/>
  <c r="R24" i="5"/>
  <c r="P24" i="5"/>
  <c r="Q24" i="5"/>
  <c r="T24" i="5"/>
  <c r="AC6" i="2" s="1"/>
  <c r="A43" i="2"/>
  <c r="R20" i="2" s="1"/>
  <c r="S20" i="2" s="1"/>
  <c r="J23" i="5"/>
  <c r="Q23" i="5"/>
  <c r="R23" i="5"/>
  <c r="L23" i="5"/>
  <c r="P23" i="5"/>
  <c r="M23" i="5"/>
  <c r="H23" i="5"/>
  <c r="G23" i="5"/>
  <c r="N23" i="5"/>
  <c r="K23" i="5"/>
  <c r="I23" i="5"/>
  <c r="O23" i="5"/>
  <c r="S23" i="5" s="1"/>
  <c r="T23" i="5"/>
  <c r="A42" i="2"/>
  <c r="R19" i="2" s="1"/>
  <c r="H22" i="5"/>
  <c r="R22" i="5"/>
  <c r="Q22" i="5"/>
  <c r="K22" i="5"/>
  <c r="N22" i="5"/>
  <c r="L22" i="5"/>
  <c r="P22" i="5"/>
  <c r="M22" i="5"/>
  <c r="J22" i="5"/>
  <c r="I22" i="5"/>
  <c r="G22" i="5"/>
  <c r="O22" i="5"/>
  <c r="S22" i="5" s="1"/>
  <c r="A41" i="2"/>
  <c r="R18" i="2" s="1"/>
  <c r="T22" i="5"/>
  <c r="R21" i="5"/>
  <c r="G21" i="5"/>
  <c r="H21" i="5"/>
  <c r="I21" i="5"/>
  <c r="J21" i="5"/>
  <c r="Q21" i="5"/>
  <c r="L21" i="5"/>
  <c r="P21" i="5"/>
  <c r="O21" i="5"/>
  <c r="S21" i="5" s="1"/>
  <c r="N21" i="5"/>
  <c r="M21" i="5"/>
  <c r="K21" i="5"/>
  <c r="T21" i="5"/>
  <c r="A40" i="2"/>
  <c r="R17" i="2" s="1"/>
  <c r="I20" i="5"/>
  <c r="J20" i="5"/>
  <c r="M20" i="5"/>
  <c r="O20" i="5"/>
  <c r="S20" i="5" s="1"/>
  <c r="Q20" i="5"/>
  <c r="R20" i="5"/>
  <c r="G20" i="5"/>
  <c r="H20" i="5"/>
  <c r="N20" i="5"/>
  <c r="P20" i="5"/>
  <c r="L20" i="5"/>
  <c r="K20" i="5"/>
  <c r="A39" i="2"/>
  <c r="R16" i="2" s="1"/>
  <c r="T20" i="5"/>
  <c r="R19" i="5"/>
  <c r="M19" i="5"/>
  <c r="K19" i="5"/>
  <c r="I19" i="5"/>
  <c r="G19" i="5"/>
  <c r="O19" i="5"/>
  <c r="S19" i="5" s="1"/>
  <c r="E5" i="13" s="1"/>
  <c r="G5" i="13" s="1"/>
  <c r="N19" i="5"/>
  <c r="J19" i="5"/>
  <c r="Q19" i="5"/>
  <c r="H19" i="5"/>
  <c r="L19" i="5"/>
  <c r="P19" i="5"/>
  <c r="T19" i="5"/>
  <c r="A38" i="2"/>
  <c r="R15" i="2" s="1"/>
  <c r="J18" i="5"/>
  <c r="L18" i="5"/>
  <c r="P18" i="5"/>
  <c r="Q18" i="5"/>
  <c r="O18" i="5"/>
  <c r="S18" i="5" s="1"/>
  <c r="M18" i="5"/>
  <c r="R18" i="5"/>
  <c r="N18" i="5"/>
  <c r="K18" i="5"/>
  <c r="I18" i="5"/>
  <c r="H18" i="5"/>
  <c r="G18" i="5"/>
  <c r="T18" i="5"/>
  <c r="A37" i="2"/>
  <c r="R14" i="2" s="1"/>
  <c r="K17" i="5"/>
  <c r="G17" i="5"/>
  <c r="J17" i="5"/>
  <c r="I17" i="5"/>
  <c r="P17" i="5"/>
  <c r="H17" i="5"/>
  <c r="R17" i="5"/>
  <c r="N17" i="5"/>
  <c r="M17" i="5"/>
  <c r="L17" i="5"/>
  <c r="O17" i="5"/>
  <c r="S17" i="5" s="1"/>
  <c r="A36" i="2"/>
  <c r="R13" i="2" s="1"/>
  <c r="T17" i="5"/>
  <c r="G16" i="5"/>
  <c r="I16" i="5"/>
  <c r="L16" i="5"/>
  <c r="P16" i="5"/>
  <c r="J16" i="5"/>
  <c r="K16" i="5"/>
  <c r="N16" i="5"/>
  <c r="R16" i="5"/>
  <c r="Q16" i="5"/>
  <c r="M16" i="5"/>
  <c r="H16" i="5"/>
  <c r="O16" i="5"/>
  <c r="S16" i="5" s="1"/>
  <c r="A35" i="2"/>
  <c r="R12" i="2" s="1"/>
  <c r="T16" i="5"/>
  <c r="P15" i="5"/>
  <c r="O15" i="5"/>
  <c r="S15" i="5" s="1"/>
  <c r="N15" i="5"/>
  <c r="G15" i="5"/>
  <c r="J15" i="5"/>
  <c r="R15" i="5"/>
  <c r="L15" i="5"/>
  <c r="M15" i="5"/>
  <c r="K15" i="5"/>
  <c r="Q15" i="5"/>
  <c r="I15" i="5"/>
  <c r="H15" i="5"/>
  <c r="A34" i="2"/>
  <c r="R11" i="2" s="1"/>
  <c r="T15" i="5"/>
  <c r="I14" i="5"/>
  <c r="Q14" i="5"/>
  <c r="H14" i="5"/>
  <c r="G14" i="5"/>
  <c r="L14" i="5"/>
  <c r="J14" i="5"/>
  <c r="N14" i="5"/>
  <c r="P14" i="5"/>
  <c r="O14" i="5"/>
  <c r="S14" i="5" s="1"/>
  <c r="R14" i="5"/>
  <c r="M14" i="5"/>
  <c r="K14" i="5"/>
  <c r="A33" i="2"/>
  <c r="R10" i="2" s="1"/>
  <c r="T14" i="5"/>
  <c r="K13" i="5"/>
  <c r="L13" i="5"/>
  <c r="N13" i="5"/>
  <c r="I13" i="5"/>
  <c r="J13" i="5"/>
  <c r="H13" i="5"/>
  <c r="M13" i="5"/>
  <c r="G13" i="5"/>
  <c r="O13" i="5"/>
  <c r="S13" i="5" s="1"/>
  <c r="E5" i="12" s="1"/>
  <c r="G5" i="12" s="1"/>
  <c r="P13" i="5"/>
  <c r="R13" i="5"/>
  <c r="Q13" i="5"/>
  <c r="T13" i="5"/>
  <c r="A32" i="2"/>
  <c r="R9" i="2" s="1"/>
  <c r="R12" i="5"/>
  <c r="M12" i="5"/>
  <c r="P12" i="5"/>
  <c r="N12" i="5"/>
  <c r="I12" i="5"/>
  <c r="K12" i="5"/>
  <c r="H12" i="5"/>
  <c r="J12" i="5"/>
  <c r="O12" i="5"/>
  <c r="S12" i="5" s="1"/>
  <c r="E5" i="11" s="1"/>
  <c r="G5" i="11" s="1"/>
  <c r="Q12" i="5"/>
  <c r="L12" i="5"/>
  <c r="A31" i="2"/>
  <c r="R8" i="2" s="1"/>
  <c r="T12" i="5"/>
  <c r="K11" i="5"/>
  <c r="J11" i="5"/>
  <c r="L11" i="5"/>
  <c r="M11" i="5"/>
  <c r="R11" i="5"/>
  <c r="N11" i="5"/>
  <c r="P11" i="5"/>
  <c r="Q11" i="5"/>
  <c r="O11" i="5"/>
  <c r="S11" i="5" s="1"/>
  <c r="G11" i="5"/>
  <c r="I11" i="5"/>
  <c r="H11" i="5"/>
  <c r="T11" i="5"/>
  <c r="A30" i="2"/>
  <c r="R7" i="2" s="1"/>
  <c r="L10" i="5"/>
  <c r="O10" i="5"/>
  <c r="S10" i="5" s="1"/>
  <c r="J10" i="5"/>
  <c r="K10" i="5"/>
  <c r="P10" i="5"/>
  <c r="I10" i="5"/>
  <c r="N10" i="5"/>
  <c r="Q10" i="5"/>
  <c r="G10" i="5"/>
  <c r="H10" i="5"/>
  <c r="R10" i="5"/>
  <c r="M10" i="5"/>
  <c r="A29" i="2"/>
  <c r="R6" i="2" s="1"/>
  <c r="T10" i="5"/>
  <c r="AC5" i="2" s="1"/>
  <c r="J9" i="5"/>
  <c r="G9" i="5"/>
  <c r="N9" i="5"/>
  <c r="Q9" i="5"/>
  <c r="I9" i="5"/>
  <c r="M9" i="5"/>
  <c r="H9" i="5"/>
  <c r="O9" i="5"/>
  <c r="S9" i="5" s="1"/>
  <c r="P9" i="5"/>
  <c r="L9" i="5"/>
  <c r="R9" i="5"/>
  <c r="K9" i="5"/>
  <c r="T9" i="5"/>
  <c r="A28" i="2"/>
  <c r="R5" i="2" s="1"/>
  <c r="L8" i="5"/>
  <c r="M8" i="5"/>
  <c r="H8" i="5"/>
  <c r="N8" i="5"/>
  <c r="R8" i="5"/>
  <c r="O8" i="5"/>
  <c r="I8" i="5"/>
  <c r="P8" i="5"/>
  <c r="J8" i="5"/>
  <c r="Q8" i="5"/>
  <c r="K8" i="5"/>
  <c r="G8" i="5"/>
  <c r="E5" i="8"/>
  <c r="G5" i="8" s="1"/>
  <c r="E5" i="9"/>
  <c r="A27" i="2"/>
  <c r="R4" i="2" s="1"/>
  <c r="E5" i="10"/>
  <c r="G5" i="10" s="1"/>
  <c r="T8" i="5"/>
  <c r="AC4" i="2" s="1"/>
  <c r="D43" i="4"/>
  <c r="AA43" i="3"/>
  <c r="AB42" i="3"/>
  <c r="D42" i="4"/>
  <c r="AA42" i="3"/>
  <c r="AG41" i="3"/>
  <c r="O41" i="4" s="1"/>
  <c r="D41" i="4"/>
  <c r="AA41" i="3"/>
  <c r="N41" i="4" s="1"/>
  <c r="AB41" i="3"/>
  <c r="AA40" i="3"/>
  <c r="AB40" i="3"/>
  <c r="D40" i="4"/>
  <c r="D39" i="4"/>
  <c r="AA39" i="3"/>
  <c r="AB39" i="3"/>
  <c r="D38" i="4"/>
  <c r="AB38" i="3"/>
  <c r="AA38" i="3"/>
  <c r="AA37" i="3"/>
  <c r="AB37" i="3"/>
  <c r="D37" i="4"/>
  <c r="D36" i="4"/>
  <c r="AA36" i="3"/>
  <c r="AB36" i="3"/>
  <c r="D35" i="4"/>
  <c r="AB35" i="3"/>
  <c r="AA35" i="3"/>
  <c r="AA34" i="3"/>
  <c r="D34" i="4"/>
  <c r="AA33" i="3"/>
  <c r="D33" i="4"/>
  <c r="AB32" i="3"/>
  <c r="AA32" i="3"/>
  <c r="D32" i="4"/>
  <c r="AB31" i="3"/>
  <c r="AA31" i="3"/>
  <c r="D31" i="4"/>
  <c r="AA30" i="3"/>
  <c r="N30" i="4" s="1"/>
  <c r="AG30" i="3"/>
  <c r="O30" i="4" s="1"/>
  <c r="D30" i="4"/>
  <c r="AA29" i="3"/>
  <c r="D29" i="4"/>
  <c r="AA28" i="3"/>
  <c r="N28" i="4" s="1"/>
  <c r="D28" i="4"/>
  <c r="AB28" i="3"/>
  <c r="AG28" i="3"/>
  <c r="O28" i="4" s="1"/>
  <c r="AA27" i="3"/>
  <c r="N27" i="4" s="1"/>
  <c r="AG27" i="3"/>
  <c r="O27" i="4" s="1"/>
  <c r="D27" i="4"/>
  <c r="AB27" i="3"/>
  <c r="D26" i="4"/>
  <c r="AA26" i="3"/>
  <c r="AB25" i="3"/>
  <c r="AA25" i="3"/>
  <c r="D25" i="4"/>
  <c r="AB24" i="3"/>
  <c r="AA24" i="3"/>
  <c r="D24" i="4"/>
  <c r="AA23" i="3"/>
  <c r="D23" i="4"/>
  <c r="AA22" i="3"/>
  <c r="AB22" i="3"/>
  <c r="D22" i="4"/>
  <c r="AA21" i="3"/>
  <c r="D21" i="4"/>
  <c r="AB21" i="3"/>
  <c r="D20" i="4"/>
  <c r="AA20" i="3"/>
  <c r="D19" i="4"/>
  <c r="AA19" i="3"/>
  <c r="AB19" i="3"/>
  <c r="AB18" i="3"/>
  <c r="AA18" i="3"/>
  <c r="D18" i="4"/>
  <c r="AA17" i="3"/>
  <c r="D17" i="4"/>
  <c r="B13" i="13"/>
  <c r="E13" i="13" s="1"/>
  <c r="C13" i="13"/>
  <c r="P16" i="4"/>
  <c r="D13" i="13"/>
  <c r="B14" i="29"/>
  <c r="AA16" i="3"/>
  <c r="D16" i="4"/>
  <c r="AB16" i="3"/>
  <c r="AB15" i="3"/>
  <c r="AA15" i="3"/>
  <c r="D15" i="4"/>
  <c r="D14" i="4"/>
  <c r="AA14" i="3"/>
  <c r="AB13" i="3"/>
  <c r="AA13" i="3"/>
  <c r="D13" i="4"/>
  <c r="AB12" i="3"/>
  <c r="D12" i="4"/>
  <c r="AA12" i="3"/>
  <c r="D11" i="4"/>
  <c r="AA11" i="3"/>
  <c r="AB10" i="3"/>
  <c r="AA10" i="3"/>
  <c r="D10" i="4"/>
  <c r="P9" i="4"/>
  <c r="B14" i="13"/>
  <c r="E14" i="13" s="1"/>
  <c r="C14" i="13"/>
  <c r="D14" i="13"/>
  <c r="B15" i="13"/>
  <c r="E15" i="13" s="1"/>
  <c r="C15" i="13"/>
  <c r="D15" i="13"/>
  <c r="B24" i="29"/>
  <c r="B20" i="29"/>
  <c r="B21" i="29"/>
  <c r="B23" i="29"/>
  <c r="AB9" i="3"/>
  <c r="E22" i="29" s="1"/>
  <c r="AA9" i="3"/>
  <c r="D9" i="4"/>
  <c r="B21" i="13"/>
  <c r="B22" i="13"/>
  <c r="B20" i="13"/>
  <c r="B24" i="13"/>
  <c r="B23" i="13"/>
  <c r="B25" i="29"/>
  <c r="B26" i="29"/>
  <c r="P8" i="4"/>
  <c r="AA8" i="3"/>
  <c r="AG8" i="3" s="1"/>
  <c r="D8" i="4"/>
  <c r="F9" i="29"/>
  <c r="D19" i="27" s="1"/>
  <c r="B11" i="29"/>
  <c r="B14" i="27"/>
  <c r="B24" i="15"/>
  <c r="B11" i="27"/>
  <c r="B7" i="18"/>
  <c r="B11" i="18" s="1"/>
  <c r="B12" i="18" s="1"/>
  <c r="K25" i="18"/>
  <c r="F19" i="26"/>
  <c r="F11" i="26"/>
  <c r="F25" i="26"/>
  <c r="F22" i="26"/>
  <c r="F20" i="26"/>
  <c r="F17" i="26"/>
  <c r="F15" i="26"/>
  <c r="F10" i="26"/>
  <c r="F23" i="26"/>
  <c r="F18" i="26"/>
  <c r="F14" i="26"/>
  <c r="F13" i="26"/>
  <c r="F27" i="26"/>
  <c r="F26" i="26"/>
  <c r="F24" i="26"/>
  <c r="F21" i="26"/>
  <c r="F16" i="26"/>
  <c r="B9" i="17"/>
  <c r="F12" i="26"/>
  <c r="F9" i="26"/>
  <c r="AE4" i="28" l="1"/>
  <c r="T9" i="28"/>
  <c r="Z4" i="2"/>
  <c r="K20" i="28"/>
  <c r="K21" i="28"/>
  <c r="S20" i="28"/>
  <c r="S21" i="28"/>
  <c r="H9" i="28"/>
  <c r="G20" i="28"/>
  <c r="G21" i="28"/>
  <c r="B20" i="25"/>
  <c r="M8" i="25"/>
  <c r="B14" i="25" s="1"/>
  <c r="G10" i="14"/>
  <c r="U10" i="24"/>
  <c r="O8" i="14"/>
  <c r="A5" i="14"/>
  <c r="I5" i="14" s="1"/>
  <c r="E8" i="14"/>
  <c r="E5" i="14"/>
  <c r="F8" i="14"/>
  <c r="F11" i="29"/>
  <c r="D21" i="27" s="1"/>
  <c r="B13" i="29"/>
  <c r="K13" i="16"/>
  <c r="M13" i="16" s="1"/>
  <c r="K12" i="16"/>
  <c r="M12" i="16" s="1"/>
  <c r="K11" i="16"/>
  <c r="M11" i="16" s="1"/>
  <c r="K10" i="16"/>
  <c r="M10" i="16" s="1"/>
  <c r="K9" i="16"/>
  <c r="M9" i="16" s="1"/>
  <c r="K8" i="16"/>
  <c r="M8" i="16" s="1"/>
  <c r="J14" i="15"/>
  <c r="L14" i="15" s="1"/>
  <c r="J13" i="15"/>
  <c r="L13" i="15"/>
  <c r="J12" i="15"/>
  <c r="L12" i="15" s="1"/>
  <c r="J11" i="15"/>
  <c r="L11" i="15"/>
  <c r="J10" i="15"/>
  <c r="L10" i="15"/>
  <c r="J9" i="15"/>
  <c r="L9" i="15"/>
  <c r="J8" i="15"/>
  <c r="L8" i="15" s="1"/>
  <c r="U27" i="5"/>
  <c r="D46" i="2" s="1"/>
  <c r="X27" i="5"/>
  <c r="F46" i="2" s="1"/>
  <c r="B46" i="2"/>
  <c r="C46" i="2"/>
  <c r="S23" i="2" s="1"/>
  <c r="W27" i="5"/>
  <c r="V27" i="5"/>
  <c r="E46" i="2" s="1"/>
  <c r="U26" i="5"/>
  <c r="D45" i="2" s="1"/>
  <c r="B45" i="2"/>
  <c r="W26" i="5"/>
  <c r="V26" i="5"/>
  <c r="C45" i="2"/>
  <c r="S22" i="2" s="1"/>
  <c r="U25" i="5"/>
  <c r="D44" i="2" s="1"/>
  <c r="B44" i="2"/>
  <c r="W25" i="5"/>
  <c r="C44" i="2"/>
  <c r="S21" i="2" s="1"/>
  <c r="V25" i="5"/>
  <c r="B43" i="2"/>
  <c r="U24" i="5"/>
  <c r="D43" i="2" s="1"/>
  <c r="W24" i="5"/>
  <c r="V24" i="5"/>
  <c r="C43" i="2"/>
  <c r="B42" i="2"/>
  <c r="U23" i="5"/>
  <c r="D42" i="2" s="1"/>
  <c r="V23" i="5"/>
  <c r="C42" i="2"/>
  <c r="S19" i="2" s="1"/>
  <c r="W23" i="5"/>
  <c r="B41" i="2"/>
  <c r="U22" i="5"/>
  <c r="D41" i="2" s="1"/>
  <c r="V22" i="5"/>
  <c r="W22" i="5"/>
  <c r="C41" i="2"/>
  <c r="S18" i="2" s="1"/>
  <c r="U21" i="5"/>
  <c r="D40" i="2" s="1"/>
  <c r="B40" i="2"/>
  <c r="V21" i="5"/>
  <c r="W21" i="5"/>
  <c r="C40" i="2"/>
  <c r="S17" i="2" s="1"/>
  <c r="U20" i="5"/>
  <c r="D39" i="2" s="1"/>
  <c r="B39" i="2"/>
  <c r="V20" i="5"/>
  <c r="W20" i="5"/>
  <c r="C39" i="2"/>
  <c r="S16" i="2" s="1"/>
  <c r="U19" i="5"/>
  <c r="D38" i="2" s="1"/>
  <c r="B38" i="2"/>
  <c r="C38" i="2"/>
  <c r="S15" i="2" s="1"/>
  <c r="W19" i="5"/>
  <c r="V19" i="5"/>
  <c r="U18" i="5"/>
  <c r="D37" i="2" s="1"/>
  <c r="B37" i="2"/>
  <c r="V18" i="5"/>
  <c r="W18" i="5"/>
  <c r="C37" i="2"/>
  <c r="S14" i="2" s="1"/>
  <c r="U17" i="5"/>
  <c r="D36" i="2" s="1"/>
  <c r="B36" i="2"/>
  <c r="C36" i="2"/>
  <c r="S13" i="2" s="1"/>
  <c r="V17" i="5"/>
  <c r="W17" i="5"/>
  <c r="B35" i="2"/>
  <c r="U16" i="5"/>
  <c r="D35" i="2" s="1"/>
  <c r="W16" i="5"/>
  <c r="C35" i="2"/>
  <c r="S12" i="2" s="1"/>
  <c r="V16" i="5"/>
  <c r="U15" i="5"/>
  <c r="D34" i="2" s="1"/>
  <c r="B34" i="2"/>
  <c r="C34" i="2"/>
  <c r="S11" i="2" s="1"/>
  <c r="V15" i="5"/>
  <c r="W15" i="5"/>
  <c r="X14" i="5"/>
  <c r="F33" i="2" s="1"/>
  <c r="B33" i="2"/>
  <c r="U14" i="5"/>
  <c r="D33" i="2" s="1"/>
  <c r="V14" i="5"/>
  <c r="E33" i="2" s="1"/>
  <c r="W14" i="5"/>
  <c r="C33" i="2"/>
  <c r="S10" i="2" s="1"/>
  <c r="U13" i="5"/>
  <c r="D32" i="2" s="1"/>
  <c r="B32" i="2"/>
  <c r="V13" i="5"/>
  <c r="C32" i="2"/>
  <c r="S9" i="2" s="1"/>
  <c r="W13" i="5"/>
  <c r="B31" i="2"/>
  <c r="U12" i="5"/>
  <c r="D31" i="2" s="1"/>
  <c r="V12" i="5"/>
  <c r="W12" i="5"/>
  <c r="C31" i="2"/>
  <c r="S8" i="2" s="1"/>
  <c r="B30" i="2"/>
  <c r="U11" i="5"/>
  <c r="D30" i="2" s="1"/>
  <c r="W11" i="5"/>
  <c r="C30" i="2"/>
  <c r="S7" i="2" s="1"/>
  <c r="V11" i="5"/>
  <c r="U10" i="5"/>
  <c r="D29" i="2" s="1"/>
  <c r="B29" i="2"/>
  <c r="W10" i="5"/>
  <c r="C29" i="2"/>
  <c r="S6" i="2" s="1"/>
  <c r="V10" i="5"/>
  <c r="X9" i="5"/>
  <c r="F28" i="2" s="1"/>
  <c r="B28" i="2"/>
  <c r="U9" i="5"/>
  <c r="D28" i="2" s="1"/>
  <c r="W9" i="5"/>
  <c r="V9" i="5"/>
  <c r="E28" i="2" s="1"/>
  <c r="C28" i="2"/>
  <c r="S5" i="2" s="1"/>
  <c r="O28" i="5"/>
  <c r="D16" i="28" s="1"/>
  <c r="S8" i="5"/>
  <c r="B41" i="5"/>
  <c r="B16" i="27" s="1"/>
  <c r="T28" i="5"/>
  <c r="V8" i="5"/>
  <c r="E27" i="2" s="1"/>
  <c r="W8" i="5"/>
  <c r="C27" i="2"/>
  <c r="N8" i="4"/>
  <c r="F12" i="29"/>
  <c r="D22" i="27" s="1"/>
  <c r="E20" i="29"/>
  <c r="O8" i="4"/>
  <c r="E21" i="29"/>
  <c r="B29" i="29"/>
  <c r="B12" i="17"/>
  <c r="B11" i="17"/>
  <c r="I20" i="28"/>
  <c r="B26" i="19"/>
  <c r="B25" i="19"/>
  <c r="B27" i="19" s="1"/>
  <c r="L28" i="5"/>
  <c r="D13" i="28" s="1"/>
  <c r="M28" i="5"/>
  <c r="D14" i="28" s="1"/>
  <c r="H28" i="5"/>
  <c r="D9" i="28" s="1"/>
  <c r="N28" i="5"/>
  <c r="D15" i="28" s="1"/>
  <c r="B22" i="29"/>
  <c r="R28" i="5"/>
  <c r="D19" i="28" s="1"/>
  <c r="I28" i="5"/>
  <c r="D10" i="28" s="1"/>
  <c r="P28" i="5"/>
  <c r="D17" i="28" s="1"/>
  <c r="J28" i="5"/>
  <c r="D11" i="28" s="1"/>
  <c r="Q28" i="5"/>
  <c r="D18" i="28" s="1"/>
  <c r="K28" i="5"/>
  <c r="D12" i="28" s="1"/>
  <c r="G28" i="5"/>
  <c r="D8" i="28" s="1"/>
  <c r="E8" i="26"/>
  <c r="B30" i="26"/>
  <c r="G5" i="9"/>
  <c r="B31" i="9"/>
  <c r="N43" i="4"/>
  <c r="AG43" i="3"/>
  <c r="O43" i="4" s="1"/>
  <c r="N42" i="4"/>
  <c r="AG42" i="3"/>
  <c r="O42" i="4" s="1"/>
  <c r="N40" i="4"/>
  <c r="AG40" i="3"/>
  <c r="O40" i="4" s="1"/>
  <c r="N39" i="4"/>
  <c r="AG39" i="3"/>
  <c r="O39" i="4" s="1"/>
  <c r="N38" i="4"/>
  <c r="AG38" i="3"/>
  <c r="O38" i="4" s="1"/>
  <c r="N37" i="4"/>
  <c r="AG37" i="3"/>
  <c r="O37" i="4" s="1"/>
  <c r="N36" i="4"/>
  <c r="AG36" i="3"/>
  <c r="O36" i="4" s="1"/>
  <c r="N35" i="4"/>
  <c r="AG35" i="3"/>
  <c r="O35" i="4" s="1"/>
  <c r="N34" i="4"/>
  <c r="AG34" i="3"/>
  <c r="O34" i="4" s="1"/>
  <c r="N33" i="4"/>
  <c r="AG33" i="3"/>
  <c r="O33" i="4" s="1"/>
  <c r="N32" i="4"/>
  <c r="AG32" i="3"/>
  <c r="O32" i="4" s="1"/>
  <c r="N31" i="4"/>
  <c r="AG31" i="3"/>
  <c r="O31" i="4" s="1"/>
  <c r="N29" i="4"/>
  <c r="AG29" i="3"/>
  <c r="O29" i="4" s="1"/>
  <c r="N26" i="4"/>
  <c r="AG26" i="3"/>
  <c r="O26" i="4" s="1"/>
  <c r="N25" i="4"/>
  <c r="AG25" i="3"/>
  <c r="O25" i="4" s="1"/>
  <c r="N24" i="4"/>
  <c r="AG24" i="3"/>
  <c r="O24" i="4" s="1"/>
  <c r="N23" i="4"/>
  <c r="AG23" i="3"/>
  <c r="O23" i="4" s="1"/>
  <c r="N22" i="4"/>
  <c r="AG22" i="3"/>
  <c r="O22" i="4" s="1"/>
  <c r="N21" i="4"/>
  <c r="AG21" i="3"/>
  <c r="O21" i="4" s="1"/>
  <c r="N20" i="4"/>
  <c r="AG20" i="3"/>
  <c r="O20" i="4" s="1"/>
  <c r="N19" i="4"/>
  <c r="AG19" i="3"/>
  <c r="O19" i="4" s="1"/>
  <c r="N18" i="4"/>
  <c r="AG18" i="3"/>
  <c r="N17" i="4"/>
  <c r="AG17" i="3"/>
  <c r="O17" i="4" s="1"/>
  <c r="N16" i="4"/>
  <c r="AG16" i="3"/>
  <c r="O16" i="4" s="1"/>
  <c r="N15" i="4"/>
  <c r="AG15" i="3"/>
  <c r="O15" i="4" s="1"/>
  <c r="N14" i="4"/>
  <c r="AG14" i="3"/>
  <c r="O14" i="4" s="1"/>
  <c r="N13" i="4"/>
  <c r="AG13" i="3"/>
  <c r="O13" i="4" s="1"/>
  <c r="N12" i="4"/>
  <c r="AG12" i="3"/>
  <c r="O12" i="4" s="1"/>
  <c r="N11" i="4"/>
  <c r="AG11" i="3"/>
  <c r="O11" i="4" s="1"/>
  <c r="N10" i="4"/>
  <c r="AG10" i="3"/>
  <c r="O10" i="4" s="1"/>
  <c r="N9" i="4"/>
  <c r="AG9" i="3"/>
  <c r="O9" i="4" s="1"/>
  <c r="AE5" i="28" l="1"/>
  <c r="Z5" i="2"/>
  <c r="T10" i="28"/>
  <c r="W16" i="28"/>
  <c r="AA12" i="28"/>
  <c r="B27" i="2"/>
  <c r="X8" i="5"/>
  <c r="U8" i="5"/>
  <c r="S28" i="5"/>
  <c r="S4" i="2"/>
  <c r="E10" i="27"/>
  <c r="E9" i="27"/>
  <c r="E12" i="27"/>
  <c r="E13" i="27"/>
  <c r="E11" i="27"/>
  <c r="W13" i="28"/>
  <c r="AA9" i="28"/>
  <c r="W14" i="28"/>
  <c r="AA10" i="28"/>
  <c r="W9" i="28"/>
  <c r="AA5" i="28"/>
  <c r="W15" i="28"/>
  <c r="AA11" i="28"/>
  <c r="W19" i="28"/>
  <c r="AA15" i="28"/>
  <c r="W10" i="28"/>
  <c r="AA6" i="28"/>
  <c r="W17" i="28"/>
  <c r="AA13" i="28"/>
  <c r="W11" i="28"/>
  <c r="AA7" i="28"/>
  <c r="W18" i="28"/>
  <c r="AA14" i="28"/>
  <c r="W12" i="28"/>
  <c r="AA8" i="28"/>
  <c r="AA4" i="28"/>
  <c r="D21" i="28"/>
  <c r="D20" i="28"/>
  <c r="W8" i="28"/>
  <c r="H8" i="26"/>
  <c r="F8" i="26"/>
  <c r="B31" i="26"/>
  <c r="W28" i="5"/>
  <c r="H10" i="28"/>
  <c r="H11" i="28" s="1"/>
  <c r="H12" i="28" s="1"/>
  <c r="H13" i="28" s="1"/>
  <c r="H14" i="28" s="1"/>
  <c r="H15" i="28" s="1"/>
  <c r="H16" i="28" s="1"/>
  <c r="H17" i="28" s="1"/>
  <c r="H18" i="28" s="1"/>
  <c r="H19" i="28" s="1"/>
  <c r="H20" i="28" s="1"/>
  <c r="H21" i="28"/>
  <c r="M5" i="14"/>
  <c r="V10" i="24"/>
  <c r="E45" i="2"/>
  <c r="X26" i="5"/>
  <c r="F45" i="2" s="1"/>
  <c r="E44" i="2"/>
  <c r="X25" i="5"/>
  <c r="F44" i="2" s="1"/>
  <c r="E43" i="2"/>
  <c r="X24" i="5"/>
  <c r="F43" i="2" s="1"/>
  <c r="E42" i="2"/>
  <c r="X23" i="5"/>
  <c r="F42" i="2" s="1"/>
  <c r="E41" i="2"/>
  <c r="X22" i="5"/>
  <c r="F41" i="2" s="1"/>
  <c r="E40" i="2"/>
  <c r="X21" i="5"/>
  <c r="F40" i="2" s="1"/>
  <c r="E39" i="2"/>
  <c r="X20" i="5"/>
  <c r="F39" i="2" s="1"/>
  <c r="E38" i="2"/>
  <c r="X19" i="5"/>
  <c r="F38" i="2" s="1"/>
  <c r="E37" i="2"/>
  <c r="X18" i="5"/>
  <c r="F37" i="2" s="1"/>
  <c r="E36" i="2"/>
  <c r="X17" i="5"/>
  <c r="F36" i="2" s="1"/>
  <c r="E35" i="2"/>
  <c r="X16" i="5"/>
  <c r="F35" i="2" s="1"/>
  <c r="E34" i="2"/>
  <c r="X15" i="5"/>
  <c r="F34" i="2" s="1"/>
  <c r="E32" i="2"/>
  <c r="X13" i="5"/>
  <c r="F32" i="2" s="1"/>
  <c r="E31" i="2"/>
  <c r="X12" i="5"/>
  <c r="F31" i="2" s="1"/>
  <c r="E30" i="2"/>
  <c r="X11" i="5"/>
  <c r="F30" i="2" s="1"/>
  <c r="E29" i="2"/>
  <c r="X10" i="5"/>
  <c r="F29" i="2" s="1"/>
  <c r="O18" i="4"/>
  <c r="B15" i="29"/>
  <c r="Z6" i="2" l="1"/>
  <c r="AE6" i="28"/>
  <c r="T11" i="28"/>
  <c r="B12" i="29"/>
  <c r="E27" i="29"/>
  <c r="F27" i="2"/>
  <c r="U28" i="5"/>
  <c r="D27" i="2"/>
  <c r="V28" i="5"/>
  <c r="E13" i="2"/>
  <c r="F37" i="5"/>
  <c r="B12" i="27"/>
  <c r="F36" i="5"/>
  <c r="X28" i="5"/>
  <c r="F35" i="5"/>
  <c r="F34" i="5"/>
  <c r="F38" i="5"/>
  <c r="G10" i="27"/>
  <c r="H10" i="27" s="1"/>
  <c r="I10" i="27" s="1"/>
  <c r="F10" i="27"/>
  <c r="G9" i="27"/>
  <c r="F9" i="27"/>
  <c r="G12" i="27"/>
  <c r="H12" i="27" s="1"/>
  <c r="I12" i="27" s="1"/>
  <c r="F12" i="27"/>
  <c r="F13" i="27"/>
  <c r="G13" i="27"/>
  <c r="H13" i="27" s="1"/>
  <c r="I13" i="27" s="1"/>
  <c r="F11" i="27"/>
  <c r="G11" i="27"/>
  <c r="H11" i="27" s="1"/>
  <c r="I11" i="27" s="1"/>
  <c r="W21" i="28"/>
  <c r="W20" i="28"/>
  <c r="F10" i="29"/>
  <c r="D20" i="27" s="1"/>
  <c r="B44" i="5"/>
  <c r="I18" i="2" s="1"/>
  <c r="E23" i="29"/>
  <c r="O10" i="14"/>
  <c r="T12" i="28" l="1"/>
  <c r="Z7" i="2"/>
  <c r="AE7" i="28"/>
  <c r="B13" i="27"/>
  <c r="B43" i="5"/>
  <c r="E18" i="2" s="1"/>
  <c r="A21" i="2" s="1"/>
  <c r="B10" i="29"/>
  <c r="B8" i="29" s="1"/>
  <c r="F8" i="29"/>
  <c r="D18" i="27" s="1"/>
  <c r="J37" i="5"/>
  <c r="H37" i="5"/>
  <c r="I37" i="5" s="1"/>
  <c r="J36" i="5"/>
  <c r="H36" i="5"/>
  <c r="I36" i="5" s="1"/>
  <c r="J35" i="5"/>
  <c r="H35" i="5"/>
  <c r="I35" i="5" s="1"/>
  <c r="J34" i="5"/>
  <c r="H34" i="5"/>
  <c r="I34" i="5" s="1"/>
  <c r="J38" i="5"/>
  <c r="H38" i="5"/>
  <c r="I38" i="5" s="1"/>
  <c r="H9" i="27"/>
  <c r="I9" i="27" s="1"/>
  <c r="Z8" i="2" l="1"/>
  <c r="T13" i="28"/>
  <c r="AE8" i="28"/>
  <c r="B9" i="29"/>
  <c r="B20" i="27"/>
  <c r="M13" i="2"/>
  <c r="T14" i="28" l="1"/>
  <c r="AE9" i="28"/>
  <c r="Z9" i="2"/>
  <c r="AE10" i="28" l="1"/>
  <c r="Z10" i="2"/>
  <c r="T15" i="28"/>
  <c r="Z11" i="2" l="1"/>
  <c r="T16" i="28"/>
  <c r="AE11" i="28"/>
  <c r="AE12" i="28" l="1"/>
  <c r="Z12" i="2"/>
  <c r="T17" i="28"/>
  <c r="T18" i="28" l="1"/>
  <c r="AE13" i="28"/>
  <c r="Z13" i="2"/>
  <c r="Z14" i="2" l="1"/>
  <c r="AE14" i="28"/>
  <c r="T19" i="28"/>
  <c r="T21" i="28" l="1"/>
  <c r="T20" i="28"/>
  <c r="Z15" i="2"/>
  <c r="AE15" i="28"/>
  <c r="B23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tc={1EB5FD68-D54E-FB3C-2C51-7F0ED9CEA651}</author>
  </authors>
  <commentList>
    <comment ref="I18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Projected month-end balance uses current spending pace for the selected month, then subtracts savings transfers.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tc={AE508B42-2986-C83A-5AB1-14436BB23D7B}</author>
  </authors>
  <commentList>
    <comment ref="H8" authorId="0" shapeId="0" xr:uid="{00000000-0006-0000-1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Closing balance rolls forward to the next month. It is never posted as new income, preventing annual-income double counting.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tc={1CC2AF58-6E3E-33E1-F3EB-5E0E203D7207}</author>
  </authors>
  <commentList>
    <comment ref="B8" authorId="0" shapeId="0" xr:uid="{00000000-0006-0000-1C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Overall score combines budget discipline, savings, overspending, emergency readiness, discretionary spending and data quality. Component weights are visible below.</t>
      </text>
    </comment>
  </commentList>
</comments>
</file>

<file path=xl/sharedStrings.xml><?xml version="1.0" encoding="utf-8"?>
<sst xmlns="http://schemas.openxmlformats.org/spreadsheetml/2006/main" count="4157" uniqueCount="922">
  <si>
    <t>COLLEGE MONEY OS</t>
  </si>
  <si>
    <t>A premium, formula-driven finance system for a first-year B.Tech CSE (AI &amp; ML) hostel student.</t>
  </si>
  <si>
    <t>Get started in 8 simple steps</t>
  </si>
  <si>
    <t>Color key</t>
  </si>
  <si>
    <t>Personalize</t>
  </si>
  <si>
    <t>Open SETTINGS and update the orange profile, year, semester dates and thresholds.</t>
  </si>
  <si>
    <t>ORANGE</t>
  </si>
  <si>
    <t>Editable inputs</t>
  </si>
  <si>
    <t>Type or choose from a dropdown</t>
  </si>
  <si>
    <t>Set allowance</t>
  </si>
  <si>
    <t>Enter your default monthly allowance and savings rule in SETTINGS.</t>
  </si>
  <si>
    <t>BLUE</t>
  </si>
  <si>
    <t>Calculated/system</t>
  </si>
  <si>
    <t>Formula-driven; do not overwrite</t>
  </si>
  <si>
    <t>Set budgets</t>
  </si>
  <si>
    <t>Review the category database and MONTHLY BUDGET. Override any month if needed.</t>
  </si>
  <si>
    <t>GREEN</t>
  </si>
  <si>
    <t>Healthy status</t>
  </si>
  <si>
    <t>On track, paid or reconciled</t>
  </si>
  <si>
    <t>Opening balances</t>
  </si>
  <si>
    <t>Enter opening and actual balances on ACCOUNTS.</t>
  </si>
  <si>
    <t>RED</t>
  </si>
  <si>
    <t>Action required</t>
  </si>
  <si>
    <t>Over budget, overdue or invalid</t>
  </si>
  <si>
    <t>Add transactions</t>
  </si>
  <si>
    <t>Use QUICK ENTRY. Enter each real-world transaction once; blue columns calculate automatically.</t>
  </si>
  <si>
    <t>Review</t>
  </si>
  <si>
    <t>Use DASHBOARD, MONTHLY REPORT and INSIGHTS to spot trends, alerts and safe spending limits.</t>
  </si>
  <si>
    <t>Reconcile weekly</t>
  </si>
  <si>
    <t>Compare calculated vs actual account balances and review duplicates or missing fields.</t>
  </si>
  <si>
    <t>Close the month</t>
  </si>
  <si>
    <t>Complete the checklist and reflection on MONTHLY REPORT; never delete history.</t>
  </si>
  <si>
    <t>Demo data &amp; privacy</t>
  </si>
  <si>
    <t>The sample rows on QUICK ENTRY are marked Demo = Yes. Keep Demo Mode = Yes to explore the workbook. Before entering real data, set SETTINGS &gt; Demo Mode to No (demo rows are excluded instantly) or delete those clearly marked rows. Store only harmless account nicknames and transaction values—never bank passwords, UPI/ATM PINs, CVV, OTPs or internet-banking credentials.</t>
  </si>
  <si>
    <t>How the workbook flows</t>
  </si>
  <si>
    <t>QUICK ENTRY (one master table)  →  MONTHLY BUDGET  →  DASHBOARD / REPORTS / INSIGHTS  →  ACCOUNTS / GOALS / FORECASTS
Specialized tabs are planners and analyses. Record actual money movement only once in QUICK ENTRY to avoid double-counting.</t>
  </si>
  <si>
    <t>PERSONAL FINANCE DASHBOARD</t>
  </si>
  <si>
    <t>Month</t>
  </si>
  <si>
    <t>September</t>
  </si>
  <si>
    <t>Selected month KPIs, alerts, trends and forecasts. Change only the orange controls below.</t>
  </si>
  <si>
    <t>Category</t>
  </si>
  <si>
    <t>Actual</t>
  </si>
  <si>
    <t>Income</t>
  </si>
  <si>
    <t>Expense</t>
  </si>
  <si>
    <t>Cumulative Savings</t>
  </si>
  <si>
    <t>Cost Type</t>
  </si>
  <si>
    <t>Payment Method</t>
  </si>
  <si>
    <t>Spend</t>
  </si>
  <si>
    <t>Planning Year</t>
  </si>
  <si>
    <t>Fixed</t>
  </si>
  <si>
    <t>Cash</t>
  </si>
  <si>
    <t>Variable</t>
  </si>
  <si>
    <t>UPI</t>
  </si>
  <si>
    <t>TOTAL MONEY RECEIVED</t>
  </si>
  <si>
    <t>TOTAL SPENT</t>
  </si>
  <si>
    <t>REMAINING BALANCE</t>
  </si>
  <si>
    <t>TOTAL SAVED</t>
  </si>
  <si>
    <t>Savings</t>
  </si>
  <si>
    <t>GPay</t>
  </si>
  <si>
    <t>PhonePe</t>
  </si>
  <si>
    <t>Paytm</t>
  </si>
  <si>
    <t>Debit Card</t>
  </si>
  <si>
    <t>Credit Card</t>
  </si>
  <si>
    <t>SAVINGS RATE</t>
  </si>
  <si>
    <t>BUDGET USED</t>
  </si>
  <si>
    <t>EMERGENCY FUND</t>
  </si>
  <si>
    <t>FINANCIAL SCORE</t>
  </si>
  <si>
    <t>Bank Transfer</t>
  </si>
  <si>
    <t>AVERAGE DAILY SPEND</t>
  </si>
  <si>
    <t>SAFE SPENDING TODAY</t>
  </si>
  <si>
    <t>PROJECTED MONTH-END BALANCE</t>
  </si>
  <si>
    <t>UPCOMING BILLS (7 DAYS)</t>
  </si>
  <si>
    <t>Budget</t>
  </si>
  <si>
    <t>Remaining</t>
  </si>
  <si>
    <t>% Used</t>
  </si>
  <si>
    <t>Status</t>
  </si>
  <si>
    <t>QUICK ENTRY · MASTER TRANSACTIONS</t>
  </si>
  <si>
    <t>Enter each transaction once. Keep the first seven columns together for phone-friendly entry; blue fields calculate automatically.</t>
  </si>
  <si>
    <t>CORE INPUTS — complete these first</t>
  </si>
  <si>
    <t>OPTIONAL DETAILS + AUTOMATIC SYSTEM FIELDS</t>
  </si>
  <si>
    <t>Include?</t>
  </si>
  <si>
    <t>Date</t>
  </si>
  <si>
    <t>Type</t>
  </si>
  <si>
    <t>Description</t>
  </si>
  <si>
    <t>Amount</t>
  </si>
  <si>
    <t>Category Override</t>
  </si>
  <si>
    <t>Suggested Category</t>
  </si>
  <si>
    <t>Final Category</t>
  </si>
  <si>
    <t>Subcategory</t>
  </si>
  <si>
    <t>Merchant / Vendor</t>
  </si>
  <si>
    <t>Account</t>
  </si>
  <si>
    <t>Need / Want</t>
  </si>
  <si>
    <t>Recurring?</t>
  </si>
  <si>
    <t>Payment Status</t>
  </si>
  <si>
    <t>Due Date</t>
  </si>
  <si>
    <t>Paid By</t>
  </si>
  <si>
    <t>Semester</t>
  </si>
  <si>
    <t>Tag</t>
  </si>
  <si>
    <t>Planned Amount</t>
  </si>
  <si>
    <t>Transaction ID</t>
  </si>
  <si>
    <t>Month No</t>
  </si>
  <si>
    <t>Year</t>
  </si>
  <si>
    <t>Day</t>
  </si>
  <si>
    <t>Day Type</t>
  </si>
  <si>
    <t>Duplicate Check</t>
  </si>
  <si>
    <t>Unusual Check</t>
  </si>
  <si>
    <t>Demo?</t>
  </si>
  <si>
    <t>Notes</t>
  </si>
  <si>
    <t>Receipt / File Link</t>
  </si>
  <si>
    <t>Report?</t>
  </si>
  <si>
    <t>Data Quality</t>
  </si>
  <si>
    <t>Yes</t>
  </si>
  <si>
    <t>Monthly Allowance - January</t>
  </si>
  <si>
    <t>Miscellaneous</t>
  </si>
  <si>
    <t>Monthly Allowance</t>
  </si>
  <si>
    <t>UPI-linked Bank</t>
  </si>
  <si>
    <t>Essential</t>
  </si>
  <si>
    <t>Recurring</t>
  </si>
  <si>
    <t>Paid</t>
  </si>
  <si>
    <t>Self</t>
  </si>
  <si>
    <t>Not Applicable</t>
  </si>
  <si>
    <t>Home</t>
  </si>
  <si>
    <t>Semester tuition installment</t>
  </si>
  <si>
    <t>College Fees</t>
  </si>
  <si>
    <t>Tuition</t>
  </si>
  <si>
    <t>College</t>
  </si>
  <si>
    <t>One-Time</t>
  </si>
  <si>
    <t>Parents</t>
  </si>
  <si>
    <t>Semester 1</t>
  </si>
  <si>
    <t>Hostel Fee</t>
  </si>
  <si>
    <t>Hostel</t>
  </si>
  <si>
    <t>College Hostel</t>
  </si>
  <si>
    <t>Monthly Allowance - February</t>
  </si>
  <si>
    <t>Groceries and fruit</t>
  </si>
  <si>
    <t>Food</t>
  </si>
  <si>
    <t>Grocery</t>
  </si>
  <si>
    <t>Local Market</t>
  </si>
  <si>
    <t>Bus and metro commute</t>
  </si>
  <si>
    <t>Transport</t>
  </si>
  <si>
    <t>Metro</t>
  </si>
  <si>
    <t>Transit</t>
  </si>
  <si>
    <t>Useful</t>
  </si>
  <si>
    <t>Monthly Allowance - March</t>
  </si>
  <si>
    <t>Laptop repair and SSD</t>
  </si>
  <si>
    <t>Technology</t>
  </si>
  <si>
    <t>Hardware</t>
  </si>
  <si>
    <t>Computer Store</t>
  </si>
  <si>
    <t>Netflix and cloud subscriptions</t>
  </si>
  <si>
    <t>Subscriptions</t>
  </si>
  <si>
    <t>OTT</t>
  </si>
  <si>
    <t>Netflix</t>
  </si>
  <si>
    <t>Optional</t>
  </si>
  <si>
    <t>Subscription</t>
  </si>
  <si>
    <t>Monthly Allowance - April</t>
  </si>
  <si>
    <t>Mess and outside meals</t>
  </si>
  <si>
    <t>Mess</t>
  </si>
  <si>
    <t>Hostel Mess</t>
  </si>
  <si>
    <t>Haircut and toiletries</t>
  </si>
  <si>
    <t>Personal Care</t>
  </si>
  <si>
    <t>Other</t>
  </si>
  <si>
    <t>Local Shop</t>
  </si>
  <si>
    <t>Monthly Allowance - May</t>
  </si>
  <si>
    <t>Train ticket home</t>
  </si>
  <si>
    <t>Travel Home</t>
  </si>
  <si>
    <t>Train</t>
  </si>
  <si>
    <t>IRCTC</t>
  </si>
  <si>
    <t>Travel</t>
  </si>
  <si>
    <t>Movie and cafe</t>
  </si>
  <si>
    <t>Entertainment</t>
  </si>
  <si>
    <t>Cinema</t>
  </si>
  <si>
    <t>Friends</t>
  </si>
  <si>
    <t>Monthly Allowance - June</t>
  </si>
  <si>
    <t>Udemy Machine Learning course</t>
  </si>
  <si>
    <t>AI-ML Learning</t>
  </si>
  <si>
    <t>Course</t>
  </si>
  <si>
    <t>Udemy</t>
  </si>
  <si>
    <t>Books and stationery</t>
  </si>
  <si>
    <t>Books &amp; Stationery</t>
  </si>
  <si>
    <t>Books</t>
  </si>
  <si>
    <t>Book Shop</t>
  </si>
  <si>
    <t>Monthly Allowance - July</t>
  </si>
  <si>
    <t>Hostel and mess fee</t>
  </si>
  <si>
    <t>Food and groceries</t>
  </si>
  <si>
    <t>Monthly Allowance - August</t>
  </si>
  <si>
    <t>Merit Scholarship</t>
  </si>
  <si>
    <t>Scholarship</t>
  </si>
  <si>
    <t>Monthly food</t>
  </si>
  <si>
    <t>Trip home by train</t>
  </si>
  <si>
    <t>Savings Transfer</t>
  </si>
  <si>
    <t>Emergency fund contribution</t>
  </si>
  <si>
    <t>Emergency Fund</t>
  </si>
  <si>
    <t>Savings Account</t>
  </si>
  <si>
    <t>Emergency</t>
  </si>
  <si>
    <t>Monthly Allowance - September</t>
  </si>
  <si>
    <t>Primary Bank</t>
  </si>
  <si>
    <t>Hostel Mess September</t>
  </si>
  <si>
    <t>Zomato dinner</t>
  </si>
  <si>
    <t>Dinner Outside</t>
  </si>
  <si>
    <t>Zomato</t>
  </si>
  <si>
    <t>Outside Meal</t>
  </si>
  <si>
    <t>Uber to railway station</t>
  </si>
  <si>
    <t>Cab</t>
  </si>
  <si>
    <t>Uber</t>
  </si>
  <si>
    <t>Udemy deep learning course</t>
  </si>
  <si>
    <t>Mobile recharge</t>
  </si>
  <si>
    <t>Mobile &amp; Internet</t>
  </si>
  <si>
    <t>Mobile Recharge</t>
  </si>
  <si>
    <t>Jio</t>
  </si>
  <si>
    <t>Netflix monthly plan</t>
  </si>
  <si>
    <t>Notebook and pens</t>
  </si>
  <si>
    <t>Stationery</t>
  </si>
  <si>
    <t>College Store</t>
  </si>
  <si>
    <t>Gym membership</t>
  </si>
  <si>
    <t>Health &amp; Fitness</t>
  </si>
  <si>
    <t>Gym</t>
  </si>
  <si>
    <t>Campus Gym</t>
  </si>
  <si>
    <t>Monthly savings contribution</t>
  </si>
  <si>
    <t>TRANSACTION AUDIT &amp; SEARCH VIEW</t>
  </si>
  <si>
    <t>A formula-linked, filterable view of the master table. Enter or edit transactions only on QUICK ENTRY.</t>
  </si>
  <si>
    <t>Use table filters to search by month, category, merchant, payment method, account, semester, tag or status.</t>
  </si>
  <si>
    <t>Merchant</t>
  </si>
  <si>
    <t>Duplicate</t>
  </si>
  <si>
    <t>MONTHLY BUDGET PLANNER</t>
  </si>
  <si>
    <t>Plan once, track automatically. Monthly budgets are editable; actuals, forecasts and alerts are fed by the master transaction table.</t>
  </si>
  <si>
    <t>Selected dashboard period</t>
  </si>
  <si>
    <t>Budget status: 0–70% Safe · 71–90% Watch · 91–100% Near Limit · Above 100% Over Budget</t>
  </si>
  <si>
    <t>Priority</t>
  </si>
  <si>
    <t>Need Class</t>
  </si>
  <si>
    <t>Domain</t>
  </si>
  <si>
    <t>Default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</si>
  <si>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</si>
  <si>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</si>
  <si>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</si>
  <si>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</si>
  <si>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</si>
  <si>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</si>
  <si>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</si>
  <si>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</si>
  <si>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</si>
  <si>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</si>
  <si>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December</t>
  </si>
  <si>
    <t>Selected Budget</t>
  </si>
  <si>
    <t>Difference</t>
  </si>
  <si>
    <t>Projected</t>
  </si>
  <si>
    <t>TOTAL SELECTED-MONTH ALLOCATION</t>
  </si>
  <si>
    <t>Selected-Month Operating Metrics</t>
  </si>
  <si>
    <t>Week 1–5 Budget Tracker</t>
  </si>
  <si>
    <t>Total Income</t>
  </si>
  <si>
    <t>Week</t>
  </si>
  <si>
    <t>Days</t>
  </si>
  <si>
    <t>Weekly Budget</t>
  </si>
  <si>
    <t>Safe / Day</t>
  </si>
  <si>
    <t>Total Expenses</t>
  </si>
  <si>
    <t>Week 1</t>
  </si>
  <si>
    <t>1–7</t>
  </si>
  <si>
    <t>Savings Transfers</t>
  </si>
  <si>
    <t>Week 2</t>
  </si>
  <si>
    <t>8–14</t>
  </si>
  <si>
    <t>Spendable Balance</t>
  </si>
  <si>
    <t>Week 3</t>
  </si>
  <si>
    <t>15–21</t>
  </si>
  <si>
    <t>Average Daily Spending</t>
  </si>
  <si>
    <t>Week 4</t>
  </si>
  <si>
    <t>22–28</t>
  </si>
  <si>
    <t>Average Weekly Spending</t>
  </si>
  <si>
    <t>Week 5</t>
  </si>
  <si>
    <t>29–31</t>
  </si>
  <si>
    <t>Expense Transactions</t>
  </si>
  <si>
    <t>Highest Expense</t>
  </si>
  <si>
    <t>Highest Spending Category</t>
  </si>
  <si>
    <t>Days Remaining</t>
  </si>
  <si>
    <t>Safe Daily Spending</t>
  </si>
  <si>
    <t>Projected Month-End Balance</t>
  </si>
  <si>
    <t>MONEY / INCOME RECEIVED</t>
  </si>
  <si>
    <t>Plan allowance and review all income sources without counting transfers or balance carry-forward as new income.</t>
  </si>
  <si>
    <t>Record actual income once on QUICK ENTRY using Type = Income. The schedule below compares planned allowance with receipts.</t>
  </si>
  <si>
    <t>Standard Allowance</t>
  </si>
  <si>
    <t>Exception / Override</t>
  </si>
  <si>
    <t>Planned Allowance</t>
  </si>
  <si>
    <t>Allowance Received</t>
  </si>
  <si>
    <t>Other Income</t>
  </si>
  <si>
    <t>Variance</t>
  </si>
  <si>
    <t>Income by Source</t>
  </si>
  <si>
    <t>Source</t>
  </si>
  <si>
    <t>Selected Month</t>
  </si>
  <si>
    <t>Annual</t>
  </si>
  <si>
    <t>% of Annual</t>
  </si>
  <si>
    <t>Pocket Money</t>
  </si>
  <si>
    <t>Internship</t>
  </si>
  <si>
    <t>Freelancing</t>
  </si>
  <si>
    <t>Part-Time</t>
  </si>
  <si>
    <t>Prize Money</t>
  </si>
  <si>
    <t>Refund</t>
  </si>
  <si>
    <t>Cashback</t>
  </si>
  <si>
    <t>Gift</t>
  </si>
  <si>
    <t>Previous Balance</t>
  </si>
  <si>
    <t>COLLEGE &amp; ACADEMIC EXPENSES</t>
  </si>
  <si>
    <t>Fee plans, concessions and due-date alerts. Record each actual payment only once in QUICK ENTRY with the matching subcategory.</t>
  </si>
  <si>
    <t>Starter estimates are illustrative—replace orange inputs with your fee schedule.</t>
  </si>
  <si>
    <t>Fee Item</t>
  </si>
  <si>
    <t>Original Fee</t>
  </si>
  <si>
    <t>Concession</t>
  </si>
  <si>
    <t>Waiver</t>
  </si>
  <si>
    <t>Scholarship Adj.</t>
  </si>
  <si>
    <t>Final Payable</t>
  </si>
  <si>
    <t>Paid (Transactions)</t>
  </si>
  <si>
    <t>Pending</t>
  </si>
  <si>
    <t>Due Alert</t>
  </si>
  <si>
    <t>Edit estimate</t>
  </si>
  <si>
    <t>Semester Fee</t>
  </si>
  <si>
    <t>Examination Fee</t>
  </si>
  <si>
    <t>Registration Fee</t>
  </si>
  <si>
    <t>Lab Fee</t>
  </si>
  <si>
    <t>Library Fee</t>
  </si>
  <si>
    <t>Student Activity Fee</t>
  </si>
  <si>
    <t>Security Deposit</t>
  </si>
  <si>
    <t>Certification</t>
  </si>
  <si>
    <t>Project Materials</t>
  </si>
  <si>
    <t>Printing</t>
  </si>
  <si>
    <t>Installment Planner</t>
  </si>
  <si>
    <t>Total Amount</t>
  </si>
  <si>
    <t># Installments</t>
  </si>
  <si>
    <t>Installment #</t>
  </si>
  <si>
    <t>Paid Date</t>
  </si>
  <si>
    <t>Balance Remaining</t>
  </si>
  <si>
    <t>HOSTEL &amp; LIVING EXPENSES</t>
  </si>
  <si>
    <t>Hostel, mess, utilities, laundry, room setup and monthly consumables.</t>
  </si>
  <si>
    <t>Annual Spend</t>
  </si>
  <si>
    <t>Monthly Budget</t>
  </si>
  <si>
    <t>Budget Remaining</t>
  </si>
  <si>
    <t>Transactions</t>
  </si>
  <si>
    <t>% of Category</t>
  </si>
  <si>
    <t>Electricity</t>
  </si>
  <si>
    <t>Water</t>
  </si>
  <si>
    <t>Laundry</t>
  </si>
  <si>
    <t>Room Cleaning</t>
  </si>
  <si>
    <t>Drinking Water</t>
  </si>
  <si>
    <t>Maintenance</t>
  </si>
  <si>
    <t>Room Accessories</t>
  </si>
  <si>
    <t>Toiletries</t>
  </si>
  <si>
    <t>Hostel Move-In / Setup Budget</t>
  </si>
  <si>
    <t>Item</t>
  </si>
  <si>
    <t>Required / Optional</t>
  </si>
  <si>
    <t>Already Owned?</t>
  </si>
  <si>
    <t>Need to Purchase?</t>
  </si>
  <si>
    <t>Estimated Cost</t>
  </si>
  <si>
    <t>Actual Cost</t>
  </si>
  <si>
    <t>Suitcase</t>
  </si>
  <si>
    <t>Required</t>
  </si>
  <si>
    <t>No</t>
  </si>
  <si>
    <t>Not Purchased</t>
  </si>
  <si>
    <t>Backpack</t>
  </si>
  <si>
    <t>Mattress</t>
  </si>
  <si>
    <t>Pillow &amp; Bedsheets</t>
  </si>
  <si>
    <t>Blanket</t>
  </si>
  <si>
    <t>Bucket &amp; Mug</t>
  </si>
  <si>
    <t>Lock &amp; Hangers</t>
  </si>
  <si>
    <t>Extension Board</t>
  </si>
  <si>
    <t>Desk Lamp</t>
  </si>
  <si>
    <t>Water Bottle</t>
  </si>
  <si>
    <t>Storage Boxes</t>
  </si>
  <si>
    <t>Laundry Bag</t>
  </si>
  <si>
    <t>First Aid</t>
  </si>
  <si>
    <t>Chargers / Power Bank</t>
  </si>
  <si>
    <t>Other Essentials</t>
  </si>
  <si>
    <t>FOOD TRACKER</t>
  </si>
  <si>
    <t>Mess vs outside food, order frequency, daily and weekly cost.</t>
  </si>
  <si>
    <t>Breakfast Outside</t>
  </si>
  <si>
    <t>Lunch Outside</t>
  </si>
  <si>
    <t>Snacks</t>
  </si>
  <si>
    <t>Tea/Coffee</t>
  </si>
  <si>
    <t>Cold Drinks</t>
  </si>
  <si>
    <t>Online Food Delivery</t>
  </si>
  <si>
    <t>Restaurants</t>
  </si>
  <si>
    <t>Fruits</t>
  </si>
  <si>
    <t>Protein/Healthy Food</t>
  </si>
  <si>
    <t>Bottled Water</t>
  </si>
  <si>
    <t>Food Habits &amp; Budget Metrics</t>
  </si>
  <si>
    <t>Outside Meals / Orders</t>
  </si>
  <si>
    <t>Food Spending / Day</t>
  </si>
  <si>
    <t>Food Spending / Week</t>
  </si>
  <si>
    <t>Mess Spending</t>
  </si>
  <si>
    <t>Outside Food Spending</t>
  </si>
  <si>
    <t>Outside %</t>
  </si>
  <si>
    <t>Budget Status</t>
  </si>
  <si>
    <t>TRANSPORT &amp; TRAVEL</t>
  </si>
  <si>
    <t>Daily commute, trips home, college travel and emergencies.</t>
  </si>
  <si>
    <t>Auto</t>
  </si>
  <si>
    <t>E-Rickshaw</t>
  </si>
  <si>
    <t>Bus</t>
  </si>
  <si>
    <t>Fuel</t>
  </si>
  <si>
    <t>Bike/Scooter</t>
  </si>
  <si>
    <t>College Commute</t>
  </si>
  <si>
    <t>Emergency Travel</t>
  </si>
  <si>
    <t>Home Travel Planner</t>
  </si>
  <si>
    <t>Travel Date</t>
  </si>
  <si>
    <t>Return Date</t>
  </si>
  <si>
    <t>Purpose</t>
  </si>
  <si>
    <t>Destination</t>
  </si>
  <si>
    <t>Mode</t>
  </si>
  <si>
    <t>Ticket Cost</t>
  </si>
  <si>
    <t>Local Travel</t>
  </si>
  <si>
    <t>Total Trip Cost</t>
  </si>
  <si>
    <t>Booked?</t>
  </si>
  <si>
    <t>TECHNOLOGY &amp; DEVICE COSTS</t>
  </si>
  <si>
    <t>Hardware, accessories, software, cloud tools, API credits, repairs and ownership cost.</t>
  </si>
  <si>
    <t>Laptop</t>
  </si>
  <si>
    <t>Laptop Accessories</t>
  </si>
  <si>
    <t>Mouse / Keyboard</t>
  </si>
  <si>
    <t>Headphones</t>
  </si>
  <si>
    <t>SSD / HDD / RAM</t>
  </si>
  <si>
    <t>Laptop Repair</t>
  </si>
  <si>
    <t>Power Bank</t>
  </si>
  <si>
    <t>Software</t>
  </si>
  <si>
    <t>Cloud/API</t>
  </si>
  <si>
    <t>AI Tools</t>
  </si>
  <si>
    <t>Domain / Hosting</t>
  </si>
  <si>
    <t>Coding Platforms</t>
  </si>
  <si>
    <t>Device Ownership &amp; Warranty</t>
  </si>
  <si>
    <t>Warranty Tracker</t>
  </si>
  <si>
    <t>Purchase Price</t>
  </si>
  <si>
    <t>Accessories</t>
  </si>
  <si>
    <t>Repairs</t>
  </si>
  <si>
    <t>Upgrades</t>
  </si>
  <si>
    <t>Insurance</t>
  </si>
  <si>
    <t>Years Used</t>
  </si>
  <si>
    <t>Total Ownership</t>
  </si>
  <si>
    <t>Monthly Ownership</t>
  </si>
  <si>
    <t>Purchase Date</t>
  </si>
  <si>
    <t>Warranty Months</t>
  </si>
  <si>
    <t>Warranty Expiry</t>
  </si>
  <si>
    <t>Invoice?</t>
  </si>
  <si>
    <t>Seller</t>
  </si>
  <si>
    <t>Days Left</t>
  </si>
  <si>
    <t>Alert</t>
  </si>
  <si>
    <t>AI-ML / LEARNING</t>
  </si>
  <si>
    <t>Courses, certifications, hackathons, developer events and project ROI.</t>
  </si>
  <si>
    <t>Hackathon</t>
  </si>
  <si>
    <t>Competition</t>
  </si>
  <si>
    <t>Workshop</t>
  </si>
  <si>
    <t>Developer Event</t>
  </si>
  <si>
    <t>Project</t>
  </si>
  <si>
    <t>Course ROI Tracker</t>
  </si>
  <si>
    <t>Provider</t>
  </si>
  <si>
    <t>Cost</t>
  </si>
  <si>
    <t>Completion %</t>
  </si>
  <si>
    <t>Certificate?</t>
  </si>
  <si>
    <t>Skills Learned</t>
  </si>
  <si>
    <t>Useful?</t>
  </si>
  <si>
    <t>Rating / 5</t>
  </si>
  <si>
    <t>Career Relevance</t>
  </si>
  <si>
    <t>Project / Hackathon Budget</t>
  </si>
  <si>
    <t>Dataset</t>
  </si>
  <si>
    <t>Registration</t>
  </si>
  <si>
    <t>PERSONAL &amp; LIFESTYLE</t>
  </si>
  <si>
    <t>Personal care, entertainment, shopping and need-vs-want discipline.</t>
  </si>
  <si>
    <t>Movies</t>
  </si>
  <si>
    <t>Gaming</t>
  </si>
  <si>
    <t>Outings</t>
  </si>
  <si>
    <t>Parties</t>
  </si>
  <si>
    <t>Cafes</t>
  </si>
  <si>
    <t>Music</t>
  </si>
  <si>
    <t>Need vs Want Analysis</t>
  </si>
  <si>
    <t>Luxury</t>
  </si>
  <si>
    <t>Impulse</t>
  </si>
  <si>
    <t>24-Hour Purchase Rule</t>
  </si>
  <si>
    <t>Price</t>
  </si>
  <si>
    <t>Date Considered</t>
  </si>
  <si>
    <t>Earliest Purchase</t>
  </si>
  <si>
    <t>Final Decision</t>
  </si>
  <si>
    <t>SUBSCRIPTIONS &amp; USAGE REVIEW</t>
  </si>
  <si>
    <t>Costs, renewal dates and cancel recommendations are formula-linked to the recurring-payment master.</t>
  </si>
  <si>
    <t>Monthly Cost</t>
  </si>
  <si>
    <t>Annual Cost</t>
  </si>
  <si>
    <t>Cost % of Income</t>
  </si>
  <si>
    <t>Upcoming Renewals</t>
  </si>
  <si>
    <t>Name</t>
  </si>
  <si>
    <t>Billing</t>
  </si>
  <si>
    <t>Monthly Eq.</t>
  </si>
  <si>
    <t>Renewal</t>
  </si>
  <si>
    <t>Auto Renew</t>
  </si>
  <si>
    <t>Payment</t>
  </si>
  <si>
    <t>Need</t>
  </si>
  <si>
    <t>Usage</t>
  </si>
  <si>
    <t>Last Used</t>
  </si>
  <si>
    <t>Rating</t>
  </si>
  <si>
    <t>Cancel Recommendation</t>
  </si>
  <si>
    <t>SAVINGS BUCKET SYSTEM</t>
  </si>
  <si>
    <t>Savings transfers are tracked separately from expenses. Assign the bucket as the transaction subcategory.</t>
  </si>
  <si>
    <t>Bucket</t>
  </si>
  <si>
    <t>Target</t>
  </si>
  <si>
    <t>Opening Saved</t>
  </si>
  <si>
    <t>Contributions</t>
  </si>
  <si>
    <t>Withdrawals</t>
  </si>
  <si>
    <t>Current Saved</t>
  </si>
  <si>
    <t>Target Date</t>
  </si>
  <si>
    <t>Months Left</t>
  </si>
  <si>
    <t>Required / Month</t>
  </si>
  <si>
    <t>Progress %</t>
  </si>
  <si>
    <t>Short-Term Goal</t>
  </si>
  <si>
    <t>Technology Fund</t>
  </si>
  <si>
    <t>Travel Fund</t>
  </si>
  <si>
    <t>Education Fund</t>
  </si>
  <si>
    <t>Long-Term Savings</t>
  </si>
  <si>
    <t>Other Goal</t>
  </si>
  <si>
    <t>Automatic Savings Transfer</t>
  </si>
  <si>
    <t>Recommended Savings</t>
  </si>
  <si>
    <t>Actual Savings (selected month)</t>
  </si>
  <si>
    <t>Savings Difference</t>
  </si>
  <si>
    <t>Remaining Spendable Balance</t>
  </si>
  <si>
    <t>SAVINGS GOALS</t>
  </si>
  <si>
    <t>Name the goal in the transaction Subcategory to link savings contributions automatically.</t>
  </si>
  <si>
    <t>Goal ID</t>
  </si>
  <si>
    <t>Goal Name</t>
  </si>
  <si>
    <t>Target Amount</t>
  </si>
  <si>
    <t>GOAL-001</t>
  </si>
  <si>
    <t>Priority 1</t>
  </si>
  <si>
    <t>GOAL-002</t>
  </si>
  <si>
    <t>New Laptop</t>
  </si>
  <si>
    <t>Priority 2</t>
  </si>
  <si>
    <t>GOAL-003</t>
  </si>
  <si>
    <t>Smartphone</t>
  </si>
  <si>
    <t>Priority 3</t>
  </si>
  <si>
    <t>GOAL-004</t>
  </si>
  <si>
    <t>Education</t>
  </si>
  <si>
    <t>GOAL-005</t>
  </si>
  <si>
    <t>College Trip</t>
  </si>
  <si>
    <t>GOAL-006</t>
  </si>
  <si>
    <t>Future Investment</t>
  </si>
  <si>
    <t>Long-Term</t>
  </si>
  <si>
    <t>Emergency reserves and withdrawals remain separate from ordinary lifestyle-spending analysis.</t>
  </si>
  <si>
    <t>Opening Emergency Savings</t>
  </si>
  <si>
    <t>Current Emergency Fund</t>
  </si>
  <si>
    <t>Amount Remaining</t>
  </si>
  <si>
    <t>Required Monthly Contribution</t>
  </si>
  <si>
    <t>Emergency Expense Register (planning / documentation)</t>
  </si>
  <si>
    <t>Reason</t>
  </si>
  <si>
    <t>Fund Used</t>
  </si>
  <si>
    <t>Amount Replenished</t>
  </si>
  <si>
    <t>Current Fund</t>
  </si>
  <si>
    <t>Receipt?</t>
  </si>
  <si>
    <t>PURCHASE PLANNER &amp; WHAT-IF TOOLS</t>
  </si>
  <si>
    <t>Plan large purchases, test affordability and protect mandatory expenses, savings goals and emergency reserves.</t>
  </si>
  <si>
    <t>Affordability Checker</t>
  </si>
  <si>
    <t>Large Purchase / Wishlist Planner</t>
  </si>
  <si>
    <t>Item Price</t>
  </si>
  <si>
    <t>Expected Price</t>
  </si>
  <si>
    <t>Current Price</t>
  </si>
  <si>
    <t>Target Month</t>
  </si>
  <si>
    <t>Savings Available</t>
  </si>
  <si>
    <t>Affordable Now?</t>
  </si>
  <si>
    <t>Current Balance</t>
  </si>
  <si>
    <t>Not Planned</t>
  </si>
  <si>
    <t>Savings Contributions Due</t>
  </si>
  <si>
    <t>Upcoming Mandatory Expenses</t>
  </si>
  <si>
    <t>Tablet</t>
  </si>
  <si>
    <t>Required Emergency Reserve</t>
  </si>
  <si>
    <t>Mechanical Keyboard</t>
  </si>
  <si>
    <t>Disposable Money</t>
  </si>
  <si>
    <t>Result</t>
  </si>
  <si>
    <t>Bicycle</t>
  </si>
  <si>
    <t>Shopping &amp; Gifts</t>
  </si>
  <si>
    <t>Major Course</t>
  </si>
  <si>
    <t>Clothes</t>
  </si>
  <si>
    <t>Shoes</t>
  </si>
  <si>
    <t>Scenario &amp; Budget Cut Simulator</t>
  </si>
  <si>
    <t>Budget Cut</t>
  </si>
  <si>
    <t>Scenario</t>
  </si>
  <si>
    <t>Year-End Balance</t>
  </si>
  <si>
    <t>Cut %</t>
  </si>
  <si>
    <t>Conservative</t>
  </si>
  <si>
    <t>Optional Spend</t>
  </si>
  <si>
    <t>Normal</t>
  </si>
  <si>
    <t>Estimated Savings</t>
  </si>
  <si>
    <t>High-Spending</t>
  </si>
  <si>
    <t>New Monthly Balance</t>
  </si>
  <si>
    <t>Annual Savings</t>
  </si>
  <si>
    <t>SHARED EXPENSES</t>
  </si>
  <si>
    <t>Split bills with roommates and friends while keeping only your share in personal-spending analysis.</t>
  </si>
  <si>
    <t>Planning and settlement tracker. Record the real payment once in QUICK ENTRY; use Planned Amount for the full bill and Amount for your personal share.</t>
  </si>
  <si>
    <t>Total Bill</t>
  </si>
  <si>
    <t>People</t>
  </si>
  <si>
    <t>Your Share</t>
  </si>
  <si>
    <t>Paid By You</t>
  </si>
  <si>
    <t>Others Owe You</t>
  </si>
  <si>
    <t>You Owe Others</t>
  </si>
  <si>
    <t>Settlement Status</t>
  </si>
  <si>
    <t>Money to Receive</t>
  </si>
  <si>
    <t>Money to Pay</t>
  </si>
  <si>
    <t>Net Settlement</t>
  </si>
  <si>
    <t>MONEY LENT / BORROWED</t>
  </si>
  <si>
    <t>Track repayments, outstanding amounts and overdue commitments without treating borrowing as income.</t>
  </si>
  <si>
    <t>Borrowing and lending are balance-sheet movements. Record actual cash movement in QUICK ENTRY using Borrowing or Repayment.</t>
  </si>
  <si>
    <t>Person</t>
  </si>
  <si>
    <t>Expected Repayment</t>
  </si>
  <si>
    <t>Amount Repaid</t>
  </si>
  <si>
    <t>Days to Due</t>
  </si>
  <si>
    <t>Lent</t>
  </si>
  <si>
    <t>REFUNDS, REIMBURSEMENTS &amp; DEPOSITS</t>
  </si>
  <si>
    <t>Monitor money due back without inflating ordinary income or permanently overstating personal expenses.</t>
  </si>
  <si>
    <t>Use Type = Refund or Reimbursement in QUICK ENTRY only when money is actually received.</t>
  </si>
  <si>
    <t>Original Transaction</t>
  </si>
  <si>
    <t>Original Amount</t>
  </si>
  <si>
    <t>Refund Expected</t>
  </si>
  <si>
    <t>Refund Received</t>
  </si>
  <si>
    <t>Expected Date</t>
  </si>
  <si>
    <t>Refund Date</t>
  </si>
  <si>
    <t>Reimbursement</t>
  </si>
  <si>
    <t>Security Deposit Tracker</t>
  </si>
  <si>
    <t>Deposit</t>
  </si>
  <si>
    <t>Refundable?</t>
  </si>
  <si>
    <t>Expected Refund</t>
  </si>
  <si>
    <t>Pending Refund</t>
  </si>
  <si>
    <t>SCHOLARSHIPS &amp; FINANCIAL AID</t>
  </si>
  <si>
    <t>Track applications, approvals, deadlines, documents and receipts.</t>
  </si>
  <si>
    <t>Record actual scholarship receipts once on QUICK ENTRY using Type = Income and Subcategory = Scholarship.</t>
  </si>
  <si>
    <t>Academic Year</t>
  </si>
  <si>
    <t>Application Date</t>
  </si>
  <si>
    <t>Deadline</t>
  </si>
  <si>
    <t>Expected Amount</t>
  </si>
  <si>
    <t>Approved Amount</t>
  </si>
  <si>
    <t>Amount Received</t>
  </si>
  <si>
    <t>Expected Receipt</t>
  </si>
  <si>
    <t>Days to Deadline</t>
  </si>
  <si>
    <t>Documents Required</t>
  </si>
  <si>
    <t>Remarks</t>
  </si>
  <si>
    <t>Government Scholarship</t>
  </si>
  <si>
    <t>2026-27</t>
  </si>
  <si>
    <t>Not Applied</t>
  </si>
  <si>
    <t>College Merit Scholarship</t>
  </si>
  <si>
    <t>Fee Waiver</t>
  </si>
  <si>
    <t>Private Scholarship</t>
  </si>
  <si>
    <t>Education Grant</t>
  </si>
  <si>
    <t>Competition Grant</t>
  </si>
  <si>
    <t>Other Aid</t>
  </si>
  <si>
    <t>ACCOUNT &amp; WALLET BALANCES</t>
  </si>
  <si>
    <t>Track harmless account nicknames only. Actual balances are manual reconciliation inputs; internal transfers never count as income or expenses.</t>
  </si>
  <si>
    <t>For internal transfers, use Transfer Out on the source and Transfer In on the destination. ATM withdrawals are transfers, not expenses.</t>
  </si>
  <si>
    <t>Account Name</t>
  </si>
  <si>
    <t>Account Type</t>
  </si>
  <si>
    <t>Opening Balance</t>
  </si>
  <si>
    <t>Money In</t>
  </si>
  <si>
    <t>Money Out</t>
  </si>
  <si>
    <t>Calculated Balance</t>
  </si>
  <si>
    <t>Actual Balance</t>
  </si>
  <si>
    <t>Last Reconciled</t>
  </si>
  <si>
    <t>Spendable?</t>
  </si>
  <si>
    <t>Savings?</t>
  </si>
  <si>
    <t>Emergency?</t>
  </si>
  <si>
    <t>Owner</t>
  </si>
  <si>
    <t>Bank</t>
  </si>
  <si>
    <t>Secondary Bank</t>
  </si>
  <si>
    <t>Cash in Hand</t>
  </si>
  <si>
    <t>UPI / Bank</t>
  </si>
  <si>
    <t>Paytm Wallet</t>
  </si>
  <si>
    <t>Wallet</t>
  </si>
  <si>
    <t>Other Wallet</t>
  </si>
  <si>
    <t>Parent-funded</t>
  </si>
  <si>
    <t>Account Summary</t>
  </si>
  <si>
    <t>UPI Spending Analysis</t>
  </si>
  <si>
    <t>Total UPI Spending</t>
  </si>
  <si>
    <t>Average UPI Transaction</t>
  </si>
  <si>
    <t>UPI Transactions</t>
  </si>
  <si>
    <t>Largest UPI Transaction</t>
  </si>
  <si>
    <t>Unreconciled Difference</t>
  </si>
  <si>
    <t>UPI % of Expenses</t>
  </si>
  <si>
    <t>RECURRING PAYMENTS &amp; UPCOMING BILLS</t>
  </si>
  <si>
    <t>One obligation master for subscriptions, fees, hostel, recharge, courses and savings commitments.</t>
  </si>
  <si>
    <t>This is a planner. When a bill is paid, record the actual cash event once on QUICK ENTRY and update Last Paid Date / Status here.</t>
  </si>
  <si>
    <t>Bill ID</t>
  </si>
  <si>
    <t>Commitment Type</t>
  </si>
  <si>
    <t>Frequency</t>
  </si>
  <si>
    <t>Frequency Months</t>
  </si>
  <si>
    <t>First Due</t>
  </si>
  <si>
    <t>End Date</t>
  </si>
  <si>
    <t>From Account</t>
  </si>
  <si>
    <t>Need Level</t>
  </si>
  <si>
    <t>Value Rating</t>
  </si>
  <si>
    <t>Last Paid Date</t>
  </si>
  <si>
    <t>Next Due</t>
  </si>
  <si>
    <t>Monthly Equivalent</t>
  </si>
  <si>
    <t>BILL-001</t>
  </si>
  <si>
    <t>Monthly</t>
  </si>
  <si>
    <t>On</t>
  </si>
  <si>
    <t>Medium</t>
  </si>
  <si>
    <t>Active</t>
  </si>
  <si>
    <t>Starter example</t>
  </si>
  <si>
    <t>BILL-002</t>
  </si>
  <si>
    <t>Spotify Student</t>
  </si>
  <si>
    <t>High</t>
  </si>
  <si>
    <t>BILL-003</t>
  </si>
  <si>
    <t>Cloud Storage</t>
  </si>
  <si>
    <t>BILL-004</t>
  </si>
  <si>
    <t>AI Tool Plan</t>
  </si>
  <si>
    <t>Off</t>
  </si>
  <si>
    <t>Low</t>
  </si>
  <si>
    <t>Paused</t>
  </si>
  <si>
    <t>BILL-005</t>
  </si>
  <si>
    <t>Recharge</t>
  </si>
  <si>
    <t>BILL-006</t>
  </si>
  <si>
    <t>BILL-007</t>
  </si>
  <si>
    <t>Mandatory</t>
  </si>
  <si>
    <t>BILL-008</t>
  </si>
  <si>
    <t>Semester Exam Fee</t>
  </si>
  <si>
    <t>College Fee</t>
  </si>
  <si>
    <t>Scheduled</t>
  </si>
  <si>
    <t>SEMESTER FINANCIAL PLANNER</t>
  </si>
  <si>
    <t>Semester date ranges are controlled centrally in SETTINGS.</t>
  </si>
  <si>
    <t>Actuals come from QUICK ENTRY; one-time plans remain in the specialized planner sheets.</t>
  </si>
  <si>
    <t>Start</t>
  </si>
  <si>
    <t>End</t>
  </si>
  <si>
    <t>Personal</t>
  </si>
  <si>
    <t>Cost / Month</t>
  </si>
  <si>
    <t>Selected Semester</t>
  </si>
  <si>
    <t>Total Semester Cost</t>
  </si>
  <si>
    <t>Cost Per Month</t>
  </si>
  <si>
    <t>Cost Per Day</t>
  </si>
  <si>
    <t>Academic Cost</t>
  </si>
  <si>
    <t>Living Cost</t>
  </si>
  <si>
    <t>Technology Cost</t>
  </si>
  <si>
    <t>Lifestyle Cost</t>
  </si>
  <si>
    <t>Expected Next-Semester Cost</t>
  </si>
  <si>
    <t>FIRST-YEAR COST FORECAST</t>
  </si>
  <si>
    <t>Budgeted, actual and projected cost of college using the central category plan and transaction history.</t>
  </si>
  <si>
    <t>Default / Month</t>
  </si>
  <si>
    <t>Annual Budget</t>
  </si>
  <si>
    <t>Actual YTD</t>
  </si>
  <si>
    <t>Projected Year</t>
  </si>
  <si>
    <t>Budgeted First-Year Cost</t>
  </si>
  <si>
    <t>Actual First-Year Cost</t>
  </si>
  <si>
    <t>Projected First-Year Cost</t>
  </si>
  <si>
    <t>MONTHLY FINANCIAL REPORT</t>
  </si>
  <si>
    <t>Print-friendly month close, reflection and formula-generated review. It follows the Dashboard selector.</t>
  </si>
  <si>
    <t>Executive Summary</t>
  </si>
  <si>
    <t>Top Spending Categories</t>
  </si>
  <si>
    <t>Month Status</t>
  </si>
  <si>
    <t>Open</t>
  </si>
  <si>
    <t>Rank</t>
  </si>
  <si>
    <t>Expenses</t>
  </si>
  <si>
    <t>Remaining Balance</t>
  </si>
  <si>
    <t>Budget Variance</t>
  </si>
  <si>
    <t>Savings Rate</t>
  </si>
  <si>
    <t>Largest Expense</t>
  </si>
  <si>
    <t>Highest Category</t>
  </si>
  <si>
    <t>Automated Review</t>
  </si>
  <si>
    <t>Average Daily Spend</t>
  </si>
  <si>
    <t>MoM Expense Change</t>
  </si>
  <si>
    <t>Financial Score</t>
  </si>
  <si>
    <t>Month Close Checklist</t>
  </si>
  <si>
    <t>Financial Journal</t>
  </si>
  <si>
    <t>All transactions entered</t>
  </si>
  <si>
    <t>What went well?</t>
  </si>
  <si>
    <t>Bank balance reconciled</t>
  </si>
  <si>
    <t>Where did I overspend?</t>
  </si>
  <si>
    <t>Cash reconciled</t>
  </si>
  <si>
    <t>What unexpected expense occurred?</t>
  </si>
  <si>
    <t>Refunds checked</t>
  </si>
  <si>
    <t>What should I improve next month?</t>
  </si>
  <si>
    <t>Borrowed/lent money checked</t>
  </si>
  <si>
    <t>Biggest financial lesson</t>
  </si>
  <si>
    <t>Bills paid</t>
  </si>
  <si>
    <t>Next month's priority</t>
  </si>
  <si>
    <t>Savings transferred</t>
  </si>
  <si>
    <t>Goals updated</t>
  </si>
  <si>
    <t>Subscriptions reviewed</t>
  </si>
  <si>
    <t>Unusual expenses reviewed</t>
  </si>
  <si>
    <t>Month marked complete</t>
  </si>
  <si>
    <t>ANNUAL SUMMARY</t>
  </si>
  <si>
    <t>January–December performance, cash carry-forward and year-end outlook for the dashboard planning year.</t>
  </si>
  <si>
    <t>Month #</t>
  </si>
  <si>
    <t>Surplus Before Savings</t>
  </si>
  <si>
    <t>Closing Balance</t>
  </si>
  <si>
    <t>Savings %</t>
  </si>
  <si>
    <t>MoM Expense %</t>
  </si>
  <si>
    <t>Score</t>
  </si>
  <si>
    <t>YEAR TOTAL</t>
  </si>
  <si>
    <t>MONTHLY AVERAGE</t>
  </si>
  <si>
    <t>SMART INSIGHTS &amp; FINANCIAL REPORT CARD</t>
  </si>
  <si>
    <t>Rule-based guidance updates automatically—no AI API or sensitive banking credentials required.</t>
  </si>
  <si>
    <t>Financial Score / 100</t>
  </si>
  <si>
    <t>Dynamic Recommendations</t>
  </si>
  <si>
    <t>Overall Score</t>
  </si>
  <si>
    <t>Grade</t>
  </si>
  <si>
    <t>Budget Discipline (30)</t>
  </si>
  <si>
    <t>Savings Score (25)</t>
  </si>
  <si>
    <t>Overspend Control (15)</t>
  </si>
  <si>
    <t>Emergency Readiness (10)</t>
  </si>
  <si>
    <t>Expense Quality (10)</t>
  </si>
  <si>
    <t>Data Health (10)</t>
  </si>
  <si>
    <t>Spending Behaviour</t>
  </si>
  <si>
    <t>System Health</t>
  </si>
  <si>
    <t>Weekday Spending</t>
  </si>
  <si>
    <t>Possible Duplicates</t>
  </si>
  <si>
    <t>Weekend Spending</t>
  </si>
  <si>
    <t>Missing / Invalid Fields</t>
  </si>
  <si>
    <t>Weekend vs Weekday</t>
  </si>
  <si>
    <t>Unusual Expenses</t>
  </si>
  <si>
    <t>Small Transaction Count</t>
  </si>
  <si>
    <t>Overdue Bills</t>
  </si>
  <si>
    <t>Small Transaction Total</t>
  </si>
  <si>
    <t>Unreconciled Accounts</t>
  </si>
  <si>
    <t>Impulse Spending</t>
  </si>
  <si>
    <t>Pending Refunds</t>
  </si>
  <si>
    <t>No-Spend Days (estimated)</t>
  </si>
  <si>
    <t>Overdue Loans</t>
  </si>
  <si>
    <t>Budget Categories Over</t>
  </si>
  <si>
    <t>Data Health Score</t>
  </si>
  <si>
    <t>SETTINGS &amp; MASTER LISTS</t>
  </si>
  <si>
    <t>Orange cells are editable. All formulas and dropdowns draw from this central control panel.</t>
  </si>
  <si>
    <t>Keyword</t>
  </si>
  <si>
    <t>Student &amp; Planning Profile</t>
  </si>
  <si>
    <t>Rules &amp; Thresholds</t>
  </si>
  <si>
    <t>swiggy</t>
  </si>
  <si>
    <t>Student Name</t>
  </si>
  <si>
    <t>Your Name</t>
  </si>
  <si>
    <t>Safe budget used up to</t>
  </si>
  <si>
    <t>zomato</t>
  </si>
  <si>
    <t>Watch budget used up to</t>
  </si>
  <si>
    <t>uber</t>
  </si>
  <si>
    <t>College Name</t>
  </si>
  <si>
    <t>Near-limit used up to</t>
  </si>
  <si>
    <t>ola ride</t>
  </si>
  <si>
    <t>B.Tech CSE</t>
  </si>
  <si>
    <t>Due-soon window (days)</t>
  </si>
  <si>
    <t>coursera</t>
  </si>
  <si>
    <t>Specialization</t>
  </si>
  <si>
    <t>AI &amp; Machine Learning</t>
  </si>
  <si>
    <t>Budget cut simulator</t>
  </si>
  <si>
    <t>udemy</t>
  </si>
  <si>
    <t>Savings Rule</t>
  </si>
  <si>
    <t>Percentage</t>
  </si>
  <si>
    <t>chatgpt</t>
  </si>
  <si>
    <t>Currency</t>
  </si>
  <si>
    <t>INR (₹)</t>
  </si>
  <si>
    <t>Fixed Savings Amount</t>
  </si>
  <si>
    <t>amazon</t>
  </si>
  <si>
    <t>Low Money Mode</t>
  </si>
  <si>
    <t>hostel mess</t>
  </si>
  <si>
    <t>Start Month</t>
  </si>
  <si>
    <t>Budget Mode</t>
  </si>
  <si>
    <t>Standard</t>
  </si>
  <si>
    <t>recharge</t>
  </si>
  <si>
    <t>Default Monthly Allowance</t>
  </si>
  <si>
    <t>Stable MoM band</t>
  </si>
  <si>
    <t>netflix</t>
  </si>
  <si>
    <t>Savings Target %</t>
  </si>
  <si>
    <t>spotify</t>
  </si>
  <si>
    <t>Demo Mode</t>
  </si>
  <si>
    <t>gym</t>
  </si>
  <si>
    <t>Minimum Safe Balance</t>
  </si>
  <si>
    <t>book</t>
  </si>
  <si>
    <t>Protected Buffer</t>
  </si>
  <si>
    <t>tuition</t>
  </si>
  <si>
    <t>Emergency Fund Target</t>
  </si>
  <si>
    <t>Unusual Expense Multiple</t>
  </si>
  <si>
    <t>Months</t>
  </si>
  <si>
    <t>Transaction Types</t>
  </si>
  <si>
    <t>Payment Methods</t>
  </si>
  <si>
    <t>Statuses</t>
  </si>
  <si>
    <t>Recurrence</t>
  </si>
  <si>
    <t>Semesters</t>
  </si>
  <si>
    <t>Priorities</t>
  </si>
  <si>
    <t>Accounts</t>
  </si>
  <si>
    <t>Income Sources</t>
  </si>
  <si>
    <t>Tags</t>
  </si>
  <si>
    <t>Subcategories</t>
  </si>
  <si>
    <t>Small Transaction Limit</t>
  </si>
  <si>
    <t>Extreme Expense Limit</t>
  </si>
  <si>
    <t>Semester 2</t>
  </si>
  <si>
    <t>Reconciliation Tolerance</t>
  </si>
  <si>
    <t>Friend</t>
  </si>
  <si>
    <t>Semester 1 Start</t>
  </si>
  <si>
    <t>Transfer In</t>
  </si>
  <si>
    <t>Overdue</t>
  </si>
  <si>
    <t>Priority 4</t>
  </si>
  <si>
    <t>Semester 1 End</t>
  </si>
  <si>
    <t>Transfer Out</t>
  </si>
  <si>
    <t>Received</t>
  </si>
  <si>
    <t>Priority 5</t>
  </si>
  <si>
    <t>Employer</t>
  </si>
  <si>
    <t>Semester 2 Start</t>
  </si>
  <si>
    <t>Partially Paid</t>
  </si>
  <si>
    <t>Semester 2 End</t>
  </si>
  <si>
    <t>Settled</t>
  </si>
  <si>
    <t>Default Dashboard Month</t>
  </si>
  <si>
    <t>Borrowing</t>
  </si>
  <si>
    <t>Cancelled</t>
  </si>
  <si>
    <t>Default Semester</t>
  </si>
  <si>
    <t>Repayment</t>
  </si>
  <si>
    <t>Parents Paid Directly</t>
  </si>
  <si>
    <t>Under Review</t>
  </si>
  <si>
    <t>BHIM</t>
  </si>
  <si>
    <t>Default Monthly Budget</t>
  </si>
  <si>
    <t>Default Essentiality</t>
  </si>
  <si>
    <t>Other UPI</t>
  </si>
  <si>
    <t>Tuition and institutional fees</t>
  </si>
  <si>
    <t>Living</t>
  </si>
  <si>
    <t>Hostel, mess and utilities</t>
  </si>
  <si>
    <t>Meals, groceries and delivery</t>
  </si>
  <si>
    <t>Commute and local travel</t>
  </si>
  <si>
    <t>Hardware, software and cloud</t>
  </si>
  <si>
    <t>Courses and certifications</t>
  </si>
  <si>
    <t>Books, printing and supplies</t>
  </si>
  <si>
    <t>Lifestyle</t>
  </si>
  <si>
    <t>Non-Essential</t>
  </si>
  <si>
    <t>OTT, music, software</t>
  </si>
  <si>
    <t>Recharge and data</t>
  </si>
  <si>
    <t>Grooming and toiletries</t>
  </si>
  <si>
    <t>Clothing</t>
  </si>
  <si>
    <t>Clothing and shoes</t>
  </si>
  <si>
    <t>Movies, gaming and outings</t>
  </si>
  <si>
    <t>Shopping</t>
  </si>
  <si>
    <t>Trips home and holidays</t>
  </si>
  <si>
    <t>Gym, sports and healthcare</t>
  </si>
  <si>
    <t>Shopping, gifts and festivals</t>
  </si>
  <si>
    <t>Unexpected urgent costs</t>
  </si>
  <si>
    <t>Savings transfers only</t>
  </si>
  <si>
    <t>Unclassified costs</t>
  </si>
  <si>
    <t>Shared Expenses</t>
  </si>
  <si>
    <t>Your share of group bills</t>
  </si>
  <si>
    <t>Career</t>
  </si>
  <si>
    <t>Internship and portfolio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</si>
</sst>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-4009]#,##0;[Red]\-[$₹-4009]#,##0;\–"/>
    <numFmt numFmtId="165" formatCode="dd\-mmm\-yyyy"/>
    <numFmt numFmtId="166" formatCode="0&quot; / 100&quot;"/>
    <numFmt numFmtId="167" formatCode="0.0&quot;×&quot;"/>
  </numFmts>
  <fonts count="21">
    <font>
      <sz val="11"/>
      <name val="Carlito"/>
    </font>
    <font>
      <b/>
      <sz val="11"/>
      <color rgb="FFFFFFFF"/>
      <name val="Aptos Display"/>
    </font>
    <font>
      <i/>
      <sz val="11"/>
      <color rgb="FF64748B"/>
      <name val="Carlito"/>
    </font>
    <font>
      <b/>
      <sz val="11"/>
      <color rgb="FFFFFFFF"/>
      <name val="Carlito"/>
    </font>
    <font>
      <sz val="11"/>
      <color rgb="FF0F172A"/>
      <name val="Aptos"/>
    </font>
    <font>
      <b/>
      <sz val="11"/>
      <color rgb="FF1E293B"/>
      <name val="Aptos"/>
    </font>
    <font>
      <b/>
      <i/>
      <sz val="11"/>
      <color rgb="FFFFFFFF"/>
      <name val="Carlito"/>
    </font>
    <font>
      <b/>
      <sz val="11"/>
      <color rgb="FF1E293B"/>
      <name val="Carlito"/>
    </font>
    <font>
      <sz val="11"/>
      <color rgb="FF64748B"/>
      <name val="Carlito"/>
    </font>
    <font>
      <sz val="11"/>
      <color rgb="FF78350F"/>
      <name val="Carlito"/>
    </font>
    <font>
      <sz val="11"/>
      <color rgb="FF1E293B"/>
      <name val="Aptos"/>
    </font>
    <font>
      <i/>
      <sz val="11"/>
      <color rgb="FF1E293B"/>
      <name val="Carlito"/>
    </font>
    <font>
      <b/>
      <sz val="11"/>
      <color rgb="FF2563EB"/>
      <name val="Carlito"/>
    </font>
    <font>
      <b/>
      <i/>
      <sz val="11"/>
      <color rgb="FF1E293B"/>
      <name val="Carlito"/>
    </font>
    <font>
      <b/>
      <i/>
      <sz val="11"/>
      <color rgb="FF64748B"/>
      <name val="Carlito"/>
    </font>
    <font>
      <b/>
      <sz val="11"/>
      <color rgb="FF64748B"/>
      <name val="Carlito"/>
    </font>
    <font>
      <b/>
      <sz val="11"/>
      <color rgb="FF0F172A"/>
      <name val="Carlito"/>
    </font>
    <font>
      <sz val="11"/>
      <color rgb="FF1E293B"/>
      <name val="Carlito"/>
    </font>
    <font>
      <sz val="11"/>
      <color rgb="FF0F172A"/>
      <name val="Carlito"/>
    </font>
    <font>
      <b/>
      <sz val="11"/>
      <color rgb="FFFFFFFF"/>
      <name val="Aptos"/>
    </font>
    <font>
      <b/>
      <sz val="11"/>
      <color rgb="FF78350F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FFF7ED"/>
      </patternFill>
    </fill>
    <fill>
      <patternFill patternType="solid">
        <fgColor rgb="FF8B5CF6"/>
      </patternFill>
    </fill>
    <fill>
      <patternFill patternType="solid">
        <fgColor rgb="FF14B8A6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59E0B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F4444"/>
      </patternFill>
    </fill>
    <fill>
      <patternFill patternType="solid">
        <fgColor rgb="FF22C55E"/>
      </patternFill>
    </fill>
  </fills>
  <borders count="118">
    <border>
      <left/>
      <right/>
      <top/>
      <bottom/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/>
      <right style="thin">
        <color rgb="FF8B5CF6"/>
      </right>
      <top style="thin">
        <color rgb="FF8B5CF6"/>
      </top>
      <bottom style="thin">
        <color rgb="FF8B5CF6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14B8A6"/>
      </left>
      <right/>
      <top style="thin">
        <color rgb="FF14B8A6"/>
      </top>
      <bottom style="thin">
        <color rgb="FF14B8A6"/>
      </bottom>
      <diagonal/>
    </border>
    <border>
      <left/>
      <right/>
      <top style="thin">
        <color rgb="FF14B8A6"/>
      </top>
      <bottom style="thin">
        <color rgb="FF14B8A6"/>
      </bottom>
      <diagonal/>
    </border>
    <border>
      <left/>
      <right style="thin">
        <color rgb="FF14B8A6"/>
      </right>
      <top style="thin">
        <color rgb="FF14B8A6"/>
      </top>
      <bottom style="thin">
        <color rgb="FF14B8A6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8B5CF6"/>
      </top>
      <bottom style="thin">
        <color rgb="FF8B5C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/>
      <top/>
      <bottom/>
      <diagonal/>
    </border>
    <border>
      <left/>
      <right style="thin">
        <color rgb="FFF59E0B"/>
      </right>
      <top/>
      <bottom/>
      <diagonal/>
    </border>
    <border>
      <left style="thin">
        <color rgb="FFF59E0B"/>
      </left>
      <right/>
      <top/>
      <bottom style="thin">
        <color rgb="FFF59E0B"/>
      </bottom>
      <diagonal/>
    </border>
    <border>
      <left/>
      <right/>
      <top/>
      <bottom style="thin">
        <color rgb="FFF59E0B"/>
      </bottom>
      <diagonal/>
    </border>
    <border>
      <left/>
      <right style="thin">
        <color rgb="FFF59E0B"/>
      </right>
      <top/>
      <bottom style="thin">
        <color rgb="FFF59E0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 style="medium">
        <color rgb="FF2563EB"/>
      </left>
      <right/>
      <top style="medium">
        <color rgb="FF2563EB"/>
      </top>
      <bottom/>
      <diagonal/>
    </border>
    <border>
      <left/>
      <right/>
      <top style="medium">
        <color rgb="FF2563EB"/>
      </top>
      <bottom/>
      <diagonal/>
    </border>
    <border>
      <left/>
      <right style="medium">
        <color rgb="FF2563EB"/>
      </right>
      <top style="medium">
        <color rgb="FF2563EB"/>
      </top>
      <bottom/>
      <diagonal/>
    </border>
    <border>
      <left style="medium">
        <color rgb="FF2563EB"/>
      </left>
      <right/>
      <top/>
      <bottom/>
      <diagonal/>
    </border>
    <border>
      <left/>
      <right style="medium">
        <color rgb="FF2563EB"/>
      </right>
      <top/>
      <bottom/>
      <diagonal/>
    </border>
    <border>
      <left style="medium">
        <color rgb="FF2563EB"/>
      </left>
      <right/>
      <top/>
      <bottom style="medium">
        <color rgb="FF2563EB"/>
      </bottom>
      <diagonal/>
    </border>
    <border>
      <left/>
      <right/>
      <top/>
      <bottom style="medium">
        <color rgb="FF2563EB"/>
      </bottom>
      <diagonal/>
    </border>
    <border>
      <left/>
      <right style="medium">
        <color rgb="FF2563EB"/>
      </right>
      <top/>
      <bottom style="medium">
        <color rgb="FF2563EB"/>
      </bottom>
      <diagonal/>
    </border>
    <border>
      <left style="medium">
        <color rgb="FF0F172A"/>
      </left>
      <right/>
      <top style="medium">
        <color rgb="FF0F172A"/>
      </top>
      <bottom style="medium">
        <color rgb="FF0F172A"/>
      </bottom>
      <diagonal/>
    </border>
    <border>
      <left/>
      <right/>
      <top style="medium">
        <color rgb="FF0F172A"/>
      </top>
      <bottom style="medium">
        <color rgb="FF0F172A"/>
      </bottom>
      <diagonal/>
    </border>
    <border>
      <left/>
      <right style="medium">
        <color rgb="FF0F172A"/>
      </right>
      <top style="medium">
        <color rgb="FF0F172A"/>
      </top>
      <bottom style="medium">
        <color rgb="FF0F172A"/>
      </bottom>
      <diagonal/>
    </border>
    <border>
      <left/>
      <right style="thin">
        <color rgb="FF14B8A6"/>
      </right>
      <top style="thin">
        <color rgb="FF8B5CF6"/>
      </top>
      <bottom style="thin">
        <color rgb="FF8B5CF6"/>
      </bottom>
      <diagonal/>
    </border>
    <border>
      <left style="medium">
        <color rgb="FFF59E0B"/>
      </left>
      <right/>
      <top style="medium">
        <color rgb="FFF59E0B"/>
      </top>
      <bottom/>
      <diagonal/>
    </border>
    <border>
      <left/>
      <right style="medium">
        <color rgb="FFF59E0B"/>
      </right>
      <top style="medium">
        <color rgb="FFF59E0B"/>
      </top>
      <bottom/>
      <diagonal/>
    </border>
    <border>
      <left style="medium">
        <color rgb="FFF59E0B"/>
      </left>
      <right/>
      <top/>
      <bottom style="medium">
        <color rgb="FFF59E0B"/>
      </bottom>
      <diagonal/>
    </border>
    <border>
      <left/>
      <right style="medium">
        <color rgb="FFF59E0B"/>
      </right>
      <top/>
      <bottom style="medium">
        <color rgb="FFF59E0B"/>
      </bottom>
      <diagonal/>
    </border>
    <border>
      <left style="medium">
        <color rgb="FF14B8A6"/>
      </left>
      <right/>
      <top style="medium">
        <color rgb="FF14B8A6"/>
      </top>
      <bottom/>
      <diagonal/>
    </border>
    <border>
      <left/>
      <right/>
      <top style="medium">
        <color rgb="FF14B8A6"/>
      </top>
      <bottom/>
      <diagonal/>
    </border>
    <border>
      <left/>
      <right style="medium">
        <color rgb="FF14B8A6"/>
      </right>
      <top style="medium">
        <color rgb="FF14B8A6"/>
      </top>
      <bottom/>
      <diagonal/>
    </border>
    <border>
      <left style="medium">
        <color rgb="FF14B8A6"/>
      </left>
      <right/>
      <top/>
      <bottom/>
      <diagonal/>
    </border>
    <border>
      <left/>
      <right style="medium">
        <color rgb="FF14B8A6"/>
      </right>
      <top/>
      <bottom/>
      <diagonal/>
    </border>
    <border>
      <left style="medium">
        <color rgb="FF14B8A6"/>
      </left>
      <right/>
      <top/>
      <bottom style="medium">
        <color rgb="FF14B8A6"/>
      </bottom>
      <diagonal/>
    </border>
    <border>
      <left/>
      <right/>
      <top/>
      <bottom style="medium">
        <color rgb="FF14B8A6"/>
      </bottom>
      <diagonal/>
    </border>
    <border>
      <left/>
      <right style="medium">
        <color rgb="FF14B8A6"/>
      </right>
      <top/>
      <bottom style="medium">
        <color rgb="FF14B8A6"/>
      </bottom>
      <diagonal/>
    </border>
    <border>
      <left style="medium">
        <color rgb="FFEF4444"/>
      </left>
      <right/>
      <top style="medium">
        <color rgb="FFEF4444"/>
      </top>
      <bottom/>
      <diagonal/>
    </border>
    <border>
      <left/>
      <right/>
      <top style="medium">
        <color rgb="FFEF4444"/>
      </top>
      <bottom/>
      <diagonal/>
    </border>
    <border>
      <left/>
      <right style="medium">
        <color rgb="FFEF4444"/>
      </right>
      <top style="medium">
        <color rgb="FFEF4444"/>
      </top>
      <bottom/>
      <diagonal/>
    </border>
    <border>
      <left style="medium">
        <color rgb="FFEF4444"/>
      </left>
      <right/>
      <top/>
      <bottom/>
      <diagonal/>
    </border>
    <border>
      <left/>
      <right style="medium">
        <color rgb="FFEF4444"/>
      </right>
      <top/>
      <bottom/>
      <diagonal/>
    </border>
    <border>
      <left style="medium">
        <color rgb="FFEF4444"/>
      </left>
      <right/>
      <top/>
      <bottom style="medium">
        <color rgb="FFEF4444"/>
      </bottom>
      <diagonal/>
    </border>
    <border>
      <left/>
      <right/>
      <top/>
      <bottom style="medium">
        <color rgb="FFEF4444"/>
      </bottom>
      <diagonal/>
    </border>
    <border>
      <left/>
      <right style="medium">
        <color rgb="FFEF4444"/>
      </right>
      <top/>
      <bottom style="medium">
        <color rgb="FFEF4444"/>
      </bottom>
      <diagonal/>
    </border>
    <border>
      <left style="medium">
        <color rgb="FF8B5CF6"/>
      </left>
      <right/>
      <top style="medium">
        <color rgb="FF8B5CF6"/>
      </top>
      <bottom/>
      <diagonal/>
    </border>
    <border>
      <left/>
      <right/>
      <top style="medium">
        <color rgb="FF8B5CF6"/>
      </top>
      <bottom/>
      <diagonal/>
    </border>
    <border>
      <left/>
      <right style="medium">
        <color rgb="FF8B5CF6"/>
      </right>
      <top style="medium">
        <color rgb="FF8B5CF6"/>
      </top>
      <bottom/>
      <diagonal/>
    </border>
    <border>
      <left style="medium">
        <color rgb="FF8B5CF6"/>
      </left>
      <right/>
      <top/>
      <bottom/>
      <diagonal/>
    </border>
    <border>
      <left/>
      <right style="medium">
        <color rgb="FF8B5CF6"/>
      </right>
      <top/>
      <bottom/>
      <diagonal/>
    </border>
    <border>
      <left style="medium">
        <color rgb="FF8B5CF6"/>
      </left>
      <right/>
      <top/>
      <bottom style="medium">
        <color rgb="FF8B5CF6"/>
      </bottom>
      <diagonal/>
    </border>
    <border>
      <left/>
      <right/>
      <top/>
      <bottom style="medium">
        <color rgb="FF8B5CF6"/>
      </bottom>
      <diagonal/>
    </border>
    <border>
      <left/>
      <right style="medium">
        <color rgb="FF8B5CF6"/>
      </right>
      <top/>
      <bottom style="medium">
        <color rgb="FF8B5CF6"/>
      </bottom>
      <diagonal/>
    </border>
    <border>
      <left/>
      <right/>
      <top style="medium">
        <color rgb="FFF59E0B"/>
      </top>
      <bottom/>
      <diagonal/>
    </border>
    <border>
      <left style="medium">
        <color rgb="FFF59E0B"/>
      </left>
      <right/>
      <top/>
      <bottom/>
      <diagonal/>
    </border>
    <border>
      <left/>
      <right style="medium">
        <color rgb="FFF59E0B"/>
      </right>
      <top/>
      <bottom/>
      <diagonal/>
    </border>
    <border>
      <left/>
      <right/>
      <top/>
      <bottom style="medium">
        <color rgb="FFF59E0B"/>
      </bottom>
      <diagonal/>
    </border>
    <border>
      <left style="medium">
        <color rgb="FF22C55E"/>
      </left>
      <right/>
      <top style="medium">
        <color rgb="FF22C55E"/>
      </top>
      <bottom/>
      <diagonal/>
    </border>
    <border>
      <left/>
      <right/>
      <top style="medium">
        <color rgb="FF22C55E"/>
      </top>
      <bottom/>
      <diagonal/>
    </border>
    <border>
      <left/>
      <right style="medium">
        <color rgb="FF22C55E"/>
      </right>
      <top style="medium">
        <color rgb="FF22C55E"/>
      </top>
      <bottom/>
      <diagonal/>
    </border>
    <border>
      <left style="medium">
        <color rgb="FF22C55E"/>
      </left>
      <right/>
      <top/>
      <bottom/>
      <diagonal/>
    </border>
    <border>
      <left/>
      <right style="medium">
        <color rgb="FF22C55E"/>
      </right>
      <top/>
      <bottom/>
      <diagonal/>
    </border>
    <border>
      <left style="medium">
        <color rgb="FF22C55E"/>
      </left>
      <right/>
      <top/>
      <bottom style="medium">
        <color rgb="FF22C55E"/>
      </bottom>
      <diagonal/>
    </border>
    <border>
      <left/>
      <right/>
      <top/>
      <bottom style="medium">
        <color rgb="FF22C55E"/>
      </bottom>
      <diagonal/>
    </border>
    <border>
      <left/>
      <right style="medium">
        <color rgb="FF22C55E"/>
      </right>
      <top/>
      <bottom style="medium">
        <color rgb="FF22C55E"/>
      </bottom>
      <diagonal/>
    </border>
    <border>
      <left style="medium">
        <color rgb="FF0F172A"/>
      </left>
      <right/>
      <top style="medium">
        <color rgb="FF0F172A"/>
      </top>
      <bottom/>
      <diagonal/>
    </border>
    <border>
      <left/>
      <right/>
      <top style="medium">
        <color rgb="FF0F172A"/>
      </top>
      <bottom/>
      <diagonal/>
    </border>
    <border>
      <left/>
      <right style="medium">
        <color rgb="FF0F172A"/>
      </right>
      <top style="medium">
        <color rgb="FF0F172A"/>
      </top>
      <bottom/>
      <diagonal/>
    </border>
    <border>
      <left style="medium">
        <color rgb="FF0F172A"/>
      </left>
      <right/>
      <top/>
      <bottom/>
      <diagonal/>
    </border>
    <border>
      <left/>
      <right style="medium">
        <color rgb="FF0F172A"/>
      </right>
      <top/>
      <bottom/>
      <diagonal/>
    </border>
    <border>
      <left style="medium">
        <color rgb="FF0F172A"/>
      </left>
      <right/>
      <top/>
      <bottom style="medium">
        <color rgb="FF0F172A"/>
      </bottom>
      <diagonal/>
    </border>
    <border>
      <left/>
      <right/>
      <top/>
      <bottom style="medium">
        <color rgb="FF0F172A"/>
      </bottom>
      <diagonal/>
    </border>
    <border>
      <left/>
      <right style="medium">
        <color rgb="FF0F172A"/>
      </right>
      <top/>
      <bottom style="medium">
        <color rgb="FF0F172A"/>
      </bottom>
      <diagonal/>
    </border>
    <border>
      <left style="thin">
        <color rgb="FF2563EB"/>
      </left>
      <right/>
      <top style="thin">
        <color rgb="FF2563EB"/>
      </top>
      <bottom/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2563EB"/>
      </left>
      <right/>
      <top/>
      <bottom style="thin">
        <color rgb="FF2563EB"/>
      </bottom>
      <diagonal/>
    </border>
    <border>
      <left/>
      <right/>
      <top/>
      <bottom style="thin">
        <color rgb="FF2563EB"/>
      </bottom>
      <diagonal/>
    </border>
    <border>
      <left/>
      <right style="thin">
        <color rgb="FF2563EB"/>
      </right>
      <top/>
      <bottom style="thin">
        <color rgb="FF2563EB"/>
      </bottom>
      <diagonal/>
    </border>
    <border>
      <left/>
      <right style="thin">
        <color rgb="FF2563EB"/>
      </right>
      <top style="thin">
        <color rgb="FF8B5CF6"/>
      </top>
      <bottom style="thin">
        <color rgb="FF8B5CF6"/>
      </bottom>
      <diagonal/>
    </border>
    <border>
      <left style="thin">
        <color rgb="FFEF4444"/>
      </left>
      <right/>
      <top style="thin">
        <color rgb="FFEF4444"/>
      </top>
      <bottom style="thin">
        <color rgb="FFEF4444"/>
      </bottom>
      <diagonal/>
    </border>
    <border>
      <left/>
      <right/>
      <top style="thin">
        <color rgb="FFEF4444"/>
      </top>
      <bottom style="thin">
        <color rgb="FFEF4444"/>
      </bottom>
      <diagonal/>
    </border>
    <border>
      <left/>
      <right style="thin">
        <color rgb="FFEF4444"/>
      </right>
      <top style="thin">
        <color rgb="FFEF4444"/>
      </top>
      <bottom style="thin">
        <color rgb="FFEF4444"/>
      </bottom>
      <diagonal/>
    </border>
    <border>
      <left/>
      <right/>
      <top/>
      <bottom style="thin">
        <color rgb="FF64748B"/>
      </bottom>
      <diagonal/>
    </border>
    <border>
      <left/>
      <right/>
      <top style="thin">
        <color rgb="FF64748B"/>
      </top>
      <bottom/>
      <diagonal/>
    </border>
    <border>
      <left/>
      <right/>
      <top style="thin">
        <color rgb="FF64748B"/>
      </top>
      <bottom style="thin">
        <color rgb="FF64748B"/>
      </bottom>
      <diagonal/>
    </border>
    <border>
      <left/>
      <right style="thin">
        <color rgb="FF8B5CF6"/>
      </right>
      <top style="thin">
        <color rgb="FFEF4444"/>
      </top>
      <bottom style="thin">
        <color rgb="FFEF4444"/>
      </bottom>
      <diagonal/>
    </border>
    <border>
      <left style="thin">
        <color rgb="FF14B8A6"/>
      </left>
      <right style="thin">
        <color rgb="FF2563EB"/>
      </right>
      <top style="thin">
        <color rgb="FF14B8A6"/>
      </top>
      <bottom style="thin">
        <color rgb="FF14B8A6"/>
      </bottom>
      <diagonal/>
    </border>
    <border>
      <left/>
      <right style="thin">
        <color rgb="FFF59E0B"/>
      </right>
      <top style="thin">
        <color rgb="FF14B8A6"/>
      </top>
      <bottom style="thin">
        <color rgb="FF14B8A6"/>
      </bottom>
      <diagonal/>
    </border>
    <border>
      <left style="medium">
        <color rgb="FF14B8A6"/>
      </left>
      <right/>
      <top style="medium">
        <color rgb="FF14B8A6"/>
      </top>
      <bottom style="medium">
        <color rgb="FF14B8A6"/>
      </bottom>
      <diagonal/>
    </border>
    <border>
      <left/>
      <right style="medium">
        <color rgb="FF14B8A6"/>
      </right>
      <top style="medium">
        <color rgb="FF14B8A6"/>
      </top>
      <bottom style="medium">
        <color rgb="FF14B8A6"/>
      </bottom>
      <diagonal/>
    </border>
    <border>
      <left style="medium">
        <color rgb="FFF59E0B"/>
      </left>
      <right/>
      <top style="medium">
        <color rgb="FFF59E0B"/>
      </top>
      <bottom style="medium">
        <color rgb="FFF59E0B"/>
      </bottom>
      <diagonal/>
    </border>
    <border>
      <left/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2563EB"/>
      </left>
      <right/>
      <top style="medium">
        <color rgb="FF2563EB"/>
      </top>
      <bottom style="medium">
        <color rgb="FF2563EB"/>
      </bottom>
      <diagonal/>
    </border>
    <border>
      <left/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medium">
        <color rgb="FF8B5CF6"/>
      </left>
      <right/>
      <top style="medium">
        <color rgb="FF8B5CF6"/>
      </top>
      <bottom style="medium">
        <color rgb="FF8B5CF6"/>
      </bottom>
      <diagonal/>
    </border>
    <border>
      <left/>
      <right style="medium">
        <color rgb="FF8B5CF6"/>
      </right>
      <top style="medium">
        <color rgb="FF8B5CF6"/>
      </top>
      <bottom style="medium">
        <color rgb="FF8B5CF6"/>
      </bottom>
      <diagonal/>
    </border>
    <border>
      <left style="medium">
        <color rgb="FFEF4444"/>
      </left>
      <right/>
      <top style="medium">
        <color rgb="FFEF4444"/>
      </top>
      <bottom style="medium">
        <color rgb="FFEF4444"/>
      </bottom>
      <diagonal/>
    </border>
    <border>
      <left/>
      <right style="medium">
        <color rgb="FFEF4444"/>
      </right>
      <top style="medium">
        <color rgb="FFEF4444"/>
      </top>
      <bottom style="medium">
        <color rgb="FFEF4444"/>
      </bottom>
      <diagonal/>
    </border>
    <border>
      <left/>
      <right/>
      <top style="medium">
        <color rgb="FF8B5CF6"/>
      </top>
      <bottom style="medium">
        <color rgb="FF8B5CF6"/>
      </bottom>
      <diagonal/>
    </border>
    <border>
      <left style="thin">
        <color rgb="FF8B5CF6"/>
      </left>
      <right style="thin">
        <color rgb="FF2563EB"/>
      </right>
      <top style="thin">
        <color rgb="FF8B5CF6"/>
      </top>
      <bottom style="thin">
        <color rgb="FF8B5CF6"/>
      </bottom>
      <diagonal/>
    </border>
  </borders>
  <cellStyleXfs count="1">
    <xf numFmtId="0" fontId="0" fillId="0" borderId="0"/>
  </cellStyleXfs>
  <cellXfs count="307">
    <xf numFmtId="0" fontId="0" fillId="0" borderId="0" xfId="0"/>
    <xf numFmtId="0" fontId="2" fillId="0" borderId="0" xfId="0" applyFont="1"/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9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9" fontId="4" fillId="4" borderId="3" xfId="0" applyNumberFormat="1" applyFont="1" applyFill="1" applyBorder="1" applyAlignment="1">
      <alignment vertical="center"/>
    </xf>
    <xf numFmtId="9" fontId="4" fillId="4" borderId="5" xfId="0" applyNumberFormat="1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vertical="center"/>
    </xf>
    <xf numFmtId="164" fontId="4" fillId="4" borderId="5" xfId="0" applyNumberFormat="1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horizontal="center"/>
    </xf>
    <xf numFmtId="0" fontId="7" fillId="0" borderId="14" xfId="0" applyFont="1" applyBorder="1"/>
    <xf numFmtId="0" fontId="3" fillId="3" borderId="15" xfId="0" applyFont="1" applyFill="1" applyBorder="1" applyAlignment="1">
      <alignment horizontal="center"/>
    </xf>
    <xf numFmtId="0" fontId="7" fillId="0" borderId="15" xfId="0" applyFont="1" applyBorder="1"/>
    <xf numFmtId="0" fontId="3" fillId="3" borderId="16" xfId="0" applyFont="1" applyFill="1" applyBorder="1" applyAlignment="1">
      <alignment horizontal="center"/>
    </xf>
    <xf numFmtId="0" fontId="7" fillId="0" borderId="16" xfId="0" applyFont="1" applyBorder="1"/>
    <xf numFmtId="0" fontId="3" fillId="5" borderId="17" xfId="0" applyFont="1" applyFill="1" applyBorder="1" applyAlignment="1">
      <alignment vertical="center"/>
    </xf>
    <xf numFmtId="0" fontId="4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vertical="center"/>
    </xf>
    <xf numFmtId="0" fontId="4" fillId="10" borderId="5" xfId="0" applyFont="1" applyFill="1" applyBorder="1" applyAlignment="1">
      <alignment vertical="center"/>
    </xf>
    <xf numFmtId="0" fontId="3" fillId="11" borderId="8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vertical="center"/>
    </xf>
    <xf numFmtId="0" fontId="10" fillId="8" borderId="4" xfId="0" applyFont="1" applyFill="1" applyBorder="1" applyAlignment="1">
      <alignment vertical="center"/>
    </xf>
    <xf numFmtId="0" fontId="10" fillId="8" borderId="5" xfId="0" applyFont="1" applyFill="1" applyBorder="1" applyAlignment="1">
      <alignment vertical="center"/>
    </xf>
    <xf numFmtId="165" fontId="4" fillId="4" borderId="3" xfId="0" applyNumberFormat="1" applyFont="1" applyFill="1" applyBorder="1" applyAlignment="1">
      <alignment vertical="center"/>
    </xf>
    <xf numFmtId="165" fontId="4" fillId="4" borderId="5" xfId="0" applyNumberFormat="1" applyFont="1" applyFill="1" applyBorder="1" applyAlignment="1">
      <alignment vertical="center"/>
    </xf>
    <xf numFmtId="0" fontId="10" fillId="8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0" fillId="8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165" fontId="10" fillId="8" borderId="3" xfId="0" applyNumberFormat="1" applyFont="1" applyFill="1" applyBorder="1" applyAlignment="1">
      <alignment vertical="center"/>
    </xf>
    <xf numFmtId="165" fontId="10" fillId="8" borderId="4" xfId="0" applyNumberFormat="1" applyFont="1" applyFill="1" applyBorder="1" applyAlignment="1">
      <alignment vertical="center"/>
    </xf>
    <xf numFmtId="165" fontId="10" fillId="8" borderId="5" xfId="0" applyNumberFormat="1" applyFont="1" applyFill="1" applyBorder="1" applyAlignment="1">
      <alignment vertical="center"/>
    </xf>
    <xf numFmtId="164" fontId="10" fillId="8" borderId="3" xfId="0" applyNumberFormat="1" applyFont="1" applyFill="1" applyBorder="1" applyAlignment="1">
      <alignment vertical="center"/>
    </xf>
    <xf numFmtId="164" fontId="10" fillId="8" borderId="4" xfId="0" applyNumberFormat="1" applyFont="1" applyFill="1" applyBorder="1" applyAlignment="1">
      <alignment vertical="center"/>
    </xf>
    <xf numFmtId="164" fontId="10" fillId="8" borderId="5" xfId="0" applyNumberFormat="1" applyFont="1" applyFill="1" applyBorder="1" applyAlignment="1">
      <alignment vertical="center"/>
    </xf>
    <xf numFmtId="9" fontId="10" fillId="8" borderId="3" xfId="0" applyNumberFormat="1" applyFont="1" applyFill="1" applyBorder="1" applyAlignment="1">
      <alignment vertical="center"/>
    </xf>
    <xf numFmtId="9" fontId="10" fillId="8" borderId="4" xfId="0" applyNumberFormat="1" applyFont="1" applyFill="1" applyBorder="1" applyAlignment="1">
      <alignment vertical="center"/>
    </xf>
    <xf numFmtId="9" fontId="10" fillId="8" borderId="5" xfId="0" applyNumberFormat="1" applyFont="1" applyFill="1" applyBorder="1" applyAlignment="1">
      <alignment vertical="center"/>
    </xf>
    <xf numFmtId="0" fontId="3" fillId="7" borderId="40" xfId="0" applyFont="1" applyFill="1" applyBorder="1"/>
    <xf numFmtId="164" fontId="3" fillId="7" borderId="39" xfId="0" applyNumberFormat="1" applyFont="1" applyFill="1" applyBorder="1"/>
    <xf numFmtId="9" fontId="3" fillId="7" borderId="39" xfId="0" applyNumberFormat="1" applyFont="1" applyFill="1" applyBorder="1"/>
    <xf numFmtId="0" fontId="5" fillId="13" borderId="3" xfId="0" applyFont="1" applyFill="1" applyBorder="1" applyAlignment="1">
      <alignment vertical="center"/>
    </xf>
    <xf numFmtId="0" fontId="5" fillId="13" borderId="4" xfId="0" applyFont="1" applyFill="1" applyBorder="1" applyAlignment="1">
      <alignment vertical="center"/>
    </xf>
    <xf numFmtId="0" fontId="5" fillId="13" borderId="5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9" fontId="4" fillId="0" borderId="3" xfId="0" applyNumberFormat="1" applyFont="1" applyBorder="1" applyAlignment="1">
      <alignment vertical="center"/>
    </xf>
    <xf numFmtId="9" fontId="4" fillId="0" borderId="4" xfId="0" applyNumberFormat="1" applyFont="1" applyBorder="1" applyAlignment="1">
      <alignment vertical="center"/>
    </xf>
    <xf numFmtId="9" fontId="4" fillId="0" borderId="5" xfId="0" applyNumberFormat="1" applyFont="1" applyBorder="1" applyAlignment="1">
      <alignment vertical="center"/>
    </xf>
    <xf numFmtId="0" fontId="3" fillId="7" borderId="14" xfId="0" applyFont="1" applyFill="1" applyBorder="1"/>
    <xf numFmtId="0" fontId="3" fillId="7" borderId="15" xfId="0" applyFont="1" applyFill="1" applyBorder="1"/>
    <xf numFmtId="0" fontId="3" fillId="7" borderId="16" xfId="0" applyFont="1" applyFill="1" applyBorder="1"/>
    <xf numFmtId="0" fontId="17" fillId="8" borderId="0" xfId="0" applyFont="1" applyFill="1"/>
    <xf numFmtId="0" fontId="18" fillId="4" borderId="0" xfId="0" applyFont="1" applyFill="1"/>
    <xf numFmtId="164" fontId="17" fillId="8" borderId="0" xfId="0" applyNumberFormat="1" applyFont="1" applyFill="1"/>
    <xf numFmtId="164" fontId="18" fillId="4" borderId="0" xfId="0" applyNumberFormat="1" applyFont="1" applyFill="1"/>
    <xf numFmtId="9" fontId="17" fillId="8" borderId="0" xfId="0" applyNumberFormat="1" applyFont="1" applyFill="1"/>
    <xf numFmtId="0" fontId="3" fillId="15" borderId="98" xfId="0" applyFont="1" applyFill="1" applyBorder="1" applyAlignment="1">
      <alignment vertical="center"/>
    </xf>
    <xf numFmtId="0" fontId="3" fillId="15" borderId="99" xfId="0" applyFont="1" applyFill="1" applyBorder="1" applyAlignment="1">
      <alignment vertical="center"/>
    </xf>
    <xf numFmtId="0" fontId="3" fillId="7" borderId="100" xfId="0" applyFont="1" applyFill="1" applyBorder="1"/>
    <xf numFmtId="0" fontId="3" fillId="7" borderId="101" xfId="0" applyFont="1" applyFill="1" applyBorder="1"/>
    <xf numFmtId="164" fontId="3" fillId="7" borderId="100" xfId="0" applyNumberFormat="1" applyFont="1" applyFill="1" applyBorder="1"/>
    <xf numFmtId="164" fontId="3" fillId="7" borderId="101" xfId="0" applyNumberFormat="1" applyFont="1" applyFill="1" applyBorder="1"/>
    <xf numFmtId="9" fontId="3" fillId="7" borderId="100" xfId="0" applyNumberFormat="1" applyFont="1" applyFill="1" applyBorder="1"/>
    <xf numFmtId="9" fontId="3" fillId="7" borderId="101" xfId="0" applyNumberFormat="1" applyFont="1" applyFill="1" applyBorder="1"/>
    <xf numFmtId="0" fontId="3" fillId="7" borderId="102" xfId="0" applyFont="1" applyFill="1" applyBorder="1"/>
    <xf numFmtId="166" fontId="3" fillId="3" borderId="0" xfId="0" applyNumberFormat="1" applyFont="1" applyFill="1" applyAlignment="1">
      <alignment horizontal="center"/>
    </xf>
    <xf numFmtId="0" fontId="19" fillId="7" borderId="3" xfId="0" applyFont="1" applyFill="1" applyBorder="1" applyAlignment="1">
      <alignment vertical="center"/>
    </xf>
    <xf numFmtId="0" fontId="19" fillId="7" borderId="4" xfId="0" applyFont="1" applyFill="1" applyBorder="1" applyAlignment="1">
      <alignment vertical="center"/>
    </xf>
    <xf numFmtId="0" fontId="19" fillId="7" borderId="5" xfId="0" applyFont="1" applyFill="1" applyBorder="1" applyAlignment="1">
      <alignment vertical="center"/>
    </xf>
    <xf numFmtId="0" fontId="3" fillId="11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wrapText="1"/>
    </xf>
    <xf numFmtId="165" fontId="18" fillId="4" borderId="0" xfId="0" applyNumberFormat="1" applyFont="1" applyFill="1"/>
    <xf numFmtId="165" fontId="17" fillId="8" borderId="0" xfId="0" applyNumberFormat="1" applyFont="1" applyFill="1"/>
    <xf numFmtId="0" fontId="3" fillId="15" borderId="8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167" fontId="4" fillId="4" borderId="4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6" borderId="11" xfId="0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3" fillId="5" borderId="6" xfId="0" applyFont="1" applyFill="1" applyBorder="1" applyAlignment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11" borderId="18" xfId="0" applyFont="1" applyFill="1" applyBorder="1" applyAlignment="1">
      <alignment vertical="center"/>
    </xf>
    <xf numFmtId="0" fontId="3" fillId="11" borderId="19" xfId="0" applyFont="1" applyFill="1" applyBorder="1" applyAlignment="1">
      <alignment vertical="center"/>
    </xf>
    <xf numFmtId="0" fontId="3" fillId="11" borderId="20" xfId="0" applyFont="1" applyFill="1" applyBorder="1" applyAlignment="1">
      <alignment vertical="center"/>
    </xf>
    <xf numFmtId="0" fontId="9" fillId="12" borderId="21" xfId="0" applyFont="1" applyFill="1" applyBorder="1" applyAlignment="1">
      <alignment vertical="center" wrapText="1"/>
    </xf>
    <xf numFmtId="0" fontId="9" fillId="12" borderId="22" xfId="0" applyFont="1" applyFill="1" applyBorder="1" applyAlignment="1">
      <alignment vertical="center" wrapText="1"/>
    </xf>
    <xf numFmtId="0" fontId="9" fillId="12" borderId="23" xfId="0" applyFont="1" applyFill="1" applyBorder="1" applyAlignment="1">
      <alignment vertical="center" wrapText="1"/>
    </xf>
    <xf numFmtId="0" fontId="9" fillId="12" borderId="24" xfId="0" applyFont="1" applyFill="1" applyBorder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9" fillId="12" borderId="25" xfId="0" applyFont="1" applyFill="1" applyBorder="1" applyAlignment="1">
      <alignment vertical="center" wrapText="1"/>
    </xf>
    <xf numFmtId="0" fontId="9" fillId="12" borderId="26" xfId="0" applyFont="1" applyFill="1" applyBorder="1" applyAlignment="1">
      <alignment vertical="center" wrapText="1"/>
    </xf>
    <xf numFmtId="0" fontId="9" fillId="12" borderId="27" xfId="0" applyFont="1" applyFill="1" applyBorder="1" applyAlignment="1">
      <alignment vertical="center" wrapText="1"/>
    </xf>
    <xf numFmtId="0" fontId="9" fillId="12" borderId="28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29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7" fillId="8" borderId="30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34" xfId="0" applyFont="1" applyFill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 wrapText="1"/>
    </xf>
    <xf numFmtId="0" fontId="7" fillId="8" borderId="36" xfId="0" applyFont="1" applyFill="1" applyBorder="1" applyAlignment="1">
      <alignment horizontal="center" vertical="center" wrapText="1"/>
    </xf>
    <xf numFmtId="0" fontId="7" fillId="8" borderId="37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13" fillId="4" borderId="42" xfId="0" applyFont="1" applyFill="1" applyBorder="1" applyAlignment="1">
      <alignment horizontal="center"/>
    </xf>
    <xf numFmtId="0" fontId="13" fillId="4" borderId="43" xfId="0" applyFont="1" applyFill="1" applyBorder="1" applyAlignment="1">
      <alignment horizontal="center"/>
    </xf>
    <xf numFmtId="0" fontId="7" fillId="4" borderId="44" xfId="0" applyFont="1" applyFill="1" applyBorder="1" applyAlignment="1">
      <alignment horizontal="center"/>
    </xf>
    <xf numFmtId="0" fontId="7" fillId="4" borderId="45" xfId="0" applyFont="1" applyFill="1" applyBorder="1" applyAlignment="1">
      <alignment horizontal="center"/>
    </xf>
    <xf numFmtId="0" fontId="14" fillId="13" borderId="0" xfId="0" applyFont="1" applyFill="1" applyAlignment="1">
      <alignment horizontal="right" vertical="center"/>
    </xf>
    <xf numFmtId="0" fontId="15" fillId="13" borderId="0" xfId="0" applyFont="1" applyFill="1" applyAlignment="1">
      <alignment horizontal="right" vertical="center"/>
    </xf>
    <xf numFmtId="0" fontId="3" fillId="6" borderId="46" xfId="0" applyFont="1" applyFill="1" applyBorder="1" applyAlignment="1">
      <alignment horizontal="left" vertical="center"/>
    </xf>
    <xf numFmtId="0" fontId="3" fillId="6" borderId="47" xfId="0" applyFont="1" applyFill="1" applyBorder="1" applyAlignment="1">
      <alignment horizontal="left" vertical="center"/>
    </xf>
    <xf numFmtId="0" fontId="3" fillId="6" borderId="48" xfId="0" applyFont="1" applyFill="1" applyBorder="1" applyAlignment="1">
      <alignment horizontal="left" vertical="center"/>
    </xf>
    <xf numFmtId="0" fontId="3" fillId="6" borderId="49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50" xfId="0" applyFont="1" applyFill="1" applyBorder="1" applyAlignment="1">
      <alignment horizontal="left" vertical="center"/>
    </xf>
    <xf numFmtId="164" fontId="16" fillId="14" borderId="49" xfId="0" applyNumberFormat="1" applyFont="1" applyFill="1" applyBorder="1" applyAlignment="1">
      <alignment horizontal="left" vertical="center"/>
    </xf>
    <xf numFmtId="164" fontId="16" fillId="14" borderId="0" xfId="0" applyNumberFormat="1" applyFont="1" applyFill="1" applyAlignment="1">
      <alignment horizontal="left" vertical="center"/>
    </xf>
    <xf numFmtId="164" fontId="16" fillId="14" borderId="50" xfId="0" applyNumberFormat="1" applyFont="1" applyFill="1" applyBorder="1" applyAlignment="1">
      <alignment horizontal="left" vertical="center"/>
    </xf>
    <xf numFmtId="164" fontId="16" fillId="14" borderId="51" xfId="0" applyNumberFormat="1" applyFont="1" applyFill="1" applyBorder="1" applyAlignment="1">
      <alignment horizontal="left" vertical="center"/>
    </xf>
    <xf numFmtId="164" fontId="16" fillId="14" borderId="52" xfId="0" applyNumberFormat="1" applyFont="1" applyFill="1" applyBorder="1" applyAlignment="1">
      <alignment horizontal="left" vertical="center"/>
    </xf>
    <xf numFmtId="164" fontId="16" fillId="14" borderId="53" xfId="0" applyNumberFormat="1" applyFont="1" applyFill="1" applyBorder="1" applyAlignment="1">
      <alignment horizontal="left" vertical="center"/>
    </xf>
    <xf numFmtId="0" fontId="3" fillId="15" borderId="54" xfId="0" applyFont="1" applyFill="1" applyBorder="1" applyAlignment="1">
      <alignment horizontal="left" vertical="center"/>
    </xf>
    <xf numFmtId="0" fontId="3" fillId="15" borderId="55" xfId="0" applyFont="1" applyFill="1" applyBorder="1" applyAlignment="1">
      <alignment horizontal="left" vertical="center"/>
    </xf>
    <xf numFmtId="0" fontId="3" fillId="15" borderId="56" xfId="0" applyFont="1" applyFill="1" applyBorder="1" applyAlignment="1">
      <alignment horizontal="left" vertical="center"/>
    </xf>
    <xf numFmtId="0" fontId="3" fillId="15" borderId="57" xfId="0" applyFont="1" applyFill="1" applyBorder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3" fillId="15" borderId="58" xfId="0" applyFont="1" applyFill="1" applyBorder="1" applyAlignment="1">
      <alignment horizontal="left" vertical="center"/>
    </xf>
    <xf numFmtId="164" fontId="16" fillId="14" borderId="57" xfId="0" applyNumberFormat="1" applyFont="1" applyFill="1" applyBorder="1" applyAlignment="1">
      <alignment horizontal="left" vertical="center"/>
    </xf>
    <xf numFmtId="164" fontId="16" fillId="14" borderId="58" xfId="0" applyNumberFormat="1" applyFont="1" applyFill="1" applyBorder="1" applyAlignment="1">
      <alignment horizontal="left" vertical="center"/>
    </xf>
    <xf numFmtId="164" fontId="16" fillId="14" borderId="59" xfId="0" applyNumberFormat="1" applyFont="1" applyFill="1" applyBorder="1" applyAlignment="1">
      <alignment horizontal="left" vertical="center"/>
    </xf>
    <xf numFmtId="164" fontId="16" fillId="14" borderId="60" xfId="0" applyNumberFormat="1" applyFont="1" applyFill="1" applyBorder="1" applyAlignment="1">
      <alignment horizontal="left" vertical="center"/>
    </xf>
    <xf numFmtId="164" fontId="16" fillId="14" borderId="61" xfId="0" applyNumberFormat="1" applyFont="1" applyFill="1" applyBorder="1" applyAlignment="1">
      <alignment horizontal="left" vertical="center"/>
    </xf>
    <xf numFmtId="0" fontId="3" fillId="3" borderId="30" xfId="0" applyFont="1" applyFill="1" applyBorder="1" applyAlignment="1">
      <alignment horizontal="left" vertical="center"/>
    </xf>
    <xf numFmtId="0" fontId="3" fillId="3" borderId="31" xfId="0" applyFont="1" applyFill="1" applyBorder="1" applyAlignment="1">
      <alignment horizontal="left" vertical="center"/>
    </xf>
    <xf numFmtId="0" fontId="3" fillId="3" borderId="32" xfId="0" applyFont="1" applyFill="1" applyBorder="1" applyAlignment="1">
      <alignment horizontal="left" vertical="center"/>
    </xf>
    <xf numFmtId="0" fontId="3" fillId="3" borderId="3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34" xfId="0" applyFont="1" applyFill="1" applyBorder="1" applyAlignment="1">
      <alignment horizontal="left" vertical="center"/>
    </xf>
    <xf numFmtId="164" fontId="16" fillId="14" borderId="33" xfId="0" applyNumberFormat="1" applyFont="1" applyFill="1" applyBorder="1" applyAlignment="1">
      <alignment horizontal="left" vertical="center"/>
    </xf>
    <xf numFmtId="164" fontId="16" fillId="14" borderId="34" xfId="0" applyNumberFormat="1" applyFont="1" applyFill="1" applyBorder="1" applyAlignment="1">
      <alignment horizontal="left" vertical="center"/>
    </xf>
    <xf numFmtId="164" fontId="16" fillId="14" borderId="35" xfId="0" applyNumberFormat="1" applyFont="1" applyFill="1" applyBorder="1" applyAlignment="1">
      <alignment horizontal="left" vertical="center"/>
    </xf>
    <xf numFmtId="164" fontId="16" fillId="14" borderId="36" xfId="0" applyNumberFormat="1" applyFont="1" applyFill="1" applyBorder="1" applyAlignment="1">
      <alignment horizontal="left" vertical="center"/>
    </xf>
    <xf numFmtId="164" fontId="16" fillId="14" borderId="37" xfId="0" applyNumberFormat="1" applyFont="1" applyFill="1" applyBorder="1" applyAlignment="1">
      <alignment horizontal="left" vertical="center"/>
    </xf>
    <xf numFmtId="0" fontId="3" fillId="5" borderId="62" xfId="0" applyFont="1" applyFill="1" applyBorder="1" applyAlignment="1">
      <alignment horizontal="left" vertical="center"/>
    </xf>
    <xf numFmtId="0" fontId="3" fillId="5" borderId="63" xfId="0" applyFont="1" applyFill="1" applyBorder="1" applyAlignment="1">
      <alignment horizontal="left" vertical="center"/>
    </xf>
    <xf numFmtId="0" fontId="3" fillId="5" borderId="64" xfId="0" applyFont="1" applyFill="1" applyBorder="1" applyAlignment="1">
      <alignment horizontal="left" vertical="center"/>
    </xf>
    <xf numFmtId="0" fontId="3" fillId="5" borderId="65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66" xfId="0" applyFont="1" applyFill="1" applyBorder="1" applyAlignment="1">
      <alignment horizontal="left" vertical="center"/>
    </xf>
    <xf numFmtId="164" fontId="16" fillId="14" borderId="65" xfId="0" applyNumberFormat="1" applyFont="1" applyFill="1" applyBorder="1" applyAlignment="1">
      <alignment horizontal="left" vertical="center"/>
    </xf>
    <xf numFmtId="164" fontId="16" fillId="14" borderId="66" xfId="0" applyNumberFormat="1" applyFont="1" applyFill="1" applyBorder="1" applyAlignment="1">
      <alignment horizontal="left" vertical="center"/>
    </xf>
    <xf numFmtId="164" fontId="16" fillId="14" borderId="67" xfId="0" applyNumberFormat="1" applyFont="1" applyFill="1" applyBorder="1" applyAlignment="1">
      <alignment horizontal="left" vertical="center"/>
    </xf>
    <xf numFmtId="164" fontId="16" fillId="14" borderId="68" xfId="0" applyNumberFormat="1" applyFont="1" applyFill="1" applyBorder="1" applyAlignment="1">
      <alignment horizontal="left" vertical="center"/>
    </xf>
    <xf numFmtId="164" fontId="16" fillId="14" borderId="69" xfId="0" applyNumberFormat="1" applyFont="1" applyFill="1" applyBorder="1" applyAlignment="1">
      <alignment horizontal="left" vertical="center"/>
    </xf>
    <xf numFmtId="9" fontId="16" fillId="14" borderId="49" xfId="0" applyNumberFormat="1" applyFont="1" applyFill="1" applyBorder="1" applyAlignment="1">
      <alignment horizontal="left" vertical="center"/>
    </xf>
    <xf numFmtId="9" fontId="16" fillId="14" borderId="0" xfId="0" applyNumberFormat="1" applyFont="1" applyFill="1" applyAlignment="1">
      <alignment horizontal="left" vertical="center"/>
    </xf>
    <xf numFmtId="9" fontId="16" fillId="14" borderId="50" xfId="0" applyNumberFormat="1" applyFont="1" applyFill="1" applyBorder="1" applyAlignment="1">
      <alignment horizontal="left" vertical="center"/>
    </xf>
    <xf numFmtId="9" fontId="16" fillId="14" borderId="51" xfId="0" applyNumberFormat="1" applyFont="1" applyFill="1" applyBorder="1" applyAlignment="1">
      <alignment horizontal="left" vertical="center"/>
    </xf>
    <xf numFmtId="9" fontId="16" fillId="14" borderId="52" xfId="0" applyNumberFormat="1" applyFont="1" applyFill="1" applyBorder="1" applyAlignment="1">
      <alignment horizontal="left" vertical="center"/>
    </xf>
    <xf numFmtId="9" fontId="16" fillId="14" borderId="53" xfId="0" applyNumberFormat="1" applyFont="1" applyFill="1" applyBorder="1" applyAlignment="1">
      <alignment horizontal="left" vertical="center"/>
    </xf>
    <xf numFmtId="0" fontId="3" fillId="11" borderId="42" xfId="0" applyFont="1" applyFill="1" applyBorder="1" applyAlignment="1">
      <alignment horizontal="left" vertical="center"/>
    </xf>
    <xf numFmtId="0" fontId="3" fillId="11" borderId="70" xfId="0" applyFont="1" applyFill="1" applyBorder="1" applyAlignment="1">
      <alignment horizontal="left" vertical="center"/>
    </xf>
    <xf numFmtId="0" fontId="3" fillId="11" borderId="43" xfId="0" applyFont="1" applyFill="1" applyBorder="1" applyAlignment="1">
      <alignment horizontal="left" vertical="center"/>
    </xf>
    <xf numFmtId="0" fontId="3" fillId="11" borderId="71" xfId="0" applyFont="1" applyFill="1" applyBorder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11" borderId="72" xfId="0" applyFont="1" applyFill="1" applyBorder="1" applyAlignment="1">
      <alignment horizontal="left" vertical="center"/>
    </xf>
    <xf numFmtId="9" fontId="16" fillId="14" borderId="71" xfId="0" applyNumberFormat="1" applyFont="1" applyFill="1" applyBorder="1" applyAlignment="1">
      <alignment horizontal="left" vertical="center"/>
    </xf>
    <xf numFmtId="9" fontId="16" fillId="14" borderId="72" xfId="0" applyNumberFormat="1" applyFont="1" applyFill="1" applyBorder="1" applyAlignment="1">
      <alignment horizontal="left" vertical="center"/>
    </xf>
    <xf numFmtId="9" fontId="16" fillId="14" borderId="44" xfId="0" applyNumberFormat="1" applyFont="1" applyFill="1" applyBorder="1" applyAlignment="1">
      <alignment horizontal="left" vertical="center"/>
    </xf>
    <xf numFmtId="9" fontId="16" fillId="14" borderId="73" xfId="0" applyNumberFormat="1" applyFont="1" applyFill="1" applyBorder="1" applyAlignment="1">
      <alignment horizontal="left" vertical="center"/>
    </xf>
    <xf numFmtId="9" fontId="16" fillId="14" borderId="45" xfId="0" applyNumberFormat="1" applyFont="1" applyFill="1" applyBorder="1" applyAlignment="1">
      <alignment horizontal="left" vertical="center"/>
    </xf>
    <xf numFmtId="0" fontId="3" fillId="16" borderId="74" xfId="0" applyFont="1" applyFill="1" applyBorder="1" applyAlignment="1">
      <alignment horizontal="left" vertical="center"/>
    </xf>
    <xf numFmtId="0" fontId="3" fillId="16" borderId="75" xfId="0" applyFont="1" applyFill="1" applyBorder="1" applyAlignment="1">
      <alignment horizontal="left" vertical="center"/>
    </xf>
    <xf numFmtId="0" fontId="3" fillId="16" borderId="76" xfId="0" applyFont="1" applyFill="1" applyBorder="1" applyAlignment="1">
      <alignment horizontal="left" vertical="center"/>
    </xf>
    <xf numFmtId="0" fontId="3" fillId="16" borderId="77" xfId="0" applyFont="1" applyFill="1" applyBorder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16" borderId="78" xfId="0" applyFont="1" applyFill="1" applyBorder="1" applyAlignment="1">
      <alignment horizontal="left" vertical="center"/>
    </xf>
    <xf numFmtId="164" fontId="16" fillId="14" borderId="77" xfId="0" applyNumberFormat="1" applyFont="1" applyFill="1" applyBorder="1" applyAlignment="1">
      <alignment horizontal="left" vertical="center"/>
    </xf>
    <xf numFmtId="164" fontId="16" fillId="14" borderId="78" xfId="0" applyNumberFormat="1" applyFont="1" applyFill="1" applyBorder="1" applyAlignment="1">
      <alignment horizontal="left" vertical="center"/>
    </xf>
    <xf numFmtId="164" fontId="16" fillId="14" borderId="79" xfId="0" applyNumberFormat="1" applyFont="1" applyFill="1" applyBorder="1" applyAlignment="1">
      <alignment horizontal="left" vertical="center"/>
    </xf>
    <xf numFmtId="164" fontId="16" fillId="14" borderId="80" xfId="0" applyNumberFormat="1" applyFont="1" applyFill="1" applyBorder="1" applyAlignment="1">
      <alignment horizontal="left" vertical="center"/>
    </xf>
    <xf numFmtId="164" fontId="16" fillId="14" borderId="81" xfId="0" applyNumberFormat="1" applyFont="1" applyFill="1" applyBorder="1" applyAlignment="1">
      <alignment horizontal="left" vertical="center"/>
    </xf>
    <xf numFmtId="166" fontId="16" fillId="14" borderId="33" xfId="0" applyNumberFormat="1" applyFont="1" applyFill="1" applyBorder="1" applyAlignment="1">
      <alignment horizontal="left" vertical="center"/>
    </xf>
    <xf numFmtId="166" fontId="16" fillId="14" borderId="0" xfId="0" applyNumberFormat="1" applyFont="1" applyFill="1" applyAlignment="1">
      <alignment horizontal="left" vertical="center"/>
    </xf>
    <xf numFmtId="166" fontId="16" fillId="14" borderId="34" xfId="0" applyNumberFormat="1" applyFont="1" applyFill="1" applyBorder="1" applyAlignment="1">
      <alignment horizontal="left" vertical="center"/>
    </xf>
    <xf numFmtId="166" fontId="16" fillId="14" borderId="35" xfId="0" applyNumberFormat="1" applyFont="1" applyFill="1" applyBorder="1" applyAlignment="1">
      <alignment horizontal="left" vertical="center"/>
    </xf>
    <xf numFmtId="166" fontId="16" fillId="14" borderId="36" xfId="0" applyNumberFormat="1" applyFont="1" applyFill="1" applyBorder="1" applyAlignment="1">
      <alignment horizontal="left" vertical="center"/>
    </xf>
    <xf numFmtId="166" fontId="16" fillId="14" borderId="37" xfId="0" applyNumberFormat="1" applyFont="1" applyFill="1" applyBorder="1" applyAlignment="1">
      <alignment horizontal="left" vertical="center"/>
    </xf>
    <xf numFmtId="1" fontId="16" fillId="14" borderId="71" xfId="0" applyNumberFormat="1" applyFont="1" applyFill="1" applyBorder="1" applyAlignment="1">
      <alignment horizontal="left" vertical="center"/>
    </xf>
    <xf numFmtId="1" fontId="16" fillId="14" borderId="0" xfId="0" applyNumberFormat="1" applyFont="1" applyFill="1" applyAlignment="1">
      <alignment horizontal="left" vertical="center"/>
    </xf>
    <xf numFmtId="1" fontId="16" fillId="14" borderId="72" xfId="0" applyNumberFormat="1" applyFont="1" applyFill="1" applyBorder="1" applyAlignment="1">
      <alignment horizontal="left" vertical="center"/>
    </xf>
    <xf numFmtId="1" fontId="16" fillId="14" borderId="44" xfId="0" applyNumberFormat="1" applyFont="1" applyFill="1" applyBorder="1" applyAlignment="1">
      <alignment horizontal="left" vertical="center"/>
    </xf>
    <xf numFmtId="1" fontId="16" fillId="14" borderId="73" xfId="0" applyNumberFormat="1" applyFont="1" applyFill="1" applyBorder="1" applyAlignment="1">
      <alignment horizontal="left" vertical="center"/>
    </xf>
    <xf numFmtId="1" fontId="16" fillId="14" borderId="45" xfId="0" applyNumberFormat="1" applyFont="1" applyFill="1" applyBorder="1" applyAlignment="1">
      <alignment horizontal="left" vertical="center"/>
    </xf>
    <xf numFmtId="0" fontId="3" fillId="7" borderId="82" xfId="0" applyFont="1" applyFill="1" applyBorder="1" applyAlignment="1">
      <alignment horizontal="center" vertical="center" wrapText="1"/>
    </xf>
    <xf numFmtId="0" fontId="3" fillId="7" borderId="83" xfId="0" applyFont="1" applyFill="1" applyBorder="1" applyAlignment="1">
      <alignment horizontal="center" vertical="center" wrapText="1"/>
    </xf>
    <xf numFmtId="0" fontId="3" fillId="7" borderId="84" xfId="0" applyFont="1" applyFill="1" applyBorder="1" applyAlignment="1">
      <alignment horizontal="center" vertical="center" wrapText="1"/>
    </xf>
    <xf numFmtId="0" fontId="3" fillId="7" borderId="8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86" xfId="0" applyFont="1" applyFill="1" applyBorder="1" applyAlignment="1">
      <alignment horizontal="center" vertical="center" wrapText="1"/>
    </xf>
    <xf numFmtId="0" fontId="3" fillId="7" borderId="87" xfId="0" applyFont="1" applyFill="1" applyBorder="1" applyAlignment="1">
      <alignment horizontal="center" vertical="center" wrapText="1"/>
    </xf>
    <xf numFmtId="0" fontId="3" fillId="7" borderId="88" xfId="0" applyFont="1" applyFill="1" applyBorder="1" applyAlignment="1">
      <alignment horizontal="center" vertical="center" wrapText="1"/>
    </xf>
    <xf numFmtId="0" fontId="3" fillId="7" borderId="89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1" fillId="8" borderId="1" xfId="0" applyFont="1" applyFill="1" applyBorder="1"/>
    <xf numFmtId="0" fontId="11" fillId="8" borderId="29" xfId="0" applyFont="1" applyFill="1" applyBorder="1"/>
    <xf numFmtId="0" fontId="11" fillId="8" borderId="2" xfId="0" applyFont="1" applyFill="1" applyBorder="1"/>
    <xf numFmtId="0" fontId="12" fillId="8" borderId="30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0" fontId="12" fillId="8" borderId="35" xfId="0" applyFont="1" applyFill="1" applyBorder="1" applyAlignment="1">
      <alignment horizontal="center" vertical="center"/>
    </xf>
    <xf numFmtId="0" fontId="12" fillId="8" borderId="36" xfId="0" applyFont="1" applyFill="1" applyBorder="1" applyAlignment="1">
      <alignment horizontal="center" vertical="center"/>
    </xf>
    <xf numFmtId="0" fontId="12" fillId="8" borderId="37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3" fillId="7" borderId="38" xfId="0" applyFont="1" applyFill="1" applyBorder="1"/>
    <xf numFmtId="0" fontId="3" fillId="7" borderId="39" xfId="0" applyFont="1" applyFill="1" applyBorder="1"/>
    <xf numFmtId="0" fontId="3" fillId="5" borderId="41" xfId="0" applyFont="1" applyFill="1" applyBorder="1" applyAlignment="1">
      <alignment vertical="center"/>
    </xf>
    <xf numFmtId="0" fontId="7" fillId="8" borderId="0" xfId="0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4" fontId="16" fillId="14" borderId="106" xfId="0" applyNumberFormat="1" applyFont="1" applyFill="1" applyBorder="1" applyAlignment="1">
      <alignment horizontal="center"/>
    </xf>
    <xf numFmtId="164" fontId="16" fillId="14" borderId="107" xfId="0" applyNumberFormat="1" applyFont="1" applyFill="1" applyBorder="1" applyAlignment="1">
      <alignment horizontal="center"/>
    </xf>
    <xf numFmtId="164" fontId="16" fillId="14" borderId="108" xfId="0" applyNumberFormat="1" applyFont="1" applyFill="1" applyBorder="1" applyAlignment="1">
      <alignment horizontal="center"/>
    </xf>
    <xf numFmtId="164" fontId="16" fillId="14" borderId="109" xfId="0" applyNumberFormat="1" applyFont="1" applyFill="1" applyBorder="1" applyAlignment="1">
      <alignment horizontal="center"/>
    </xf>
    <xf numFmtId="164" fontId="16" fillId="14" borderId="110" xfId="0" applyNumberFormat="1" applyFont="1" applyFill="1" applyBorder="1" applyAlignment="1">
      <alignment horizontal="center"/>
    </xf>
    <xf numFmtId="164" fontId="16" fillId="14" borderId="111" xfId="0" applyNumberFormat="1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64" fontId="16" fillId="14" borderId="112" xfId="0" applyNumberFormat="1" applyFont="1" applyFill="1" applyBorder="1" applyAlignment="1">
      <alignment horizontal="center"/>
    </xf>
    <xf numFmtId="164" fontId="16" fillId="14" borderId="113" xfId="0" applyNumberFormat="1" applyFont="1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164" fontId="16" fillId="14" borderId="114" xfId="0" applyNumberFormat="1" applyFont="1" applyFill="1" applyBorder="1" applyAlignment="1">
      <alignment horizontal="center"/>
    </xf>
    <xf numFmtId="164" fontId="16" fillId="14" borderId="115" xfId="0" applyNumberFormat="1" applyFont="1" applyFill="1" applyBorder="1" applyAlignment="1">
      <alignment horizontal="center"/>
    </xf>
    <xf numFmtId="164" fontId="16" fillId="14" borderId="116" xfId="0" applyNumberFormat="1" applyFont="1" applyFill="1" applyBorder="1" applyAlignment="1">
      <alignment horizontal="center"/>
    </xf>
    <xf numFmtId="9" fontId="16" fillId="14" borderId="112" xfId="0" applyNumberFormat="1" applyFont="1" applyFill="1" applyBorder="1" applyAlignment="1">
      <alignment horizontal="center"/>
    </xf>
    <xf numFmtId="9" fontId="16" fillId="14" borderId="116" xfId="0" applyNumberFormat="1" applyFont="1" applyFill="1" applyBorder="1" applyAlignment="1">
      <alignment horizontal="center"/>
    </xf>
    <xf numFmtId="9" fontId="16" fillId="14" borderId="113" xfId="0" applyNumberFormat="1" applyFont="1" applyFill="1" applyBorder="1" applyAlignment="1">
      <alignment horizontal="center"/>
    </xf>
    <xf numFmtId="0" fontId="16" fillId="14" borderId="112" xfId="0" applyFont="1" applyFill="1" applyBorder="1" applyAlignment="1">
      <alignment horizontal="center"/>
    </xf>
    <xf numFmtId="0" fontId="16" fillId="14" borderId="116" xfId="0" applyFont="1" applyFill="1" applyBorder="1" applyAlignment="1">
      <alignment horizontal="center"/>
    </xf>
    <xf numFmtId="0" fontId="16" fillId="14" borderId="113" xfId="0" applyFont="1" applyFill="1" applyBorder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3" fillId="15" borderId="97" xfId="0" applyFont="1" applyFill="1" applyBorder="1" applyAlignment="1">
      <alignment vertical="center"/>
    </xf>
    <xf numFmtId="0" fontId="3" fillId="15" borderId="98" xfId="0" applyFont="1" applyFill="1" applyBorder="1" applyAlignment="1">
      <alignment vertical="center"/>
    </xf>
    <xf numFmtId="0" fontId="3" fillId="15" borderId="99" xfId="0" applyFont="1" applyFill="1" applyBorder="1" applyAlignment="1">
      <alignment vertical="center"/>
    </xf>
    <xf numFmtId="0" fontId="3" fillId="5" borderId="117" xfId="0" applyFont="1" applyFill="1" applyBorder="1" applyAlignment="1">
      <alignment vertical="center"/>
    </xf>
    <xf numFmtId="0" fontId="7" fillId="8" borderId="0" xfId="0" applyFont="1" applyFill="1" applyAlignment="1">
      <alignment horizontal="center" wrapText="1"/>
    </xf>
    <xf numFmtId="0" fontId="7" fillId="8" borderId="90" xfId="0" applyFont="1" applyFill="1" applyBorder="1" applyAlignment="1">
      <alignment horizontal="center" vertical="center"/>
    </xf>
    <xf numFmtId="0" fontId="7" fillId="8" borderId="91" xfId="0" applyFont="1" applyFill="1" applyBorder="1" applyAlignment="1">
      <alignment horizontal="center" vertical="center"/>
    </xf>
    <xf numFmtId="0" fontId="7" fillId="8" borderId="92" xfId="0" applyFont="1" applyFill="1" applyBorder="1" applyAlignment="1">
      <alignment horizontal="center" vertical="center"/>
    </xf>
    <xf numFmtId="0" fontId="7" fillId="8" borderId="93" xfId="0" applyFont="1" applyFill="1" applyBorder="1" applyAlignment="1">
      <alignment horizontal="center" vertical="center"/>
    </xf>
    <xf numFmtId="0" fontId="7" fillId="8" borderId="94" xfId="0" applyFont="1" applyFill="1" applyBorder="1" applyAlignment="1">
      <alignment horizontal="center" vertical="center"/>
    </xf>
    <xf numFmtId="0" fontId="7" fillId="8" borderId="95" xfId="0" applyFont="1" applyFill="1" applyBorder="1" applyAlignment="1">
      <alignment horizontal="center" vertical="center"/>
    </xf>
    <xf numFmtId="0" fontId="3" fillId="5" borderId="96" xfId="0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6" borderId="104" xfId="0" applyFont="1" applyFill="1" applyBorder="1" applyAlignment="1">
      <alignment vertical="center"/>
    </xf>
    <xf numFmtId="0" fontId="17" fillId="13" borderId="14" xfId="0" applyFont="1" applyFill="1" applyBorder="1" applyAlignment="1">
      <alignment wrapText="1"/>
    </xf>
    <xf numFmtId="0" fontId="17" fillId="13" borderId="15" xfId="0" applyFont="1" applyFill="1" applyBorder="1" applyAlignment="1">
      <alignment wrapText="1"/>
    </xf>
    <xf numFmtId="0" fontId="17" fillId="13" borderId="16" xfId="0" applyFont="1" applyFill="1" applyBorder="1" applyAlignment="1">
      <alignment wrapText="1"/>
    </xf>
    <xf numFmtId="0" fontId="3" fillId="6" borderId="105" xfId="0" applyFont="1" applyFill="1" applyBorder="1" applyAlignment="1">
      <alignment vertical="center"/>
    </xf>
    <xf numFmtId="0" fontId="18" fillId="4" borderId="0" xfId="0" applyFont="1" applyFill="1" applyAlignment="1">
      <alignment wrapText="1"/>
    </xf>
    <xf numFmtId="0" fontId="3" fillId="7" borderId="100" xfId="0" applyFont="1" applyFill="1" applyBorder="1"/>
    <xf numFmtId="0" fontId="3" fillId="7" borderId="101" xfId="0" applyFont="1" applyFill="1" applyBorder="1"/>
    <xf numFmtId="0" fontId="15" fillId="13" borderId="0" xfId="0" applyFont="1" applyFill="1" applyAlignment="1">
      <alignment horizontal="center"/>
    </xf>
    <xf numFmtId="0" fontId="3" fillId="15" borderId="103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82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Budget vs Actual by Category (₹)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invertIfNegative val="1"/>
          <c:cat>
            <c:strRef>
              <c:f>DASHBOARD!$A$27:$A$46</c:f>
              <c:strCache>
                <c:ptCount val="20"/>
                <c:pt idx="0">
                  <c:v>College Fees</c:v>
                </c:pt>
                <c:pt idx="1">
                  <c:v>Hostel</c:v>
                </c:pt>
                <c:pt idx="2">
                  <c:v>Food</c:v>
                </c:pt>
                <c:pt idx="3">
                  <c:v>Transport</c:v>
                </c:pt>
                <c:pt idx="4">
                  <c:v>Technology</c:v>
                </c:pt>
                <c:pt idx="5">
                  <c:v>AI-ML Learning</c:v>
                </c:pt>
                <c:pt idx="6">
                  <c:v>Books &amp; Stationery</c:v>
                </c:pt>
                <c:pt idx="7">
                  <c:v>Subscriptions</c:v>
                </c:pt>
                <c:pt idx="8">
                  <c:v>Mobile &amp; Internet</c:v>
                </c:pt>
                <c:pt idx="9">
                  <c:v>Personal Care</c:v>
                </c:pt>
                <c:pt idx="10">
                  <c:v>Clothing</c:v>
                </c:pt>
                <c:pt idx="11">
                  <c:v>Entertainment</c:v>
                </c:pt>
                <c:pt idx="12">
                  <c:v>Travel Home</c:v>
                </c:pt>
                <c:pt idx="13">
                  <c:v>Health &amp; Fitness</c:v>
                </c:pt>
                <c:pt idx="14">
                  <c:v>Shopping &amp; Gifts</c:v>
                </c:pt>
                <c:pt idx="15">
                  <c:v>Emergency</c:v>
                </c:pt>
                <c:pt idx="16">
                  <c:v>Savings</c:v>
                </c:pt>
                <c:pt idx="17">
                  <c:v>Miscellaneous</c:v>
                </c:pt>
                <c:pt idx="18">
                  <c:v>Shared Expenses</c:v>
                </c:pt>
                <c:pt idx="19">
                  <c:v>Career</c:v>
                </c:pt>
              </c:strCache>
            </c:strRef>
          </c:cat>
          <c:val>
            <c:numRef>
              <c:f>DASHBOARD!$B$27:$B$46</c:f>
              <c:numCache>
                <c:formatCode>[$₹-4009]#,##0;[Red]\-[$₹-4009]#,##0;\–</c:formatCode>
                <c:ptCount val="20"/>
                <c:pt idx="0">
                  <c:v>4500</c:v>
                </c:pt>
                <c:pt idx="1">
                  <c:v>3500</c:v>
                </c:pt>
                <c:pt idx="2">
                  <c:v>4000</c:v>
                </c:pt>
                <c:pt idx="3">
                  <c:v>1500</c:v>
                </c:pt>
                <c:pt idx="4">
                  <c:v>1500</c:v>
                </c:pt>
                <c:pt idx="5">
                  <c:v>1000</c:v>
                </c:pt>
                <c:pt idx="6">
                  <c:v>500</c:v>
                </c:pt>
                <c:pt idx="7">
                  <c:v>600</c:v>
                </c:pt>
                <c:pt idx="8">
                  <c:v>400</c:v>
                </c:pt>
                <c:pt idx="9">
                  <c:v>500</c:v>
                </c:pt>
                <c:pt idx="10">
                  <c:v>500</c:v>
                </c:pt>
                <c:pt idx="11">
                  <c:v>1000</c:v>
                </c:pt>
                <c:pt idx="12">
                  <c:v>1000</c:v>
                </c:pt>
                <c:pt idx="13">
                  <c:v>700</c:v>
                </c:pt>
                <c:pt idx="14">
                  <c:v>1000</c:v>
                </c:pt>
                <c:pt idx="15">
                  <c:v>500</c:v>
                </c:pt>
                <c:pt idx="16">
                  <c:v>2000</c:v>
                </c:pt>
                <c:pt idx="17">
                  <c:v>800</c:v>
                </c:pt>
                <c:pt idx="18">
                  <c:v>500</c:v>
                </c:pt>
                <c:pt idx="1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0-42D8-82A2-3A8B7D8D3579}"/>
            </c:ext>
          </c:extLst>
        </c:ser>
        <c:ser>
          <c:idx val="1"/>
          <c:order val="1"/>
          <c:tx>
            <c:v>Actual</c:v>
          </c:tx>
          <c:invertIfNegative val="1"/>
          <c:cat>
            <c:strRef>
              <c:f>DASHBOARD!$A$27:$A$46</c:f>
              <c:strCache>
                <c:ptCount val="20"/>
                <c:pt idx="0">
                  <c:v>College Fees</c:v>
                </c:pt>
                <c:pt idx="1">
                  <c:v>Hostel</c:v>
                </c:pt>
                <c:pt idx="2">
                  <c:v>Food</c:v>
                </c:pt>
                <c:pt idx="3">
                  <c:v>Transport</c:v>
                </c:pt>
                <c:pt idx="4">
                  <c:v>Technology</c:v>
                </c:pt>
                <c:pt idx="5">
                  <c:v>AI-ML Learning</c:v>
                </c:pt>
                <c:pt idx="6">
                  <c:v>Books &amp; Stationery</c:v>
                </c:pt>
                <c:pt idx="7">
                  <c:v>Subscriptions</c:v>
                </c:pt>
                <c:pt idx="8">
                  <c:v>Mobile &amp; Internet</c:v>
                </c:pt>
                <c:pt idx="9">
                  <c:v>Personal Care</c:v>
                </c:pt>
                <c:pt idx="10">
                  <c:v>Clothing</c:v>
                </c:pt>
                <c:pt idx="11">
                  <c:v>Entertainment</c:v>
                </c:pt>
                <c:pt idx="12">
                  <c:v>Travel Home</c:v>
                </c:pt>
                <c:pt idx="13">
                  <c:v>Health &amp; Fitness</c:v>
                </c:pt>
                <c:pt idx="14">
                  <c:v>Shopping &amp; Gifts</c:v>
                </c:pt>
                <c:pt idx="15">
                  <c:v>Emergency</c:v>
                </c:pt>
                <c:pt idx="16">
                  <c:v>Savings</c:v>
                </c:pt>
                <c:pt idx="17">
                  <c:v>Miscellaneous</c:v>
                </c:pt>
                <c:pt idx="18">
                  <c:v>Shared Expenses</c:v>
                </c:pt>
                <c:pt idx="19">
                  <c:v>Career</c:v>
                </c:pt>
              </c:strCache>
            </c:strRef>
          </c:cat>
          <c:val>
            <c:numRef>
              <c:f>DASHBOARD!$C$27:$C$46</c:f>
              <c:numCache>
                <c:formatCode>[$₹-4009]#,##0;[Red]\-[$₹-4009]#,##0;\–</c:formatCode>
                <c:ptCount val="20"/>
                <c:pt idx="0">
                  <c:v>0</c:v>
                </c:pt>
                <c:pt idx="1">
                  <c:v>3200</c:v>
                </c:pt>
                <c:pt idx="2">
                  <c:v>620</c:v>
                </c:pt>
                <c:pt idx="3">
                  <c:v>350</c:v>
                </c:pt>
                <c:pt idx="4">
                  <c:v>0</c:v>
                </c:pt>
                <c:pt idx="5">
                  <c:v>1499</c:v>
                </c:pt>
                <c:pt idx="6">
                  <c:v>280</c:v>
                </c:pt>
                <c:pt idx="7">
                  <c:v>199</c:v>
                </c:pt>
                <c:pt idx="8">
                  <c:v>349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700</c:v>
                </c:pt>
                <c:pt idx="14">
                  <c:v>0</c:v>
                </c:pt>
                <c:pt idx="15">
                  <c:v>0</c:v>
                </c:pt>
                <c:pt idx="16">
                  <c:v>2500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0-42D8-82A2-3A8B7D8D3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$₹-4009]#,##0;[Red]\-[$₹-4009]#,##0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Category-Wise Expense Distribution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Actual</c:v>
          </c:tx>
          <c:cat>
            <c:strRef>
              <c:f>DASHBOARD!$R$4:$R$23</c:f>
              <c:strCache>
                <c:ptCount val="20"/>
                <c:pt idx="0">
                  <c:v>College Fees</c:v>
                </c:pt>
                <c:pt idx="1">
                  <c:v>Hostel</c:v>
                </c:pt>
                <c:pt idx="2">
                  <c:v>Food</c:v>
                </c:pt>
                <c:pt idx="3">
                  <c:v>Transport</c:v>
                </c:pt>
                <c:pt idx="4">
                  <c:v>Technology</c:v>
                </c:pt>
                <c:pt idx="5">
                  <c:v>AI-ML Learning</c:v>
                </c:pt>
                <c:pt idx="6">
                  <c:v>Books &amp; Stationery</c:v>
                </c:pt>
                <c:pt idx="7">
                  <c:v>Subscriptions</c:v>
                </c:pt>
                <c:pt idx="8">
                  <c:v>Mobile &amp; Internet</c:v>
                </c:pt>
                <c:pt idx="9">
                  <c:v>Personal Care</c:v>
                </c:pt>
                <c:pt idx="10">
                  <c:v>Clothing</c:v>
                </c:pt>
                <c:pt idx="11">
                  <c:v>Entertainment</c:v>
                </c:pt>
                <c:pt idx="12">
                  <c:v>Travel Home</c:v>
                </c:pt>
                <c:pt idx="13">
                  <c:v>Health &amp; Fitness</c:v>
                </c:pt>
                <c:pt idx="14">
                  <c:v>Shopping &amp; Gifts</c:v>
                </c:pt>
                <c:pt idx="15">
                  <c:v>Emergency</c:v>
                </c:pt>
                <c:pt idx="16">
                  <c:v>Savings</c:v>
                </c:pt>
                <c:pt idx="17">
                  <c:v>Miscellaneous</c:v>
                </c:pt>
                <c:pt idx="18">
                  <c:v>Shared Expenses</c:v>
                </c:pt>
                <c:pt idx="19">
                  <c:v>Career</c:v>
                </c:pt>
              </c:strCache>
            </c:strRef>
          </c:cat>
          <c:val>
            <c:numRef>
              <c:f>DASHBOARD!$S$4:$S$23</c:f>
              <c:numCache>
                <c:formatCode>General</c:formatCode>
                <c:ptCount val="20"/>
                <c:pt idx="0">
                  <c:v>0</c:v>
                </c:pt>
                <c:pt idx="1">
                  <c:v>3200</c:v>
                </c:pt>
                <c:pt idx="2">
                  <c:v>620</c:v>
                </c:pt>
                <c:pt idx="3">
                  <c:v>350</c:v>
                </c:pt>
                <c:pt idx="4">
                  <c:v>0</c:v>
                </c:pt>
                <c:pt idx="5">
                  <c:v>1499</c:v>
                </c:pt>
                <c:pt idx="6">
                  <c:v>280</c:v>
                </c:pt>
                <c:pt idx="7">
                  <c:v>199</c:v>
                </c:pt>
                <c:pt idx="8">
                  <c:v>349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7-4638-A239-55DFDF8F8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12-Month Income vs Expenses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Income</c:v>
          </c:tx>
          <c:marker>
            <c:symbol val="none"/>
          </c:marker>
          <c:cat>
            <c:strRef>
              <c:f>DASHBOARD!$U$4:$U$15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DASHBOARD!$V$4:$V$15</c:f>
              <c:numCache>
                <c:formatCode>General</c:formatCode>
                <c:ptCount val="12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25000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A-4B09-8F61-677961AA9580}"/>
            </c:ext>
          </c:extLst>
        </c:ser>
        <c:ser>
          <c:idx val="1"/>
          <c:order val="1"/>
          <c:tx>
            <c:v>Expense</c:v>
          </c:tx>
          <c:marker>
            <c:symbol val="none"/>
          </c:marker>
          <c:cat>
            <c:strRef>
              <c:f>DASHBOARD!$U$4:$U$15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DASHBOARD!$W$4:$W$15</c:f>
              <c:numCache>
                <c:formatCode>General</c:formatCode>
                <c:ptCount val="12"/>
                <c:pt idx="0">
                  <c:v>8000</c:v>
                </c:pt>
                <c:pt idx="1">
                  <c:v>4400</c:v>
                </c:pt>
                <c:pt idx="2">
                  <c:v>3099</c:v>
                </c:pt>
                <c:pt idx="3">
                  <c:v>4900</c:v>
                </c:pt>
                <c:pt idx="4">
                  <c:v>3300</c:v>
                </c:pt>
                <c:pt idx="5">
                  <c:v>2649</c:v>
                </c:pt>
                <c:pt idx="6">
                  <c:v>8200</c:v>
                </c:pt>
                <c:pt idx="7">
                  <c:v>5200</c:v>
                </c:pt>
                <c:pt idx="8">
                  <c:v>7197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CA-4B09-8F61-677961AA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Cumulative Savings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Savings</c:v>
          </c:tx>
          <c:marker>
            <c:symbol val="none"/>
          </c:marker>
          <c:cat>
            <c:strRef>
              <c:f>DASHBOARD!$Y$4:$Y$15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DASHBOARD!$Z$4:$Z$15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2000</c:v>
                </c:pt>
                <c:pt idx="8">
                  <c:v>4500</c:v>
                </c:pt>
                <c:pt idx="9">
                  <c:v>4500</c:v>
                </c:pt>
                <c:pt idx="10">
                  <c:v>4500</c:v>
                </c:pt>
                <c:pt idx="11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0-4C66-9163-9664C5B11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Fixed vs Variable vs Savings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Actual</c:v>
          </c:tx>
          <c:cat>
            <c:strRef>
              <c:f>DASHBOARD!$AB$4:$AB$6</c:f>
              <c:strCache>
                <c:ptCount val="3"/>
                <c:pt idx="0">
                  <c:v>Fixed</c:v>
                </c:pt>
                <c:pt idx="1">
                  <c:v>Variable</c:v>
                </c:pt>
                <c:pt idx="2">
                  <c:v>Savings</c:v>
                </c:pt>
              </c:strCache>
            </c:strRef>
          </c:cat>
          <c:val>
            <c:numRef>
              <c:f>DASHBOARD!$AC$4:$AC$6</c:f>
              <c:numCache>
                <c:formatCode>General</c:formatCode>
                <c:ptCount val="3"/>
                <c:pt idx="0">
                  <c:v>3748</c:v>
                </c:pt>
                <c:pt idx="1">
                  <c:v>3449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0-440F-B28D-608CE35E1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Spending by Payment Method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Spend</c:v>
          </c:tx>
          <c:invertIfNegative val="1"/>
          <c:cat>
            <c:strRef>
              <c:f>DASHBOARD!$AE$4:$AE$11</c:f>
              <c:strCache>
                <c:ptCount val="8"/>
                <c:pt idx="0">
                  <c:v>Cash</c:v>
                </c:pt>
                <c:pt idx="1">
                  <c:v>UPI</c:v>
                </c:pt>
                <c:pt idx="2">
                  <c:v>GPay</c:v>
                </c:pt>
                <c:pt idx="3">
                  <c:v>PhonePe</c:v>
                </c:pt>
                <c:pt idx="4">
                  <c:v>Paytm</c:v>
                </c:pt>
                <c:pt idx="5">
                  <c:v>Debit Card</c:v>
                </c:pt>
                <c:pt idx="6">
                  <c:v>Credit Card</c:v>
                </c:pt>
                <c:pt idx="7">
                  <c:v>Bank Transfer</c:v>
                </c:pt>
              </c:strCache>
            </c:strRef>
          </c:cat>
          <c:val>
            <c:numRef>
              <c:f>DASHBOARD!$AF$4:$AF$11</c:f>
              <c:numCache>
                <c:formatCode>General</c:formatCode>
                <c:ptCount val="8"/>
                <c:pt idx="0">
                  <c:v>280</c:v>
                </c:pt>
                <c:pt idx="1">
                  <c:v>4448</c:v>
                </c:pt>
                <c:pt idx="2">
                  <c:v>620</c:v>
                </c:pt>
                <c:pt idx="3">
                  <c:v>350</c:v>
                </c:pt>
                <c:pt idx="4">
                  <c:v>0</c:v>
                </c:pt>
                <c:pt idx="5">
                  <c:v>1499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7-4CCF-8A5B-BAB99BB44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Food Spending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Selected Month</c:v>
          </c:tx>
          <c:cat>
            <c:strRef>
              <c:f>FOOD!$A$8:$A$20</c:f>
              <c:strCache>
                <c:ptCount val="13"/>
                <c:pt idx="0">
                  <c:v>Mess</c:v>
                </c:pt>
                <c:pt idx="1">
                  <c:v>Breakfast Outside</c:v>
                </c:pt>
                <c:pt idx="2">
                  <c:v>Lunch Outside</c:v>
                </c:pt>
                <c:pt idx="3">
                  <c:v>Dinner Outside</c:v>
                </c:pt>
                <c:pt idx="4">
                  <c:v>Snacks</c:v>
                </c:pt>
                <c:pt idx="5">
                  <c:v>Tea/Coffee</c:v>
                </c:pt>
                <c:pt idx="6">
                  <c:v>Cold Drinks</c:v>
                </c:pt>
                <c:pt idx="7">
                  <c:v>Online Food Delivery</c:v>
                </c:pt>
                <c:pt idx="8">
                  <c:v>Restaurants</c:v>
                </c:pt>
                <c:pt idx="9">
                  <c:v>Grocery</c:v>
                </c:pt>
                <c:pt idx="10">
                  <c:v>Fruits</c:v>
                </c:pt>
                <c:pt idx="11">
                  <c:v>Protein/Healthy Food</c:v>
                </c:pt>
                <c:pt idx="12">
                  <c:v>Bottled Water</c:v>
                </c:pt>
              </c:strCache>
            </c:strRef>
          </c:cat>
          <c:val>
            <c:numRef>
              <c:f>FOOD!$B$8:$B$20</c:f>
              <c:numCache>
                <c:formatCode>[$₹-4009]#,##0;[Red]\-[$₹-4009]#,##0;\–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F-44FE-AA0C-53798E4DC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Essential vs Optional vs Impulse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Series 1</c:v>
          </c:tx>
          <c:cat>
            <c:strRef>
              <c:f>PERSONAL!$A$20:$A$24</c:f>
              <c:strCache>
                <c:ptCount val="5"/>
                <c:pt idx="0">
                  <c:v>Essential</c:v>
                </c:pt>
                <c:pt idx="1">
                  <c:v>Useful</c:v>
                </c:pt>
                <c:pt idx="2">
                  <c:v>Optional</c:v>
                </c:pt>
                <c:pt idx="3">
                  <c:v>Luxury</c:v>
                </c:pt>
                <c:pt idx="4">
                  <c:v>Impulse</c:v>
                </c:pt>
              </c:strCache>
            </c:strRef>
          </c:cat>
          <c:val>
            <c:numRef>
              <c:f>PERSONAL!$B$20:$B$24</c:f>
              <c:numCache>
                <c:formatCode>[$₹-4009]#,##0;[Red]\-[$₹-4009]#,##0;\–</c:formatCode>
                <c:ptCount val="5"/>
                <c:pt idx="0">
                  <c:v>5328</c:v>
                </c:pt>
                <c:pt idx="1">
                  <c:v>1050</c:v>
                </c:pt>
                <c:pt idx="2">
                  <c:v>819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5-4C30-940A-74D0A479F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Monthly Subscription Cost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Category</c:v>
          </c:tx>
          <c:invertIfNegative val="1"/>
          <c:cat>
            <c:strRef>
              <c:f>SUBSCRIPTIONS!$A$8:$A$17</c:f>
              <c:strCache>
                <c:ptCount val="10"/>
                <c:pt idx="0">
                  <c:v>Netflix</c:v>
                </c:pt>
                <c:pt idx="1">
                  <c:v>Spotify Student</c:v>
                </c:pt>
                <c:pt idx="2">
                  <c:v>Cloud Storage</c:v>
                </c:pt>
                <c:pt idx="3">
                  <c:v>AI Tool Plan</c:v>
                </c:pt>
                <c:pt idx="4">
                  <c:v>Mobile Recharge</c:v>
                </c:pt>
                <c:pt idx="5">
                  <c:v>Campus Gym</c:v>
                </c:pt>
                <c:pt idx="6">
                  <c:v>Hostel Fee</c:v>
                </c:pt>
                <c:pt idx="7">
                  <c:v>Semester Exam Fee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SUBSCRIPTIONS!$B$8:$B$17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9-4041-BBE3-B132E60DB53F}"/>
            </c:ext>
          </c:extLst>
        </c:ser>
        <c:ser>
          <c:idx val="1"/>
          <c:order val="1"/>
          <c:tx>
            <c:v>Billing</c:v>
          </c:tx>
          <c:invertIfNegative val="1"/>
          <c:cat>
            <c:strRef>
              <c:f>SUBSCRIPTIONS!$A$8:$A$17</c:f>
              <c:strCache>
                <c:ptCount val="10"/>
                <c:pt idx="0">
                  <c:v>Netflix</c:v>
                </c:pt>
                <c:pt idx="1">
                  <c:v>Spotify Student</c:v>
                </c:pt>
                <c:pt idx="2">
                  <c:v>Cloud Storage</c:v>
                </c:pt>
                <c:pt idx="3">
                  <c:v>AI Tool Plan</c:v>
                </c:pt>
                <c:pt idx="4">
                  <c:v>Mobile Recharge</c:v>
                </c:pt>
                <c:pt idx="5">
                  <c:v>Campus Gym</c:v>
                </c:pt>
                <c:pt idx="6">
                  <c:v>Hostel Fee</c:v>
                </c:pt>
                <c:pt idx="7">
                  <c:v>Semester Exam Fee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SUBSCRIPTIONS!$C$8:$C$17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9-4041-BBE3-B132E60DB53F}"/>
            </c:ext>
          </c:extLst>
        </c:ser>
        <c:ser>
          <c:idx val="2"/>
          <c:order val="2"/>
          <c:tx>
            <c:v>Amount</c:v>
          </c:tx>
          <c:invertIfNegative val="1"/>
          <c:cat>
            <c:strRef>
              <c:f>SUBSCRIPTIONS!$A$8:$A$17</c:f>
              <c:strCache>
                <c:ptCount val="10"/>
                <c:pt idx="0">
                  <c:v>Netflix</c:v>
                </c:pt>
                <c:pt idx="1">
                  <c:v>Spotify Student</c:v>
                </c:pt>
                <c:pt idx="2">
                  <c:v>Cloud Storage</c:v>
                </c:pt>
                <c:pt idx="3">
                  <c:v>AI Tool Plan</c:v>
                </c:pt>
                <c:pt idx="4">
                  <c:v>Mobile Recharge</c:v>
                </c:pt>
                <c:pt idx="5">
                  <c:v>Campus Gym</c:v>
                </c:pt>
                <c:pt idx="6">
                  <c:v>Hostel Fee</c:v>
                </c:pt>
                <c:pt idx="7">
                  <c:v>Semester Exam Fee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SUBSCRIPTIONS!$D$8:$D$17</c:f>
              <c:numCache>
                <c:formatCode>[$₹-4009]#,##0;[Red]\-[$₹-4009]#,##0;\–</c:formatCode>
                <c:ptCount val="10"/>
                <c:pt idx="0">
                  <c:v>199</c:v>
                </c:pt>
                <c:pt idx="1">
                  <c:v>59</c:v>
                </c:pt>
                <c:pt idx="2">
                  <c:v>130</c:v>
                </c:pt>
                <c:pt idx="3">
                  <c:v>0</c:v>
                </c:pt>
                <c:pt idx="4">
                  <c:v>349</c:v>
                </c:pt>
                <c:pt idx="5">
                  <c:v>700</c:v>
                </c:pt>
                <c:pt idx="6">
                  <c:v>3500</c:v>
                </c:pt>
                <c:pt idx="7">
                  <c:v>2500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9-4041-BBE3-B132E60DB53F}"/>
            </c:ext>
          </c:extLst>
        </c:ser>
        <c:ser>
          <c:idx val="3"/>
          <c:order val="3"/>
          <c:tx>
            <c:v>Monthly Eq.</c:v>
          </c:tx>
          <c:invertIfNegative val="1"/>
          <c:cat>
            <c:strRef>
              <c:f>SUBSCRIPTIONS!$A$8:$A$17</c:f>
              <c:strCache>
                <c:ptCount val="10"/>
                <c:pt idx="0">
                  <c:v>Netflix</c:v>
                </c:pt>
                <c:pt idx="1">
                  <c:v>Spotify Student</c:v>
                </c:pt>
                <c:pt idx="2">
                  <c:v>Cloud Storage</c:v>
                </c:pt>
                <c:pt idx="3">
                  <c:v>AI Tool Plan</c:v>
                </c:pt>
                <c:pt idx="4">
                  <c:v>Mobile Recharge</c:v>
                </c:pt>
                <c:pt idx="5">
                  <c:v>Campus Gym</c:v>
                </c:pt>
                <c:pt idx="6">
                  <c:v>Hostel Fee</c:v>
                </c:pt>
                <c:pt idx="7">
                  <c:v>Semester Exam Fee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SUBSCRIPTIONS!$E$8:$E$17</c:f>
              <c:numCache>
                <c:formatCode>[$₹-4009]#,##0;[Red]\-[$₹-4009]#,##0;\–</c:formatCode>
                <c:ptCount val="10"/>
                <c:pt idx="0">
                  <c:v>199</c:v>
                </c:pt>
                <c:pt idx="1">
                  <c:v>59</c:v>
                </c:pt>
                <c:pt idx="2">
                  <c:v>130</c:v>
                </c:pt>
                <c:pt idx="3">
                  <c:v>0</c:v>
                </c:pt>
                <c:pt idx="4">
                  <c:v>349</c:v>
                </c:pt>
                <c:pt idx="5">
                  <c:v>700</c:v>
                </c:pt>
                <c:pt idx="6">
                  <c:v>3500</c:v>
                </c:pt>
                <c:pt idx="7">
                  <c:v>416.66666666666669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99-4041-BBE3-B132E60DB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Budgeted vs Actual vs Projected First-Year Cost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Default / Month</c:v>
          </c:tx>
          <c:invertIfNegative val="1"/>
          <c:cat>
            <c:strRef>
              <c:f>'FIRST-YEAR COST'!$A$8:$A$27</c:f>
              <c:strCache>
                <c:ptCount val="20"/>
                <c:pt idx="0">
                  <c:v>College Fees</c:v>
                </c:pt>
                <c:pt idx="1">
                  <c:v>Hostel</c:v>
                </c:pt>
                <c:pt idx="2">
                  <c:v>Food</c:v>
                </c:pt>
                <c:pt idx="3">
                  <c:v>Transport</c:v>
                </c:pt>
                <c:pt idx="4">
                  <c:v>Technology</c:v>
                </c:pt>
                <c:pt idx="5">
                  <c:v>AI-ML Learning</c:v>
                </c:pt>
                <c:pt idx="6">
                  <c:v>Books &amp; Stationery</c:v>
                </c:pt>
                <c:pt idx="7">
                  <c:v>Subscriptions</c:v>
                </c:pt>
                <c:pt idx="8">
                  <c:v>Mobile &amp; Internet</c:v>
                </c:pt>
                <c:pt idx="9">
                  <c:v>Personal Care</c:v>
                </c:pt>
                <c:pt idx="10">
                  <c:v>Clothing</c:v>
                </c:pt>
                <c:pt idx="11">
                  <c:v>Entertainment</c:v>
                </c:pt>
                <c:pt idx="12">
                  <c:v>Travel Home</c:v>
                </c:pt>
                <c:pt idx="13">
                  <c:v>Health &amp; Fitness</c:v>
                </c:pt>
                <c:pt idx="14">
                  <c:v>Shopping &amp; Gifts</c:v>
                </c:pt>
                <c:pt idx="15">
                  <c:v>Emergency</c:v>
                </c:pt>
                <c:pt idx="16">
                  <c:v>Savings</c:v>
                </c:pt>
                <c:pt idx="17">
                  <c:v>Miscellaneous</c:v>
                </c:pt>
                <c:pt idx="18">
                  <c:v>Shared Expenses</c:v>
                </c:pt>
                <c:pt idx="19">
                  <c:v>Career</c:v>
                </c:pt>
              </c:strCache>
            </c:strRef>
          </c:cat>
          <c:val>
            <c:numRef>
              <c:f>'FIRST-YEAR COST'!$B$8:$B$27</c:f>
              <c:numCache>
                <c:formatCode>[$₹-4009]#,##0;[Red]\-[$₹-4009]#,##0;\–</c:formatCode>
                <c:ptCount val="20"/>
                <c:pt idx="0">
                  <c:v>4500</c:v>
                </c:pt>
                <c:pt idx="1">
                  <c:v>3500</c:v>
                </c:pt>
                <c:pt idx="2">
                  <c:v>4000</c:v>
                </c:pt>
                <c:pt idx="3">
                  <c:v>1500</c:v>
                </c:pt>
                <c:pt idx="4">
                  <c:v>1500</c:v>
                </c:pt>
                <c:pt idx="5">
                  <c:v>1000</c:v>
                </c:pt>
                <c:pt idx="6">
                  <c:v>500</c:v>
                </c:pt>
                <c:pt idx="7">
                  <c:v>600</c:v>
                </c:pt>
                <c:pt idx="8">
                  <c:v>400</c:v>
                </c:pt>
                <c:pt idx="9">
                  <c:v>500</c:v>
                </c:pt>
                <c:pt idx="10">
                  <c:v>500</c:v>
                </c:pt>
                <c:pt idx="11">
                  <c:v>1000</c:v>
                </c:pt>
                <c:pt idx="12">
                  <c:v>1000</c:v>
                </c:pt>
                <c:pt idx="13">
                  <c:v>700</c:v>
                </c:pt>
                <c:pt idx="14">
                  <c:v>1000</c:v>
                </c:pt>
                <c:pt idx="15">
                  <c:v>500</c:v>
                </c:pt>
                <c:pt idx="16">
                  <c:v>2000</c:v>
                </c:pt>
                <c:pt idx="17">
                  <c:v>800</c:v>
                </c:pt>
                <c:pt idx="18">
                  <c:v>500</c:v>
                </c:pt>
                <c:pt idx="1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47B-928F-4F0B9EE45F02}"/>
            </c:ext>
          </c:extLst>
        </c:ser>
        <c:ser>
          <c:idx val="1"/>
          <c:order val="1"/>
          <c:tx>
            <c:v>Annual Budget</c:v>
          </c:tx>
          <c:invertIfNegative val="1"/>
          <c:cat>
            <c:strRef>
              <c:f>'FIRST-YEAR COST'!$A$8:$A$27</c:f>
              <c:strCache>
                <c:ptCount val="20"/>
                <c:pt idx="0">
                  <c:v>College Fees</c:v>
                </c:pt>
                <c:pt idx="1">
                  <c:v>Hostel</c:v>
                </c:pt>
                <c:pt idx="2">
                  <c:v>Food</c:v>
                </c:pt>
                <c:pt idx="3">
                  <c:v>Transport</c:v>
                </c:pt>
                <c:pt idx="4">
                  <c:v>Technology</c:v>
                </c:pt>
                <c:pt idx="5">
                  <c:v>AI-ML Learning</c:v>
                </c:pt>
                <c:pt idx="6">
                  <c:v>Books &amp; Stationery</c:v>
                </c:pt>
                <c:pt idx="7">
                  <c:v>Subscriptions</c:v>
                </c:pt>
                <c:pt idx="8">
                  <c:v>Mobile &amp; Internet</c:v>
                </c:pt>
                <c:pt idx="9">
                  <c:v>Personal Care</c:v>
                </c:pt>
                <c:pt idx="10">
                  <c:v>Clothing</c:v>
                </c:pt>
                <c:pt idx="11">
                  <c:v>Entertainment</c:v>
                </c:pt>
                <c:pt idx="12">
                  <c:v>Travel Home</c:v>
                </c:pt>
                <c:pt idx="13">
                  <c:v>Health &amp; Fitness</c:v>
                </c:pt>
                <c:pt idx="14">
                  <c:v>Shopping &amp; Gifts</c:v>
                </c:pt>
                <c:pt idx="15">
                  <c:v>Emergency</c:v>
                </c:pt>
                <c:pt idx="16">
                  <c:v>Savings</c:v>
                </c:pt>
                <c:pt idx="17">
                  <c:v>Miscellaneous</c:v>
                </c:pt>
                <c:pt idx="18">
                  <c:v>Shared Expenses</c:v>
                </c:pt>
                <c:pt idx="19">
                  <c:v>Career</c:v>
                </c:pt>
              </c:strCache>
            </c:strRef>
          </c:cat>
          <c:val>
            <c:numRef>
              <c:f>'FIRST-YEAR COST'!$C$8:$C$27</c:f>
              <c:numCache>
                <c:formatCode>[$₹-4009]#,##0;[Red]\-[$₹-4009]#,##0;\–</c:formatCode>
                <c:ptCount val="20"/>
                <c:pt idx="0">
                  <c:v>54000</c:v>
                </c:pt>
                <c:pt idx="1">
                  <c:v>42000</c:v>
                </c:pt>
                <c:pt idx="2">
                  <c:v>48000</c:v>
                </c:pt>
                <c:pt idx="3">
                  <c:v>18000</c:v>
                </c:pt>
                <c:pt idx="4">
                  <c:v>18000</c:v>
                </c:pt>
                <c:pt idx="5">
                  <c:v>12000</c:v>
                </c:pt>
                <c:pt idx="6">
                  <c:v>6000</c:v>
                </c:pt>
                <c:pt idx="7">
                  <c:v>7200</c:v>
                </c:pt>
                <c:pt idx="8">
                  <c:v>4800</c:v>
                </c:pt>
                <c:pt idx="9">
                  <c:v>6000</c:v>
                </c:pt>
                <c:pt idx="10">
                  <c:v>6000</c:v>
                </c:pt>
                <c:pt idx="11">
                  <c:v>12000</c:v>
                </c:pt>
                <c:pt idx="12">
                  <c:v>12000</c:v>
                </c:pt>
                <c:pt idx="13">
                  <c:v>8400</c:v>
                </c:pt>
                <c:pt idx="14">
                  <c:v>12000</c:v>
                </c:pt>
                <c:pt idx="15">
                  <c:v>6000</c:v>
                </c:pt>
                <c:pt idx="16">
                  <c:v>24000</c:v>
                </c:pt>
                <c:pt idx="17">
                  <c:v>9600</c:v>
                </c:pt>
                <c:pt idx="18">
                  <c:v>6000</c:v>
                </c:pt>
                <c:pt idx="19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47B-928F-4F0B9EE45F02}"/>
            </c:ext>
          </c:extLst>
        </c:ser>
        <c:ser>
          <c:idx val="2"/>
          <c:order val="2"/>
          <c:tx>
            <c:v>Actual YTD</c:v>
          </c:tx>
          <c:invertIfNegative val="1"/>
          <c:cat>
            <c:strRef>
              <c:f>'FIRST-YEAR COST'!$A$8:$A$27</c:f>
              <c:strCache>
                <c:ptCount val="20"/>
                <c:pt idx="0">
                  <c:v>College Fees</c:v>
                </c:pt>
                <c:pt idx="1">
                  <c:v>Hostel</c:v>
                </c:pt>
                <c:pt idx="2">
                  <c:v>Food</c:v>
                </c:pt>
                <c:pt idx="3">
                  <c:v>Transport</c:v>
                </c:pt>
                <c:pt idx="4">
                  <c:v>Technology</c:v>
                </c:pt>
                <c:pt idx="5">
                  <c:v>AI-ML Learning</c:v>
                </c:pt>
                <c:pt idx="6">
                  <c:v>Books &amp; Stationery</c:v>
                </c:pt>
                <c:pt idx="7">
                  <c:v>Subscriptions</c:v>
                </c:pt>
                <c:pt idx="8">
                  <c:v>Mobile &amp; Internet</c:v>
                </c:pt>
                <c:pt idx="9">
                  <c:v>Personal Care</c:v>
                </c:pt>
                <c:pt idx="10">
                  <c:v>Clothing</c:v>
                </c:pt>
                <c:pt idx="11">
                  <c:v>Entertainment</c:v>
                </c:pt>
                <c:pt idx="12">
                  <c:v>Travel Home</c:v>
                </c:pt>
                <c:pt idx="13">
                  <c:v>Health &amp; Fitness</c:v>
                </c:pt>
                <c:pt idx="14">
                  <c:v>Shopping &amp; Gifts</c:v>
                </c:pt>
                <c:pt idx="15">
                  <c:v>Emergency</c:v>
                </c:pt>
                <c:pt idx="16">
                  <c:v>Savings</c:v>
                </c:pt>
                <c:pt idx="17">
                  <c:v>Miscellaneous</c:v>
                </c:pt>
                <c:pt idx="18">
                  <c:v>Shared Expenses</c:v>
                </c:pt>
                <c:pt idx="19">
                  <c:v>Career</c:v>
                </c:pt>
              </c:strCache>
            </c:strRef>
          </c:cat>
          <c:val>
            <c:numRef>
              <c:f>'FIRST-YEAR COST'!$D$8:$D$27</c:f>
              <c:numCache>
                <c:formatCode>[$₹-4009]#,##0;[Red]\-[$₹-4009]#,##0;\–</c:formatCode>
                <c:ptCount val="20"/>
                <c:pt idx="0">
                  <c:v>4500</c:v>
                </c:pt>
                <c:pt idx="1">
                  <c:v>10700</c:v>
                </c:pt>
                <c:pt idx="2">
                  <c:v>15120</c:v>
                </c:pt>
                <c:pt idx="3">
                  <c:v>1550</c:v>
                </c:pt>
                <c:pt idx="4">
                  <c:v>2500</c:v>
                </c:pt>
                <c:pt idx="5">
                  <c:v>3498</c:v>
                </c:pt>
                <c:pt idx="6">
                  <c:v>930</c:v>
                </c:pt>
                <c:pt idx="7">
                  <c:v>798</c:v>
                </c:pt>
                <c:pt idx="8">
                  <c:v>349</c:v>
                </c:pt>
                <c:pt idx="9">
                  <c:v>1200</c:v>
                </c:pt>
                <c:pt idx="10">
                  <c:v>0</c:v>
                </c:pt>
                <c:pt idx="11">
                  <c:v>900</c:v>
                </c:pt>
                <c:pt idx="12">
                  <c:v>4200</c:v>
                </c:pt>
                <c:pt idx="13">
                  <c:v>700</c:v>
                </c:pt>
                <c:pt idx="14">
                  <c:v>0</c:v>
                </c:pt>
                <c:pt idx="15">
                  <c:v>0</c:v>
                </c:pt>
                <c:pt idx="16">
                  <c:v>4500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47B-928F-4F0B9EE45F02}"/>
            </c:ext>
          </c:extLst>
        </c:ser>
        <c:ser>
          <c:idx val="3"/>
          <c:order val="3"/>
          <c:tx>
            <c:v>Projected Year</c:v>
          </c:tx>
          <c:invertIfNegative val="1"/>
          <c:cat>
            <c:strRef>
              <c:f>'FIRST-YEAR COST'!$A$8:$A$27</c:f>
              <c:strCache>
                <c:ptCount val="20"/>
                <c:pt idx="0">
                  <c:v>College Fees</c:v>
                </c:pt>
                <c:pt idx="1">
                  <c:v>Hostel</c:v>
                </c:pt>
                <c:pt idx="2">
                  <c:v>Food</c:v>
                </c:pt>
                <c:pt idx="3">
                  <c:v>Transport</c:v>
                </c:pt>
                <c:pt idx="4">
                  <c:v>Technology</c:v>
                </c:pt>
                <c:pt idx="5">
                  <c:v>AI-ML Learning</c:v>
                </c:pt>
                <c:pt idx="6">
                  <c:v>Books &amp; Stationery</c:v>
                </c:pt>
                <c:pt idx="7">
                  <c:v>Subscriptions</c:v>
                </c:pt>
                <c:pt idx="8">
                  <c:v>Mobile &amp; Internet</c:v>
                </c:pt>
                <c:pt idx="9">
                  <c:v>Personal Care</c:v>
                </c:pt>
                <c:pt idx="10">
                  <c:v>Clothing</c:v>
                </c:pt>
                <c:pt idx="11">
                  <c:v>Entertainment</c:v>
                </c:pt>
                <c:pt idx="12">
                  <c:v>Travel Home</c:v>
                </c:pt>
                <c:pt idx="13">
                  <c:v>Health &amp; Fitness</c:v>
                </c:pt>
                <c:pt idx="14">
                  <c:v>Shopping &amp; Gifts</c:v>
                </c:pt>
                <c:pt idx="15">
                  <c:v>Emergency</c:v>
                </c:pt>
                <c:pt idx="16">
                  <c:v>Savings</c:v>
                </c:pt>
                <c:pt idx="17">
                  <c:v>Miscellaneous</c:v>
                </c:pt>
                <c:pt idx="18">
                  <c:v>Shared Expenses</c:v>
                </c:pt>
                <c:pt idx="19">
                  <c:v>Career</c:v>
                </c:pt>
              </c:strCache>
            </c:strRef>
          </c:cat>
          <c:val>
            <c:numRef>
              <c:f>'FIRST-YEAR COST'!$E$8:$E$27</c:f>
              <c:numCache>
                <c:formatCode>[$₹-4009]#,##0;[Red]\-[$₹-4009]#,##0;\–</c:formatCode>
                <c:ptCount val="20"/>
                <c:pt idx="0">
                  <c:v>13500</c:v>
                </c:pt>
                <c:pt idx="1">
                  <c:v>17700</c:v>
                </c:pt>
                <c:pt idx="2">
                  <c:v>23120</c:v>
                </c:pt>
                <c:pt idx="3">
                  <c:v>4550</c:v>
                </c:pt>
                <c:pt idx="4">
                  <c:v>5500</c:v>
                </c:pt>
                <c:pt idx="5">
                  <c:v>5498</c:v>
                </c:pt>
                <c:pt idx="6">
                  <c:v>1930</c:v>
                </c:pt>
                <c:pt idx="7">
                  <c:v>1998</c:v>
                </c:pt>
                <c:pt idx="8">
                  <c:v>1149</c:v>
                </c:pt>
                <c:pt idx="9">
                  <c:v>2200</c:v>
                </c:pt>
                <c:pt idx="10">
                  <c:v>1000</c:v>
                </c:pt>
                <c:pt idx="11">
                  <c:v>2900</c:v>
                </c:pt>
                <c:pt idx="12">
                  <c:v>6200</c:v>
                </c:pt>
                <c:pt idx="13">
                  <c:v>2100</c:v>
                </c:pt>
                <c:pt idx="14">
                  <c:v>2000</c:v>
                </c:pt>
                <c:pt idx="15">
                  <c:v>1000</c:v>
                </c:pt>
                <c:pt idx="16">
                  <c:v>8500</c:v>
                </c:pt>
                <c:pt idx="17">
                  <c:v>1600</c:v>
                </c:pt>
                <c:pt idx="18">
                  <c:v>1000</c:v>
                </c:pt>
                <c:pt idx="1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47B-928F-4F0B9EE45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$₹-4009]#,##0;[Red]\-[$₹-4009]#,##0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Income, Budget and Expense Trend (₹)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Income</c:v>
          </c:tx>
          <c:marker>
            <c:symbol val="none"/>
          </c:marker>
          <c:cat>
            <c:strRef>
              <c:f>'ANNUAL SUMMARY'!$Y$4:$Y$15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SUMMARY'!$Z$4:$Z$15</c:f>
              <c:numCache>
                <c:formatCode>General</c:formatCode>
                <c:ptCount val="12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25000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8-47EA-8308-5DCCFA455B93}"/>
            </c:ext>
          </c:extLst>
        </c:ser>
        <c:ser>
          <c:idx val="1"/>
          <c:order val="1"/>
          <c:tx>
            <c:v>Budget</c:v>
          </c:tx>
          <c:marker>
            <c:symbol val="none"/>
          </c:marker>
          <c:cat>
            <c:strRef>
              <c:f>'ANNUAL SUMMARY'!$Y$4:$Y$15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SUMMARY'!$AA$4:$AA$15</c:f>
              <c:numCache>
                <c:formatCode>General</c:formatCode>
                <c:ptCount val="12"/>
                <c:pt idx="0">
                  <c:v>26500</c:v>
                </c:pt>
                <c:pt idx="1">
                  <c:v>26500</c:v>
                </c:pt>
                <c:pt idx="2">
                  <c:v>26500</c:v>
                </c:pt>
                <c:pt idx="3">
                  <c:v>26500</c:v>
                </c:pt>
                <c:pt idx="4">
                  <c:v>26500</c:v>
                </c:pt>
                <c:pt idx="5">
                  <c:v>26500</c:v>
                </c:pt>
                <c:pt idx="6">
                  <c:v>26500</c:v>
                </c:pt>
                <c:pt idx="7">
                  <c:v>26500</c:v>
                </c:pt>
                <c:pt idx="8">
                  <c:v>26500</c:v>
                </c:pt>
                <c:pt idx="9">
                  <c:v>26500</c:v>
                </c:pt>
                <c:pt idx="10">
                  <c:v>26500</c:v>
                </c:pt>
                <c:pt idx="11">
                  <c:v>26500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8-47EA-8308-5DCCFA455B93}"/>
            </c:ext>
          </c:extLst>
        </c:ser>
        <c:ser>
          <c:idx val="2"/>
          <c:order val="2"/>
          <c:tx>
            <c:v>Expense</c:v>
          </c:tx>
          <c:marker>
            <c:symbol val="none"/>
          </c:marker>
          <c:cat>
            <c:strRef>
              <c:f>'ANNUAL SUMMARY'!$Y$4:$Y$15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SUMMARY'!$AB$4:$AB$15</c:f>
              <c:numCache>
                <c:formatCode>General</c:formatCode>
                <c:ptCount val="12"/>
                <c:pt idx="0">
                  <c:v>8000</c:v>
                </c:pt>
                <c:pt idx="1">
                  <c:v>4400</c:v>
                </c:pt>
                <c:pt idx="2">
                  <c:v>3099</c:v>
                </c:pt>
                <c:pt idx="3">
                  <c:v>4900</c:v>
                </c:pt>
                <c:pt idx="4">
                  <c:v>3300</c:v>
                </c:pt>
                <c:pt idx="5">
                  <c:v>2649</c:v>
                </c:pt>
                <c:pt idx="6">
                  <c:v>8200</c:v>
                </c:pt>
                <c:pt idx="7">
                  <c:v>5200</c:v>
                </c:pt>
                <c:pt idx="8">
                  <c:v>7197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8-47EA-8308-5DCCFA455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Cumulative Savings Growth (₹)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Savings</c:v>
          </c:tx>
          <c:marker>
            <c:symbol val="none"/>
          </c:marker>
          <c:cat>
            <c:strRef>
              <c:f>'ANNUAL SUMMARY'!$AD$4:$AD$15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SUMMARY'!$AE$4:$AE$15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2000</c:v>
                </c:pt>
                <c:pt idx="8">
                  <c:v>4500</c:v>
                </c:pt>
                <c:pt idx="9">
                  <c:v>4500</c:v>
                </c:pt>
                <c:pt idx="10">
                  <c:v>4500</c:v>
                </c:pt>
                <c:pt idx="11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2-48FA-AC0F-82E0BD917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25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44</xdr:row>
      <xdr:rowOff>0</xdr:rowOff>
    </xdr:from>
    <xdr:to>
      <xdr:col>16</xdr:col>
      <xdr:colOff>0</xdr:colOff>
      <xdr:row>61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7</xdr:col>
      <xdr:colOff>0</xdr:colOff>
      <xdr:row>65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63</xdr:row>
      <xdr:rowOff>0</xdr:rowOff>
    </xdr:from>
    <xdr:to>
      <xdr:col>16</xdr:col>
      <xdr:colOff>0</xdr:colOff>
      <xdr:row>79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8</xdr:col>
      <xdr:colOff>0</xdr:colOff>
      <xdr:row>83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81</xdr:row>
      <xdr:rowOff>0</xdr:rowOff>
    </xdr:from>
    <xdr:to>
      <xdr:col>16</xdr:col>
      <xdr:colOff>0</xdr:colOff>
      <xdr:row>97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381000</xdr:colOff>
      <xdr:row>30</xdr:row>
      <xdr:rowOff>152400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6727FCF-BA67-31F3-CE7C-7BF1613845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11</xdr:col>
      <xdr:colOff>0</xdr:colOff>
      <xdr:row>41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23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609600</xdr:colOff>
      <xdr:row>38</xdr:row>
      <xdr:rowOff>152400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530955E9-18C1-A024-8AF2-7FFB7E708A2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76200</xdr:colOff>
      <xdr:row>33</xdr:row>
      <xdr:rowOff>144780</xdr:rowOff>
    </xdr:to>
    <xdr:sp macro="" textlink="">
      <xdr:nvSpPr>
        <xdr:cNvPr id="7170" name="Text Box 2" hidden="1">
          <a:extLst>
            <a:ext uri="{FF2B5EF4-FFF2-40B4-BE49-F238E27FC236}">
              <a16:creationId xmlns:a16="http://schemas.microsoft.com/office/drawing/2014/main" id="{7458277F-1DCF-3800-4029-779D5FB61F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itya Pandey" id="{9CB09470-B186-4909-877D-81F13F2BF5B0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DashboardCategoryStatus" displayName="DashboardCategoryStatus" ref="A26:F46" totalsRowShown="0">
  <tableColumns count="6">
    <tableColumn id="1" xr3:uid="{00000000-0010-0000-0000-000001000000}" name="Category"/>
    <tableColumn id="2" xr3:uid="{00000000-0010-0000-0000-000002000000}" name="Budget"/>
    <tableColumn id="3" xr3:uid="{00000000-0010-0000-0000-000003000000}" name="Actual"/>
    <tableColumn id="4" xr3:uid="{00000000-0010-0000-0000-000004000000}" name="Remaining"/>
    <tableColumn id="5" xr3:uid="{00000000-0010-0000-0000-000005000000}" name="% Used"/>
    <tableColumn id="6" xr3:uid="{00000000-0010-0000-0000-000006000000}" name="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asterTransactions" displayName="MasterTransactions" ref="A7:AG1007" totalsRowShown="0">
  <tableColumns count="33">
    <tableColumn id="1" xr3:uid="{00000000-0010-0000-0100-000001000000}" name="Include?"/>
    <tableColumn id="2" xr3:uid="{00000000-0010-0000-0100-000002000000}" name="Date"/>
    <tableColumn id="3" xr3:uid="{00000000-0010-0000-0100-000003000000}" name="Type"/>
    <tableColumn id="4" xr3:uid="{00000000-0010-0000-0100-000004000000}" name="Description"/>
    <tableColumn id="5" xr3:uid="{00000000-0010-0000-0100-000005000000}" name="Amount"/>
    <tableColumn id="6" xr3:uid="{00000000-0010-0000-0100-000006000000}" name="Payment Method"/>
    <tableColumn id="7" xr3:uid="{00000000-0010-0000-0100-000007000000}" name="Category Override"/>
    <tableColumn id="8" xr3:uid="{00000000-0010-0000-0100-000008000000}" name="Suggested Category"/>
    <tableColumn id="9" xr3:uid="{00000000-0010-0000-0100-000009000000}" name="Final Category"/>
    <tableColumn id="10" xr3:uid="{00000000-0010-0000-0100-00000A000000}" name="Subcategory"/>
    <tableColumn id="11" xr3:uid="{00000000-0010-0000-0100-00000B000000}" name="Merchant / Vendor"/>
    <tableColumn id="12" xr3:uid="{00000000-0010-0000-0100-00000C000000}" name="Account"/>
    <tableColumn id="13" xr3:uid="{00000000-0010-0000-0100-00000D000000}" name="Need / Want"/>
    <tableColumn id="14" xr3:uid="{00000000-0010-0000-0100-00000E000000}" name="Recurring?"/>
    <tableColumn id="15" xr3:uid="{00000000-0010-0000-0100-00000F000000}" name="Payment Status"/>
    <tableColumn id="16" xr3:uid="{00000000-0010-0000-0100-000010000000}" name="Due Date"/>
    <tableColumn id="17" xr3:uid="{00000000-0010-0000-0100-000011000000}" name="Paid By"/>
    <tableColumn id="18" xr3:uid="{00000000-0010-0000-0100-000012000000}" name="Semester"/>
    <tableColumn id="19" xr3:uid="{00000000-0010-0000-0100-000013000000}" name="Tag"/>
    <tableColumn id="20" xr3:uid="{00000000-0010-0000-0100-000014000000}" name="Planned Amount"/>
    <tableColumn id="21" xr3:uid="{00000000-0010-0000-0100-000015000000}" name="Transaction ID"/>
    <tableColumn id="22" xr3:uid="{00000000-0010-0000-0100-000016000000}" name="Month"/>
    <tableColumn id="23" xr3:uid="{00000000-0010-0000-0100-000017000000}" name="Month No"/>
    <tableColumn id="24" xr3:uid="{00000000-0010-0000-0100-000018000000}" name="Year"/>
    <tableColumn id="25" xr3:uid="{00000000-0010-0000-0100-000019000000}" name="Day"/>
    <tableColumn id="26" xr3:uid="{00000000-0010-0000-0100-00001A000000}" name="Day Type"/>
    <tableColumn id="27" xr3:uid="{00000000-0010-0000-0100-00001B000000}" name="Duplicate Check"/>
    <tableColumn id="28" xr3:uid="{00000000-0010-0000-0100-00001C000000}" name="Unusual Check"/>
    <tableColumn id="29" xr3:uid="{00000000-0010-0000-0100-00001D000000}" name="Demo?"/>
    <tableColumn id="30" xr3:uid="{00000000-0010-0000-0100-00001E000000}" name="Notes"/>
    <tableColumn id="31" xr3:uid="{00000000-0010-0000-0100-00001F000000}" name="Receipt / File Link"/>
    <tableColumn id="32" xr3:uid="{00000000-0010-0000-0100-000020000000}" name="Report?"/>
    <tableColumn id="33" xr3:uid="{00000000-0010-0000-0100-000021000000}" name="Data Qu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ransactionAudit" displayName="TransactionAudit" ref="A7:P307" totalsRowShown="0">
  <tableColumns count="16">
    <tableColumn id="1" xr3:uid="{00000000-0010-0000-0200-000001000000}" name="Transaction ID"/>
    <tableColumn id="2" xr3:uid="{00000000-0010-0000-0200-000002000000}" name="Date"/>
    <tableColumn id="3" xr3:uid="{00000000-0010-0000-0200-000003000000}" name="Type"/>
    <tableColumn id="4" xr3:uid="{00000000-0010-0000-0200-000004000000}" name="Category"/>
    <tableColumn id="5" xr3:uid="{00000000-0010-0000-0200-000005000000}" name="Description"/>
    <tableColumn id="6" xr3:uid="{00000000-0010-0000-0200-000006000000}" name="Merchant"/>
    <tableColumn id="7" xr3:uid="{00000000-0010-0000-0200-000007000000}" name="Amount"/>
    <tableColumn id="8" xr3:uid="{00000000-0010-0000-0200-000008000000}" name="Payment Method"/>
    <tableColumn id="9" xr3:uid="{00000000-0010-0000-0200-000009000000}" name="Account"/>
    <tableColumn id="10" xr3:uid="{00000000-0010-0000-0200-00000A000000}" name="Need / Want"/>
    <tableColumn id="11" xr3:uid="{00000000-0010-0000-0200-00000B000000}" name="Month"/>
    <tableColumn id="12" xr3:uid="{00000000-0010-0000-0200-00000C000000}" name="Semester"/>
    <tableColumn id="13" xr3:uid="{00000000-0010-0000-0200-00000D000000}" name="Status"/>
    <tableColumn id="14" xr3:uid="{00000000-0010-0000-0200-00000E000000}" name="Duplicate"/>
    <tableColumn id="15" xr3:uid="{00000000-0010-0000-0200-00000F000000}" name="Data Quality"/>
    <tableColumn id="16" xr3:uid="{00000000-0010-0000-0200-000010000000}" name="Report?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MonthlyBudgetMatrix" displayName="MonthlyBudgetMatrix" ref="A7:X27" totalsRowShown="0">
  <tableColumns count="24">
    <tableColumn id="1" xr3:uid="{00000000-0010-0000-0300-000001000000}" name="Category"/>
    <tableColumn id="2" xr3:uid="{00000000-0010-0000-0300-000002000000}" name="Priority"/>
    <tableColumn id="3" xr3:uid="{00000000-0010-0000-0300-000003000000}" name="Cost Type"/>
    <tableColumn id="4" xr3:uid="{00000000-0010-0000-0300-000004000000}" name="Need Class"/>
    <tableColumn id="5" xr3:uid="{00000000-0010-0000-0300-000005000000}" name="Domain"/>
    <tableColumn id="6" xr3:uid="{00000000-0010-0000-0300-000006000000}" name="Default Budget"/>
    <tableColumn id="7" xr3:uid="{00000000-0010-0000-0300-000007000000}" name="January"/>
    <tableColumn id="8" xr3:uid="{00000000-0010-0000-0300-000008000000}" name="February"/>
    <tableColumn id="9" xr3:uid="{00000000-0010-0000-0300-000009000000}" name="March"/>
    <tableColumn id="10" xr3:uid="{00000000-0010-0000-0300-00000A000000}" name="April"/>
    <tableColumn id="11" xr3:uid="{00000000-0010-0000-0300-00000B000000}" name="May"/>
    <tableColumn id="12" xr3:uid="{00000000-0010-0000-0300-00000C000000}" name="June"/>
    <tableColumn id="13" xr3:uid="{00000000-0010-0000-0300-00000D000000}" name="July"/>
    <tableColumn id="14" xr3:uid="{00000000-0010-0000-0300-00000E000000}" name="August"/>
    <tableColumn id="15" xr3:uid="{00000000-0010-0000-0300-00000F000000}" name="September"/>
    <tableColumn id="16" xr3:uid="{00000000-0010-0000-0300-000010000000}" name="October"/>
    <tableColumn id="17" xr3:uid="{00000000-0010-0000-0300-000011000000}" name="November"/>
    <tableColumn id="18" xr3:uid="{00000000-0010-0000-0300-000012000000}" name="December"/>
    <tableColumn id="19" xr3:uid="{00000000-0010-0000-0300-000013000000}" name="Selected Budget"/>
    <tableColumn id="20" xr3:uid="{00000000-0010-0000-0300-000014000000}" name="Actual"/>
    <tableColumn id="21" xr3:uid="{00000000-0010-0000-0300-000015000000}" name="Difference"/>
    <tableColumn id="22" xr3:uid="{00000000-0010-0000-0300-000016000000}" name="% Used"/>
    <tableColumn id="23" xr3:uid="{00000000-0010-0000-0300-000017000000}" name="Projected"/>
    <tableColumn id="24" xr3:uid="{00000000-0010-0000-0300-000018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AllowanceSchedule" displayName="AllowanceSchedule" ref="A7:G19" totalsRowShown="0">
  <tableColumns count="7">
    <tableColumn id="1" xr3:uid="{00000000-0010-0000-0400-000001000000}" name="Month"/>
    <tableColumn id="2" xr3:uid="{00000000-0010-0000-0400-000002000000}" name="Standard Allowance"/>
    <tableColumn id="3" xr3:uid="{00000000-0010-0000-0400-000003000000}" name="Exception / Override"/>
    <tableColumn id="4" xr3:uid="{00000000-0010-0000-0400-000004000000}" name="Planned Allowance"/>
    <tableColumn id="5" xr3:uid="{00000000-0010-0000-0400-000005000000}" name="Allowance Received"/>
    <tableColumn id="6" xr3:uid="{00000000-0010-0000-0400-000006000000}" name="Other Income"/>
    <tableColumn id="7" xr3:uid="{00000000-0010-0000-0400-000007000000}" name="Varianc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CollegeFeePlanner" displayName="CollegeFeePlanner" ref="A7:M19" totalsRowShown="0">
  <tableColumns count="13">
    <tableColumn id="1" xr3:uid="{00000000-0010-0000-0500-000001000000}" name="Fee Item"/>
    <tableColumn id="2" xr3:uid="{00000000-0010-0000-0500-000002000000}" name="Semester"/>
    <tableColumn id="3" xr3:uid="{00000000-0010-0000-0500-000003000000}" name="Original Fee"/>
    <tableColumn id="4" xr3:uid="{00000000-0010-0000-0500-000004000000}" name="Concession"/>
    <tableColumn id="5" xr3:uid="{00000000-0010-0000-0500-000005000000}" name="Waiver"/>
    <tableColumn id="6" xr3:uid="{00000000-0010-0000-0500-000006000000}" name="Scholarship Adj."/>
    <tableColumn id="7" xr3:uid="{00000000-0010-0000-0500-000007000000}" name="Final Payable"/>
    <tableColumn id="8" xr3:uid="{00000000-0010-0000-0500-000008000000}" name="Due Date"/>
    <tableColumn id="9" xr3:uid="{00000000-0010-0000-0500-000009000000}" name="Paid (Transactions)"/>
    <tableColumn id="10" xr3:uid="{00000000-0010-0000-0500-00000A000000}" name="Pending"/>
    <tableColumn id="11" xr3:uid="{00000000-0010-0000-0500-00000B000000}" name="Status"/>
    <tableColumn id="12" xr3:uid="{00000000-0010-0000-0500-00000C000000}" name="Due Alert"/>
    <tableColumn id="13" xr3:uid="{00000000-0010-0000-0500-00000D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FeeInstallments" displayName="FeeInstallments" ref="A25:I33" totalsRowShown="0">
  <tableColumns count="9">
    <tableColumn id="1" xr3:uid="{00000000-0010-0000-0600-000001000000}" name="Expense"/>
    <tableColumn id="2" xr3:uid="{00000000-0010-0000-0600-000002000000}" name="Total Amount"/>
    <tableColumn id="3" xr3:uid="{00000000-0010-0000-0600-000003000000}" name="# Installments"/>
    <tableColumn id="4" xr3:uid="{00000000-0010-0000-0600-000004000000}" name="Installment #"/>
    <tableColumn id="5" xr3:uid="{00000000-0010-0000-0600-000005000000}" name="Amount"/>
    <tableColumn id="6" xr3:uid="{00000000-0010-0000-0600-000006000000}" name="Due Date"/>
    <tableColumn id="7" xr3:uid="{00000000-0010-0000-0600-000007000000}" name="Paid Date"/>
    <tableColumn id="8" xr3:uid="{00000000-0010-0000-0600-000008000000}" name="Status"/>
    <tableColumn id="9" xr3:uid="{00000000-0010-0000-0600-000009000000}" name="Balance Remain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HostelExpenseAnalysis" displayName="HostelExpenseAnalysis" ref="A7:E19" totalsRowShown="0">
  <tableColumns count="5">
    <tableColumn id="1" xr3:uid="{00000000-0010-0000-0700-000001000000}" name="Subcategory"/>
    <tableColumn id="2" xr3:uid="{00000000-0010-0000-0700-000002000000}" name="Selected Month"/>
    <tableColumn id="3" xr3:uid="{00000000-0010-0000-0700-000003000000}" name="Annual"/>
    <tableColumn id="4" xr3:uid="{00000000-0010-0000-0700-000004000000}" name="Transactions"/>
    <tableColumn id="5" xr3:uid="{00000000-0010-0000-0700-000005000000}" name="% of Category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HostelSetupPlanner" displayName="HostelSetupPlanner" ref="A24:H39" totalsRowShown="0">
  <tableColumns count="8">
    <tableColumn id="1" xr3:uid="{00000000-0010-0000-0800-000001000000}" name="Item"/>
    <tableColumn id="2" xr3:uid="{00000000-0010-0000-0800-000002000000}" name="Required / Optional"/>
    <tableColumn id="3" xr3:uid="{00000000-0010-0000-0800-000003000000}" name="Already Owned?"/>
    <tableColumn id="4" xr3:uid="{00000000-0010-0000-0800-000004000000}" name="Need to Purchase?"/>
    <tableColumn id="5" xr3:uid="{00000000-0010-0000-0800-000005000000}" name="Estimated Cost"/>
    <tableColumn id="6" xr3:uid="{00000000-0010-0000-0800-000006000000}" name="Actual Cost"/>
    <tableColumn id="7" xr3:uid="{00000000-0010-0000-0800-000007000000}" name="Difference"/>
    <tableColumn id="8" xr3:uid="{00000000-0010-0000-0800-000008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9000000}" name="FoodExpenseAnalysis" displayName="FoodExpenseAnalysis" ref="A7:E20" totalsRowShown="0">
  <tableColumns count="5">
    <tableColumn id="1" xr3:uid="{00000000-0010-0000-0900-000001000000}" name="Subcategory"/>
    <tableColumn id="2" xr3:uid="{00000000-0010-0000-0900-000002000000}" name="Selected Month"/>
    <tableColumn id="3" xr3:uid="{00000000-0010-0000-0900-000003000000}" name="Annual"/>
    <tableColumn id="4" xr3:uid="{00000000-0010-0000-0900-000004000000}" name="Transactions"/>
    <tableColumn id="5" xr3:uid="{00000000-0010-0000-0900-000005000000}" name="% of Category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A000000}" name="TransportAnalysis" displayName="TransportAnalysis" ref="A7:E17" totalsRowShown="0">
  <tableColumns count="5">
    <tableColumn id="1" xr3:uid="{00000000-0010-0000-0A00-000001000000}" name="Subcategory"/>
    <tableColumn id="2" xr3:uid="{00000000-0010-0000-0A00-000002000000}" name="Selected Month"/>
    <tableColumn id="3" xr3:uid="{00000000-0010-0000-0A00-000003000000}" name="Annual"/>
    <tableColumn id="4" xr3:uid="{00000000-0010-0000-0A00-000004000000}" name="Transactions"/>
    <tableColumn id="5" xr3:uid="{00000000-0010-0000-0A00-000005000000}" name="% of Category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B000000}" name="HomeTravelPlanner" displayName="HomeTravelPlanner" ref="A22:J30" totalsRowShown="0">
  <tableColumns count="10">
    <tableColumn id="1" xr3:uid="{00000000-0010-0000-0B00-000001000000}" name="Travel Date"/>
    <tableColumn id="2" xr3:uid="{00000000-0010-0000-0B00-000002000000}" name="Return Date"/>
    <tableColumn id="3" xr3:uid="{00000000-0010-0000-0B00-000003000000}" name="Purpose"/>
    <tableColumn id="4" xr3:uid="{00000000-0010-0000-0B00-000004000000}" name="Destination"/>
    <tableColumn id="5" xr3:uid="{00000000-0010-0000-0B00-000005000000}" name="Mode"/>
    <tableColumn id="6" xr3:uid="{00000000-0010-0000-0B00-000006000000}" name="Ticket Cost"/>
    <tableColumn id="7" xr3:uid="{00000000-0010-0000-0B00-000007000000}" name="Local Travel"/>
    <tableColumn id="8" xr3:uid="{00000000-0010-0000-0B00-000008000000}" name="Food"/>
    <tableColumn id="9" xr3:uid="{00000000-0010-0000-0B00-000009000000}" name="Total Trip Cost"/>
    <tableColumn id="10" xr3:uid="{00000000-0010-0000-0B00-00000A000000}" name="Booked?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C000000}" name="TechnologyAnalysis" displayName="TechnologyAnalysis" ref="A7:E20" totalsRowShown="0">
  <tableColumns count="5">
    <tableColumn id="1" xr3:uid="{00000000-0010-0000-0C00-000001000000}" name="Subcategory"/>
    <tableColumn id="2" xr3:uid="{00000000-0010-0000-0C00-000002000000}" name="Selected Month"/>
    <tableColumn id="3" xr3:uid="{00000000-0010-0000-0C00-000003000000}" name="Annual"/>
    <tableColumn id="4" xr3:uid="{00000000-0010-0000-0C00-000004000000}" name="Transactions"/>
    <tableColumn id="5" xr3:uid="{00000000-0010-0000-0C00-000005000000}" name="% of Category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D000000}" name="DeviceOwnership" displayName="DeviceOwnership" ref="A25:J31" totalsRowShown="0">
  <tableColumns count="10">
    <tableColumn id="1" xr3:uid="{00000000-0010-0000-0D00-000001000000}" name="Item"/>
    <tableColumn id="2" xr3:uid="{00000000-0010-0000-0D00-000002000000}" name="Purchase Price"/>
    <tableColumn id="3" xr3:uid="{00000000-0010-0000-0D00-000003000000}" name="Accessories"/>
    <tableColumn id="4" xr3:uid="{00000000-0010-0000-0D00-000004000000}" name="Repairs"/>
    <tableColumn id="5" xr3:uid="{00000000-0010-0000-0D00-000005000000}" name="Upgrades"/>
    <tableColumn id="6" xr3:uid="{00000000-0010-0000-0D00-000006000000}" name="Software"/>
    <tableColumn id="7" xr3:uid="{00000000-0010-0000-0D00-000007000000}" name="Insurance"/>
    <tableColumn id="8" xr3:uid="{00000000-0010-0000-0D00-000008000000}" name="Years Used"/>
    <tableColumn id="9" xr3:uid="{00000000-0010-0000-0D00-000009000000}" name="Total Ownership"/>
    <tableColumn id="10" xr3:uid="{00000000-0010-0000-0D00-00000A000000}" name="Monthly Ownership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E000000}" name="AIMLLearningAnalysis" displayName="AIMLLearningAnalysis" ref="A7:E17" totalsRowShown="0">
  <tableColumns count="5">
    <tableColumn id="1" xr3:uid="{00000000-0010-0000-0E00-000001000000}" name="Subcategory"/>
    <tableColumn id="2" xr3:uid="{00000000-0010-0000-0E00-000002000000}" name="Selected Month"/>
    <tableColumn id="3" xr3:uid="{00000000-0010-0000-0E00-000003000000}" name="Annual"/>
    <tableColumn id="4" xr3:uid="{00000000-0010-0000-0E00-000004000000}" name="Transactions"/>
    <tableColumn id="5" xr3:uid="{00000000-0010-0000-0E00-000005000000}" name="% of Category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F000000}" name="CourseROI" displayName="CourseROI" ref="A22:K30" totalsRowShown="0">
  <tableColumns count="11">
    <tableColumn id="1" xr3:uid="{00000000-0010-0000-0F00-000001000000}" name="Course"/>
    <tableColumn id="2" xr3:uid="{00000000-0010-0000-0F00-000002000000}" name="Provider"/>
    <tableColumn id="3" xr3:uid="{00000000-0010-0000-0F00-000003000000}" name="Cost"/>
    <tableColumn id="4" xr3:uid="{00000000-0010-0000-0F00-000004000000}" name="Purchase Date"/>
    <tableColumn id="5" xr3:uid="{00000000-0010-0000-0F00-000005000000}" name="Completion %"/>
    <tableColumn id="6" xr3:uid="{00000000-0010-0000-0F00-000006000000}" name="Certificate?"/>
    <tableColumn id="7" xr3:uid="{00000000-0010-0000-0F00-000007000000}" name="Skills Learned"/>
    <tableColumn id="8" xr3:uid="{00000000-0010-0000-0F00-000008000000}" name="Useful?"/>
    <tableColumn id="9" xr3:uid="{00000000-0010-0000-0F00-000009000000}" name="Rating / 5"/>
    <tableColumn id="10" xr3:uid="{00000000-0010-0000-0F00-00000A000000}" name="Career Relevance"/>
    <tableColumn id="11" xr3:uid="{00000000-0010-0000-0F00-00000B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0000000}" name="ProjectBudget" displayName="ProjectBudget" ref="A36:L44" totalsRowShown="0">
  <tableColumns count="12">
    <tableColumn id="1" xr3:uid="{00000000-0010-0000-1000-000001000000}" name="Project"/>
    <tableColumn id="2" xr3:uid="{00000000-0010-0000-1000-000002000000}" name="Semester"/>
    <tableColumn id="3" xr3:uid="{00000000-0010-0000-1000-000003000000}" name="Software"/>
    <tableColumn id="4" xr3:uid="{00000000-0010-0000-1000-000004000000}" name="Cloud/API"/>
    <tableColumn id="5" xr3:uid="{00000000-0010-0000-1000-000005000000}" name="Hardware"/>
    <tableColumn id="6" xr3:uid="{00000000-0010-0000-1000-000006000000}" name="Dataset"/>
    <tableColumn id="7" xr3:uid="{00000000-0010-0000-1000-000007000000}" name="Printing"/>
    <tableColumn id="8" xr3:uid="{00000000-0010-0000-1000-000008000000}" name="Travel"/>
    <tableColumn id="9" xr3:uid="{00000000-0010-0000-1000-000009000000}" name="Registration"/>
    <tableColumn id="10" xr3:uid="{00000000-0010-0000-1000-00000A000000}" name="Budget"/>
    <tableColumn id="11" xr3:uid="{00000000-0010-0000-1000-00000B000000}" name="Actual"/>
    <tableColumn id="12" xr3:uid="{00000000-0010-0000-1000-00000C000000}" name="Differenc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1000000}" name="LifestyleAnalysis" displayName="LifestyleAnalysis" ref="A7:E15" totalsRowShown="0">
  <tableColumns count="5">
    <tableColumn id="1" xr3:uid="{00000000-0010-0000-1100-000001000000}" name="Subcategory"/>
    <tableColumn id="2" xr3:uid="{00000000-0010-0000-1100-000002000000}" name="Selected Month"/>
    <tableColumn id="3" xr3:uid="{00000000-0010-0000-1100-000003000000}" name="Annual"/>
    <tableColumn id="4" xr3:uid="{00000000-0010-0000-1100-000004000000}" name="Transactions"/>
    <tableColumn id="5" xr3:uid="{00000000-0010-0000-1100-000005000000}" name="% of Category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2000000}" name="PurchasePause" displayName="PurchasePause" ref="A30:G38" totalsRowShown="0">
  <tableColumns count="7">
    <tableColumn id="1" xr3:uid="{00000000-0010-0000-1200-000001000000}" name="Item"/>
    <tableColumn id="2" xr3:uid="{00000000-0010-0000-1200-000002000000}" name="Price"/>
    <tableColumn id="3" xr3:uid="{00000000-0010-0000-1200-000003000000}" name="Date Considered"/>
    <tableColumn id="4" xr3:uid="{00000000-0010-0000-1200-000004000000}" name="Earliest Purchase"/>
    <tableColumn id="5" xr3:uid="{00000000-0010-0000-1200-000005000000}" name="Priority"/>
    <tableColumn id="6" xr3:uid="{00000000-0010-0000-1200-000006000000}" name="Final Decision"/>
    <tableColumn id="7" xr3:uid="{00000000-0010-0000-1200-000007000000}" name="Not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3000000}" name="SubscriptionReview" displayName="SubscriptionReview" ref="A7:P17" totalsRowShown="0">
  <tableColumns count="16">
    <tableColumn id="1" xr3:uid="{00000000-0010-0000-1300-000001000000}" name="Name"/>
    <tableColumn id="2" xr3:uid="{00000000-0010-0000-1300-000002000000}" name="Category"/>
    <tableColumn id="3" xr3:uid="{00000000-0010-0000-1300-000003000000}" name="Billing"/>
    <tableColumn id="4" xr3:uid="{00000000-0010-0000-1300-000004000000}" name="Amount"/>
    <tableColumn id="5" xr3:uid="{00000000-0010-0000-1300-000005000000}" name="Monthly Eq."/>
    <tableColumn id="6" xr3:uid="{00000000-0010-0000-1300-000006000000}" name="Annual Cost"/>
    <tableColumn id="7" xr3:uid="{00000000-0010-0000-1300-000007000000}" name="Renewal"/>
    <tableColumn id="8" xr3:uid="{00000000-0010-0000-1300-000008000000}" name="Auto Renew"/>
    <tableColumn id="9" xr3:uid="{00000000-0010-0000-1300-000009000000}" name="Payment"/>
    <tableColumn id="10" xr3:uid="{00000000-0010-0000-1300-00000A000000}" name="Need"/>
    <tableColumn id="11" xr3:uid="{00000000-0010-0000-1300-00000B000000}" name="Usage"/>
    <tableColumn id="12" xr3:uid="{00000000-0010-0000-1300-00000C000000}" name="Last Used"/>
    <tableColumn id="13" xr3:uid="{00000000-0010-0000-1300-00000D000000}" name="Rating"/>
    <tableColumn id="14" xr3:uid="{00000000-0010-0000-1300-00000E000000}" name="Status"/>
    <tableColumn id="15" xr3:uid="{00000000-0010-0000-1300-00000F000000}" name="Alert"/>
    <tableColumn id="16" xr3:uid="{00000000-0010-0000-1300-000010000000}" name="Cancel Recommendation"/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4000000}" name="SavingsBuckets" displayName="SavingsBuckets" ref="A7:M14" totalsRowShown="0">
  <tableColumns count="13">
    <tableColumn id="1" xr3:uid="{00000000-0010-0000-1400-000001000000}" name="Bucket"/>
    <tableColumn id="2" xr3:uid="{00000000-0010-0000-1400-000002000000}" name="Target"/>
    <tableColumn id="3" xr3:uid="{00000000-0010-0000-1400-000003000000}" name="Opening Saved"/>
    <tableColumn id="4" xr3:uid="{00000000-0010-0000-1400-000004000000}" name="Contributions"/>
    <tableColumn id="5" xr3:uid="{00000000-0010-0000-1400-000005000000}" name="Withdrawals"/>
    <tableColumn id="6" xr3:uid="{00000000-0010-0000-1400-000006000000}" name="Current Saved"/>
    <tableColumn id="7" xr3:uid="{00000000-0010-0000-1400-000007000000}" name="Remaining"/>
    <tableColumn id="8" xr3:uid="{00000000-0010-0000-1400-000008000000}" name="Target Date"/>
    <tableColumn id="9" xr3:uid="{00000000-0010-0000-1400-000009000000}" name="Months Left"/>
    <tableColumn id="10" xr3:uid="{00000000-0010-0000-1400-00000A000000}" name="Required / Month"/>
    <tableColumn id="11" xr3:uid="{00000000-0010-0000-1400-00000B000000}" name="Progress %"/>
    <tableColumn id="12" xr3:uid="{00000000-0010-0000-1400-00000C000000}" name="Status"/>
    <tableColumn id="13" xr3:uid="{00000000-0010-0000-1400-00000D000000}" name="Notes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5000000}" name="SavingsGoals" displayName="SavingsGoals" ref="A7:N13" totalsRowShown="0">
  <tableColumns count="14">
    <tableColumn id="1" xr3:uid="{00000000-0010-0000-1500-000001000000}" name="Goal ID"/>
    <tableColumn id="2" xr3:uid="{00000000-0010-0000-1500-000002000000}" name="Goal Name"/>
    <tableColumn id="3" xr3:uid="{00000000-0010-0000-1500-000003000000}" name="Type"/>
    <tableColumn id="4" xr3:uid="{00000000-0010-0000-1500-000004000000}" name="Target Amount"/>
    <tableColumn id="5" xr3:uid="{00000000-0010-0000-1500-000005000000}" name="Opening Saved"/>
    <tableColumn id="6" xr3:uid="{00000000-0010-0000-1500-000006000000}" name="Contributions"/>
    <tableColumn id="7" xr3:uid="{00000000-0010-0000-1500-000007000000}" name="Current Saved"/>
    <tableColumn id="8" xr3:uid="{00000000-0010-0000-1500-000008000000}" name="Remaining"/>
    <tableColumn id="9" xr3:uid="{00000000-0010-0000-1500-000009000000}" name="Target Date"/>
    <tableColumn id="10" xr3:uid="{00000000-0010-0000-1500-00000A000000}" name="Months Left"/>
    <tableColumn id="11" xr3:uid="{00000000-0010-0000-1500-00000B000000}" name="Required / Month"/>
    <tableColumn id="12" xr3:uid="{00000000-0010-0000-1500-00000C000000}" name="Progress %"/>
    <tableColumn id="13" xr3:uid="{00000000-0010-0000-1500-00000D000000}" name="Status"/>
    <tableColumn id="14" xr3:uid="{00000000-0010-0000-1500-00000E000000}" name="Priority"/>
  </tableColumns>
  <tableStyleInfo name="TableStyleMedium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6000000}" name="EmergencyRegister" displayName="EmergencyRegister" ref="A17:J25" totalsRowShown="0">
  <tableColumns count="10">
    <tableColumn id="1" xr3:uid="{00000000-0010-0000-1600-000001000000}" name="Date"/>
    <tableColumn id="2" xr3:uid="{00000000-0010-0000-1600-000002000000}" name="Reason"/>
    <tableColumn id="3" xr3:uid="{00000000-0010-0000-1600-000003000000}" name="Amount"/>
    <tableColumn id="4" xr3:uid="{00000000-0010-0000-1600-000004000000}" name="Fund Used"/>
    <tableColumn id="5" xr3:uid="{00000000-0010-0000-1600-000005000000}" name="Amount Replenished"/>
    <tableColumn id="6" xr3:uid="{00000000-0010-0000-1600-000006000000}" name="Current Fund"/>
    <tableColumn id="7" xr3:uid="{00000000-0010-0000-1600-000007000000}" name="Receipt?"/>
    <tableColumn id="8" xr3:uid="{00000000-0010-0000-1600-000008000000}" name="Transaction ID"/>
    <tableColumn id="9" xr3:uid="{00000000-0010-0000-1600-000009000000}" name="Status"/>
    <tableColumn id="10" xr3:uid="{00000000-0010-0000-1600-00000A000000}" name="Not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7000000}" name="PurchaseWishlist" displayName="PurchaseWishlist" ref="D6:M16" totalsRowShown="0">
  <tableColumns count="10">
    <tableColumn id="1" xr3:uid="{00000000-0010-0000-1700-000001000000}" name="Item"/>
    <tableColumn id="2" xr3:uid="{00000000-0010-0000-1700-000002000000}" name="Category"/>
    <tableColumn id="3" xr3:uid="{00000000-0010-0000-1700-000003000000}" name="Priority"/>
    <tableColumn id="4" xr3:uid="{00000000-0010-0000-1700-000004000000}" name="Expected Price"/>
    <tableColumn id="5" xr3:uid="{00000000-0010-0000-1700-000005000000}" name="Current Price"/>
    <tableColumn id="6" xr3:uid="{00000000-0010-0000-1700-000006000000}" name="Target Month"/>
    <tableColumn id="7" xr3:uid="{00000000-0010-0000-1700-000007000000}" name="Need / Want"/>
    <tableColumn id="8" xr3:uid="{00000000-0010-0000-1700-000008000000}" name="Savings Available"/>
    <tableColumn id="9" xr3:uid="{00000000-0010-0000-1700-000009000000}" name="Affordable Now?"/>
    <tableColumn id="10" xr3:uid="{00000000-0010-0000-1700-00000A000000}" name="Status"/>
  </tableColumns>
  <tableStyleInfo name="TableStyleMedium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8000000}" name="SharedExpenseTracker" displayName="SharedExpenseTracker" ref="A7:K22" totalsRowShown="0">
  <tableColumns count="11">
    <tableColumn id="1" xr3:uid="{00000000-0010-0000-1800-000001000000}" name="Date"/>
    <tableColumn id="2" xr3:uid="{00000000-0010-0000-1800-000002000000}" name="Expense"/>
    <tableColumn id="3" xr3:uid="{00000000-0010-0000-1800-000003000000}" name="Total Bill"/>
    <tableColumn id="4" xr3:uid="{00000000-0010-0000-1800-000004000000}" name="People"/>
    <tableColumn id="5" xr3:uid="{00000000-0010-0000-1800-000005000000}" name="Your Share"/>
    <tableColumn id="6" xr3:uid="{00000000-0010-0000-1800-000006000000}" name="Paid By You"/>
    <tableColumn id="7" xr3:uid="{00000000-0010-0000-1800-000007000000}" name="Others Owe You"/>
    <tableColumn id="8" xr3:uid="{00000000-0010-0000-1800-000008000000}" name="You Owe Others"/>
    <tableColumn id="9" xr3:uid="{00000000-0010-0000-1800-000009000000}" name="Settlement Status"/>
    <tableColumn id="10" xr3:uid="{00000000-0010-0000-1800-00000A000000}" name="Transaction ID"/>
    <tableColumn id="11" xr3:uid="{00000000-0010-0000-1800-00000B000000}" name="Notes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9000000}" name="LentBorrowedTracker" displayName="LentBorrowedTracker" ref="A7:K22" totalsRowShown="0">
  <tableColumns count="11">
    <tableColumn id="1" xr3:uid="{00000000-0010-0000-1900-000001000000}" name="Person"/>
    <tableColumn id="2" xr3:uid="{00000000-0010-0000-1900-000002000000}" name="Date"/>
    <tableColumn id="3" xr3:uid="{00000000-0010-0000-1900-000003000000}" name="Type"/>
    <tableColumn id="4" xr3:uid="{00000000-0010-0000-1900-000004000000}" name="Amount"/>
    <tableColumn id="5" xr3:uid="{00000000-0010-0000-1900-000005000000}" name="Reason"/>
    <tableColumn id="6" xr3:uid="{00000000-0010-0000-1900-000006000000}" name="Expected Repayment"/>
    <tableColumn id="7" xr3:uid="{00000000-0010-0000-1900-000007000000}" name="Amount Repaid"/>
    <tableColumn id="8" xr3:uid="{00000000-0010-0000-1900-000008000000}" name="Remaining"/>
    <tableColumn id="9" xr3:uid="{00000000-0010-0000-1900-000009000000}" name="Days to Due"/>
    <tableColumn id="10" xr3:uid="{00000000-0010-0000-1900-00000A000000}" name="Status"/>
    <tableColumn id="11" xr3:uid="{00000000-0010-0000-1900-00000B000000}" name="Notes"/>
  </tableColumns>
  <tableStyleInfo name="TableStyleMedium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A000000}" name="RefundTracker" displayName="RefundTracker" ref="A7:L19" totalsRowShown="0">
  <tableColumns count="12">
    <tableColumn id="1" xr3:uid="{00000000-0010-0000-1A00-000001000000}" name="Original Transaction"/>
    <tableColumn id="2" xr3:uid="{00000000-0010-0000-1A00-000002000000}" name="Type"/>
    <tableColumn id="3" xr3:uid="{00000000-0010-0000-1A00-000003000000}" name="Original Amount"/>
    <tableColumn id="4" xr3:uid="{00000000-0010-0000-1A00-000004000000}" name="Refund Expected"/>
    <tableColumn id="5" xr3:uid="{00000000-0010-0000-1A00-000005000000}" name="Refund Received"/>
    <tableColumn id="6" xr3:uid="{00000000-0010-0000-1A00-000006000000}" name="Expected Date"/>
    <tableColumn id="7" xr3:uid="{00000000-0010-0000-1A00-000007000000}" name="Refund Date"/>
    <tableColumn id="8" xr3:uid="{00000000-0010-0000-1A00-000008000000}" name="Pending"/>
    <tableColumn id="9" xr3:uid="{00000000-0010-0000-1A00-000009000000}" name="Days to Due"/>
    <tableColumn id="10" xr3:uid="{00000000-0010-0000-1A00-00000A000000}" name="Status"/>
    <tableColumn id="11" xr3:uid="{00000000-0010-0000-1A00-00000B000000}" name="Source"/>
    <tableColumn id="12" xr3:uid="{00000000-0010-0000-1A00-00000C000000}" name="Notes"/>
  </tableColumns>
  <tableStyleInfo name="TableStyleMedium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B000000}" name="SecurityDeposits" displayName="SecurityDeposits" ref="A25:J33" totalsRowShown="0">
  <tableColumns count="10">
    <tableColumn id="1" xr3:uid="{00000000-0010-0000-1B00-000001000000}" name="Deposit"/>
    <tableColumn id="2" xr3:uid="{00000000-0010-0000-1B00-000002000000}" name="Paid Date"/>
    <tableColumn id="3" xr3:uid="{00000000-0010-0000-1B00-000003000000}" name="Amount"/>
    <tableColumn id="4" xr3:uid="{00000000-0010-0000-1B00-000004000000}" name="Refundable?"/>
    <tableColumn id="5" xr3:uid="{00000000-0010-0000-1B00-000005000000}" name="Expected Refund"/>
    <tableColumn id="6" xr3:uid="{00000000-0010-0000-1B00-000006000000}" name="Refund Received"/>
    <tableColumn id="7" xr3:uid="{00000000-0010-0000-1B00-000007000000}" name="Pending Refund"/>
    <tableColumn id="8" xr3:uid="{00000000-0010-0000-1B00-000008000000}" name="Status"/>
    <tableColumn id="9" xr3:uid="{00000000-0010-0000-1B00-000009000000}" name="Transaction ID"/>
    <tableColumn id="10" xr3:uid="{00000000-0010-0000-1B00-00000A000000}" name="Not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C000000}" name="ScholarshipTracker" displayName="ScholarshipTracker" ref="A7:M15" totalsRowShown="0">
  <tableColumns count="13">
    <tableColumn id="1" xr3:uid="{00000000-0010-0000-1C00-000001000000}" name="Scholarship"/>
    <tableColumn id="2" xr3:uid="{00000000-0010-0000-1C00-000002000000}" name="Academic Year"/>
    <tableColumn id="3" xr3:uid="{00000000-0010-0000-1C00-000003000000}" name="Application Date"/>
    <tableColumn id="4" xr3:uid="{00000000-0010-0000-1C00-000004000000}" name="Deadline"/>
    <tableColumn id="5" xr3:uid="{00000000-0010-0000-1C00-000005000000}" name="Expected Amount"/>
    <tableColumn id="6" xr3:uid="{00000000-0010-0000-1C00-000006000000}" name="Approved Amount"/>
    <tableColumn id="7" xr3:uid="{00000000-0010-0000-1C00-000007000000}" name="Amount Received"/>
    <tableColumn id="8" xr3:uid="{00000000-0010-0000-1C00-000008000000}" name="Expected Receipt"/>
    <tableColumn id="9" xr3:uid="{00000000-0010-0000-1C00-000009000000}" name="Status"/>
    <tableColumn id="10" xr3:uid="{00000000-0010-0000-1C00-00000A000000}" name="Days to Deadline"/>
    <tableColumn id="11" xr3:uid="{00000000-0010-0000-1C00-00000B000000}" name="Documents Required"/>
    <tableColumn id="12" xr3:uid="{00000000-0010-0000-1C00-00000C000000}" name="Remarks"/>
    <tableColumn id="13" xr3:uid="{00000000-0010-0000-1C00-00000D000000}" name="Aler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D000000}" name="AccountBalances" displayName="AccountBalances" ref="A7:O15" totalsRowShown="0">
  <tableColumns count="15">
    <tableColumn id="1" xr3:uid="{00000000-0010-0000-1D00-000001000000}" name="Account Name"/>
    <tableColumn id="2" xr3:uid="{00000000-0010-0000-1D00-000002000000}" name="Account Type"/>
    <tableColumn id="3" xr3:uid="{00000000-0010-0000-1D00-000003000000}" name="Opening Balance"/>
    <tableColumn id="4" xr3:uid="{00000000-0010-0000-1D00-000004000000}" name="Money In"/>
    <tableColumn id="5" xr3:uid="{00000000-0010-0000-1D00-000005000000}" name="Money Out"/>
    <tableColumn id="6" xr3:uid="{00000000-0010-0000-1D00-000006000000}" name="Calculated Balance"/>
    <tableColumn id="7" xr3:uid="{00000000-0010-0000-1D00-000007000000}" name="Actual Balance"/>
    <tableColumn id="8" xr3:uid="{00000000-0010-0000-1D00-000008000000}" name="Difference"/>
    <tableColumn id="9" xr3:uid="{00000000-0010-0000-1D00-000009000000}" name="Last Reconciled"/>
    <tableColumn id="10" xr3:uid="{00000000-0010-0000-1D00-00000A000000}" name="Status"/>
    <tableColumn id="11" xr3:uid="{00000000-0010-0000-1D00-00000B000000}" name="Spendable?"/>
    <tableColumn id="12" xr3:uid="{00000000-0010-0000-1D00-00000C000000}" name="Savings?"/>
    <tableColumn id="13" xr3:uid="{00000000-0010-0000-1D00-00000D000000}" name="Emergency?"/>
    <tableColumn id="14" xr3:uid="{00000000-0010-0000-1D00-00000E000000}" name="Notes"/>
    <tableColumn id="15" xr3:uid="{00000000-0010-0000-1D00-00000F000000}" name="Owner"/>
  </tableColumns>
  <tableStyleInfo name="TableStyleMedium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E000000}" name="RecurringObligations" displayName="RecurringObligations" ref="A7:Y22" totalsRowShown="0">
  <tableColumns count="25">
    <tableColumn id="1" xr3:uid="{00000000-0010-0000-1E00-000001000000}" name="Bill ID"/>
    <tableColumn id="2" xr3:uid="{00000000-0010-0000-1E00-000002000000}" name="Name"/>
    <tableColumn id="3" xr3:uid="{00000000-0010-0000-1E00-000003000000}" name="Commitment Type"/>
    <tableColumn id="4" xr3:uid="{00000000-0010-0000-1E00-000004000000}" name="Category"/>
    <tableColumn id="5" xr3:uid="{00000000-0010-0000-1E00-000005000000}" name="Subcategory"/>
    <tableColumn id="6" xr3:uid="{00000000-0010-0000-1E00-000006000000}" name="Amount"/>
    <tableColumn id="7" xr3:uid="{00000000-0010-0000-1E00-000007000000}" name="Frequency"/>
    <tableColumn id="8" xr3:uid="{00000000-0010-0000-1E00-000008000000}" name="Frequency Months"/>
    <tableColumn id="9" xr3:uid="{00000000-0010-0000-1E00-000009000000}" name="First Due"/>
    <tableColumn id="10" xr3:uid="{00000000-0010-0000-1E00-00000A000000}" name="End Date"/>
    <tableColumn id="11" xr3:uid="{00000000-0010-0000-1E00-00000B000000}" name="Payment Method"/>
    <tableColumn id="12" xr3:uid="{00000000-0010-0000-1E00-00000C000000}" name="From Account"/>
    <tableColumn id="13" xr3:uid="{00000000-0010-0000-1E00-00000D000000}" name="Auto Renew"/>
    <tableColumn id="14" xr3:uid="{00000000-0010-0000-1E00-00000E000000}" name="Need Level"/>
    <tableColumn id="15" xr3:uid="{00000000-0010-0000-1E00-00000F000000}" name="Usage"/>
    <tableColumn id="16" xr3:uid="{00000000-0010-0000-1E00-000010000000}" name="Last Used"/>
    <tableColumn id="17" xr3:uid="{00000000-0010-0000-1E00-000011000000}" name="Value Rating"/>
    <tableColumn id="18" xr3:uid="{00000000-0010-0000-1E00-000012000000}" name="Status"/>
    <tableColumn id="19" xr3:uid="{00000000-0010-0000-1E00-000013000000}" name="Last Paid Date"/>
    <tableColumn id="20" xr3:uid="{00000000-0010-0000-1E00-000014000000}" name="Next Due"/>
    <tableColumn id="21" xr3:uid="{00000000-0010-0000-1E00-000015000000}" name="Days to Due"/>
    <tableColumn id="22" xr3:uid="{00000000-0010-0000-1E00-000016000000}" name="Alert"/>
    <tableColumn id="23" xr3:uid="{00000000-0010-0000-1E00-000017000000}" name="Monthly Equivalent"/>
    <tableColumn id="24" xr3:uid="{00000000-0010-0000-1E00-000018000000}" name="Annual Cost"/>
    <tableColumn id="25" xr3:uid="{00000000-0010-0000-1E00-000019000000}" name="Notes"/>
  </tableColumns>
  <tableStyleInfo name="TableStyleMedium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F000000}" name="AnnualFinanceSummary" displayName="AnnualFinanceSummary" ref="A7:W19" totalsRowShown="0">
  <tableColumns count="23">
    <tableColumn id="1" xr3:uid="{00000000-0010-0000-1F00-000001000000}" name="Month"/>
    <tableColumn id="2" xr3:uid="{00000000-0010-0000-1F00-000002000000}" name="Month #"/>
    <tableColumn id="3" xr3:uid="{00000000-0010-0000-1F00-000003000000}" name="Income"/>
    <tableColumn id="4" xr3:uid="{00000000-0010-0000-1F00-000004000000}" name="Budget"/>
    <tableColumn id="5" xr3:uid="{00000000-0010-0000-1F00-000005000000}" name="Expense"/>
    <tableColumn id="6" xr3:uid="{00000000-0010-0000-1F00-000006000000}" name="Savings Transfer"/>
    <tableColumn id="7" xr3:uid="{00000000-0010-0000-1F00-000007000000}" name="Surplus Before Savings"/>
    <tableColumn id="8" xr3:uid="{00000000-0010-0000-1F00-000008000000}" name="Closing Balance"/>
    <tableColumn id="9" xr3:uid="{00000000-0010-0000-1F00-000009000000}" name="Savings %"/>
    <tableColumn id="10" xr3:uid="{00000000-0010-0000-1F00-00000A000000}" name="Fixed"/>
    <tableColumn id="11" xr3:uid="{00000000-0010-0000-1F00-00000B000000}" name="Variable"/>
    <tableColumn id="12" xr3:uid="{00000000-0010-0000-1F00-00000C000000}" name="Hostel"/>
    <tableColumn id="13" xr3:uid="{00000000-0010-0000-1F00-00000D000000}" name="Food"/>
    <tableColumn id="14" xr3:uid="{00000000-0010-0000-1F00-00000E000000}" name="Travel"/>
    <tableColumn id="15" xr3:uid="{00000000-0010-0000-1F00-00000F000000}" name="Education"/>
    <tableColumn id="16" xr3:uid="{00000000-0010-0000-1F00-000010000000}" name="Technology"/>
    <tableColumn id="17" xr3:uid="{00000000-0010-0000-1F00-000011000000}" name="Entertainment"/>
    <tableColumn id="18" xr3:uid="{00000000-0010-0000-1F00-000012000000}" name="Personal"/>
    <tableColumn id="19" xr3:uid="{00000000-0010-0000-1F00-000013000000}" name="Other"/>
    <tableColumn id="20" xr3:uid="{00000000-0010-0000-1F00-000014000000}" name="Cumulative Savings"/>
    <tableColumn id="21" xr3:uid="{00000000-0010-0000-1F00-000015000000}" name="Transactions"/>
    <tableColumn id="22" xr3:uid="{00000000-0010-0000-1F00-000016000000}" name="MoM Expense %"/>
    <tableColumn id="23" xr3:uid="{00000000-0010-0000-1F00-000017000000}" name="Sco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20000000}" name="KeywordCategoryMap" displayName="KeywordCategoryMap" ref="K3:L18" totalsRowShown="0">
  <tableColumns count="2">
    <tableColumn id="1" xr3:uid="{00000000-0010-0000-2000-000001000000}" name="Keyword"/>
    <tableColumn id="2" xr3:uid="{00000000-0010-0000-2000-000002000000}" name="Suggested Category"/>
  </tableColumns>
  <tableStyleInfo name="TableStyleMedium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1000000}" name="CategoryDatabase" displayName="CategoryDatabase" ref="A32:H52" totalsRowShown="0">
  <tableColumns count="8">
    <tableColumn id="1" xr3:uid="{00000000-0010-0000-2100-000001000000}" name="Category"/>
    <tableColumn id="2" xr3:uid="{00000000-0010-0000-2100-000002000000}" name="Default Monthly Budget"/>
    <tableColumn id="3" xr3:uid="{00000000-0010-0000-2100-000003000000}" name="Priority"/>
    <tableColumn id="4" xr3:uid="{00000000-0010-0000-2100-000004000000}" name="Cost Type"/>
    <tableColumn id="5" xr3:uid="{00000000-0010-0000-2100-000005000000}" name="Need Class"/>
    <tableColumn id="6" xr3:uid="{00000000-0010-0000-2100-000006000000}" name="Domain"/>
    <tableColumn id="7" xr3:uid="{00000000-0010-0000-2100-000007000000}" name="Default Essentiality"/>
    <tableColumn id="8" xr3:uid="{00000000-0010-0000-21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8" dT="2026-10-11T17:38:51.04" personId="{9CB09470-B186-4909-877D-81F13F2BF5B0}" id="{1EB5FD68-D54E-FB3C-2C51-7F0ED9CEA651}">
    <text>Projected month-end balance uses current spending pace for the selected month, then subtracts savings transfers.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8" dT="2026-10-11T17:38:51.31" personId="{9CB09470-B186-4909-877D-81F13F2BF5B0}" id="{AE508B42-2986-C83A-5AB1-14436BB23D7B}">
    <text>Closing balance rolls forward to the next month. It is never posted as new income, preventing annual-income double counting.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8" dT="2026-10-11T17:38:51.31" personId="{9CB09470-B186-4909-877D-81F13F2BF5B0}" id="{1CC2AF58-6E3E-33E1-F3EB-5E0E203D7207}">
    <text>Overall score combines budget discipline, savings, overspending, emergency readiness, discretionary spending and data quality. Component weights are visible below.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3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workbookViewId="0">
      <selection sqref="A1:J2"/>
    </sheetView>
  </sheetViews>
  <sheetFormatPr defaultRowHeight="13.8"/>
  <cols>
    <col min="1" max="1" width="6" customWidth="1"/>
    <col min="2" max="2" width="20" customWidth="1"/>
    <col min="3" max="6" width="18" customWidth="1"/>
    <col min="8" max="8" width="14" customWidth="1"/>
    <col min="9" max="9" width="19" customWidth="1"/>
    <col min="10" max="10" width="30" customWidth="1"/>
  </cols>
  <sheetData>
    <row r="1" spans="1:10" ht="31.95" customHeight="1">
      <c r="A1" s="107" t="s">
        <v>0</v>
      </c>
      <c r="B1" s="107" t="s">
        <v>0</v>
      </c>
      <c r="C1" s="107" t="s">
        <v>0</v>
      </c>
      <c r="D1" s="107" t="s">
        <v>0</v>
      </c>
      <c r="E1" s="107" t="s">
        <v>0</v>
      </c>
      <c r="F1" s="107" t="s">
        <v>0</v>
      </c>
      <c r="G1" s="107" t="s">
        <v>0</v>
      </c>
      <c r="H1" s="107" t="s">
        <v>0</v>
      </c>
      <c r="I1" s="107" t="s">
        <v>0</v>
      </c>
      <c r="J1" s="107" t="s">
        <v>0</v>
      </c>
    </row>
    <row r="2" spans="1:10" ht="31.95" customHeight="1">
      <c r="A2" s="107" t="s">
        <v>0</v>
      </c>
      <c r="B2" s="107" t="s">
        <v>0</v>
      </c>
      <c r="C2" s="107" t="s">
        <v>0</v>
      </c>
      <c r="D2" s="107" t="s">
        <v>0</v>
      </c>
      <c r="E2" s="107" t="s">
        <v>0</v>
      </c>
      <c r="F2" s="107" t="s">
        <v>0</v>
      </c>
      <c r="G2" s="107" t="s">
        <v>0</v>
      </c>
      <c r="H2" s="107" t="s">
        <v>0</v>
      </c>
      <c r="I2" s="107" t="s">
        <v>0</v>
      </c>
      <c r="J2" s="107" t="s">
        <v>0</v>
      </c>
    </row>
    <row r="3" spans="1:10" ht="18" customHeight="1">
      <c r="A3" s="108" t="s">
        <v>1</v>
      </c>
      <c r="B3" s="108" t="s">
        <v>1</v>
      </c>
      <c r="C3" s="108" t="s">
        <v>1</v>
      </c>
      <c r="D3" s="108" t="s">
        <v>1</v>
      </c>
      <c r="E3" s="108" t="s">
        <v>1</v>
      </c>
      <c r="F3" s="108" t="s">
        <v>1</v>
      </c>
      <c r="G3" s="108" t="s">
        <v>1</v>
      </c>
      <c r="H3" s="108" t="s">
        <v>1</v>
      </c>
      <c r="I3" s="108" t="s">
        <v>1</v>
      </c>
      <c r="J3" s="108" t="s">
        <v>1</v>
      </c>
    </row>
    <row r="5" spans="1:10" ht="22.95" customHeight="1">
      <c r="A5" s="109" t="s">
        <v>2</v>
      </c>
      <c r="B5" s="110" t="s">
        <v>2</v>
      </c>
      <c r="C5" s="110" t="s">
        <v>2</v>
      </c>
      <c r="D5" s="110" t="s">
        <v>2</v>
      </c>
      <c r="E5" s="110" t="s">
        <v>2</v>
      </c>
      <c r="F5" s="111" t="s">
        <v>2</v>
      </c>
      <c r="H5" s="115" t="s">
        <v>3</v>
      </c>
      <c r="I5" s="116" t="s">
        <v>3</v>
      </c>
      <c r="J5" s="117" t="s">
        <v>3</v>
      </c>
    </row>
    <row r="7" spans="1:10" ht="34.049999999999997" customHeight="1">
      <c r="A7" s="27">
        <v>1</v>
      </c>
      <c r="B7" s="28" t="s">
        <v>4</v>
      </c>
      <c r="C7" s="112" t="s">
        <v>5</v>
      </c>
      <c r="D7" s="112"/>
      <c r="E7" s="112"/>
      <c r="F7" s="112"/>
      <c r="H7" s="8" t="s">
        <v>6</v>
      </c>
      <c r="I7" s="2" t="s">
        <v>7</v>
      </c>
      <c r="J7" s="2" t="s">
        <v>8</v>
      </c>
    </row>
    <row r="8" spans="1:10" ht="34.049999999999997" customHeight="1">
      <c r="A8" s="29">
        <v>2</v>
      </c>
      <c r="B8" s="30" t="s">
        <v>9</v>
      </c>
      <c r="C8" s="113" t="s">
        <v>10</v>
      </c>
      <c r="D8" s="113"/>
      <c r="E8" s="113"/>
      <c r="F8" s="113"/>
      <c r="H8" s="34" t="s">
        <v>11</v>
      </c>
      <c r="I8" s="3" t="s">
        <v>12</v>
      </c>
      <c r="J8" s="3" t="s">
        <v>13</v>
      </c>
    </row>
    <row r="9" spans="1:10" ht="34.049999999999997" customHeight="1">
      <c r="A9" s="29">
        <v>3</v>
      </c>
      <c r="B9" s="30" t="s">
        <v>14</v>
      </c>
      <c r="C9" s="113" t="s">
        <v>15</v>
      </c>
      <c r="D9" s="113"/>
      <c r="E9" s="113"/>
      <c r="F9" s="113"/>
      <c r="H9" s="35" t="s">
        <v>16</v>
      </c>
      <c r="I9" s="3" t="s">
        <v>17</v>
      </c>
      <c r="J9" s="3" t="s">
        <v>18</v>
      </c>
    </row>
    <row r="10" spans="1:10" ht="34.049999999999997" customHeight="1">
      <c r="A10" s="29">
        <v>4</v>
      </c>
      <c r="B10" s="30" t="s">
        <v>19</v>
      </c>
      <c r="C10" s="113" t="s">
        <v>20</v>
      </c>
      <c r="D10" s="113"/>
      <c r="E10" s="113"/>
      <c r="F10" s="113"/>
      <c r="H10" s="36" t="s">
        <v>21</v>
      </c>
      <c r="I10" s="4" t="s">
        <v>22</v>
      </c>
      <c r="J10" s="4" t="s">
        <v>23</v>
      </c>
    </row>
    <row r="11" spans="1:10" ht="34.049999999999997" customHeight="1">
      <c r="A11" s="29">
        <v>5</v>
      </c>
      <c r="B11" s="30" t="s">
        <v>24</v>
      </c>
      <c r="C11" s="113" t="s">
        <v>25</v>
      </c>
      <c r="D11" s="113"/>
      <c r="E11" s="113"/>
      <c r="F11" s="113"/>
    </row>
    <row r="12" spans="1:10" ht="34.049999999999997" customHeight="1">
      <c r="A12" s="29">
        <v>6</v>
      </c>
      <c r="B12" s="30" t="s">
        <v>26</v>
      </c>
      <c r="C12" s="113" t="s">
        <v>27</v>
      </c>
      <c r="D12" s="113"/>
      <c r="E12" s="113"/>
      <c r="F12" s="113"/>
    </row>
    <row r="13" spans="1:10" ht="34.049999999999997" customHeight="1">
      <c r="A13" s="29">
        <v>7</v>
      </c>
      <c r="B13" s="30" t="s">
        <v>28</v>
      </c>
      <c r="C13" s="113" t="s">
        <v>29</v>
      </c>
      <c r="D13" s="113"/>
      <c r="E13" s="113"/>
      <c r="F13" s="113"/>
    </row>
    <row r="14" spans="1:10" ht="34.049999999999997" customHeight="1">
      <c r="A14" s="31">
        <v>8</v>
      </c>
      <c r="B14" s="32" t="s">
        <v>30</v>
      </c>
      <c r="C14" s="114" t="s">
        <v>31</v>
      </c>
      <c r="D14" s="114"/>
      <c r="E14" s="114"/>
      <c r="F14" s="114"/>
    </row>
    <row r="17" spans="1:10" ht="22.95" customHeight="1">
      <c r="A17" s="118" t="s">
        <v>32</v>
      </c>
      <c r="B17" s="119" t="s">
        <v>32</v>
      </c>
      <c r="C17" s="119" t="s">
        <v>32</v>
      </c>
      <c r="D17" s="119" t="s">
        <v>32</v>
      </c>
      <c r="E17" s="119" t="s">
        <v>32</v>
      </c>
      <c r="F17" s="119" t="s">
        <v>32</v>
      </c>
      <c r="G17" s="119" t="s">
        <v>32</v>
      </c>
      <c r="H17" s="119" t="s">
        <v>32</v>
      </c>
      <c r="I17" s="119" t="s">
        <v>32</v>
      </c>
      <c r="J17" s="120" t="s">
        <v>32</v>
      </c>
    </row>
    <row r="19" spans="1:10" ht="25.95" customHeight="1">
      <c r="A19" s="121" t="s">
        <v>33</v>
      </c>
      <c r="B19" s="122" t="s">
        <v>33</v>
      </c>
      <c r="C19" s="122" t="s">
        <v>33</v>
      </c>
      <c r="D19" s="122" t="s">
        <v>33</v>
      </c>
      <c r="E19" s="122" t="s">
        <v>33</v>
      </c>
      <c r="F19" s="122" t="s">
        <v>33</v>
      </c>
      <c r="G19" s="122" t="s">
        <v>33</v>
      </c>
      <c r="H19" s="122" t="s">
        <v>33</v>
      </c>
      <c r="I19" s="122" t="s">
        <v>33</v>
      </c>
      <c r="J19" s="123" t="s">
        <v>33</v>
      </c>
    </row>
    <row r="20" spans="1:10" ht="25.95" customHeight="1">
      <c r="A20" s="124" t="s">
        <v>33</v>
      </c>
      <c r="B20" s="125" t="s">
        <v>33</v>
      </c>
      <c r="C20" s="125" t="s">
        <v>33</v>
      </c>
      <c r="D20" s="125" t="s">
        <v>33</v>
      </c>
      <c r="E20" s="125" t="s">
        <v>33</v>
      </c>
      <c r="F20" s="125" t="s">
        <v>33</v>
      </c>
      <c r="G20" s="125" t="s">
        <v>33</v>
      </c>
      <c r="H20" s="125" t="s">
        <v>33</v>
      </c>
      <c r="I20" s="125" t="s">
        <v>33</v>
      </c>
      <c r="J20" s="126" t="s">
        <v>33</v>
      </c>
    </row>
    <row r="21" spans="1:10" ht="25.95" customHeight="1">
      <c r="A21" s="127" t="s">
        <v>33</v>
      </c>
      <c r="B21" s="128" t="s">
        <v>33</v>
      </c>
      <c r="C21" s="128" t="s">
        <v>33</v>
      </c>
      <c r="D21" s="128" t="s">
        <v>33</v>
      </c>
      <c r="E21" s="128" t="s">
        <v>33</v>
      </c>
      <c r="F21" s="128" t="s">
        <v>33</v>
      </c>
      <c r="G21" s="128" t="s">
        <v>33</v>
      </c>
      <c r="H21" s="128" t="s">
        <v>33</v>
      </c>
      <c r="I21" s="128" t="s">
        <v>33</v>
      </c>
      <c r="J21" s="129" t="s">
        <v>33</v>
      </c>
    </row>
    <row r="24" spans="1:10" ht="22.95" customHeight="1">
      <c r="A24" s="130" t="s">
        <v>34</v>
      </c>
      <c r="B24" s="131" t="s">
        <v>34</v>
      </c>
      <c r="C24" s="131" t="s">
        <v>34</v>
      </c>
      <c r="D24" s="131" t="s">
        <v>34</v>
      </c>
      <c r="E24" s="131" t="s">
        <v>34</v>
      </c>
      <c r="F24" s="131" t="s">
        <v>34</v>
      </c>
      <c r="G24" s="131" t="s">
        <v>34</v>
      </c>
      <c r="H24" s="131" t="s">
        <v>34</v>
      </c>
      <c r="I24" s="131" t="s">
        <v>34</v>
      </c>
      <c r="J24" s="132" t="s">
        <v>34</v>
      </c>
    </row>
    <row r="26" spans="1:10">
      <c r="A26" s="133" t="s">
        <v>35</v>
      </c>
      <c r="B26" s="134" t="s">
        <v>35</v>
      </c>
      <c r="C26" s="134" t="s">
        <v>35</v>
      </c>
      <c r="D26" s="134" t="s">
        <v>35</v>
      </c>
      <c r="E26" s="134" t="s">
        <v>35</v>
      </c>
      <c r="F26" s="134" t="s">
        <v>35</v>
      </c>
      <c r="G26" s="134" t="s">
        <v>35</v>
      </c>
      <c r="H26" s="134" t="s">
        <v>35</v>
      </c>
      <c r="I26" s="134" t="s">
        <v>35</v>
      </c>
      <c r="J26" s="135" t="s">
        <v>35</v>
      </c>
    </row>
    <row r="27" spans="1:10">
      <c r="A27" s="136" t="s">
        <v>35</v>
      </c>
      <c r="B27" s="137" t="s">
        <v>35</v>
      </c>
      <c r="C27" s="137" t="s">
        <v>35</v>
      </c>
      <c r="D27" s="137" t="s">
        <v>35</v>
      </c>
      <c r="E27" s="137" t="s">
        <v>35</v>
      </c>
      <c r="F27" s="137" t="s">
        <v>35</v>
      </c>
      <c r="G27" s="137" t="s">
        <v>35</v>
      </c>
      <c r="H27" s="137" t="s">
        <v>35</v>
      </c>
      <c r="I27" s="137" t="s">
        <v>35</v>
      </c>
      <c r="J27" s="138" t="s">
        <v>35</v>
      </c>
    </row>
    <row r="28" spans="1:10">
      <c r="A28" s="139" t="s">
        <v>35</v>
      </c>
      <c r="B28" s="140" t="s">
        <v>35</v>
      </c>
      <c r="C28" s="140" t="s">
        <v>35</v>
      </c>
      <c r="D28" s="140" t="s">
        <v>35</v>
      </c>
      <c r="E28" s="140" t="s">
        <v>35</v>
      </c>
      <c r="F28" s="140" t="s">
        <v>35</v>
      </c>
      <c r="G28" s="140" t="s">
        <v>35</v>
      </c>
      <c r="H28" s="140" t="s">
        <v>35</v>
      </c>
      <c r="I28" s="140" t="s">
        <v>35</v>
      </c>
      <c r="J28" s="141" t="s">
        <v>35</v>
      </c>
    </row>
  </sheetData>
  <mergeCells count="16">
    <mergeCell ref="A26:J28"/>
    <mergeCell ref="C14:F14"/>
    <mergeCell ref="H5:J5"/>
    <mergeCell ref="A17:J17"/>
    <mergeCell ref="A19:J21"/>
    <mergeCell ref="A24:J24"/>
    <mergeCell ref="C9:F9"/>
    <mergeCell ref="C10:F10"/>
    <mergeCell ref="C11:F11"/>
    <mergeCell ref="C12:F12"/>
    <mergeCell ref="C13:F13"/>
    <mergeCell ref="A1:J2"/>
    <mergeCell ref="A3:J3"/>
    <mergeCell ref="A5:F5"/>
    <mergeCell ref="C7:F7"/>
    <mergeCell ref="C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6"/>
  <sheetViews>
    <sheetView showGridLines="0" workbookViewId="0"/>
  </sheetViews>
  <sheetFormatPr defaultRowHeight="13.8"/>
  <cols>
    <col min="1" max="1" width="22" customWidth="1"/>
    <col min="2" max="6" width="14" customWidth="1"/>
    <col min="7" max="7" width="3" customWidth="1"/>
    <col min="8" max="16" width="12" customWidth="1"/>
    <col min="18" max="32" width="16" customWidth="1"/>
  </cols>
  <sheetData>
    <row r="1" spans="1:32" ht="31.95" customHeight="1">
      <c r="A1" s="107" t="s">
        <v>36</v>
      </c>
      <c r="B1" s="107" t="s">
        <v>36</v>
      </c>
      <c r="C1" s="107" t="s">
        <v>36</v>
      </c>
      <c r="D1" s="107" t="s">
        <v>36</v>
      </c>
      <c r="E1" s="107" t="s">
        <v>36</v>
      </c>
      <c r="F1" s="107" t="s">
        <v>36</v>
      </c>
      <c r="G1" s="107" t="s">
        <v>36</v>
      </c>
      <c r="H1" s="107" t="s">
        <v>36</v>
      </c>
      <c r="I1" s="107" t="s">
        <v>36</v>
      </c>
      <c r="J1" s="107" t="s">
        <v>36</v>
      </c>
      <c r="K1" s="107" t="s">
        <v>36</v>
      </c>
      <c r="L1" s="107" t="s">
        <v>36</v>
      </c>
      <c r="M1" s="107" t="s">
        <v>36</v>
      </c>
      <c r="N1" s="107" t="s">
        <v>36</v>
      </c>
      <c r="O1" s="107" t="s">
        <v>36</v>
      </c>
      <c r="P1" s="107" t="s">
        <v>36</v>
      </c>
    </row>
    <row r="2" spans="1:32" ht="31.95" customHeight="1">
      <c r="A2" s="107" t="s">
        <v>36</v>
      </c>
      <c r="B2" s="107" t="s">
        <v>36</v>
      </c>
      <c r="C2" s="107" t="s">
        <v>36</v>
      </c>
      <c r="D2" s="107" t="s">
        <v>36</v>
      </c>
      <c r="E2" s="107" t="s">
        <v>36</v>
      </c>
      <c r="F2" s="107" t="s">
        <v>36</v>
      </c>
      <c r="G2" s="107" t="s">
        <v>36</v>
      </c>
      <c r="H2" s="107" t="s">
        <v>36</v>
      </c>
      <c r="I2" s="107" t="s">
        <v>36</v>
      </c>
      <c r="J2" s="107" t="s">
        <v>36</v>
      </c>
      <c r="K2" s="107" t="s">
        <v>36</v>
      </c>
      <c r="L2" s="107" t="s">
        <v>36</v>
      </c>
      <c r="M2" s="107" t="s">
        <v>36</v>
      </c>
      <c r="N2" s="107" t="s">
        <v>36</v>
      </c>
      <c r="O2" s="107" t="s">
        <v>36</v>
      </c>
      <c r="P2" s="107" t="s">
        <v>36</v>
      </c>
    </row>
    <row r="3" spans="1:32" ht="18" customHeight="1">
      <c r="A3" s="142" t="s">
        <v>37</v>
      </c>
      <c r="B3" s="142" t="s">
        <v>37</v>
      </c>
      <c r="C3" s="144" t="s">
        <v>38</v>
      </c>
      <c r="D3" s="145" t="s">
        <v>38</v>
      </c>
      <c r="E3" s="1" t="s">
        <v>39</v>
      </c>
      <c r="F3" s="148" t="str">
        <f>"Viewing "&amp;$C$3&amp;" "&amp;TEXT($C$4,"0")&amp;"  •  Demo Mode: "&amp;SETTINGS!$B$16</f>
        <v>Viewing September 2026  •  Demo Mode: Yes</v>
      </c>
      <c r="G3" s="148" t="s">
        <v>39</v>
      </c>
      <c r="H3" s="148" t="s">
        <v>39</v>
      </c>
      <c r="I3" s="148" t="s">
        <v>39</v>
      </c>
      <c r="J3" s="148" t="s">
        <v>39</v>
      </c>
      <c r="K3" s="148" t="s">
        <v>39</v>
      </c>
      <c r="L3" s="148" t="s">
        <v>39</v>
      </c>
      <c r="M3" s="148" t="s">
        <v>39</v>
      </c>
      <c r="N3" s="148" t="s">
        <v>39</v>
      </c>
      <c r="O3" s="148" t="s">
        <v>39</v>
      </c>
      <c r="P3" s="148" t="s">
        <v>39</v>
      </c>
      <c r="R3" t="s">
        <v>40</v>
      </c>
      <c r="S3" t="s">
        <v>41</v>
      </c>
      <c r="U3" t="s">
        <v>37</v>
      </c>
      <c r="V3" t="s">
        <v>42</v>
      </c>
      <c r="W3" t="s">
        <v>43</v>
      </c>
      <c r="Y3" t="s">
        <v>37</v>
      </c>
      <c r="Z3" t="s">
        <v>44</v>
      </c>
      <c r="AB3" t="s">
        <v>45</v>
      </c>
      <c r="AC3" t="s">
        <v>41</v>
      </c>
      <c r="AE3" t="s">
        <v>46</v>
      </c>
      <c r="AF3" t="s">
        <v>47</v>
      </c>
    </row>
    <row r="4" spans="1:32">
      <c r="A4" s="143" t="s">
        <v>48</v>
      </c>
      <c r="B4" s="143" t="s">
        <v>48</v>
      </c>
      <c r="C4" s="146">
        <v>2026</v>
      </c>
      <c r="D4" s="147">
        <v>2026</v>
      </c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R4" t="str">
        <f t="shared" ref="R4:R23" si="0">$A27</f>
        <v>College Fees</v>
      </c>
      <c r="S4">
        <f t="shared" ref="S4:S23" si="1">IF($R4="Savings",0,$C27)</f>
        <v>0</v>
      </c>
      <c r="U4" t="str">
        <f>'ANNUAL SUMMARY'!$A$8</f>
        <v>January</v>
      </c>
      <c r="V4">
        <f>'ANNUAL SUMMARY'!$C$8</f>
        <v>25000</v>
      </c>
      <c r="W4">
        <f>'ANNUAL SUMMARY'!$E$8</f>
        <v>8000</v>
      </c>
      <c r="Y4" t="str">
        <f>'ANNUAL SUMMARY'!$A$8</f>
        <v>January</v>
      </c>
      <c r="Z4">
        <f>'ANNUAL SUMMARY'!$T$8</f>
        <v>0</v>
      </c>
      <c r="AB4" t="s">
        <v>49</v>
      </c>
      <c r="AC4">
        <f>SUMIF('MONTHLY BUDGET'!$C$8:$C$27,AB4,'MONTHLY BUDGET'!$T$8:$T$27)</f>
        <v>3748</v>
      </c>
      <c r="AE4" t="s">
        <v>50</v>
      </c>
      <c r="AF4">
        <f>SUMIFS('QUICK ENTRY'!$E$8:$E$1007,'QUICK ENTRY'!$AF$8:$AF$1007,"Yes",'QUICK ENTRY'!$C$8:$C$1007,"Expense",'QUICK ENTRY'!$V$8:$V$1007,$C$3,'QUICK ENTRY'!$X$8:$X$1007,$C$4,'QUICK ENTRY'!$F$8:$F$1007,AE4)</f>
        <v>280</v>
      </c>
    </row>
    <row r="5" spans="1:32">
      <c r="R5" t="str">
        <f t="shared" si="0"/>
        <v>Hostel</v>
      </c>
      <c r="S5">
        <f t="shared" si="1"/>
        <v>3200</v>
      </c>
      <c r="U5" t="str">
        <f>'ANNUAL SUMMARY'!$A$9</f>
        <v>February</v>
      </c>
      <c r="V5">
        <f>'ANNUAL SUMMARY'!$C$9</f>
        <v>25000</v>
      </c>
      <c r="W5">
        <f>'ANNUAL SUMMARY'!$E$9</f>
        <v>4400</v>
      </c>
      <c r="Y5" t="str">
        <f>'ANNUAL SUMMARY'!$A$9</f>
        <v>February</v>
      </c>
      <c r="Z5">
        <f>'ANNUAL SUMMARY'!$T$9</f>
        <v>0</v>
      </c>
      <c r="AB5" t="s">
        <v>51</v>
      </c>
      <c r="AC5">
        <f>SUMIF('MONTHLY BUDGET'!$C$8:$C$27,AB5,'MONTHLY BUDGET'!$T$8:$T$27)</f>
        <v>3449</v>
      </c>
      <c r="AE5" t="s">
        <v>52</v>
      </c>
      <c r="AF5">
        <f>SUMIFS('QUICK ENTRY'!$E$8:$E$1007,'QUICK ENTRY'!$AF$8:$AF$1007,"Yes",'QUICK ENTRY'!$C$8:$C$1007,"Expense",'QUICK ENTRY'!$V$8:$V$1007,$C$3,'QUICK ENTRY'!$X$8:$X$1007,$C$4,'QUICK ENTRY'!$F$8:$F$1007,AE5)</f>
        <v>4448</v>
      </c>
    </row>
    <row r="6" spans="1:32">
      <c r="A6" s="150" t="s">
        <v>53</v>
      </c>
      <c r="B6" s="151" t="s">
        <v>53</v>
      </c>
      <c r="C6" s="151" t="s">
        <v>53</v>
      </c>
      <c r="D6" s="152" t="s">
        <v>53</v>
      </c>
      <c r="E6" s="162" t="s">
        <v>54</v>
      </c>
      <c r="F6" s="163" t="s">
        <v>54</v>
      </c>
      <c r="G6" s="163" t="s">
        <v>54</v>
      </c>
      <c r="H6" s="164" t="s">
        <v>54</v>
      </c>
      <c r="I6" s="173" t="s">
        <v>55</v>
      </c>
      <c r="J6" s="174" t="s">
        <v>55</v>
      </c>
      <c r="K6" s="174" t="s">
        <v>55</v>
      </c>
      <c r="L6" s="175" t="s">
        <v>55</v>
      </c>
      <c r="M6" s="184" t="s">
        <v>56</v>
      </c>
      <c r="N6" s="185" t="s">
        <v>56</v>
      </c>
      <c r="O6" s="185" t="s">
        <v>56</v>
      </c>
      <c r="P6" s="186" t="s">
        <v>56</v>
      </c>
      <c r="R6" t="str">
        <f t="shared" si="0"/>
        <v>Food</v>
      </c>
      <c r="S6">
        <f t="shared" si="1"/>
        <v>620</v>
      </c>
      <c r="U6" t="str">
        <f>'ANNUAL SUMMARY'!$A$10</f>
        <v>March</v>
      </c>
      <c r="V6">
        <f>'ANNUAL SUMMARY'!$C$10</f>
        <v>25000</v>
      </c>
      <c r="W6">
        <f>'ANNUAL SUMMARY'!$E$10</f>
        <v>3099</v>
      </c>
      <c r="Y6" t="str">
        <f>'ANNUAL SUMMARY'!$A$10</f>
        <v>March</v>
      </c>
      <c r="Z6">
        <f>'ANNUAL SUMMARY'!$T$10</f>
        <v>0</v>
      </c>
      <c r="AB6" t="s">
        <v>57</v>
      </c>
      <c r="AC6">
        <f>SUMIF('MONTHLY BUDGET'!$C$8:$C$27,AB6,'MONTHLY BUDGET'!$T$8:$T$27)</f>
        <v>2500</v>
      </c>
      <c r="AE6" t="s">
        <v>58</v>
      </c>
      <c r="AF6">
        <f>SUMIFS('QUICK ENTRY'!$E$8:$E$1007,'QUICK ENTRY'!$AF$8:$AF$1007,"Yes",'QUICK ENTRY'!$C$8:$C$1007,"Expense",'QUICK ENTRY'!$V$8:$V$1007,$C$3,'QUICK ENTRY'!$X$8:$X$1007,$C$4,'QUICK ENTRY'!$F$8:$F$1007,AE6)</f>
        <v>620</v>
      </c>
    </row>
    <row r="7" spans="1:32">
      <c r="A7" s="153" t="s">
        <v>53</v>
      </c>
      <c r="B7" s="154" t="s">
        <v>53</v>
      </c>
      <c r="C7" s="154" t="s">
        <v>53</v>
      </c>
      <c r="D7" s="155" t="s">
        <v>53</v>
      </c>
      <c r="E7" s="165" t="s">
        <v>54</v>
      </c>
      <c r="F7" s="166" t="s">
        <v>54</v>
      </c>
      <c r="G7" s="166" t="s">
        <v>54</v>
      </c>
      <c r="H7" s="167" t="s">
        <v>54</v>
      </c>
      <c r="I7" s="176" t="s">
        <v>55</v>
      </c>
      <c r="J7" s="177" t="s">
        <v>55</v>
      </c>
      <c r="K7" s="177" t="s">
        <v>55</v>
      </c>
      <c r="L7" s="178" t="s">
        <v>55</v>
      </c>
      <c r="M7" s="187" t="s">
        <v>56</v>
      </c>
      <c r="N7" s="188" t="s">
        <v>56</v>
      </c>
      <c r="O7" s="188" t="s">
        <v>56</v>
      </c>
      <c r="P7" s="189" t="s">
        <v>56</v>
      </c>
      <c r="R7" t="str">
        <f t="shared" si="0"/>
        <v>Transport</v>
      </c>
      <c r="S7">
        <f t="shared" si="1"/>
        <v>350</v>
      </c>
      <c r="U7" t="str">
        <f>'ANNUAL SUMMARY'!$A$11</f>
        <v>April</v>
      </c>
      <c r="V7">
        <f>'ANNUAL SUMMARY'!$C$11</f>
        <v>25000</v>
      </c>
      <c r="W7">
        <f>'ANNUAL SUMMARY'!$E$11</f>
        <v>4900</v>
      </c>
      <c r="Y7" t="str">
        <f>'ANNUAL SUMMARY'!$A$11</f>
        <v>April</v>
      </c>
      <c r="Z7">
        <f>'ANNUAL SUMMARY'!$T$11</f>
        <v>0</v>
      </c>
      <c r="AE7" t="s">
        <v>59</v>
      </c>
      <c r="AF7">
        <f>SUMIFS('QUICK ENTRY'!$E$8:$E$1007,'QUICK ENTRY'!$AF$8:$AF$1007,"Yes",'QUICK ENTRY'!$C$8:$C$1007,"Expense",'QUICK ENTRY'!$V$8:$V$1007,$C$3,'QUICK ENTRY'!$X$8:$X$1007,$C$4,'QUICK ENTRY'!$F$8:$F$1007,AE7)</f>
        <v>350</v>
      </c>
    </row>
    <row r="8" spans="1:32" ht="33" customHeight="1">
      <c r="A8" s="156">
        <f>SUMIFS('QUICK ENTRY'!$E$8:$E$1007,'QUICK ENTRY'!$AF$8:$AF$1007,"Yes",'QUICK ENTRY'!$C$8:$C$1007,"Income",'QUICK ENTRY'!$V$8:$V$1007,DASHBOARD!$C$3,'QUICK ENTRY'!$X$8:$X$1007,DASHBOARD!$C$4)+SUMIFS('QUICK ENTRY'!$E$8:$E$1007,'QUICK ENTRY'!$AF$8:$AF$1007,"Yes",'QUICK ENTRY'!$C$8:$C$1007,"Refund",'QUICK ENTRY'!$V$8:$V$1007,DASHBOARD!$C$3,'QUICK ENTRY'!$X$8:$X$1007,DASHBOARD!$C$4)+SUMIFS('QUICK ENTRY'!$E$8:$E$1007,'QUICK ENTRY'!$AF$8:$AF$1007,"Yes",'QUICK ENTRY'!$C$8:$C$1007,"Reimbursement",'QUICK ENTRY'!$V$8:$V$1007,DASHBOARD!$C$3,'QUICK ENTRY'!$X$8:$X$1007,DASHBOARD!$C$4)</f>
        <v>25000</v>
      </c>
      <c r="B8" s="157"/>
      <c r="C8" s="157"/>
      <c r="D8" s="158"/>
      <c r="E8" s="168">
        <f>SUMIFS('QUICK ENTRY'!$E$8:$E$1007,'QUICK ENTRY'!$AF$8:$AF$1007,"Yes",'QUICK ENTRY'!$C$8:$C$1007,"Expense",'QUICK ENTRY'!$V$8:$V$1007,DASHBOARD!$C$3,'QUICK ENTRY'!$X$8:$X$1007,DASHBOARD!$C$4)</f>
        <v>7197</v>
      </c>
      <c r="F8" s="157"/>
      <c r="G8" s="157"/>
      <c r="H8" s="169"/>
      <c r="I8" s="179">
        <f>A8-E8-M8</f>
        <v>15303</v>
      </c>
      <c r="J8" s="157"/>
      <c r="K8" s="157"/>
      <c r="L8" s="180"/>
      <c r="M8" s="190">
        <f>SUMIFS('QUICK ENTRY'!$E$8:$E$1007,'QUICK ENTRY'!$AF$8:$AF$1007,"Yes",'QUICK ENTRY'!$C$8:$C$1007,"Savings Transfer",'QUICK ENTRY'!$V$8:$V$1007,DASHBOARD!$C$3,'QUICK ENTRY'!$X$8:$X$1007,DASHBOARD!$C$4)</f>
        <v>2500</v>
      </c>
      <c r="N8" s="157"/>
      <c r="O8" s="157"/>
      <c r="P8" s="191"/>
      <c r="R8" t="str">
        <f t="shared" si="0"/>
        <v>Technology</v>
      </c>
      <c r="S8">
        <f t="shared" si="1"/>
        <v>0</v>
      </c>
      <c r="U8" t="str">
        <f>'ANNUAL SUMMARY'!$A$12</f>
        <v>May</v>
      </c>
      <c r="V8">
        <f>'ANNUAL SUMMARY'!$C$12</f>
        <v>25000</v>
      </c>
      <c r="W8">
        <f>'ANNUAL SUMMARY'!$E$12</f>
        <v>3300</v>
      </c>
      <c r="Y8" t="str">
        <f>'ANNUAL SUMMARY'!$A$12</f>
        <v>May</v>
      </c>
      <c r="Z8">
        <f>'ANNUAL SUMMARY'!$T$12</f>
        <v>0</v>
      </c>
      <c r="AE8" t="s">
        <v>60</v>
      </c>
      <c r="AF8">
        <f>SUMIFS('QUICK ENTRY'!$E$8:$E$1007,'QUICK ENTRY'!$AF$8:$AF$1007,"Yes",'QUICK ENTRY'!$C$8:$C$1007,"Expense",'QUICK ENTRY'!$V$8:$V$1007,$C$3,'QUICK ENTRY'!$X$8:$X$1007,$C$4,'QUICK ENTRY'!$F$8:$F$1007,AE8)</f>
        <v>0</v>
      </c>
    </row>
    <row r="9" spans="1:32" ht="33" customHeight="1">
      <c r="A9" s="159"/>
      <c r="B9" s="160"/>
      <c r="C9" s="160"/>
      <c r="D9" s="161"/>
      <c r="E9" s="170"/>
      <c r="F9" s="171"/>
      <c r="G9" s="171"/>
      <c r="H9" s="172"/>
      <c r="I9" s="181"/>
      <c r="J9" s="182"/>
      <c r="K9" s="182"/>
      <c r="L9" s="183"/>
      <c r="M9" s="192"/>
      <c r="N9" s="193"/>
      <c r="O9" s="193"/>
      <c r="P9" s="194"/>
      <c r="R9" t="str">
        <f t="shared" si="0"/>
        <v>AI-ML Learning</v>
      </c>
      <c r="S9">
        <f t="shared" si="1"/>
        <v>1499</v>
      </c>
      <c r="U9" t="str">
        <f>'ANNUAL SUMMARY'!$A$13</f>
        <v>June</v>
      </c>
      <c r="V9">
        <f>'ANNUAL SUMMARY'!$C$13</f>
        <v>25000</v>
      </c>
      <c r="W9">
        <f>'ANNUAL SUMMARY'!$E$13</f>
        <v>2649</v>
      </c>
      <c r="Y9" t="str">
        <f>'ANNUAL SUMMARY'!$A$13</f>
        <v>June</v>
      </c>
      <c r="Z9">
        <f>'ANNUAL SUMMARY'!$T$13</f>
        <v>0</v>
      </c>
      <c r="AE9" t="s">
        <v>61</v>
      </c>
      <c r="AF9">
        <f>SUMIFS('QUICK ENTRY'!$E$8:$E$1007,'QUICK ENTRY'!$AF$8:$AF$1007,"Yes",'QUICK ENTRY'!$C$8:$C$1007,"Expense",'QUICK ENTRY'!$V$8:$V$1007,$C$3,'QUICK ENTRY'!$X$8:$X$1007,$C$4,'QUICK ENTRY'!$F$8:$F$1007,AE9)</f>
        <v>1499</v>
      </c>
    </row>
    <row r="10" spans="1:32">
      <c r="R10" t="str">
        <f t="shared" si="0"/>
        <v>Books &amp; Stationery</v>
      </c>
      <c r="S10">
        <f t="shared" si="1"/>
        <v>280</v>
      </c>
      <c r="U10" t="str">
        <f>'ANNUAL SUMMARY'!$A$14</f>
        <v>July</v>
      </c>
      <c r="V10">
        <f>'ANNUAL SUMMARY'!$C$14</f>
        <v>25000</v>
      </c>
      <c r="W10">
        <f>'ANNUAL SUMMARY'!$E$14</f>
        <v>8200</v>
      </c>
      <c r="Y10" t="str">
        <f>'ANNUAL SUMMARY'!$A$14</f>
        <v>July</v>
      </c>
      <c r="Z10">
        <f>'ANNUAL SUMMARY'!$T$14</f>
        <v>0</v>
      </c>
      <c r="AE10" t="s">
        <v>62</v>
      </c>
      <c r="AF10">
        <f>SUMIFS('QUICK ENTRY'!$E$8:$E$1007,'QUICK ENTRY'!$AF$8:$AF$1007,"Yes",'QUICK ENTRY'!$C$8:$C$1007,"Expense",'QUICK ENTRY'!$V$8:$V$1007,$C$3,'QUICK ENTRY'!$X$8:$X$1007,$C$4,'QUICK ENTRY'!$F$8:$F$1007,AE10)</f>
        <v>0</v>
      </c>
    </row>
    <row r="11" spans="1:32">
      <c r="A11" s="150" t="s">
        <v>63</v>
      </c>
      <c r="B11" s="151" t="s">
        <v>63</v>
      </c>
      <c r="C11" s="151" t="s">
        <v>63</v>
      </c>
      <c r="D11" s="152" t="s">
        <v>63</v>
      </c>
      <c r="E11" s="201" t="s">
        <v>64</v>
      </c>
      <c r="F11" s="202" t="s">
        <v>64</v>
      </c>
      <c r="G11" s="202" t="s">
        <v>64</v>
      </c>
      <c r="H11" s="203" t="s">
        <v>64</v>
      </c>
      <c r="I11" s="212" t="s">
        <v>65</v>
      </c>
      <c r="J11" s="213" t="s">
        <v>65</v>
      </c>
      <c r="K11" s="213" t="s">
        <v>65</v>
      </c>
      <c r="L11" s="214" t="s">
        <v>65</v>
      </c>
      <c r="M11" s="173" t="s">
        <v>66</v>
      </c>
      <c r="N11" s="174" t="s">
        <v>66</v>
      </c>
      <c r="O11" s="174" t="s">
        <v>66</v>
      </c>
      <c r="P11" s="175" t="s">
        <v>66</v>
      </c>
      <c r="R11" t="str">
        <f t="shared" si="0"/>
        <v>Subscriptions</v>
      </c>
      <c r="S11">
        <f t="shared" si="1"/>
        <v>199</v>
      </c>
      <c r="U11" t="str">
        <f>'ANNUAL SUMMARY'!$A$15</f>
        <v>August</v>
      </c>
      <c r="V11">
        <f>'ANNUAL SUMMARY'!$C$15</f>
        <v>30000</v>
      </c>
      <c r="W11">
        <f>'ANNUAL SUMMARY'!$E$15</f>
        <v>5200</v>
      </c>
      <c r="Y11" t="str">
        <f>'ANNUAL SUMMARY'!$A$15</f>
        <v>August</v>
      </c>
      <c r="Z11">
        <f>'ANNUAL SUMMARY'!$T$15</f>
        <v>2000</v>
      </c>
      <c r="AE11" t="s">
        <v>67</v>
      </c>
      <c r="AF11">
        <f>SUMIFS('QUICK ENTRY'!$E$8:$E$1007,'QUICK ENTRY'!$AF$8:$AF$1007,"Yes",'QUICK ENTRY'!$C$8:$C$1007,"Expense",'QUICK ENTRY'!$V$8:$V$1007,$C$3,'QUICK ENTRY'!$X$8:$X$1007,$C$4,'QUICK ENTRY'!$F$8:$F$1007,AE11)</f>
        <v>0</v>
      </c>
    </row>
    <row r="12" spans="1:32">
      <c r="A12" s="153" t="s">
        <v>63</v>
      </c>
      <c r="B12" s="154" t="s">
        <v>63</v>
      </c>
      <c r="C12" s="154" t="s">
        <v>63</v>
      </c>
      <c r="D12" s="155" t="s">
        <v>63</v>
      </c>
      <c r="E12" s="204" t="s">
        <v>64</v>
      </c>
      <c r="F12" s="205" t="s">
        <v>64</v>
      </c>
      <c r="G12" s="205" t="s">
        <v>64</v>
      </c>
      <c r="H12" s="206" t="s">
        <v>64</v>
      </c>
      <c r="I12" s="215" t="s">
        <v>65</v>
      </c>
      <c r="J12" s="216" t="s">
        <v>65</v>
      </c>
      <c r="K12" s="216" t="s">
        <v>65</v>
      </c>
      <c r="L12" s="217" t="s">
        <v>65</v>
      </c>
      <c r="M12" s="176" t="s">
        <v>66</v>
      </c>
      <c r="N12" s="177" t="s">
        <v>66</v>
      </c>
      <c r="O12" s="177" t="s">
        <v>66</v>
      </c>
      <c r="P12" s="178" t="s">
        <v>66</v>
      </c>
      <c r="R12" t="str">
        <f t="shared" si="0"/>
        <v>Mobile &amp; Internet</v>
      </c>
      <c r="S12">
        <f t="shared" si="1"/>
        <v>349</v>
      </c>
      <c r="U12" t="str">
        <f>'ANNUAL SUMMARY'!$A$16</f>
        <v>September</v>
      </c>
      <c r="V12">
        <f>'ANNUAL SUMMARY'!$C$16</f>
        <v>25000</v>
      </c>
      <c r="W12">
        <f>'ANNUAL SUMMARY'!$E$16</f>
        <v>7197</v>
      </c>
      <c r="Y12" t="str">
        <f>'ANNUAL SUMMARY'!$A$16</f>
        <v>September</v>
      </c>
      <c r="Z12">
        <f>'ANNUAL SUMMARY'!$T$16</f>
        <v>4500</v>
      </c>
    </row>
    <row r="13" spans="1:32" ht="33" customHeight="1">
      <c r="A13" s="195">
        <f>IFERROR(M8/A8,0)</f>
        <v>0.1</v>
      </c>
      <c r="B13" s="196"/>
      <c r="C13" s="196"/>
      <c r="D13" s="197"/>
      <c r="E13" s="207">
        <f>IFERROR((E8+M8)/'MONTHLY BUDGET'!$S$28,0)</f>
        <v>0.36592452830188682</v>
      </c>
      <c r="F13" s="196"/>
      <c r="G13" s="196"/>
      <c r="H13" s="208"/>
      <c r="I13" s="218">
        <f>'EMERGENCY FUND'!$B$8</f>
        <v>9500</v>
      </c>
      <c r="J13" s="157"/>
      <c r="K13" s="157"/>
      <c r="L13" s="219"/>
      <c r="M13" s="223">
        <f>INSIGHTS!$B$8</f>
        <v>83</v>
      </c>
      <c r="N13" s="224"/>
      <c r="O13" s="224"/>
      <c r="P13" s="225"/>
      <c r="R13" t="str">
        <f t="shared" si="0"/>
        <v>Personal Care</v>
      </c>
      <c r="S13">
        <f t="shared" si="1"/>
        <v>0</v>
      </c>
      <c r="U13" t="str">
        <f>'ANNUAL SUMMARY'!$A$17</f>
        <v>October</v>
      </c>
      <c r="V13">
        <f>'ANNUAL SUMMARY'!$C$17</f>
        <v>0</v>
      </c>
      <c r="W13">
        <f>'ANNUAL SUMMARY'!$E$17</f>
        <v>0</v>
      </c>
      <c r="Y13" t="str">
        <f>'ANNUAL SUMMARY'!$A$17</f>
        <v>October</v>
      </c>
      <c r="Z13">
        <f>'ANNUAL SUMMARY'!$T$17</f>
        <v>4500</v>
      </c>
    </row>
    <row r="14" spans="1:32" ht="33" customHeight="1">
      <c r="A14" s="198"/>
      <c r="B14" s="199"/>
      <c r="C14" s="199"/>
      <c r="D14" s="200"/>
      <c r="E14" s="209"/>
      <c r="F14" s="210"/>
      <c r="G14" s="210"/>
      <c r="H14" s="211"/>
      <c r="I14" s="220"/>
      <c r="J14" s="221"/>
      <c r="K14" s="221"/>
      <c r="L14" s="222"/>
      <c r="M14" s="226"/>
      <c r="N14" s="227"/>
      <c r="O14" s="227"/>
      <c r="P14" s="228"/>
      <c r="R14" t="str">
        <f t="shared" si="0"/>
        <v>Clothing</v>
      </c>
      <c r="S14">
        <f t="shared" si="1"/>
        <v>0</v>
      </c>
      <c r="U14" t="str">
        <f>'ANNUAL SUMMARY'!$A$18</f>
        <v>November</v>
      </c>
      <c r="V14">
        <f>'ANNUAL SUMMARY'!$C$18</f>
        <v>0</v>
      </c>
      <c r="W14">
        <f>'ANNUAL SUMMARY'!$E$18</f>
        <v>0</v>
      </c>
      <c r="Y14" t="str">
        <f>'ANNUAL SUMMARY'!$A$18</f>
        <v>November</v>
      </c>
      <c r="Z14">
        <f>'ANNUAL SUMMARY'!$T$18</f>
        <v>4500</v>
      </c>
    </row>
    <row r="15" spans="1:32">
      <c r="R15" t="str">
        <f t="shared" si="0"/>
        <v>Entertainment</v>
      </c>
      <c r="S15">
        <f t="shared" si="1"/>
        <v>0</v>
      </c>
      <c r="U15" t="str">
        <f>'ANNUAL SUMMARY'!$A$19</f>
        <v>December</v>
      </c>
      <c r="V15">
        <f>'ANNUAL SUMMARY'!$C$19</f>
        <v>0</v>
      </c>
      <c r="W15">
        <f>'ANNUAL SUMMARY'!$E$19</f>
        <v>0</v>
      </c>
      <c r="Y15" t="str">
        <f>'ANNUAL SUMMARY'!$A$19</f>
        <v>December</v>
      </c>
      <c r="Z15">
        <f>'ANNUAL SUMMARY'!$T$19</f>
        <v>4500</v>
      </c>
    </row>
    <row r="16" spans="1:32">
      <c r="A16" s="173" t="s">
        <v>68</v>
      </c>
      <c r="B16" s="174" t="s">
        <v>68</v>
      </c>
      <c r="C16" s="174" t="s">
        <v>68</v>
      </c>
      <c r="D16" s="175" t="s">
        <v>68</v>
      </c>
      <c r="E16" s="150" t="s">
        <v>69</v>
      </c>
      <c r="F16" s="151" t="s">
        <v>69</v>
      </c>
      <c r="G16" s="151" t="s">
        <v>69</v>
      </c>
      <c r="H16" s="152" t="s">
        <v>69</v>
      </c>
      <c r="I16" s="184" t="s">
        <v>70</v>
      </c>
      <c r="J16" s="185" t="s">
        <v>70</v>
      </c>
      <c r="K16" s="185" t="s">
        <v>70</v>
      </c>
      <c r="L16" s="186" t="s">
        <v>70</v>
      </c>
      <c r="M16" s="201" t="s">
        <v>71</v>
      </c>
      <c r="N16" s="202" t="s">
        <v>71</v>
      </c>
      <c r="O16" s="202" t="s">
        <v>71</v>
      </c>
      <c r="P16" s="203" t="s">
        <v>71</v>
      </c>
      <c r="R16" t="str">
        <f t="shared" si="0"/>
        <v>Travel Home</v>
      </c>
      <c r="S16">
        <f t="shared" si="1"/>
        <v>0</v>
      </c>
    </row>
    <row r="17" spans="1:19">
      <c r="A17" s="176" t="s">
        <v>68</v>
      </c>
      <c r="B17" s="177" t="s">
        <v>68</v>
      </c>
      <c r="C17" s="177" t="s">
        <v>68</v>
      </c>
      <c r="D17" s="178" t="s">
        <v>68</v>
      </c>
      <c r="E17" s="153" t="s">
        <v>69</v>
      </c>
      <c r="F17" s="154" t="s">
        <v>69</v>
      </c>
      <c r="G17" s="154" t="s">
        <v>69</v>
      </c>
      <c r="H17" s="155" t="s">
        <v>69</v>
      </c>
      <c r="I17" s="187" t="s">
        <v>70</v>
      </c>
      <c r="J17" s="188" t="s">
        <v>70</v>
      </c>
      <c r="K17" s="188" t="s">
        <v>70</v>
      </c>
      <c r="L17" s="189" t="s">
        <v>70</v>
      </c>
      <c r="M17" s="204" t="s">
        <v>71</v>
      </c>
      <c r="N17" s="205" t="s">
        <v>71</v>
      </c>
      <c r="O17" s="205" t="s">
        <v>71</v>
      </c>
      <c r="P17" s="206" t="s">
        <v>71</v>
      </c>
      <c r="R17" t="str">
        <f t="shared" si="0"/>
        <v>Health &amp; Fitness</v>
      </c>
      <c r="S17">
        <f t="shared" si="1"/>
        <v>700</v>
      </c>
    </row>
    <row r="18" spans="1:19" ht="33" customHeight="1">
      <c r="A18" s="179">
        <f ca="1">'MONTHLY BUDGET'!$B$37</f>
        <v>239.9</v>
      </c>
      <c r="B18" s="157"/>
      <c r="C18" s="157"/>
      <c r="D18" s="180"/>
      <c r="E18" s="156">
        <f ca="1">'MONTHLY BUDGET'!$B$43</f>
        <v>16803</v>
      </c>
      <c r="F18" s="157"/>
      <c r="G18" s="157"/>
      <c r="H18" s="158"/>
      <c r="I18" s="190">
        <f ca="1">'MONTHLY BUDGET'!$B$44</f>
        <v>15303</v>
      </c>
      <c r="J18" s="157"/>
      <c r="K18" s="157"/>
      <c r="L18" s="191"/>
      <c r="M18" s="229">
        <f ca="1">COUNTIFS('QUICK ENTRY'!$AF$8:$AF$1007,"Yes",'QUICK ENTRY'!$O$8:$O$1007,"&lt;&gt;Paid",'QUICK ENTRY'!$P$8:$P$1007,"&gt;="&amp;TODAY(),'QUICK ENTRY'!$P$8:$P$1007,"&lt;="&amp;TODAY()+SETTINGS!$E$8)</f>
        <v>0</v>
      </c>
      <c r="N18" s="230"/>
      <c r="O18" s="230"/>
      <c r="P18" s="231"/>
      <c r="R18" t="str">
        <f t="shared" si="0"/>
        <v>Shopping &amp; Gifts</v>
      </c>
      <c r="S18">
        <f t="shared" si="1"/>
        <v>0</v>
      </c>
    </row>
    <row r="19" spans="1:19" ht="33" customHeight="1">
      <c r="A19" s="181"/>
      <c r="B19" s="182"/>
      <c r="C19" s="182"/>
      <c r="D19" s="183"/>
      <c r="E19" s="159"/>
      <c r="F19" s="160"/>
      <c r="G19" s="160"/>
      <c r="H19" s="161"/>
      <c r="I19" s="192"/>
      <c r="J19" s="193"/>
      <c r="K19" s="193"/>
      <c r="L19" s="194"/>
      <c r="M19" s="232"/>
      <c r="N19" s="233"/>
      <c r="O19" s="233"/>
      <c r="P19" s="234"/>
      <c r="R19" t="str">
        <f t="shared" si="0"/>
        <v>Emergency</v>
      </c>
      <c r="S19">
        <f t="shared" si="1"/>
        <v>0</v>
      </c>
    </row>
    <row r="20" spans="1:19">
      <c r="R20" t="str">
        <f t="shared" si="0"/>
        <v>Savings</v>
      </c>
      <c r="S20">
        <f t="shared" si="1"/>
        <v>0</v>
      </c>
    </row>
    <row r="21" spans="1:19">
      <c r="A21" s="235" t="str">
        <f ca="1">IF(E13&gt;1,"Monthly budget exceeded by INR "&amp;TEXT((E8+M8)-'MONTHLY BUDGET'!$S$28,"#,##0"),IF(E13&gt;0.9,"Near budget limit — only INR "&amp;TEXT('MONTHLY BUDGET'!$U$28,"#,##0")&amp;" remains",IF('MONTHLY BUDGET'!$W$28&gt;'MONTHLY BUDGET'!$S$28,"Projected spending may exceed budget",IF(I8&lt;SETTINGS!$B$17,"Available balance is below the minimum safe level","You are within budget. Safe to spend INR "&amp;TEXT(E18,"#,##0")&amp;" today."))))</f>
        <v>You are within budget. Safe to spend INR 16,803 today.</v>
      </c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7"/>
      <c r="R21" t="str">
        <f t="shared" si="0"/>
        <v>Miscellaneous</v>
      </c>
      <c r="S21">
        <f t="shared" si="1"/>
        <v>0</v>
      </c>
    </row>
    <row r="22" spans="1:19">
      <c r="A22" s="238"/>
      <c r="B22" s="239"/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40"/>
      <c r="R22" t="str">
        <f t="shared" si="0"/>
        <v>Shared Expenses</v>
      </c>
      <c r="S22">
        <f t="shared" si="1"/>
        <v>0</v>
      </c>
    </row>
    <row r="23" spans="1:19">
      <c r="A23" s="241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3"/>
      <c r="R23" t="str">
        <f t="shared" si="0"/>
        <v>Career</v>
      </c>
      <c r="S23">
        <f t="shared" si="1"/>
        <v>0</v>
      </c>
    </row>
    <row r="26" spans="1:19" ht="30" customHeight="1">
      <c r="A26" s="19" t="s">
        <v>40</v>
      </c>
      <c r="B26" s="20" t="s">
        <v>72</v>
      </c>
      <c r="C26" s="20" t="s">
        <v>41</v>
      </c>
      <c r="D26" s="20" t="s">
        <v>73</v>
      </c>
      <c r="E26" s="20" t="s">
        <v>74</v>
      </c>
      <c r="F26" s="21" t="s">
        <v>75</v>
      </c>
    </row>
    <row r="27" spans="1:19" ht="14.4">
      <c r="A27" s="2" t="str">
        <f>'MONTHLY BUDGET'!$A$8</f>
        <v>College Fees</v>
      </c>
      <c r="B27" s="72">
        <f>'MONTHLY BUDGET'!$S$8</f>
        <v>4500</v>
      </c>
      <c r="C27" s="72">
        <f>'MONTHLY BUDGET'!$T$8</f>
        <v>0</v>
      </c>
      <c r="D27" s="72">
        <f>'MONTHLY BUDGET'!$U$8</f>
        <v>4500</v>
      </c>
      <c r="E27" s="75">
        <f>'MONTHLY BUDGET'!$V$8</f>
        <v>0</v>
      </c>
      <c r="F27" s="2" t="str">
        <f>'MONTHLY BUDGET'!$X$8</f>
        <v>Safe</v>
      </c>
    </row>
    <row r="28" spans="1:19" ht="14.4">
      <c r="A28" s="3" t="str">
        <f>'MONTHLY BUDGET'!$A$9</f>
        <v>Hostel</v>
      </c>
      <c r="B28" s="73">
        <f>'MONTHLY BUDGET'!$S$9</f>
        <v>3500</v>
      </c>
      <c r="C28" s="73">
        <f>'MONTHLY BUDGET'!$T$9</f>
        <v>3200</v>
      </c>
      <c r="D28" s="73">
        <f>'MONTHLY BUDGET'!$U$9</f>
        <v>300</v>
      </c>
      <c r="E28" s="76">
        <f>'MONTHLY BUDGET'!$V$9</f>
        <v>0.91428571428571426</v>
      </c>
      <c r="F28" s="3" t="str">
        <f>'MONTHLY BUDGET'!$X$9</f>
        <v>Near Limit</v>
      </c>
    </row>
    <row r="29" spans="1:19" ht="14.4">
      <c r="A29" s="3" t="str">
        <f>'MONTHLY BUDGET'!$A$10</f>
        <v>Food</v>
      </c>
      <c r="B29" s="73">
        <f>'MONTHLY BUDGET'!$S$10</f>
        <v>4000</v>
      </c>
      <c r="C29" s="73">
        <f>'MONTHLY BUDGET'!$T$10</f>
        <v>620</v>
      </c>
      <c r="D29" s="73">
        <f>'MONTHLY BUDGET'!$U$10</f>
        <v>3380</v>
      </c>
      <c r="E29" s="76">
        <f>'MONTHLY BUDGET'!$V$10</f>
        <v>0.155</v>
      </c>
      <c r="F29" s="3" t="str">
        <f>'MONTHLY BUDGET'!$X$10</f>
        <v>Safe</v>
      </c>
    </row>
    <row r="30" spans="1:19" ht="14.4">
      <c r="A30" s="3" t="str">
        <f>'MONTHLY BUDGET'!$A$11</f>
        <v>Transport</v>
      </c>
      <c r="B30" s="73">
        <f>'MONTHLY BUDGET'!$S$11</f>
        <v>1500</v>
      </c>
      <c r="C30" s="73">
        <f>'MONTHLY BUDGET'!$T$11</f>
        <v>350</v>
      </c>
      <c r="D30" s="73">
        <f>'MONTHLY BUDGET'!$U$11</f>
        <v>1150</v>
      </c>
      <c r="E30" s="76">
        <f>'MONTHLY BUDGET'!$V$11</f>
        <v>0.23333333333333334</v>
      </c>
      <c r="F30" s="3" t="str">
        <f>'MONTHLY BUDGET'!$X$11</f>
        <v>Safe</v>
      </c>
    </row>
    <row r="31" spans="1:19" ht="14.4">
      <c r="A31" s="3" t="str">
        <f>'MONTHLY BUDGET'!$A$12</f>
        <v>Technology</v>
      </c>
      <c r="B31" s="73">
        <f>'MONTHLY BUDGET'!$S$12</f>
        <v>1500</v>
      </c>
      <c r="C31" s="73">
        <f>'MONTHLY BUDGET'!$T$12</f>
        <v>0</v>
      </c>
      <c r="D31" s="73">
        <f>'MONTHLY BUDGET'!$U$12</f>
        <v>1500</v>
      </c>
      <c r="E31" s="76">
        <f>'MONTHLY BUDGET'!$V$12</f>
        <v>0</v>
      </c>
      <c r="F31" s="3" t="str">
        <f>'MONTHLY BUDGET'!$X$12</f>
        <v>Safe</v>
      </c>
    </row>
    <row r="32" spans="1:19" ht="14.4">
      <c r="A32" s="3" t="str">
        <f>'MONTHLY BUDGET'!$A$13</f>
        <v>AI-ML Learning</v>
      </c>
      <c r="B32" s="73">
        <f>'MONTHLY BUDGET'!$S$13</f>
        <v>1000</v>
      </c>
      <c r="C32" s="73">
        <f>'MONTHLY BUDGET'!$T$13</f>
        <v>1499</v>
      </c>
      <c r="D32" s="73">
        <f>'MONTHLY BUDGET'!$U$13</f>
        <v>-499</v>
      </c>
      <c r="E32" s="76">
        <f>'MONTHLY BUDGET'!$V$13</f>
        <v>1.4990000000000001</v>
      </c>
      <c r="F32" s="3" t="str">
        <f>'MONTHLY BUDGET'!$X$13</f>
        <v>Over Budget</v>
      </c>
    </row>
    <row r="33" spans="1:6" ht="14.4">
      <c r="A33" s="3" t="str">
        <f>'MONTHLY BUDGET'!$A$14</f>
        <v>Books &amp; Stationery</v>
      </c>
      <c r="B33" s="73">
        <f>'MONTHLY BUDGET'!$S$14</f>
        <v>500</v>
      </c>
      <c r="C33" s="73">
        <f>'MONTHLY BUDGET'!$T$14</f>
        <v>280</v>
      </c>
      <c r="D33" s="73">
        <f>'MONTHLY BUDGET'!$U$14</f>
        <v>220</v>
      </c>
      <c r="E33" s="76">
        <f>'MONTHLY BUDGET'!$V$14</f>
        <v>0.56000000000000005</v>
      </c>
      <c r="F33" s="3" t="str">
        <f>'MONTHLY BUDGET'!$X$14</f>
        <v>Safe</v>
      </c>
    </row>
    <row r="34" spans="1:6" ht="14.4">
      <c r="A34" s="3" t="str">
        <f>'MONTHLY BUDGET'!$A$15</f>
        <v>Subscriptions</v>
      </c>
      <c r="B34" s="73">
        <f>'MONTHLY BUDGET'!$S$15</f>
        <v>600</v>
      </c>
      <c r="C34" s="73">
        <f>'MONTHLY BUDGET'!$T$15</f>
        <v>199</v>
      </c>
      <c r="D34" s="73">
        <f>'MONTHLY BUDGET'!$U$15</f>
        <v>401</v>
      </c>
      <c r="E34" s="76">
        <f>'MONTHLY BUDGET'!$V$15</f>
        <v>0.33166666666666667</v>
      </c>
      <c r="F34" s="3" t="str">
        <f>'MONTHLY BUDGET'!$X$15</f>
        <v>Safe</v>
      </c>
    </row>
    <row r="35" spans="1:6" ht="14.4">
      <c r="A35" s="3" t="str">
        <f>'MONTHLY BUDGET'!$A$16</f>
        <v>Mobile &amp; Internet</v>
      </c>
      <c r="B35" s="73">
        <f>'MONTHLY BUDGET'!$S$16</f>
        <v>400</v>
      </c>
      <c r="C35" s="73">
        <f>'MONTHLY BUDGET'!$T$16</f>
        <v>349</v>
      </c>
      <c r="D35" s="73">
        <f>'MONTHLY BUDGET'!$U$16</f>
        <v>51</v>
      </c>
      <c r="E35" s="76">
        <f>'MONTHLY BUDGET'!$V$16</f>
        <v>0.87250000000000005</v>
      </c>
      <c r="F35" s="3" t="str">
        <f>'MONTHLY BUDGET'!$X$16</f>
        <v>Watch Spending</v>
      </c>
    </row>
    <row r="36" spans="1:6" ht="14.4">
      <c r="A36" s="3" t="str">
        <f>'MONTHLY BUDGET'!$A$17</f>
        <v>Personal Care</v>
      </c>
      <c r="B36" s="73">
        <f>'MONTHLY BUDGET'!$S$17</f>
        <v>500</v>
      </c>
      <c r="C36" s="73">
        <f>'MONTHLY BUDGET'!$T$17</f>
        <v>0</v>
      </c>
      <c r="D36" s="73">
        <f>'MONTHLY BUDGET'!$U$17</f>
        <v>500</v>
      </c>
      <c r="E36" s="76">
        <f>'MONTHLY BUDGET'!$V$17</f>
        <v>0</v>
      </c>
      <c r="F36" s="3" t="str">
        <f>'MONTHLY BUDGET'!$X$17</f>
        <v>Safe</v>
      </c>
    </row>
    <row r="37" spans="1:6" ht="14.4">
      <c r="A37" s="3" t="str">
        <f>'MONTHLY BUDGET'!$A$18</f>
        <v>Clothing</v>
      </c>
      <c r="B37" s="73">
        <f>'MONTHLY BUDGET'!$S$18</f>
        <v>500</v>
      </c>
      <c r="C37" s="73">
        <f>'MONTHLY BUDGET'!$T$18</f>
        <v>0</v>
      </c>
      <c r="D37" s="73">
        <f>'MONTHLY BUDGET'!$U$18</f>
        <v>500</v>
      </c>
      <c r="E37" s="76">
        <f>'MONTHLY BUDGET'!$V$18</f>
        <v>0</v>
      </c>
      <c r="F37" s="3" t="str">
        <f>'MONTHLY BUDGET'!$X$18</f>
        <v>Safe</v>
      </c>
    </row>
    <row r="38" spans="1:6" ht="14.4">
      <c r="A38" s="3" t="str">
        <f>'MONTHLY BUDGET'!$A$19</f>
        <v>Entertainment</v>
      </c>
      <c r="B38" s="73">
        <f>'MONTHLY BUDGET'!$S$19</f>
        <v>1000</v>
      </c>
      <c r="C38" s="73">
        <f>'MONTHLY BUDGET'!$T$19</f>
        <v>0</v>
      </c>
      <c r="D38" s="73">
        <f>'MONTHLY BUDGET'!$U$19</f>
        <v>1000</v>
      </c>
      <c r="E38" s="76">
        <f>'MONTHLY BUDGET'!$V$19</f>
        <v>0</v>
      </c>
      <c r="F38" s="3" t="str">
        <f>'MONTHLY BUDGET'!$X$19</f>
        <v>Safe</v>
      </c>
    </row>
    <row r="39" spans="1:6" ht="14.4">
      <c r="A39" s="3" t="str">
        <f>'MONTHLY BUDGET'!$A$20</f>
        <v>Travel Home</v>
      </c>
      <c r="B39" s="73">
        <f>'MONTHLY BUDGET'!$S$20</f>
        <v>1000</v>
      </c>
      <c r="C39" s="73">
        <f>'MONTHLY BUDGET'!$T$20</f>
        <v>0</v>
      </c>
      <c r="D39" s="73">
        <f>'MONTHLY BUDGET'!$U$20</f>
        <v>1000</v>
      </c>
      <c r="E39" s="76">
        <f>'MONTHLY BUDGET'!$V$20</f>
        <v>0</v>
      </c>
      <c r="F39" s="3" t="str">
        <f>'MONTHLY BUDGET'!$X$20</f>
        <v>Safe</v>
      </c>
    </row>
    <row r="40" spans="1:6" ht="14.4">
      <c r="A40" s="3" t="str">
        <f>'MONTHLY BUDGET'!$A$21</f>
        <v>Health &amp; Fitness</v>
      </c>
      <c r="B40" s="73">
        <f>'MONTHLY BUDGET'!$S$21</f>
        <v>700</v>
      </c>
      <c r="C40" s="73">
        <f>'MONTHLY BUDGET'!$T$21</f>
        <v>700</v>
      </c>
      <c r="D40" s="73">
        <f>'MONTHLY BUDGET'!$U$21</f>
        <v>0</v>
      </c>
      <c r="E40" s="76">
        <f>'MONTHLY BUDGET'!$V$21</f>
        <v>1</v>
      </c>
      <c r="F40" s="3" t="str">
        <f>'MONTHLY BUDGET'!$X$21</f>
        <v>Near Limit</v>
      </c>
    </row>
    <row r="41" spans="1:6" ht="14.4">
      <c r="A41" s="3" t="str">
        <f>'MONTHLY BUDGET'!$A$22</f>
        <v>Shopping &amp; Gifts</v>
      </c>
      <c r="B41" s="73">
        <f>'MONTHLY BUDGET'!$S$22</f>
        <v>1000</v>
      </c>
      <c r="C41" s="73">
        <f>'MONTHLY BUDGET'!$T$22</f>
        <v>0</v>
      </c>
      <c r="D41" s="73">
        <f>'MONTHLY BUDGET'!$U$22</f>
        <v>1000</v>
      </c>
      <c r="E41" s="76">
        <f>'MONTHLY BUDGET'!$V$22</f>
        <v>0</v>
      </c>
      <c r="F41" s="3" t="str">
        <f>'MONTHLY BUDGET'!$X$22</f>
        <v>Safe</v>
      </c>
    </row>
    <row r="42" spans="1:6" ht="14.4">
      <c r="A42" s="3" t="str">
        <f>'MONTHLY BUDGET'!$A$23</f>
        <v>Emergency</v>
      </c>
      <c r="B42" s="73">
        <f>'MONTHLY BUDGET'!$S$23</f>
        <v>500</v>
      </c>
      <c r="C42" s="73">
        <f>'MONTHLY BUDGET'!$T$23</f>
        <v>0</v>
      </c>
      <c r="D42" s="73">
        <f>'MONTHLY BUDGET'!$U$23</f>
        <v>500</v>
      </c>
      <c r="E42" s="76">
        <f>'MONTHLY BUDGET'!$V$23</f>
        <v>0</v>
      </c>
      <c r="F42" s="3" t="str">
        <f>'MONTHLY BUDGET'!$X$23</f>
        <v>Safe</v>
      </c>
    </row>
    <row r="43" spans="1:6" ht="14.4">
      <c r="A43" s="3" t="str">
        <f>'MONTHLY BUDGET'!$A$24</f>
        <v>Savings</v>
      </c>
      <c r="B43" s="73">
        <f>'MONTHLY BUDGET'!$S$24</f>
        <v>2000</v>
      </c>
      <c r="C43" s="73">
        <f>'MONTHLY BUDGET'!$T$24</f>
        <v>2500</v>
      </c>
      <c r="D43" s="73">
        <f>'MONTHLY BUDGET'!$U$24</f>
        <v>-500</v>
      </c>
      <c r="E43" s="76">
        <f>'MONTHLY BUDGET'!$V$24</f>
        <v>1.25</v>
      </c>
      <c r="F43" s="3" t="str">
        <f>'MONTHLY BUDGET'!$X$24</f>
        <v>Over Budget</v>
      </c>
    </row>
    <row r="44" spans="1:6" ht="14.4">
      <c r="A44" s="3" t="str">
        <f>'MONTHLY BUDGET'!$A$25</f>
        <v>Miscellaneous</v>
      </c>
      <c r="B44" s="73">
        <f>'MONTHLY BUDGET'!$S$25</f>
        <v>800</v>
      </c>
      <c r="C44" s="73">
        <f>'MONTHLY BUDGET'!$T$25</f>
        <v>0</v>
      </c>
      <c r="D44" s="73">
        <f>'MONTHLY BUDGET'!$U$25</f>
        <v>800</v>
      </c>
      <c r="E44" s="76">
        <f>'MONTHLY BUDGET'!$V$25</f>
        <v>0</v>
      </c>
      <c r="F44" s="3" t="str">
        <f>'MONTHLY BUDGET'!$X$25</f>
        <v>Safe</v>
      </c>
    </row>
    <row r="45" spans="1:6" ht="14.4">
      <c r="A45" s="3" t="str">
        <f>'MONTHLY BUDGET'!$A$26</f>
        <v>Shared Expenses</v>
      </c>
      <c r="B45" s="73">
        <f>'MONTHLY BUDGET'!$S$26</f>
        <v>500</v>
      </c>
      <c r="C45" s="73">
        <f>'MONTHLY BUDGET'!$T$26</f>
        <v>0</v>
      </c>
      <c r="D45" s="73">
        <f>'MONTHLY BUDGET'!$U$26</f>
        <v>500</v>
      </c>
      <c r="E45" s="76">
        <f>'MONTHLY BUDGET'!$V$26</f>
        <v>0</v>
      </c>
      <c r="F45" s="3" t="str">
        <f>'MONTHLY BUDGET'!$X$26</f>
        <v>Safe</v>
      </c>
    </row>
    <row r="46" spans="1:6" ht="14.4">
      <c r="A46" s="4" t="str">
        <f>'MONTHLY BUDGET'!$A$27</f>
        <v>Career</v>
      </c>
      <c r="B46" s="74">
        <f>'MONTHLY BUDGET'!$S$27</f>
        <v>500</v>
      </c>
      <c r="C46" s="74">
        <f>'MONTHLY BUDGET'!$T$27</f>
        <v>0</v>
      </c>
      <c r="D46" s="74">
        <f>'MONTHLY BUDGET'!$U$27</f>
        <v>500</v>
      </c>
      <c r="E46" s="77">
        <f>'MONTHLY BUDGET'!$V$27</f>
        <v>0</v>
      </c>
      <c r="F46" s="4" t="str">
        <f>'MONTHLY BUDGET'!$X$27</f>
        <v>Safe</v>
      </c>
    </row>
  </sheetData>
  <mergeCells count="31">
    <mergeCell ref="M16:P17"/>
    <mergeCell ref="M18:P19"/>
    <mergeCell ref="A21:P23"/>
    <mergeCell ref="A16:D17"/>
    <mergeCell ref="A18:D19"/>
    <mergeCell ref="E16:H17"/>
    <mergeCell ref="E18:H19"/>
    <mergeCell ref="I16:L17"/>
    <mergeCell ref="I18:L19"/>
    <mergeCell ref="M6:P7"/>
    <mergeCell ref="M8:P9"/>
    <mergeCell ref="A11:D12"/>
    <mergeCell ref="A13:D14"/>
    <mergeCell ref="E11:H12"/>
    <mergeCell ref="E13:H14"/>
    <mergeCell ref="I11:L12"/>
    <mergeCell ref="I13:L14"/>
    <mergeCell ref="M11:P12"/>
    <mergeCell ref="M13:P14"/>
    <mergeCell ref="A6:D7"/>
    <mergeCell ref="A8:D9"/>
    <mergeCell ref="E6:H7"/>
    <mergeCell ref="E8:H9"/>
    <mergeCell ref="I6:L7"/>
    <mergeCell ref="I8:L9"/>
    <mergeCell ref="A1:P2"/>
    <mergeCell ref="A3:B3"/>
    <mergeCell ref="A4:B4"/>
    <mergeCell ref="C3:D3"/>
    <mergeCell ref="C4:D4"/>
    <mergeCell ref="F3:P4"/>
  </mergeCells>
  <conditionalFormatting sqref="E27:E46">
    <cfRule type="dataBar" priority="1">
      <dataBar>
        <cfvo type="min"/>
        <cfvo type="max"/>
        <color rgb="FF2563EB"/>
      </dataBar>
    </cfRule>
    <cfRule type="dataBar" priority="10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{73AC565A-CD0F-A125-1140-E257223D1650}</x14:id>
        </ext>
      </extLst>
    </cfRule>
  </conditionalFormatting>
  <conditionalFormatting sqref="F27:F46">
    <cfRule type="containsText" dxfId="81" priority="2" operator="containsText" text="Safe"/>
    <cfRule type="containsText" dxfId="80" priority="5" operator="containsText" text="Watch"/>
    <cfRule type="containsText" dxfId="79" priority="7" operator="containsText" text="Near"/>
    <cfRule type="containsText" dxfId="78" priority="8" operator="containsText" text="Over"/>
  </conditionalFormatting>
  <dataValidations count="1">
    <dataValidation type="whole" sqref="C4" xr:uid="{00000000-0002-0000-0100-000001000000}">
      <formula1>2020</formula1>
      <formula2>2100</formula2>
    </dataValidation>
  </dataValidation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AC565A-CD0F-A125-1140-E257223D1650}">
            <x14:dataBar>
              <x14:cfvo type="min"/>
              <x14:cfvo type="max"/>
              <x14:negativeFillColor auto="1"/>
              <x14:axisColor auto="1"/>
            </x14:dataBar>
          </x14:cfRule>
          <xm:sqref>E27:E46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SETTINGS!$K$21:$K$32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7"/>
  <sheetViews>
    <sheetView showGridLines="0" workbookViewId="0"/>
  </sheetViews>
  <sheetFormatPr defaultRowHeight="13.8"/>
  <cols>
    <col min="1" max="1" width="10" customWidth="1"/>
    <col min="2" max="2" width="13" customWidth="1"/>
    <col min="3" max="3" width="17" customWidth="1"/>
    <col min="4" max="4" width="31" customWidth="1"/>
    <col min="5" max="5" width="14" customWidth="1"/>
    <col min="6" max="7" width="18" customWidth="1"/>
    <col min="8" max="9" width="20" customWidth="1"/>
    <col min="10" max="12" width="19" customWidth="1"/>
    <col min="13" max="19" width="16" customWidth="1"/>
    <col min="20" max="21" width="18" customWidth="1"/>
    <col min="22" max="26" width="12" customWidth="1"/>
    <col min="27" max="33" width="19" customWidth="1"/>
  </cols>
  <sheetData>
    <row r="1" spans="1:33" ht="31.95" customHeight="1">
      <c r="A1" s="107" t="s">
        <v>76</v>
      </c>
      <c r="B1" s="107" t="s">
        <v>76</v>
      </c>
      <c r="C1" s="107" t="s">
        <v>76</v>
      </c>
      <c r="D1" s="107" t="s">
        <v>76</v>
      </c>
      <c r="E1" s="107" t="s">
        <v>76</v>
      </c>
      <c r="F1" s="107" t="s">
        <v>76</v>
      </c>
      <c r="G1" s="107" t="s">
        <v>76</v>
      </c>
      <c r="H1" s="107" t="s">
        <v>76</v>
      </c>
      <c r="I1" s="107" t="s">
        <v>76</v>
      </c>
      <c r="J1" s="107" t="s">
        <v>76</v>
      </c>
      <c r="K1" s="107" t="s">
        <v>76</v>
      </c>
      <c r="L1" s="107" t="s">
        <v>76</v>
      </c>
      <c r="M1" s="107" t="s">
        <v>76</v>
      </c>
      <c r="N1" s="107" t="s">
        <v>76</v>
      </c>
      <c r="O1" s="107" t="s">
        <v>76</v>
      </c>
      <c r="P1" s="107" t="s">
        <v>76</v>
      </c>
      <c r="Q1" s="107" t="s">
        <v>76</v>
      </c>
      <c r="R1" s="107" t="s">
        <v>76</v>
      </c>
      <c r="S1" s="107" t="s">
        <v>76</v>
      </c>
      <c r="T1" s="107" t="s">
        <v>76</v>
      </c>
      <c r="U1" s="107" t="s">
        <v>76</v>
      </c>
      <c r="V1" s="107" t="s">
        <v>76</v>
      </c>
      <c r="W1" s="107" t="s">
        <v>76</v>
      </c>
      <c r="X1" s="107" t="s">
        <v>76</v>
      </c>
      <c r="Y1" s="107" t="s">
        <v>76</v>
      </c>
      <c r="Z1" s="107" t="s">
        <v>76</v>
      </c>
      <c r="AA1" s="107" t="s">
        <v>76</v>
      </c>
      <c r="AB1" s="107" t="s">
        <v>76</v>
      </c>
      <c r="AC1" s="107" t="s">
        <v>76</v>
      </c>
      <c r="AD1" s="107" t="s">
        <v>76</v>
      </c>
      <c r="AE1" s="107" t="s">
        <v>76</v>
      </c>
      <c r="AF1" s="107" t="s">
        <v>76</v>
      </c>
      <c r="AG1" s="107" t="s">
        <v>76</v>
      </c>
    </row>
    <row r="2" spans="1:33" ht="31.95" customHeight="1">
      <c r="A2" s="107" t="s">
        <v>76</v>
      </c>
      <c r="B2" s="107" t="s">
        <v>76</v>
      </c>
      <c r="C2" s="107" t="s">
        <v>76</v>
      </c>
      <c r="D2" s="107" t="s">
        <v>76</v>
      </c>
      <c r="E2" s="107" t="s">
        <v>76</v>
      </c>
      <c r="F2" s="107" t="s">
        <v>76</v>
      </c>
      <c r="G2" s="107" t="s">
        <v>76</v>
      </c>
      <c r="H2" s="107" t="s">
        <v>76</v>
      </c>
      <c r="I2" s="107" t="s">
        <v>76</v>
      </c>
      <c r="J2" s="107" t="s">
        <v>76</v>
      </c>
      <c r="K2" s="107" t="s">
        <v>76</v>
      </c>
      <c r="L2" s="107" t="s">
        <v>76</v>
      </c>
      <c r="M2" s="107" t="s">
        <v>76</v>
      </c>
      <c r="N2" s="107" t="s">
        <v>76</v>
      </c>
      <c r="O2" s="107" t="s">
        <v>76</v>
      </c>
      <c r="P2" s="107" t="s">
        <v>76</v>
      </c>
      <c r="Q2" s="107" t="s">
        <v>76</v>
      </c>
      <c r="R2" s="107" t="s">
        <v>76</v>
      </c>
      <c r="S2" s="107" t="s">
        <v>76</v>
      </c>
      <c r="T2" s="107" t="s">
        <v>76</v>
      </c>
      <c r="U2" s="107" t="s">
        <v>76</v>
      </c>
      <c r="V2" s="107" t="s">
        <v>76</v>
      </c>
      <c r="W2" s="107" t="s">
        <v>76</v>
      </c>
      <c r="X2" s="107" t="s">
        <v>76</v>
      </c>
      <c r="Y2" s="107" t="s">
        <v>76</v>
      </c>
      <c r="Z2" s="107" t="s">
        <v>76</v>
      </c>
      <c r="AA2" s="107" t="s">
        <v>76</v>
      </c>
      <c r="AB2" s="107" t="s">
        <v>76</v>
      </c>
      <c r="AC2" s="107" t="s">
        <v>76</v>
      </c>
      <c r="AD2" s="107" t="s">
        <v>76</v>
      </c>
      <c r="AE2" s="107" t="s">
        <v>76</v>
      </c>
      <c r="AF2" s="107" t="s">
        <v>76</v>
      </c>
      <c r="AG2" s="107" t="s">
        <v>76</v>
      </c>
    </row>
    <row r="3" spans="1:33" ht="18" customHeight="1">
      <c r="A3" s="108" t="s">
        <v>77</v>
      </c>
      <c r="B3" s="108" t="s">
        <v>77</v>
      </c>
      <c r="C3" s="108" t="s">
        <v>77</v>
      </c>
      <c r="D3" s="108" t="s">
        <v>77</v>
      </c>
      <c r="E3" s="108" t="s">
        <v>77</v>
      </c>
      <c r="F3" s="108" t="s">
        <v>77</v>
      </c>
      <c r="G3" s="108" t="s">
        <v>77</v>
      </c>
      <c r="H3" s="108" t="s">
        <v>77</v>
      </c>
      <c r="I3" s="108" t="s">
        <v>77</v>
      </c>
      <c r="J3" s="108" t="s">
        <v>77</v>
      </c>
      <c r="K3" s="108" t="s">
        <v>77</v>
      </c>
      <c r="L3" s="108" t="s">
        <v>77</v>
      </c>
      <c r="M3" s="108" t="s">
        <v>77</v>
      </c>
      <c r="N3" s="108" t="s">
        <v>77</v>
      </c>
      <c r="O3" s="108" t="s">
        <v>77</v>
      </c>
      <c r="P3" s="108" t="s">
        <v>77</v>
      </c>
      <c r="Q3" s="108" t="s">
        <v>77</v>
      </c>
      <c r="R3" s="108" t="s">
        <v>77</v>
      </c>
      <c r="S3" s="108" t="s">
        <v>77</v>
      </c>
      <c r="T3" s="108" t="s">
        <v>77</v>
      </c>
      <c r="U3" s="108" t="s">
        <v>77</v>
      </c>
      <c r="V3" s="108" t="s">
        <v>77</v>
      </c>
      <c r="W3" s="108" t="s">
        <v>77</v>
      </c>
      <c r="X3" s="108" t="s">
        <v>77</v>
      </c>
      <c r="Y3" s="108" t="s">
        <v>77</v>
      </c>
      <c r="Z3" s="108" t="s">
        <v>77</v>
      </c>
      <c r="AA3" s="108" t="s">
        <v>77</v>
      </c>
      <c r="AB3" s="108" t="s">
        <v>77</v>
      </c>
      <c r="AC3" s="108" t="s">
        <v>77</v>
      </c>
      <c r="AD3" s="108" t="s">
        <v>77</v>
      </c>
      <c r="AE3" s="108" t="s">
        <v>77</v>
      </c>
      <c r="AF3" s="108" t="s">
        <v>77</v>
      </c>
      <c r="AG3" s="108" t="s">
        <v>77</v>
      </c>
    </row>
    <row r="5" spans="1:33">
      <c r="A5" s="244" t="s">
        <v>78</v>
      </c>
      <c r="B5" s="244" t="s">
        <v>78</v>
      </c>
      <c r="C5" s="244" t="s">
        <v>78</v>
      </c>
      <c r="D5" s="244" t="s">
        <v>78</v>
      </c>
      <c r="E5" s="244" t="s">
        <v>78</v>
      </c>
      <c r="F5" s="244" t="s">
        <v>78</v>
      </c>
      <c r="G5" s="244" t="s">
        <v>78</v>
      </c>
      <c r="H5" s="245" t="s">
        <v>79</v>
      </c>
      <c r="I5" s="245" t="s">
        <v>79</v>
      </c>
      <c r="J5" s="245" t="s">
        <v>79</v>
      </c>
      <c r="K5" s="245" t="s">
        <v>79</v>
      </c>
      <c r="L5" s="245" t="s">
        <v>79</v>
      </c>
      <c r="M5" s="245" t="s">
        <v>79</v>
      </c>
      <c r="N5" s="245" t="s">
        <v>79</v>
      </c>
      <c r="O5" s="245" t="s">
        <v>79</v>
      </c>
      <c r="P5" s="245" t="s">
        <v>79</v>
      </c>
      <c r="Q5" s="245" t="s">
        <v>79</v>
      </c>
      <c r="R5" s="245" t="s">
        <v>79</v>
      </c>
      <c r="S5" s="245" t="s">
        <v>79</v>
      </c>
      <c r="T5" s="245" t="s">
        <v>79</v>
      </c>
      <c r="U5" s="245" t="s">
        <v>79</v>
      </c>
      <c r="V5" s="245" t="s">
        <v>79</v>
      </c>
      <c r="W5" s="245" t="s">
        <v>79</v>
      </c>
      <c r="X5" s="245" t="s">
        <v>79</v>
      </c>
      <c r="Y5" s="245" t="s">
        <v>79</v>
      </c>
      <c r="Z5" s="245" t="s">
        <v>79</v>
      </c>
      <c r="AA5" s="245" t="s">
        <v>79</v>
      </c>
      <c r="AB5" s="245" t="s">
        <v>79</v>
      </c>
      <c r="AC5" s="245" t="s">
        <v>79</v>
      </c>
      <c r="AD5" s="245" t="s">
        <v>79</v>
      </c>
      <c r="AE5" s="245" t="s">
        <v>79</v>
      </c>
      <c r="AF5" s="245" t="s">
        <v>79</v>
      </c>
      <c r="AG5" s="245" t="s">
        <v>79</v>
      </c>
    </row>
    <row r="7" spans="1:33" ht="30" customHeight="1">
      <c r="A7" s="37" t="s">
        <v>80</v>
      </c>
      <c r="B7" s="38" t="s">
        <v>81</v>
      </c>
      <c r="C7" s="38" t="s">
        <v>82</v>
      </c>
      <c r="D7" s="38" t="s">
        <v>83</v>
      </c>
      <c r="E7" s="38" t="s">
        <v>84</v>
      </c>
      <c r="F7" s="38" t="s">
        <v>46</v>
      </c>
      <c r="G7" s="39" t="s">
        <v>85</v>
      </c>
      <c r="H7" s="40" t="s">
        <v>86</v>
      </c>
      <c r="I7" s="41" t="s">
        <v>87</v>
      </c>
      <c r="J7" s="41" t="s">
        <v>88</v>
      </c>
      <c r="K7" s="41" t="s">
        <v>89</v>
      </c>
      <c r="L7" s="41" t="s">
        <v>90</v>
      </c>
      <c r="M7" s="41" t="s">
        <v>91</v>
      </c>
      <c r="N7" s="41" t="s">
        <v>92</v>
      </c>
      <c r="O7" s="41" t="s">
        <v>93</v>
      </c>
      <c r="P7" s="41" t="s">
        <v>94</v>
      </c>
      <c r="Q7" s="41" t="s">
        <v>95</v>
      </c>
      <c r="R7" s="41" t="s">
        <v>96</v>
      </c>
      <c r="S7" s="41" t="s">
        <v>97</v>
      </c>
      <c r="T7" s="41" t="s">
        <v>98</v>
      </c>
      <c r="U7" s="41" t="s">
        <v>99</v>
      </c>
      <c r="V7" s="41" t="s">
        <v>37</v>
      </c>
      <c r="W7" s="41" t="s">
        <v>100</v>
      </c>
      <c r="X7" s="41" t="s">
        <v>101</v>
      </c>
      <c r="Y7" s="41" t="s">
        <v>102</v>
      </c>
      <c r="Z7" s="41" t="s">
        <v>103</v>
      </c>
      <c r="AA7" s="41" t="s">
        <v>104</v>
      </c>
      <c r="AB7" s="41" t="s">
        <v>105</v>
      </c>
      <c r="AC7" s="41" t="s">
        <v>106</v>
      </c>
      <c r="AD7" s="41" t="s">
        <v>107</v>
      </c>
      <c r="AE7" s="41" t="s">
        <v>108</v>
      </c>
      <c r="AF7" s="41" t="s">
        <v>109</v>
      </c>
      <c r="AG7" s="42" t="s">
        <v>110</v>
      </c>
    </row>
    <row r="8" spans="1:33" ht="14.4">
      <c r="A8" s="8" t="s">
        <v>111</v>
      </c>
      <c r="B8" s="46">
        <v>46023</v>
      </c>
      <c r="C8" s="8" t="s">
        <v>42</v>
      </c>
      <c r="D8" s="8" t="s">
        <v>112</v>
      </c>
      <c r="E8" s="22">
        <v>25000</v>
      </c>
      <c r="F8" s="8" t="s">
        <v>52</v>
      </c>
      <c r="G8" s="8" t="s">
        <v>113</v>
      </c>
      <c r="H8" s="43" t="str">
        <f>IF(D8="","",IF(ISNUMBER(SEARCH(SETTINGS!$K$4,D8)),SETTINGS!$L$4,IF(ISNUMBER(SEARCH(SETTINGS!$K$5,D8)),SETTINGS!$L$5,IF(ISNUMBER(SEARCH(SETTINGS!$K$6,D8)),SETTINGS!$L$6,IF(ISNUMBER(SEARCH(SETTINGS!$K$7,D8)),SETTINGS!$L$7,IF(ISNUMBER(SEARCH(SETTINGS!$K$8,D8)),SETTINGS!$L$8,IF(ISNUMBER(SEARCH(SETTINGS!$K$9,D8)),SETTINGS!$L$9,IF(ISNUMBER(SEARCH(SETTINGS!$K$10,D8)),SETTINGS!$L$10,IF(ISNUMBER(SEARCH(SETTINGS!$K$11,D8)),SETTINGS!$L$11,IF(ISNUMBER(SEARCH(SETTINGS!$K$12,D8)),SETTINGS!$L$12,IF(ISNUMBER(SEARCH(SETTINGS!$K$13,D8)),SETTINGS!$L$13,IF(ISNUMBER(SEARCH(SETTINGS!$K$14,D8)),SETTINGS!$L$14,IF(ISNUMBER(SEARCH(SETTINGS!$K$15,D8)),SETTINGS!$L$15,IF(ISNUMBER(SEARCH(SETTINGS!$K$16,D8)),SETTINGS!$L$16,IF(ISNUMBER(SEARCH(SETTINGS!$K$17,D8)),SETTINGS!$L$17,IF(ISNUMBER(SEARCH(SETTINGS!$K$18,D8)),SETTINGS!$L$18,"Miscellaneous"))))))))))))))))</f>
        <v>Miscellaneous</v>
      </c>
      <c r="I8" s="43" t="str">
        <f t="shared" ref="I8:I71" si="0">IF(B8="","",IF(G8&lt;&gt;"",G8,H8))</f>
        <v>Miscellaneous</v>
      </c>
      <c r="J8" s="8" t="s">
        <v>114</v>
      </c>
      <c r="K8" s="8"/>
      <c r="L8" s="8" t="s">
        <v>115</v>
      </c>
      <c r="M8" s="8" t="s">
        <v>116</v>
      </c>
      <c r="N8" s="8" t="s">
        <v>117</v>
      </c>
      <c r="O8" s="8" t="s">
        <v>118</v>
      </c>
      <c r="P8" s="46"/>
      <c r="Q8" s="8" t="s">
        <v>119</v>
      </c>
      <c r="R8" s="8" t="s">
        <v>120</v>
      </c>
      <c r="S8" s="8" t="s">
        <v>121</v>
      </c>
      <c r="T8" s="22"/>
      <c r="U8" s="43" t="str">
        <f t="shared" ref="U8:U71" si="1">IF(B8="","",IF(C8="Income","INC-",IF(C8="Expense","EXP-","TRX-"))&amp;TEXT(YEAR(B8),"0000")&amp;"-"&amp;TEXT(ROW()-7,"0000"))</f>
        <v>INC-2026-0001</v>
      </c>
      <c r="V8" s="43" t="str">
        <f t="shared" ref="V8:V71" si="2">IF(B8="","",TEXT(B8,"mmmm"))</f>
        <v>January</v>
      </c>
      <c r="W8" s="43">
        <f t="shared" ref="W8:W71" si="3">IF(B8="","",MONTH(B8))</f>
        <v>1</v>
      </c>
      <c r="X8" s="43">
        <f t="shared" ref="X8:X71" si="4">IF(B8="","",YEAR(B8))</f>
        <v>2026</v>
      </c>
      <c r="Y8" s="43">
        <f t="shared" ref="Y8:Y71" si="5">IF(B8="","",DAY(B8))</f>
        <v>1</v>
      </c>
      <c r="Z8" s="43" t="str">
        <f t="shared" ref="Z8:Z71" si="6">IF(B8="","",IF(WEEKDAY(B8,2)&gt;5,"Weekend","Weekday"))</f>
        <v>Weekday</v>
      </c>
      <c r="AA8" s="48" t="str">
        <f t="shared" ref="AA8:AA71" si="7">IF(B8="","",IF(COUNTIFS($B$8:$B$1007,B8,$E$8:$E$1007,E8,$D$8:$D$1007,D8,$I$8:$I$1007,I8)&gt;1,"Possible Duplicate","OK"))</f>
        <v>OK</v>
      </c>
      <c r="AB8" s="48" t="str">
        <f>IF(OR(B8="",C8&lt;&gt;"Expense"),"",IF(E8&gt;IFERROR(AVERAGEIFS($E$8:$E$1007,$I$8:$I$1007,I8,$C$8:$C$1007,"Expense")*SETTINGS!$B$20,0),"Unusually High","Normal"))</f>
        <v/>
      </c>
      <c r="AC8" s="49" t="s">
        <v>111</v>
      </c>
      <c r="AD8" s="49"/>
      <c r="AE8" s="49"/>
      <c r="AF8" s="48" t="str">
        <f>IF(A8&lt;&gt;"Yes","No",IF(AND(AC8="Yes",SETTINGS!$B$16="No"),"No","Yes"))</f>
        <v>Yes</v>
      </c>
      <c r="AG8" s="48" t="str">
        <f>IF(A8&lt;&gt;"Yes","",IF(OR(B8="",D8="",E8&lt;=0,F8="",I8=""),"Check Required Fields",IF(AA8="Possible Duplicate","Possible Duplicate",IF(E8&gt;SETTINGS!$B$22,"Review Extreme Value","OK"))))</f>
        <v>OK</v>
      </c>
    </row>
    <row r="9" spans="1:33" ht="14.4">
      <c r="A9" s="9" t="s">
        <v>111</v>
      </c>
      <c r="B9" s="13">
        <v>46027</v>
      </c>
      <c r="C9" s="9" t="s">
        <v>43</v>
      </c>
      <c r="D9" s="9" t="s">
        <v>122</v>
      </c>
      <c r="E9" s="11">
        <v>4500</v>
      </c>
      <c r="F9" s="9" t="s">
        <v>67</v>
      </c>
      <c r="G9" s="9" t="s">
        <v>123</v>
      </c>
      <c r="H9" s="44" t="str">
        <f>IF(D9="","",IF(ISNUMBER(SEARCH(SETTINGS!$K$4,D9)),SETTINGS!$L$4,IF(ISNUMBER(SEARCH(SETTINGS!$K$5,D9)),SETTINGS!$L$5,IF(ISNUMBER(SEARCH(SETTINGS!$K$6,D9)),SETTINGS!$L$6,IF(ISNUMBER(SEARCH(SETTINGS!$K$7,D9)),SETTINGS!$L$7,IF(ISNUMBER(SEARCH(SETTINGS!$K$8,D9)),SETTINGS!$L$8,IF(ISNUMBER(SEARCH(SETTINGS!$K$9,D9)),SETTINGS!$L$9,IF(ISNUMBER(SEARCH(SETTINGS!$K$10,D9)),SETTINGS!$L$10,IF(ISNUMBER(SEARCH(SETTINGS!$K$11,D9)),SETTINGS!$L$11,IF(ISNUMBER(SEARCH(SETTINGS!$K$12,D9)),SETTINGS!$L$12,IF(ISNUMBER(SEARCH(SETTINGS!$K$13,D9)),SETTINGS!$L$13,IF(ISNUMBER(SEARCH(SETTINGS!$K$14,D9)),SETTINGS!$L$14,IF(ISNUMBER(SEARCH(SETTINGS!$K$15,D9)),SETTINGS!$L$15,IF(ISNUMBER(SEARCH(SETTINGS!$K$16,D9)),SETTINGS!$L$16,IF(ISNUMBER(SEARCH(SETTINGS!$K$17,D9)),SETTINGS!$L$17,IF(ISNUMBER(SEARCH(SETTINGS!$K$18,D9)),SETTINGS!$L$18,"Miscellaneous"))))))))))))))))</f>
        <v>College Fees</v>
      </c>
      <c r="I9" s="44" t="str">
        <f t="shared" si="0"/>
        <v>College Fees</v>
      </c>
      <c r="J9" s="9" t="s">
        <v>124</v>
      </c>
      <c r="K9" s="9" t="s">
        <v>125</v>
      </c>
      <c r="L9" s="9" t="s">
        <v>115</v>
      </c>
      <c r="M9" s="9" t="s">
        <v>116</v>
      </c>
      <c r="N9" s="9" t="s">
        <v>126</v>
      </c>
      <c r="O9" s="9" t="s">
        <v>118</v>
      </c>
      <c r="P9" s="13"/>
      <c r="Q9" s="9" t="s">
        <v>127</v>
      </c>
      <c r="R9" s="9" t="s">
        <v>128</v>
      </c>
      <c r="S9" s="9" t="s">
        <v>125</v>
      </c>
      <c r="T9" s="11"/>
      <c r="U9" s="44" t="str">
        <f t="shared" si="1"/>
        <v>EXP-2026-0002</v>
      </c>
      <c r="V9" s="44" t="str">
        <f t="shared" si="2"/>
        <v>January</v>
      </c>
      <c r="W9" s="44">
        <f t="shared" si="3"/>
        <v>1</v>
      </c>
      <c r="X9" s="44">
        <f t="shared" si="4"/>
        <v>2026</v>
      </c>
      <c r="Y9" s="44">
        <f t="shared" si="5"/>
        <v>5</v>
      </c>
      <c r="Z9" s="44" t="str">
        <f t="shared" si="6"/>
        <v>Weekday</v>
      </c>
      <c r="AA9" s="50" t="str">
        <f t="shared" si="7"/>
        <v>OK</v>
      </c>
      <c r="AB9" s="50" t="str">
        <f>IF(OR(B9="",C9&lt;&gt;"Expense"),"",IF(E9&gt;IFERROR(AVERAGEIFS($E$8:$E$1007,$I$8:$I$1007,I9,$C$8:$C$1007,"Expense")*SETTINGS!$B$20,0),"Unusually High","Normal"))</f>
        <v>Normal</v>
      </c>
      <c r="AC9" s="51" t="s">
        <v>111</v>
      </c>
      <c r="AD9" s="51"/>
      <c r="AE9" s="51"/>
      <c r="AF9" s="50" t="str">
        <f>IF(A9&lt;&gt;"Yes","No",IF(AND(AC9="Yes",SETTINGS!$B$16="No"),"No","Yes"))</f>
        <v>Yes</v>
      </c>
      <c r="AG9" s="50" t="str">
        <f>IF(A9&lt;&gt;"Yes","",IF(OR(B9="",D9="",E9&lt;=0,F9="",I9=""),"Check Required Fields",IF(AA9="Possible Duplicate","Possible Duplicate",IF(E9&gt;SETTINGS!$B$22,"Review Extreme Value","OK"))))</f>
        <v>OK</v>
      </c>
    </row>
    <row r="10" spans="1:33" ht="14.4">
      <c r="A10" s="9" t="s">
        <v>111</v>
      </c>
      <c r="B10" s="13">
        <v>46030</v>
      </c>
      <c r="C10" s="9" t="s">
        <v>43</v>
      </c>
      <c r="D10" s="9" t="s">
        <v>129</v>
      </c>
      <c r="E10" s="11">
        <v>3500</v>
      </c>
      <c r="F10" s="9" t="s">
        <v>67</v>
      </c>
      <c r="G10" s="9" t="s">
        <v>130</v>
      </c>
      <c r="H10" s="44" t="str">
        <f>IF(D10="","",IF(ISNUMBER(SEARCH(SETTINGS!$K$4,D10)),SETTINGS!$L$4,IF(ISNUMBER(SEARCH(SETTINGS!$K$5,D10)),SETTINGS!$L$5,IF(ISNUMBER(SEARCH(SETTINGS!$K$6,D10)),SETTINGS!$L$6,IF(ISNUMBER(SEARCH(SETTINGS!$K$7,D10)),SETTINGS!$L$7,IF(ISNUMBER(SEARCH(SETTINGS!$K$8,D10)),SETTINGS!$L$8,IF(ISNUMBER(SEARCH(SETTINGS!$K$9,D10)),SETTINGS!$L$9,IF(ISNUMBER(SEARCH(SETTINGS!$K$10,D10)),SETTINGS!$L$10,IF(ISNUMBER(SEARCH(SETTINGS!$K$11,D10)),SETTINGS!$L$11,IF(ISNUMBER(SEARCH(SETTINGS!$K$12,D10)),SETTINGS!$L$12,IF(ISNUMBER(SEARCH(SETTINGS!$K$13,D10)),SETTINGS!$L$13,IF(ISNUMBER(SEARCH(SETTINGS!$K$14,D10)),SETTINGS!$L$14,IF(ISNUMBER(SEARCH(SETTINGS!$K$15,D10)),SETTINGS!$L$15,IF(ISNUMBER(SEARCH(SETTINGS!$K$16,D10)),SETTINGS!$L$16,IF(ISNUMBER(SEARCH(SETTINGS!$K$17,D10)),SETTINGS!$L$17,IF(ISNUMBER(SEARCH(SETTINGS!$K$18,D10)),SETTINGS!$L$18,"Miscellaneous"))))))))))))))))</f>
        <v>Miscellaneous</v>
      </c>
      <c r="I10" s="44" t="str">
        <f t="shared" si="0"/>
        <v>Hostel</v>
      </c>
      <c r="J10" s="9" t="s">
        <v>129</v>
      </c>
      <c r="K10" s="9" t="s">
        <v>131</v>
      </c>
      <c r="L10" s="9" t="s">
        <v>115</v>
      </c>
      <c r="M10" s="9" t="s">
        <v>116</v>
      </c>
      <c r="N10" s="9" t="s">
        <v>126</v>
      </c>
      <c r="O10" s="9" t="s">
        <v>118</v>
      </c>
      <c r="P10" s="13"/>
      <c r="Q10" s="9" t="s">
        <v>127</v>
      </c>
      <c r="R10" s="9" t="s">
        <v>128</v>
      </c>
      <c r="S10" s="9" t="s">
        <v>130</v>
      </c>
      <c r="T10" s="11"/>
      <c r="U10" s="44" t="str">
        <f t="shared" si="1"/>
        <v>EXP-2026-0003</v>
      </c>
      <c r="V10" s="44" t="str">
        <f t="shared" si="2"/>
        <v>January</v>
      </c>
      <c r="W10" s="44">
        <f t="shared" si="3"/>
        <v>1</v>
      </c>
      <c r="X10" s="44">
        <f t="shared" si="4"/>
        <v>2026</v>
      </c>
      <c r="Y10" s="44">
        <f t="shared" si="5"/>
        <v>8</v>
      </c>
      <c r="Z10" s="44" t="str">
        <f t="shared" si="6"/>
        <v>Weekday</v>
      </c>
      <c r="AA10" s="50" t="str">
        <f t="shared" si="7"/>
        <v>OK</v>
      </c>
      <c r="AB10" s="50" t="str">
        <f>IF(OR(B10="",C10&lt;&gt;"Expense"),"",IF(E10&gt;IFERROR(AVERAGEIFS($E$8:$E$1007,$I$8:$I$1007,I10,$C$8:$C$1007,"Expense")*SETTINGS!$B$20,0),"Unusually High","Normal"))</f>
        <v>Normal</v>
      </c>
      <c r="AC10" s="51" t="s">
        <v>111</v>
      </c>
      <c r="AD10" s="51"/>
      <c r="AE10" s="51"/>
      <c r="AF10" s="50" t="str">
        <f>IF(A10&lt;&gt;"Yes","No",IF(AND(AC10="Yes",SETTINGS!$B$16="No"),"No","Yes"))</f>
        <v>Yes</v>
      </c>
      <c r="AG10" s="50" t="str">
        <f>IF(A10&lt;&gt;"Yes","",IF(OR(B10="",D10="",E10&lt;=0,F10="",I10=""),"Check Required Fields",IF(AA10="Possible Duplicate","Possible Duplicate",IF(E10&gt;SETTINGS!$B$22,"Review Extreme Value","OK"))))</f>
        <v>OK</v>
      </c>
    </row>
    <row r="11" spans="1:33" ht="14.4">
      <c r="A11" s="9" t="s">
        <v>111</v>
      </c>
      <c r="B11" s="13">
        <v>46054</v>
      </c>
      <c r="C11" s="9" t="s">
        <v>42</v>
      </c>
      <c r="D11" s="9" t="s">
        <v>132</v>
      </c>
      <c r="E11" s="11">
        <v>25000</v>
      </c>
      <c r="F11" s="9" t="s">
        <v>52</v>
      </c>
      <c r="G11" s="9" t="s">
        <v>113</v>
      </c>
      <c r="H11" s="44" t="str">
        <f>IF(D11="","",IF(ISNUMBER(SEARCH(SETTINGS!$K$4,D11)),SETTINGS!$L$4,IF(ISNUMBER(SEARCH(SETTINGS!$K$5,D11)),SETTINGS!$L$5,IF(ISNUMBER(SEARCH(SETTINGS!$K$6,D11)),SETTINGS!$L$6,IF(ISNUMBER(SEARCH(SETTINGS!$K$7,D11)),SETTINGS!$L$7,IF(ISNUMBER(SEARCH(SETTINGS!$K$8,D11)),SETTINGS!$L$8,IF(ISNUMBER(SEARCH(SETTINGS!$K$9,D11)),SETTINGS!$L$9,IF(ISNUMBER(SEARCH(SETTINGS!$K$10,D11)),SETTINGS!$L$10,IF(ISNUMBER(SEARCH(SETTINGS!$K$11,D11)),SETTINGS!$L$11,IF(ISNUMBER(SEARCH(SETTINGS!$K$12,D11)),SETTINGS!$L$12,IF(ISNUMBER(SEARCH(SETTINGS!$K$13,D11)),SETTINGS!$L$13,IF(ISNUMBER(SEARCH(SETTINGS!$K$14,D11)),SETTINGS!$L$14,IF(ISNUMBER(SEARCH(SETTINGS!$K$15,D11)),SETTINGS!$L$15,IF(ISNUMBER(SEARCH(SETTINGS!$K$16,D11)),SETTINGS!$L$16,IF(ISNUMBER(SEARCH(SETTINGS!$K$17,D11)),SETTINGS!$L$17,IF(ISNUMBER(SEARCH(SETTINGS!$K$18,D11)),SETTINGS!$L$18,"Miscellaneous"))))))))))))))))</f>
        <v>Miscellaneous</v>
      </c>
      <c r="I11" s="44" t="str">
        <f t="shared" si="0"/>
        <v>Miscellaneous</v>
      </c>
      <c r="J11" s="9" t="s">
        <v>114</v>
      </c>
      <c r="K11" s="9"/>
      <c r="L11" s="9" t="s">
        <v>115</v>
      </c>
      <c r="M11" s="9" t="s">
        <v>116</v>
      </c>
      <c r="N11" s="9" t="s">
        <v>117</v>
      </c>
      <c r="O11" s="9" t="s">
        <v>118</v>
      </c>
      <c r="P11" s="13"/>
      <c r="Q11" s="9" t="s">
        <v>119</v>
      </c>
      <c r="R11" s="9" t="s">
        <v>120</v>
      </c>
      <c r="S11" s="9" t="s">
        <v>121</v>
      </c>
      <c r="T11" s="11"/>
      <c r="U11" s="44" t="str">
        <f t="shared" si="1"/>
        <v>INC-2026-0004</v>
      </c>
      <c r="V11" s="44" t="str">
        <f t="shared" si="2"/>
        <v>February</v>
      </c>
      <c r="W11" s="44">
        <f t="shared" si="3"/>
        <v>2</v>
      </c>
      <c r="X11" s="44">
        <f t="shared" si="4"/>
        <v>2026</v>
      </c>
      <c r="Y11" s="44">
        <f t="shared" si="5"/>
        <v>1</v>
      </c>
      <c r="Z11" s="44" t="str">
        <f t="shared" si="6"/>
        <v>Weekend</v>
      </c>
      <c r="AA11" s="50" t="str">
        <f t="shared" si="7"/>
        <v>OK</v>
      </c>
      <c r="AB11" s="50" t="str">
        <f>IF(OR(B11="",C11&lt;&gt;"Expense"),"",IF(E11&gt;IFERROR(AVERAGEIFS($E$8:$E$1007,$I$8:$I$1007,I11,$C$8:$C$1007,"Expense")*SETTINGS!$B$20,0),"Unusually High","Normal"))</f>
        <v/>
      </c>
      <c r="AC11" s="51" t="s">
        <v>111</v>
      </c>
      <c r="AD11" s="51"/>
      <c r="AE11" s="51"/>
      <c r="AF11" s="50" t="str">
        <f>IF(A11&lt;&gt;"Yes","No",IF(AND(AC11="Yes",SETTINGS!$B$16="No"),"No","Yes"))</f>
        <v>Yes</v>
      </c>
      <c r="AG11" s="50" t="str">
        <f>IF(A11&lt;&gt;"Yes","",IF(OR(B11="",D11="",E11&lt;=0,F11="",I11=""),"Check Required Fields",IF(AA11="Possible Duplicate","Possible Duplicate",IF(E11&gt;SETTINGS!$B$22,"Review Extreme Value","OK"))))</f>
        <v>OK</v>
      </c>
    </row>
    <row r="12" spans="1:33" ht="14.4">
      <c r="A12" s="9" t="s">
        <v>111</v>
      </c>
      <c r="B12" s="13">
        <v>46065</v>
      </c>
      <c r="C12" s="9" t="s">
        <v>43</v>
      </c>
      <c r="D12" s="9" t="s">
        <v>133</v>
      </c>
      <c r="E12" s="11">
        <v>3200</v>
      </c>
      <c r="F12" s="9" t="s">
        <v>52</v>
      </c>
      <c r="G12" s="9" t="s">
        <v>134</v>
      </c>
      <c r="H12" s="44" t="str">
        <f>IF(D12="","",IF(ISNUMBER(SEARCH(SETTINGS!$K$4,D12)),SETTINGS!$L$4,IF(ISNUMBER(SEARCH(SETTINGS!$K$5,D12)),SETTINGS!$L$5,IF(ISNUMBER(SEARCH(SETTINGS!$K$6,D12)),SETTINGS!$L$6,IF(ISNUMBER(SEARCH(SETTINGS!$K$7,D12)),SETTINGS!$L$7,IF(ISNUMBER(SEARCH(SETTINGS!$K$8,D12)),SETTINGS!$L$8,IF(ISNUMBER(SEARCH(SETTINGS!$K$9,D12)),SETTINGS!$L$9,IF(ISNUMBER(SEARCH(SETTINGS!$K$10,D12)),SETTINGS!$L$10,IF(ISNUMBER(SEARCH(SETTINGS!$K$11,D12)),SETTINGS!$L$11,IF(ISNUMBER(SEARCH(SETTINGS!$K$12,D12)),SETTINGS!$L$12,IF(ISNUMBER(SEARCH(SETTINGS!$K$13,D12)),SETTINGS!$L$13,IF(ISNUMBER(SEARCH(SETTINGS!$K$14,D12)),SETTINGS!$L$14,IF(ISNUMBER(SEARCH(SETTINGS!$K$15,D12)),SETTINGS!$L$15,IF(ISNUMBER(SEARCH(SETTINGS!$K$16,D12)),SETTINGS!$L$16,IF(ISNUMBER(SEARCH(SETTINGS!$K$17,D12)),SETTINGS!$L$17,IF(ISNUMBER(SEARCH(SETTINGS!$K$18,D12)),SETTINGS!$L$18,"Miscellaneous"))))))))))))))))</f>
        <v>Miscellaneous</v>
      </c>
      <c r="I12" s="44" t="str">
        <f t="shared" si="0"/>
        <v>Food</v>
      </c>
      <c r="J12" s="9" t="s">
        <v>135</v>
      </c>
      <c r="K12" s="9" t="s">
        <v>136</v>
      </c>
      <c r="L12" s="9" t="s">
        <v>115</v>
      </c>
      <c r="M12" s="9" t="s">
        <v>116</v>
      </c>
      <c r="N12" s="9" t="s">
        <v>126</v>
      </c>
      <c r="O12" s="9" t="s">
        <v>118</v>
      </c>
      <c r="P12" s="13"/>
      <c r="Q12" s="9" t="s">
        <v>119</v>
      </c>
      <c r="R12" s="9" t="s">
        <v>120</v>
      </c>
      <c r="S12" s="9" t="s">
        <v>130</v>
      </c>
      <c r="T12" s="11"/>
      <c r="U12" s="44" t="str">
        <f t="shared" si="1"/>
        <v>EXP-2026-0005</v>
      </c>
      <c r="V12" s="44" t="str">
        <f t="shared" si="2"/>
        <v>February</v>
      </c>
      <c r="W12" s="44">
        <f t="shared" si="3"/>
        <v>2</v>
      </c>
      <c r="X12" s="44">
        <f t="shared" si="4"/>
        <v>2026</v>
      </c>
      <c r="Y12" s="44">
        <f t="shared" si="5"/>
        <v>12</v>
      </c>
      <c r="Z12" s="44" t="str">
        <f t="shared" si="6"/>
        <v>Weekday</v>
      </c>
      <c r="AA12" s="50" t="str">
        <f t="shared" si="7"/>
        <v>OK</v>
      </c>
      <c r="AB12" s="50" t="str">
        <f>IF(OR(B12="",C12&lt;&gt;"Expense"),"",IF(E12&gt;IFERROR(AVERAGEIFS($E$8:$E$1007,$I$8:$I$1007,I12,$C$8:$C$1007,"Expense")*SETTINGS!$B$20,0),"Unusually High","Normal"))</f>
        <v>Normal</v>
      </c>
      <c r="AC12" s="51" t="s">
        <v>111</v>
      </c>
      <c r="AD12" s="51"/>
      <c r="AE12" s="51"/>
      <c r="AF12" s="50" t="str">
        <f>IF(A12&lt;&gt;"Yes","No",IF(AND(AC12="Yes",SETTINGS!$B$16="No"),"No","Yes"))</f>
        <v>Yes</v>
      </c>
      <c r="AG12" s="50" t="str">
        <f>IF(A12&lt;&gt;"Yes","",IF(OR(B12="",D12="",E12&lt;=0,F12="",I12=""),"Check Required Fields",IF(AA12="Possible Duplicate","Possible Duplicate",IF(E12&gt;SETTINGS!$B$22,"Review Extreme Value","OK"))))</f>
        <v>OK</v>
      </c>
    </row>
    <row r="13" spans="1:33" ht="14.4">
      <c r="A13" s="9" t="s">
        <v>111</v>
      </c>
      <c r="B13" s="13">
        <v>46071</v>
      </c>
      <c r="C13" s="9" t="s">
        <v>43</v>
      </c>
      <c r="D13" s="9" t="s">
        <v>137</v>
      </c>
      <c r="E13" s="11">
        <v>1200</v>
      </c>
      <c r="F13" s="9" t="s">
        <v>52</v>
      </c>
      <c r="G13" s="9" t="s">
        <v>138</v>
      </c>
      <c r="H13" s="44" t="str">
        <f>IF(D13="","",IF(ISNUMBER(SEARCH(SETTINGS!$K$4,D13)),SETTINGS!$L$4,IF(ISNUMBER(SEARCH(SETTINGS!$K$5,D13)),SETTINGS!$L$5,IF(ISNUMBER(SEARCH(SETTINGS!$K$6,D13)),SETTINGS!$L$6,IF(ISNUMBER(SEARCH(SETTINGS!$K$7,D13)),SETTINGS!$L$7,IF(ISNUMBER(SEARCH(SETTINGS!$K$8,D13)),SETTINGS!$L$8,IF(ISNUMBER(SEARCH(SETTINGS!$K$9,D13)),SETTINGS!$L$9,IF(ISNUMBER(SEARCH(SETTINGS!$K$10,D13)),SETTINGS!$L$10,IF(ISNUMBER(SEARCH(SETTINGS!$K$11,D13)),SETTINGS!$L$11,IF(ISNUMBER(SEARCH(SETTINGS!$K$12,D13)),SETTINGS!$L$12,IF(ISNUMBER(SEARCH(SETTINGS!$K$13,D13)),SETTINGS!$L$13,IF(ISNUMBER(SEARCH(SETTINGS!$K$14,D13)),SETTINGS!$L$14,IF(ISNUMBER(SEARCH(SETTINGS!$K$15,D13)),SETTINGS!$L$15,IF(ISNUMBER(SEARCH(SETTINGS!$K$16,D13)),SETTINGS!$L$16,IF(ISNUMBER(SEARCH(SETTINGS!$K$17,D13)),SETTINGS!$L$17,IF(ISNUMBER(SEARCH(SETTINGS!$K$18,D13)),SETTINGS!$L$18,"Miscellaneous"))))))))))))))))</f>
        <v>Miscellaneous</v>
      </c>
      <c r="I13" s="44" t="str">
        <f t="shared" si="0"/>
        <v>Transport</v>
      </c>
      <c r="J13" s="9" t="s">
        <v>139</v>
      </c>
      <c r="K13" s="9" t="s">
        <v>140</v>
      </c>
      <c r="L13" s="9" t="s">
        <v>115</v>
      </c>
      <c r="M13" s="9" t="s">
        <v>141</v>
      </c>
      <c r="N13" s="9" t="s">
        <v>126</v>
      </c>
      <c r="O13" s="9" t="s">
        <v>118</v>
      </c>
      <c r="P13" s="13"/>
      <c r="Q13" s="9" t="s">
        <v>119</v>
      </c>
      <c r="R13" s="9" t="s">
        <v>120</v>
      </c>
      <c r="S13" s="9" t="s">
        <v>125</v>
      </c>
      <c r="T13" s="11"/>
      <c r="U13" s="44" t="str">
        <f t="shared" si="1"/>
        <v>EXP-2026-0006</v>
      </c>
      <c r="V13" s="44" t="str">
        <f t="shared" si="2"/>
        <v>February</v>
      </c>
      <c r="W13" s="44">
        <f t="shared" si="3"/>
        <v>2</v>
      </c>
      <c r="X13" s="44">
        <f t="shared" si="4"/>
        <v>2026</v>
      </c>
      <c r="Y13" s="44">
        <f t="shared" si="5"/>
        <v>18</v>
      </c>
      <c r="Z13" s="44" t="str">
        <f t="shared" si="6"/>
        <v>Weekday</v>
      </c>
      <c r="AA13" s="50" t="str">
        <f t="shared" si="7"/>
        <v>OK</v>
      </c>
      <c r="AB13" s="50" t="str">
        <f>IF(OR(B13="",C13&lt;&gt;"Expense"),"",IF(E13&gt;IFERROR(AVERAGEIFS($E$8:$E$1007,$I$8:$I$1007,I13,$C$8:$C$1007,"Expense")*SETTINGS!$B$20,0),"Unusually High","Normal"))</f>
        <v>Normal</v>
      </c>
      <c r="AC13" s="51" t="s">
        <v>111</v>
      </c>
      <c r="AD13" s="51"/>
      <c r="AE13" s="51"/>
      <c r="AF13" s="50" t="str">
        <f>IF(A13&lt;&gt;"Yes","No",IF(AND(AC13="Yes",SETTINGS!$B$16="No"),"No","Yes"))</f>
        <v>Yes</v>
      </c>
      <c r="AG13" s="50" t="str">
        <f>IF(A13&lt;&gt;"Yes","",IF(OR(B13="",D13="",E13&lt;=0,F13="",I13=""),"Check Required Fields",IF(AA13="Possible Duplicate","Possible Duplicate",IF(E13&gt;SETTINGS!$B$22,"Review Extreme Value","OK"))))</f>
        <v>OK</v>
      </c>
    </row>
    <row r="14" spans="1:33" ht="14.4">
      <c r="A14" s="9" t="s">
        <v>111</v>
      </c>
      <c r="B14" s="13">
        <v>46082</v>
      </c>
      <c r="C14" s="9" t="s">
        <v>42</v>
      </c>
      <c r="D14" s="9" t="s">
        <v>142</v>
      </c>
      <c r="E14" s="11">
        <v>25000</v>
      </c>
      <c r="F14" s="9" t="s">
        <v>52</v>
      </c>
      <c r="G14" s="9" t="s">
        <v>113</v>
      </c>
      <c r="H14" s="44" t="str">
        <f>IF(D14="","",IF(ISNUMBER(SEARCH(SETTINGS!$K$4,D14)),SETTINGS!$L$4,IF(ISNUMBER(SEARCH(SETTINGS!$K$5,D14)),SETTINGS!$L$5,IF(ISNUMBER(SEARCH(SETTINGS!$K$6,D14)),SETTINGS!$L$6,IF(ISNUMBER(SEARCH(SETTINGS!$K$7,D14)),SETTINGS!$L$7,IF(ISNUMBER(SEARCH(SETTINGS!$K$8,D14)),SETTINGS!$L$8,IF(ISNUMBER(SEARCH(SETTINGS!$K$9,D14)),SETTINGS!$L$9,IF(ISNUMBER(SEARCH(SETTINGS!$K$10,D14)),SETTINGS!$L$10,IF(ISNUMBER(SEARCH(SETTINGS!$K$11,D14)),SETTINGS!$L$11,IF(ISNUMBER(SEARCH(SETTINGS!$K$12,D14)),SETTINGS!$L$12,IF(ISNUMBER(SEARCH(SETTINGS!$K$13,D14)),SETTINGS!$L$13,IF(ISNUMBER(SEARCH(SETTINGS!$K$14,D14)),SETTINGS!$L$14,IF(ISNUMBER(SEARCH(SETTINGS!$K$15,D14)),SETTINGS!$L$15,IF(ISNUMBER(SEARCH(SETTINGS!$K$16,D14)),SETTINGS!$L$16,IF(ISNUMBER(SEARCH(SETTINGS!$K$17,D14)),SETTINGS!$L$17,IF(ISNUMBER(SEARCH(SETTINGS!$K$18,D14)),SETTINGS!$L$18,"Miscellaneous"))))))))))))))))</f>
        <v>Miscellaneous</v>
      </c>
      <c r="I14" s="44" t="str">
        <f t="shared" si="0"/>
        <v>Miscellaneous</v>
      </c>
      <c r="J14" s="9" t="s">
        <v>114</v>
      </c>
      <c r="K14" s="9"/>
      <c r="L14" s="9" t="s">
        <v>115</v>
      </c>
      <c r="M14" s="9" t="s">
        <v>116</v>
      </c>
      <c r="N14" s="9" t="s">
        <v>117</v>
      </c>
      <c r="O14" s="9" t="s">
        <v>118</v>
      </c>
      <c r="P14" s="13"/>
      <c r="Q14" s="9" t="s">
        <v>119</v>
      </c>
      <c r="R14" s="9" t="s">
        <v>120</v>
      </c>
      <c r="S14" s="9" t="s">
        <v>121</v>
      </c>
      <c r="T14" s="11"/>
      <c r="U14" s="44" t="str">
        <f t="shared" si="1"/>
        <v>INC-2026-0007</v>
      </c>
      <c r="V14" s="44" t="str">
        <f t="shared" si="2"/>
        <v>March</v>
      </c>
      <c r="W14" s="44">
        <f t="shared" si="3"/>
        <v>3</v>
      </c>
      <c r="X14" s="44">
        <f t="shared" si="4"/>
        <v>2026</v>
      </c>
      <c r="Y14" s="44">
        <f t="shared" si="5"/>
        <v>1</v>
      </c>
      <c r="Z14" s="44" t="str">
        <f t="shared" si="6"/>
        <v>Weekend</v>
      </c>
      <c r="AA14" s="50" t="str">
        <f t="shared" si="7"/>
        <v>OK</v>
      </c>
      <c r="AB14" s="50" t="str">
        <f>IF(OR(B14="",C14&lt;&gt;"Expense"),"",IF(E14&gt;IFERROR(AVERAGEIFS($E$8:$E$1007,$I$8:$I$1007,I14,$C$8:$C$1007,"Expense")*SETTINGS!$B$20,0),"Unusually High","Normal"))</f>
        <v/>
      </c>
      <c r="AC14" s="51" t="s">
        <v>111</v>
      </c>
      <c r="AD14" s="51"/>
      <c r="AE14" s="51"/>
      <c r="AF14" s="50" t="str">
        <f>IF(A14&lt;&gt;"Yes","No",IF(AND(AC14="Yes",SETTINGS!$B$16="No"),"No","Yes"))</f>
        <v>Yes</v>
      </c>
      <c r="AG14" s="50" t="str">
        <f>IF(A14&lt;&gt;"Yes","",IF(OR(B14="",D14="",E14&lt;=0,F14="",I14=""),"Check Required Fields",IF(AA14="Possible Duplicate","Possible Duplicate",IF(E14&gt;SETTINGS!$B$22,"Review Extreme Value","OK"))))</f>
        <v>OK</v>
      </c>
    </row>
    <row r="15" spans="1:33" ht="14.4">
      <c r="A15" s="9" t="s">
        <v>111</v>
      </c>
      <c r="B15" s="13">
        <v>46091</v>
      </c>
      <c r="C15" s="9" t="s">
        <v>43</v>
      </c>
      <c r="D15" s="9" t="s">
        <v>143</v>
      </c>
      <c r="E15" s="11">
        <v>2500</v>
      </c>
      <c r="F15" s="9" t="s">
        <v>61</v>
      </c>
      <c r="G15" s="9" t="s">
        <v>144</v>
      </c>
      <c r="H15" s="44" t="str">
        <f>IF(D15="","",IF(ISNUMBER(SEARCH(SETTINGS!$K$4,D15)),SETTINGS!$L$4,IF(ISNUMBER(SEARCH(SETTINGS!$K$5,D15)),SETTINGS!$L$5,IF(ISNUMBER(SEARCH(SETTINGS!$K$6,D15)),SETTINGS!$L$6,IF(ISNUMBER(SEARCH(SETTINGS!$K$7,D15)),SETTINGS!$L$7,IF(ISNUMBER(SEARCH(SETTINGS!$K$8,D15)),SETTINGS!$L$8,IF(ISNUMBER(SEARCH(SETTINGS!$K$9,D15)),SETTINGS!$L$9,IF(ISNUMBER(SEARCH(SETTINGS!$K$10,D15)),SETTINGS!$L$10,IF(ISNUMBER(SEARCH(SETTINGS!$K$11,D15)),SETTINGS!$L$11,IF(ISNUMBER(SEARCH(SETTINGS!$K$12,D15)),SETTINGS!$L$12,IF(ISNUMBER(SEARCH(SETTINGS!$K$13,D15)),SETTINGS!$L$13,IF(ISNUMBER(SEARCH(SETTINGS!$K$14,D15)),SETTINGS!$L$14,IF(ISNUMBER(SEARCH(SETTINGS!$K$15,D15)),SETTINGS!$L$15,IF(ISNUMBER(SEARCH(SETTINGS!$K$16,D15)),SETTINGS!$L$16,IF(ISNUMBER(SEARCH(SETTINGS!$K$17,D15)),SETTINGS!$L$17,IF(ISNUMBER(SEARCH(SETTINGS!$K$18,D15)),SETTINGS!$L$18,"Miscellaneous"))))))))))))))))</f>
        <v>Miscellaneous</v>
      </c>
      <c r="I15" s="44" t="str">
        <f t="shared" si="0"/>
        <v>Technology</v>
      </c>
      <c r="J15" s="9" t="s">
        <v>145</v>
      </c>
      <c r="K15" s="9" t="s">
        <v>146</v>
      </c>
      <c r="L15" s="9" t="s">
        <v>115</v>
      </c>
      <c r="M15" s="9" t="s">
        <v>116</v>
      </c>
      <c r="N15" s="9" t="s">
        <v>126</v>
      </c>
      <c r="O15" s="9" t="s">
        <v>118</v>
      </c>
      <c r="P15" s="13"/>
      <c r="Q15" s="9" t="s">
        <v>119</v>
      </c>
      <c r="R15" s="9" t="s">
        <v>120</v>
      </c>
      <c r="S15" s="9" t="s">
        <v>125</v>
      </c>
      <c r="T15" s="11"/>
      <c r="U15" s="44" t="str">
        <f t="shared" si="1"/>
        <v>EXP-2026-0008</v>
      </c>
      <c r="V15" s="44" t="str">
        <f t="shared" si="2"/>
        <v>March</v>
      </c>
      <c r="W15" s="44">
        <f t="shared" si="3"/>
        <v>3</v>
      </c>
      <c r="X15" s="44">
        <f t="shared" si="4"/>
        <v>2026</v>
      </c>
      <c r="Y15" s="44">
        <f t="shared" si="5"/>
        <v>10</v>
      </c>
      <c r="Z15" s="44" t="str">
        <f t="shared" si="6"/>
        <v>Weekday</v>
      </c>
      <c r="AA15" s="50" t="str">
        <f t="shared" si="7"/>
        <v>OK</v>
      </c>
      <c r="AB15" s="50" t="str">
        <f>IF(OR(B15="",C15&lt;&gt;"Expense"),"",IF(E15&gt;IFERROR(AVERAGEIFS($E$8:$E$1007,$I$8:$I$1007,I15,$C$8:$C$1007,"Expense")*SETTINGS!$B$20,0),"Unusually High","Normal"))</f>
        <v>Normal</v>
      </c>
      <c r="AC15" s="51" t="s">
        <v>111</v>
      </c>
      <c r="AD15" s="51"/>
      <c r="AE15" s="51"/>
      <c r="AF15" s="50" t="str">
        <f>IF(A15&lt;&gt;"Yes","No",IF(AND(AC15="Yes",SETTINGS!$B$16="No"),"No","Yes"))</f>
        <v>Yes</v>
      </c>
      <c r="AG15" s="50" t="str">
        <f>IF(A15&lt;&gt;"Yes","",IF(OR(B15="",D15="",E15&lt;=0,F15="",I15=""),"Check Required Fields",IF(AA15="Possible Duplicate","Possible Duplicate",IF(E15&gt;SETTINGS!$B$22,"Review Extreme Value","OK"))))</f>
        <v>OK</v>
      </c>
    </row>
    <row r="16" spans="1:33" ht="14.4">
      <c r="A16" s="9" t="s">
        <v>111</v>
      </c>
      <c r="B16" s="13">
        <v>46097</v>
      </c>
      <c r="C16" s="9" t="s">
        <v>43</v>
      </c>
      <c r="D16" s="9" t="s">
        <v>147</v>
      </c>
      <c r="E16" s="11">
        <v>599</v>
      </c>
      <c r="F16" s="9" t="s">
        <v>52</v>
      </c>
      <c r="G16" s="9" t="s">
        <v>148</v>
      </c>
      <c r="H16" s="44" t="str">
        <f>IF(D16="","",IF(ISNUMBER(SEARCH(SETTINGS!$K$4,D16)),SETTINGS!$L$4,IF(ISNUMBER(SEARCH(SETTINGS!$K$5,D16)),SETTINGS!$L$5,IF(ISNUMBER(SEARCH(SETTINGS!$K$6,D16)),SETTINGS!$L$6,IF(ISNUMBER(SEARCH(SETTINGS!$K$7,D16)),SETTINGS!$L$7,IF(ISNUMBER(SEARCH(SETTINGS!$K$8,D16)),SETTINGS!$L$8,IF(ISNUMBER(SEARCH(SETTINGS!$K$9,D16)),SETTINGS!$L$9,IF(ISNUMBER(SEARCH(SETTINGS!$K$10,D16)),SETTINGS!$L$10,IF(ISNUMBER(SEARCH(SETTINGS!$K$11,D16)),SETTINGS!$L$11,IF(ISNUMBER(SEARCH(SETTINGS!$K$12,D16)),SETTINGS!$L$12,IF(ISNUMBER(SEARCH(SETTINGS!$K$13,D16)),SETTINGS!$L$13,IF(ISNUMBER(SEARCH(SETTINGS!$K$14,D16)),SETTINGS!$L$14,IF(ISNUMBER(SEARCH(SETTINGS!$K$15,D16)),SETTINGS!$L$15,IF(ISNUMBER(SEARCH(SETTINGS!$K$16,D16)),SETTINGS!$L$16,IF(ISNUMBER(SEARCH(SETTINGS!$K$17,D16)),SETTINGS!$L$17,IF(ISNUMBER(SEARCH(SETTINGS!$K$18,D16)),SETTINGS!$L$18,"Miscellaneous"))))))))))))))))</f>
        <v>Subscriptions</v>
      </c>
      <c r="I16" s="44" t="str">
        <f t="shared" si="0"/>
        <v>Subscriptions</v>
      </c>
      <c r="J16" s="9" t="s">
        <v>149</v>
      </c>
      <c r="K16" s="9" t="s">
        <v>150</v>
      </c>
      <c r="L16" s="9" t="s">
        <v>115</v>
      </c>
      <c r="M16" s="9" t="s">
        <v>151</v>
      </c>
      <c r="N16" s="9" t="s">
        <v>117</v>
      </c>
      <c r="O16" s="9" t="s">
        <v>118</v>
      </c>
      <c r="P16" s="13"/>
      <c r="Q16" s="9" t="s">
        <v>119</v>
      </c>
      <c r="R16" s="9" t="s">
        <v>120</v>
      </c>
      <c r="S16" s="9" t="s">
        <v>152</v>
      </c>
      <c r="T16" s="11"/>
      <c r="U16" s="44" t="str">
        <f t="shared" si="1"/>
        <v>EXP-2026-0009</v>
      </c>
      <c r="V16" s="44" t="str">
        <f t="shared" si="2"/>
        <v>March</v>
      </c>
      <c r="W16" s="44">
        <f t="shared" si="3"/>
        <v>3</v>
      </c>
      <c r="X16" s="44">
        <f t="shared" si="4"/>
        <v>2026</v>
      </c>
      <c r="Y16" s="44">
        <f t="shared" si="5"/>
        <v>16</v>
      </c>
      <c r="Z16" s="44" t="str">
        <f t="shared" si="6"/>
        <v>Weekday</v>
      </c>
      <c r="AA16" s="50" t="str">
        <f t="shared" si="7"/>
        <v>OK</v>
      </c>
      <c r="AB16" s="50" t="str">
        <f>IF(OR(B16="",C16&lt;&gt;"Expense"),"",IF(E16&gt;IFERROR(AVERAGEIFS($E$8:$E$1007,$I$8:$I$1007,I16,$C$8:$C$1007,"Expense")*SETTINGS!$B$20,0),"Unusually High","Normal"))</f>
        <v>Normal</v>
      </c>
      <c r="AC16" s="51" t="s">
        <v>111</v>
      </c>
      <c r="AD16" s="51"/>
      <c r="AE16" s="51"/>
      <c r="AF16" s="50" t="str">
        <f>IF(A16&lt;&gt;"Yes","No",IF(AND(AC16="Yes",SETTINGS!$B$16="No"),"No","Yes"))</f>
        <v>Yes</v>
      </c>
      <c r="AG16" s="50" t="str">
        <f>IF(A16&lt;&gt;"Yes","",IF(OR(B16="",D16="",E16&lt;=0,F16="",I16=""),"Check Required Fields",IF(AA16="Possible Duplicate","Possible Duplicate",IF(E16&gt;SETTINGS!$B$22,"Review Extreme Value","OK"))))</f>
        <v>OK</v>
      </c>
    </row>
    <row r="17" spans="1:33" ht="14.4">
      <c r="A17" s="9" t="s">
        <v>111</v>
      </c>
      <c r="B17" s="13">
        <v>46113</v>
      </c>
      <c r="C17" s="9" t="s">
        <v>42</v>
      </c>
      <c r="D17" s="9" t="s">
        <v>153</v>
      </c>
      <c r="E17" s="11">
        <v>25000</v>
      </c>
      <c r="F17" s="9" t="s">
        <v>52</v>
      </c>
      <c r="G17" s="9" t="s">
        <v>113</v>
      </c>
      <c r="H17" s="44" t="str">
        <f>IF(D17="","",IF(ISNUMBER(SEARCH(SETTINGS!$K$4,D17)),SETTINGS!$L$4,IF(ISNUMBER(SEARCH(SETTINGS!$K$5,D17)),SETTINGS!$L$5,IF(ISNUMBER(SEARCH(SETTINGS!$K$6,D17)),SETTINGS!$L$6,IF(ISNUMBER(SEARCH(SETTINGS!$K$7,D17)),SETTINGS!$L$7,IF(ISNUMBER(SEARCH(SETTINGS!$K$8,D17)),SETTINGS!$L$8,IF(ISNUMBER(SEARCH(SETTINGS!$K$9,D17)),SETTINGS!$L$9,IF(ISNUMBER(SEARCH(SETTINGS!$K$10,D17)),SETTINGS!$L$10,IF(ISNUMBER(SEARCH(SETTINGS!$K$11,D17)),SETTINGS!$L$11,IF(ISNUMBER(SEARCH(SETTINGS!$K$12,D17)),SETTINGS!$L$12,IF(ISNUMBER(SEARCH(SETTINGS!$K$13,D17)),SETTINGS!$L$13,IF(ISNUMBER(SEARCH(SETTINGS!$K$14,D17)),SETTINGS!$L$14,IF(ISNUMBER(SEARCH(SETTINGS!$K$15,D17)),SETTINGS!$L$15,IF(ISNUMBER(SEARCH(SETTINGS!$K$16,D17)),SETTINGS!$L$16,IF(ISNUMBER(SEARCH(SETTINGS!$K$17,D17)),SETTINGS!$L$17,IF(ISNUMBER(SEARCH(SETTINGS!$K$18,D17)),SETTINGS!$L$18,"Miscellaneous"))))))))))))))))</f>
        <v>Miscellaneous</v>
      </c>
      <c r="I17" s="44" t="str">
        <f t="shared" si="0"/>
        <v>Miscellaneous</v>
      </c>
      <c r="J17" s="9" t="s">
        <v>114</v>
      </c>
      <c r="K17" s="9"/>
      <c r="L17" s="9" t="s">
        <v>115</v>
      </c>
      <c r="M17" s="9" t="s">
        <v>116</v>
      </c>
      <c r="N17" s="9" t="s">
        <v>117</v>
      </c>
      <c r="O17" s="9" t="s">
        <v>118</v>
      </c>
      <c r="P17" s="13"/>
      <c r="Q17" s="9" t="s">
        <v>119</v>
      </c>
      <c r="R17" s="9" t="s">
        <v>120</v>
      </c>
      <c r="S17" s="9" t="s">
        <v>121</v>
      </c>
      <c r="T17" s="11"/>
      <c r="U17" s="44" t="str">
        <f t="shared" si="1"/>
        <v>INC-2026-0010</v>
      </c>
      <c r="V17" s="44" t="str">
        <f t="shared" si="2"/>
        <v>April</v>
      </c>
      <c r="W17" s="44">
        <f t="shared" si="3"/>
        <v>4</v>
      </c>
      <c r="X17" s="44">
        <f t="shared" si="4"/>
        <v>2026</v>
      </c>
      <c r="Y17" s="44">
        <f t="shared" si="5"/>
        <v>1</v>
      </c>
      <c r="Z17" s="44" t="str">
        <f t="shared" si="6"/>
        <v>Weekday</v>
      </c>
      <c r="AA17" s="50" t="str">
        <f t="shared" si="7"/>
        <v>OK</v>
      </c>
      <c r="AB17" s="50" t="str">
        <f>IF(OR(B17="",C17&lt;&gt;"Expense"),"",IF(E17&gt;IFERROR(AVERAGEIFS($E$8:$E$1007,$I$8:$I$1007,I17,$C$8:$C$1007,"Expense")*SETTINGS!$B$20,0),"Unusually High","Normal"))</f>
        <v/>
      </c>
      <c r="AC17" s="51" t="s">
        <v>111</v>
      </c>
      <c r="AD17" s="51"/>
      <c r="AE17" s="51"/>
      <c r="AF17" s="50" t="str">
        <f>IF(A17&lt;&gt;"Yes","No",IF(AND(AC17="Yes",SETTINGS!$B$16="No"),"No","Yes"))</f>
        <v>Yes</v>
      </c>
      <c r="AG17" s="50" t="str">
        <f>IF(A17&lt;&gt;"Yes","",IF(OR(B17="",D17="",E17&lt;=0,F17="",I17=""),"Check Required Fields",IF(AA17="Possible Duplicate","Possible Duplicate",IF(E17&gt;SETTINGS!$B$22,"Review Extreme Value","OK"))))</f>
        <v>OK</v>
      </c>
    </row>
    <row r="18" spans="1:33" ht="14.4">
      <c r="A18" s="9" t="s">
        <v>111</v>
      </c>
      <c r="B18" s="13">
        <v>46126</v>
      </c>
      <c r="C18" s="9" t="s">
        <v>43</v>
      </c>
      <c r="D18" s="9" t="s">
        <v>154</v>
      </c>
      <c r="E18" s="11">
        <v>3700</v>
      </c>
      <c r="F18" s="9" t="s">
        <v>52</v>
      </c>
      <c r="G18" s="9" t="s">
        <v>134</v>
      </c>
      <c r="H18" s="44" t="str">
        <f>IF(D18="","",IF(ISNUMBER(SEARCH(SETTINGS!$K$4,D18)),SETTINGS!$L$4,IF(ISNUMBER(SEARCH(SETTINGS!$K$5,D18)),SETTINGS!$L$5,IF(ISNUMBER(SEARCH(SETTINGS!$K$6,D18)),SETTINGS!$L$6,IF(ISNUMBER(SEARCH(SETTINGS!$K$7,D18)),SETTINGS!$L$7,IF(ISNUMBER(SEARCH(SETTINGS!$K$8,D18)),SETTINGS!$L$8,IF(ISNUMBER(SEARCH(SETTINGS!$K$9,D18)),SETTINGS!$L$9,IF(ISNUMBER(SEARCH(SETTINGS!$K$10,D18)),SETTINGS!$L$10,IF(ISNUMBER(SEARCH(SETTINGS!$K$11,D18)),SETTINGS!$L$11,IF(ISNUMBER(SEARCH(SETTINGS!$K$12,D18)),SETTINGS!$L$12,IF(ISNUMBER(SEARCH(SETTINGS!$K$13,D18)),SETTINGS!$L$13,IF(ISNUMBER(SEARCH(SETTINGS!$K$14,D18)),SETTINGS!$L$14,IF(ISNUMBER(SEARCH(SETTINGS!$K$15,D18)),SETTINGS!$L$15,IF(ISNUMBER(SEARCH(SETTINGS!$K$16,D18)),SETTINGS!$L$16,IF(ISNUMBER(SEARCH(SETTINGS!$K$17,D18)),SETTINGS!$L$17,IF(ISNUMBER(SEARCH(SETTINGS!$K$18,D18)),SETTINGS!$L$18,"Miscellaneous"))))))))))))))))</f>
        <v>Miscellaneous</v>
      </c>
      <c r="I18" s="44" t="str">
        <f t="shared" si="0"/>
        <v>Food</v>
      </c>
      <c r="J18" s="9" t="s">
        <v>155</v>
      </c>
      <c r="K18" s="9" t="s">
        <v>156</v>
      </c>
      <c r="L18" s="9" t="s">
        <v>115</v>
      </c>
      <c r="M18" s="9" t="s">
        <v>116</v>
      </c>
      <c r="N18" s="9" t="s">
        <v>117</v>
      </c>
      <c r="O18" s="9" t="s">
        <v>118</v>
      </c>
      <c r="P18" s="13"/>
      <c r="Q18" s="9" t="s">
        <v>119</v>
      </c>
      <c r="R18" s="9" t="s">
        <v>120</v>
      </c>
      <c r="S18" s="9" t="s">
        <v>130</v>
      </c>
      <c r="T18" s="11"/>
      <c r="U18" s="44" t="str">
        <f t="shared" si="1"/>
        <v>EXP-2026-0011</v>
      </c>
      <c r="V18" s="44" t="str">
        <f t="shared" si="2"/>
        <v>April</v>
      </c>
      <c r="W18" s="44">
        <f t="shared" si="3"/>
        <v>4</v>
      </c>
      <c r="X18" s="44">
        <f t="shared" si="4"/>
        <v>2026</v>
      </c>
      <c r="Y18" s="44">
        <f t="shared" si="5"/>
        <v>14</v>
      </c>
      <c r="Z18" s="44" t="str">
        <f t="shared" si="6"/>
        <v>Weekday</v>
      </c>
      <c r="AA18" s="50" t="str">
        <f t="shared" si="7"/>
        <v>OK</v>
      </c>
      <c r="AB18" s="50" t="str">
        <f>IF(OR(B18="",C18&lt;&gt;"Expense"),"",IF(E18&gt;IFERROR(AVERAGEIFS($E$8:$E$1007,$I$8:$I$1007,I18,$C$8:$C$1007,"Expense")*SETTINGS!$B$20,0),"Unusually High","Normal"))</f>
        <v>Normal</v>
      </c>
      <c r="AC18" s="51" t="s">
        <v>111</v>
      </c>
      <c r="AD18" s="51"/>
      <c r="AE18" s="51"/>
      <c r="AF18" s="50" t="str">
        <f>IF(A18&lt;&gt;"Yes","No",IF(AND(AC18="Yes",SETTINGS!$B$16="No"),"No","Yes"))</f>
        <v>Yes</v>
      </c>
      <c r="AG18" s="50" t="str">
        <f>IF(A18&lt;&gt;"Yes","",IF(OR(B18="",D18="",E18&lt;=0,F18="",I18=""),"Check Required Fields",IF(AA18="Possible Duplicate","Possible Duplicate",IF(E18&gt;SETTINGS!$B$22,"Review Extreme Value","OK"))))</f>
        <v>OK</v>
      </c>
    </row>
    <row r="19" spans="1:33" ht="14.4">
      <c r="A19" s="9" t="s">
        <v>111</v>
      </c>
      <c r="B19" s="13">
        <v>46134</v>
      </c>
      <c r="C19" s="9" t="s">
        <v>43</v>
      </c>
      <c r="D19" s="9" t="s">
        <v>157</v>
      </c>
      <c r="E19" s="11">
        <v>1200</v>
      </c>
      <c r="F19" s="9" t="s">
        <v>52</v>
      </c>
      <c r="G19" s="9" t="s">
        <v>158</v>
      </c>
      <c r="H19" s="44" t="str">
        <f>IF(D19="","",IF(ISNUMBER(SEARCH(SETTINGS!$K$4,D19)),SETTINGS!$L$4,IF(ISNUMBER(SEARCH(SETTINGS!$K$5,D19)),SETTINGS!$L$5,IF(ISNUMBER(SEARCH(SETTINGS!$K$6,D19)),SETTINGS!$L$6,IF(ISNUMBER(SEARCH(SETTINGS!$K$7,D19)),SETTINGS!$L$7,IF(ISNUMBER(SEARCH(SETTINGS!$K$8,D19)),SETTINGS!$L$8,IF(ISNUMBER(SEARCH(SETTINGS!$K$9,D19)),SETTINGS!$L$9,IF(ISNUMBER(SEARCH(SETTINGS!$K$10,D19)),SETTINGS!$L$10,IF(ISNUMBER(SEARCH(SETTINGS!$K$11,D19)),SETTINGS!$L$11,IF(ISNUMBER(SEARCH(SETTINGS!$K$12,D19)),SETTINGS!$L$12,IF(ISNUMBER(SEARCH(SETTINGS!$K$13,D19)),SETTINGS!$L$13,IF(ISNUMBER(SEARCH(SETTINGS!$K$14,D19)),SETTINGS!$L$14,IF(ISNUMBER(SEARCH(SETTINGS!$K$15,D19)),SETTINGS!$L$15,IF(ISNUMBER(SEARCH(SETTINGS!$K$16,D19)),SETTINGS!$L$16,IF(ISNUMBER(SEARCH(SETTINGS!$K$17,D19)),SETTINGS!$L$17,IF(ISNUMBER(SEARCH(SETTINGS!$K$18,D19)),SETTINGS!$L$18,"Miscellaneous"))))))))))))))))</f>
        <v>Miscellaneous</v>
      </c>
      <c r="I19" s="44" t="str">
        <f t="shared" si="0"/>
        <v>Personal Care</v>
      </c>
      <c r="J19" s="9" t="s">
        <v>159</v>
      </c>
      <c r="K19" s="9" t="s">
        <v>160</v>
      </c>
      <c r="L19" s="9" t="s">
        <v>115</v>
      </c>
      <c r="M19" s="9" t="s">
        <v>141</v>
      </c>
      <c r="N19" s="9" t="s">
        <v>126</v>
      </c>
      <c r="O19" s="9" t="s">
        <v>118</v>
      </c>
      <c r="P19" s="13"/>
      <c r="Q19" s="9" t="s">
        <v>119</v>
      </c>
      <c r="R19" s="9" t="s">
        <v>120</v>
      </c>
      <c r="S19" s="9"/>
      <c r="T19" s="11"/>
      <c r="U19" s="44" t="str">
        <f t="shared" si="1"/>
        <v>EXP-2026-0012</v>
      </c>
      <c r="V19" s="44" t="str">
        <f t="shared" si="2"/>
        <v>April</v>
      </c>
      <c r="W19" s="44">
        <f t="shared" si="3"/>
        <v>4</v>
      </c>
      <c r="X19" s="44">
        <f t="shared" si="4"/>
        <v>2026</v>
      </c>
      <c r="Y19" s="44">
        <f t="shared" si="5"/>
        <v>22</v>
      </c>
      <c r="Z19" s="44" t="str">
        <f t="shared" si="6"/>
        <v>Weekday</v>
      </c>
      <c r="AA19" s="50" t="str">
        <f t="shared" si="7"/>
        <v>OK</v>
      </c>
      <c r="AB19" s="50" t="str">
        <f>IF(OR(B19="",C19&lt;&gt;"Expense"),"",IF(E19&gt;IFERROR(AVERAGEIFS($E$8:$E$1007,$I$8:$I$1007,I19,$C$8:$C$1007,"Expense")*SETTINGS!$B$20,0),"Unusually High","Normal"))</f>
        <v>Normal</v>
      </c>
      <c r="AC19" s="51" t="s">
        <v>111</v>
      </c>
      <c r="AD19" s="51"/>
      <c r="AE19" s="51"/>
      <c r="AF19" s="50" t="str">
        <f>IF(A19&lt;&gt;"Yes","No",IF(AND(AC19="Yes",SETTINGS!$B$16="No"),"No","Yes"))</f>
        <v>Yes</v>
      </c>
      <c r="AG19" s="50" t="str">
        <f>IF(A19&lt;&gt;"Yes","",IF(OR(B19="",D19="",E19&lt;=0,F19="",I19=""),"Check Required Fields",IF(AA19="Possible Duplicate","Possible Duplicate",IF(E19&gt;SETTINGS!$B$22,"Review Extreme Value","OK"))))</f>
        <v>OK</v>
      </c>
    </row>
    <row r="20" spans="1:33" ht="14.4">
      <c r="A20" s="9" t="s">
        <v>111</v>
      </c>
      <c r="B20" s="13">
        <v>46143</v>
      </c>
      <c r="C20" s="9" t="s">
        <v>42</v>
      </c>
      <c r="D20" s="9" t="s">
        <v>161</v>
      </c>
      <c r="E20" s="11">
        <v>25000</v>
      </c>
      <c r="F20" s="9" t="s">
        <v>52</v>
      </c>
      <c r="G20" s="9" t="s">
        <v>113</v>
      </c>
      <c r="H20" s="44" t="str">
        <f>IF(D20="","",IF(ISNUMBER(SEARCH(SETTINGS!$K$4,D20)),SETTINGS!$L$4,IF(ISNUMBER(SEARCH(SETTINGS!$K$5,D20)),SETTINGS!$L$5,IF(ISNUMBER(SEARCH(SETTINGS!$K$6,D20)),SETTINGS!$L$6,IF(ISNUMBER(SEARCH(SETTINGS!$K$7,D20)),SETTINGS!$L$7,IF(ISNUMBER(SEARCH(SETTINGS!$K$8,D20)),SETTINGS!$L$8,IF(ISNUMBER(SEARCH(SETTINGS!$K$9,D20)),SETTINGS!$L$9,IF(ISNUMBER(SEARCH(SETTINGS!$K$10,D20)),SETTINGS!$L$10,IF(ISNUMBER(SEARCH(SETTINGS!$K$11,D20)),SETTINGS!$L$11,IF(ISNUMBER(SEARCH(SETTINGS!$K$12,D20)),SETTINGS!$L$12,IF(ISNUMBER(SEARCH(SETTINGS!$K$13,D20)),SETTINGS!$L$13,IF(ISNUMBER(SEARCH(SETTINGS!$K$14,D20)),SETTINGS!$L$14,IF(ISNUMBER(SEARCH(SETTINGS!$K$15,D20)),SETTINGS!$L$15,IF(ISNUMBER(SEARCH(SETTINGS!$K$16,D20)),SETTINGS!$L$16,IF(ISNUMBER(SEARCH(SETTINGS!$K$17,D20)),SETTINGS!$L$17,IF(ISNUMBER(SEARCH(SETTINGS!$K$18,D20)),SETTINGS!$L$18,"Miscellaneous"))))))))))))))))</f>
        <v>Miscellaneous</v>
      </c>
      <c r="I20" s="44" t="str">
        <f t="shared" si="0"/>
        <v>Miscellaneous</v>
      </c>
      <c r="J20" s="9" t="s">
        <v>114</v>
      </c>
      <c r="K20" s="9"/>
      <c r="L20" s="9" t="s">
        <v>115</v>
      </c>
      <c r="M20" s="9" t="s">
        <v>116</v>
      </c>
      <c r="N20" s="9" t="s">
        <v>117</v>
      </c>
      <c r="O20" s="9" t="s">
        <v>118</v>
      </c>
      <c r="P20" s="13"/>
      <c r="Q20" s="9" t="s">
        <v>119</v>
      </c>
      <c r="R20" s="9" t="s">
        <v>120</v>
      </c>
      <c r="S20" s="9" t="s">
        <v>121</v>
      </c>
      <c r="T20" s="11"/>
      <c r="U20" s="44" t="str">
        <f t="shared" si="1"/>
        <v>INC-2026-0013</v>
      </c>
      <c r="V20" s="44" t="str">
        <f t="shared" si="2"/>
        <v>May</v>
      </c>
      <c r="W20" s="44">
        <f t="shared" si="3"/>
        <v>5</v>
      </c>
      <c r="X20" s="44">
        <f t="shared" si="4"/>
        <v>2026</v>
      </c>
      <c r="Y20" s="44">
        <f t="shared" si="5"/>
        <v>1</v>
      </c>
      <c r="Z20" s="44" t="str">
        <f t="shared" si="6"/>
        <v>Weekday</v>
      </c>
      <c r="AA20" s="50" t="str">
        <f t="shared" si="7"/>
        <v>OK</v>
      </c>
      <c r="AB20" s="50" t="str">
        <f>IF(OR(B20="",C20&lt;&gt;"Expense"),"",IF(E20&gt;IFERROR(AVERAGEIFS($E$8:$E$1007,$I$8:$I$1007,I20,$C$8:$C$1007,"Expense")*SETTINGS!$B$20,0),"Unusually High","Normal"))</f>
        <v/>
      </c>
      <c r="AC20" s="51" t="s">
        <v>111</v>
      </c>
      <c r="AD20" s="51"/>
      <c r="AE20" s="51"/>
      <c r="AF20" s="50" t="str">
        <f>IF(A20&lt;&gt;"Yes","No",IF(AND(AC20="Yes",SETTINGS!$B$16="No"),"No","Yes"))</f>
        <v>Yes</v>
      </c>
      <c r="AG20" s="50" t="str">
        <f>IF(A20&lt;&gt;"Yes","",IF(OR(B20="",D20="",E20&lt;=0,F20="",I20=""),"Check Required Fields",IF(AA20="Possible Duplicate","Possible Duplicate",IF(E20&gt;SETTINGS!$B$22,"Review Extreme Value","OK"))))</f>
        <v>OK</v>
      </c>
    </row>
    <row r="21" spans="1:33" ht="14.4">
      <c r="A21" s="9" t="s">
        <v>111</v>
      </c>
      <c r="B21" s="13">
        <v>46154</v>
      </c>
      <c r="C21" s="9" t="s">
        <v>43</v>
      </c>
      <c r="D21" s="9" t="s">
        <v>162</v>
      </c>
      <c r="E21" s="11">
        <v>2400</v>
      </c>
      <c r="F21" s="9" t="s">
        <v>61</v>
      </c>
      <c r="G21" s="9" t="s">
        <v>163</v>
      </c>
      <c r="H21" s="44" t="str">
        <f>IF(D21="","",IF(ISNUMBER(SEARCH(SETTINGS!$K$4,D21)),SETTINGS!$L$4,IF(ISNUMBER(SEARCH(SETTINGS!$K$5,D21)),SETTINGS!$L$5,IF(ISNUMBER(SEARCH(SETTINGS!$K$6,D21)),SETTINGS!$L$6,IF(ISNUMBER(SEARCH(SETTINGS!$K$7,D21)),SETTINGS!$L$7,IF(ISNUMBER(SEARCH(SETTINGS!$K$8,D21)),SETTINGS!$L$8,IF(ISNUMBER(SEARCH(SETTINGS!$K$9,D21)),SETTINGS!$L$9,IF(ISNUMBER(SEARCH(SETTINGS!$K$10,D21)),SETTINGS!$L$10,IF(ISNUMBER(SEARCH(SETTINGS!$K$11,D21)),SETTINGS!$L$11,IF(ISNUMBER(SEARCH(SETTINGS!$K$12,D21)),SETTINGS!$L$12,IF(ISNUMBER(SEARCH(SETTINGS!$K$13,D21)),SETTINGS!$L$13,IF(ISNUMBER(SEARCH(SETTINGS!$K$14,D21)),SETTINGS!$L$14,IF(ISNUMBER(SEARCH(SETTINGS!$K$15,D21)),SETTINGS!$L$15,IF(ISNUMBER(SEARCH(SETTINGS!$K$16,D21)),SETTINGS!$L$16,IF(ISNUMBER(SEARCH(SETTINGS!$K$17,D21)),SETTINGS!$L$17,IF(ISNUMBER(SEARCH(SETTINGS!$K$18,D21)),SETTINGS!$L$18,"Miscellaneous"))))))))))))))))</f>
        <v>Miscellaneous</v>
      </c>
      <c r="I21" s="44" t="str">
        <f t="shared" si="0"/>
        <v>Travel Home</v>
      </c>
      <c r="J21" s="9" t="s">
        <v>164</v>
      </c>
      <c r="K21" s="9" t="s">
        <v>165</v>
      </c>
      <c r="L21" s="9" t="s">
        <v>115</v>
      </c>
      <c r="M21" s="9" t="s">
        <v>116</v>
      </c>
      <c r="N21" s="9" t="s">
        <v>126</v>
      </c>
      <c r="O21" s="9" t="s">
        <v>118</v>
      </c>
      <c r="P21" s="13"/>
      <c r="Q21" s="9" t="s">
        <v>119</v>
      </c>
      <c r="R21" s="9" t="s">
        <v>120</v>
      </c>
      <c r="S21" s="9" t="s">
        <v>166</v>
      </c>
      <c r="T21" s="11"/>
      <c r="U21" s="44" t="str">
        <f t="shared" si="1"/>
        <v>EXP-2026-0014</v>
      </c>
      <c r="V21" s="44" t="str">
        <f t="shared" si="2"/>
        <v>May</v>
      </c>
      <c r="W21" s="44">
        <f t="shared" si="3"/>
        <v>5</v>
      </c>
      <c r="X21" s="44">
        <f t="shared" si="4"/>
        <v>2026</v>
      </c>
      <c r="Y21" s="44">
        <f t="shared" si="5"/>
        <v>12</v>
      </c>
      <c r="Z21" s="44" t="str">
        <f t="shared" si="6"/>
        <v>Weekday</v>
      </c>
      <c r="AA21" s="50" t="str">
        <f t="shared" si="7"/>
        <v>OK</v>
      </c>
      <c r="AB21" s="50" t="str">
        <f>IF(OR(B21="",C21&lt;&gt;"Expense"),"",IF(E21&gt;IFERROR(AVERAGEIFS($E$8:$E$1007,$I$8:$I$1007,I21,$C$8:$C$1007,"Expense")*SETTINGS!$B$20,0),"Unusually High","Normal"))</f>
        <v>Normal</v>
      </c>
      <c r="AC21" s="51" t="s">
        <v>111</v>
      </c>
      <c r="AD21" s="51"/>
      <c r="AE21" s="51"/>
      <c r="AF21" s="50" t="str">
        <f>IF(A21&lt;&gt;"Yes","No",IF(AND(AC21="Yes",SETTINGS!$B$16="No"),"No","Yes"))</f>
        <v>Yes</v>
      </c>
      <c r="AG21" s="50" t="str">
        <f>IF(A21&lt;&gt;"Yes","",IF(OR(B21="",D21="",E21&lt;=0,F21="",I21=""),"Check Required Fields",IF(AA21="Possible Duplicate","Possible Duplicate",IF(E21&gt;SETTINGS!$B$22,"Review Extreme Value","OK"))))</f>
        <v>OK</v>
      </c>
    </row>
    <row r="22" spans="1:33" ht="14.4">
      <c r="A22" s="9" t="s">
        <v>111</v>
      </c>
      <c r="B22" s="13">
        <v>46167</v>
      </c>
      <c r="C22" s="9" t="s">
        <v>43</v>
      </c>
      <c r="D22" s="9" t="s">
        <v>167</v>
      </c>
      <c r="E22" s="11">
        <v>900</v>
      </c>
      <c r="F22" s="9" t="s">
        <v>52</v>
      </c>
      <c r="G22" s="9" t="s">
        <v>168</v>
      </c>
      <c r="H22" s="44" t="str">
        <f>IF(D22="","",IF(ISNUMBER(SEARCH(SETTINGS!$K$4,D22)),SETTINGS!$L$4,IF(ISNUMBER(SEARCH(SETTINGS!$K$5,D22)),SETTINGS!$L$5,IF(ISNUMBER(SEARCH(SETTINGS!$K$6,D22)),SETTINGS!$L$6,IF(ISNUMBER(SEARCH(SETTINGS!$K$7,D22)),SETTINGS!$L$7,IF(ISNUMBER(SEARCH(SETTINGS!$K$8,D22)),SETTINGS!$L$8,IF(ISNUMBER(SEARCH(SETTINGS!$K$9,D22)),SETTINGS!$L$9,IF(ISNUMBER(SEARCH(SETTINGS!$K$10,D22)),SETTINGS!$L$10,IF(ISNUMBER(SEARCH(SETTINGS!$K$11,D22)),SETTINGS!$L$11,IF(ISNUMBER(SEARCH(SETTINGS!$K$12,D22)),SETTINGS!$L$12,IF(ISNUMBER(SEARCH(SETTINGS!$K$13,D22)),SETTINGS!$L$13,IF(ISNUMBER(SEARCH(SETTINGS!$K$14,D22)),SETTINGS!$L$14,IF(ISNUMBER(SEARCH(SETTINGS!$K$15,D22)),SETTINGS!$L$15,IF(ISNUMBER(SEARCH(SETTINGS!$K$16,D22)),SETTINGS!$L$16,IF(ISNUMBER(SEARCH(SETTINGS!$K$17,D22)),SETTINGS!$L$17,IF(ISNUMBER(SEARCH(SETTINGS!$K$18,D22)),SETTINGS!$L$18,"Miscellaneous"))))))))))))))))</f>
        <v>Miscellaneous</v>
      </c>
      <c r="I22" s="44" t="str">
        <f t="shared" si="0"/>
        <v>Entertainment</v>
      </c>
      <c r="J22" s="9" t="s">
        <v>159</v>
      </c>
      <c r="K22" s="9" t="s">
        <v>169</v>
      </c>
      <c r="L22" s="9" t="s">
        <v>115</v>
      </c>
      <c r="M22" s="9" t="s">
        <v>151</v>
      </c>
      <c r="N22" s="9" t="s">
        <v>126</v>
      </c>
      <c r="O22" s="9" t="s">
        <v>118</v>
      </c>
      <c r="P22" s="13"/>
      <c r="Q22" s="9" t="s">
        <v>119</v>
      </c>
      <c r="R22" s="9" t="s">
        <v>120</v>
      </c>
      <c r="S22" s="9" t="s">
        <v>170</v>
      </c>
      <c r="T22" s="11"/>
      <c r="U22" s="44" t="str">
        <f t="shared" si="1"/>
        <v>EXP-2026-0015</v>
      </c>
      <c r="V22" s="44" t="str">
        <f t="shared" si="2"/>
        <v>May</v>
      </c>
      <c r="W22" s="44">
        <f t="shared" si="3"/>
        <v>5</v>
      </c>
      <c r="X22" s="44">
        <f t="shared" si="4"/>
        <v>2026</v>
      </c>
      <c r="Y22" s="44">
        <f t="shared" si="5"/>
        <v>25</v>
      </c>
      <c r="Z22" s="44" t="str">
        <f t="shared" si="6"/>
        <v>Weekday</v>
      </c>
      <c r="AA22" s="50" t="str">
        <f t="shared" si="7"/>
        <v>OK</v>
      </c>
      <c r="AB22" s="50" t="str">
        <f>IF(OR(B22="",C22&lt;&gt;"Expense"),"",IF(E22&gt;IFERROR(AVERAGEIFS($E$8:$E$1007,$I$8:$I$1007,I22,$C$8:$C$1007,"Expense")*SETTINGS!$B$20,0),"Unusually High","Normal"))</f>
        <v>Normal</v>
      </c>
      <c r="AC22" s="51" t="s">
        <v>111</v>
      </c>
      <c r="AD22" s="51"/>
      <c r="AE22" s="51"/>
      <c r="AF22" s="50" t="str">
        <f>IF(A22&lt;&gt;"Yes","No",IF(AND(AC22="Yes",SETTINGS!$B$16="No"),"No","Yes"))</f>
        <v>Yes</v>
      </c>
      <c r="AG22" s="50" t="str">
        <f>IF(A22&lt;&gt;"Yes","",IF(OR(B22="",D22="",E22&lt;=0,F22="",I22=""),"Check Required Fields",IF(AA22="Possible Duplicate","Possible Duplicate",IF(E22&gt;SETTINGS!$B$22,"Review Extreme Value","OK"))))</f>
        <v>OK</v>
      </c>
    </row>
    <row r="23" spans="1:33" ht="14.4">
      <c r="A23" s="9" t="s">
        <v>111</v>
      </c>
      <c r="B23" s="13">
        <v>46174</v>
      </c>
      <c r="C23" s="9" t="s">
        <v>42</v>
      </c>
      <c r="D23" s="9" t="s">
        <v>171</v>
      </c>
      <c r="E23" s="11">
        <v>25000</v>
      </c>
      <c r="F23" s="9" t="s">
        <v>52</v>
      </c>
      <c r="G23" s="9" t="s">
        <v>113</v>
      </c>
      <c r="H23" s="44" t="str">
        <f>IF(D23="","",IF(ISNUMBER(SEARCH(SETTINGS!$K$4,D23)),SETTINGS!$L$4,IF(ISNUMBER(SEARCH(SETTINGS!$K$5,D23)),SETTINGS!$L$5,IF(ISNUMBER(SEARCH(SETTINGS!$K$6,D23)),SETTINGS!$L$6,IF(ISNUMBER(SEARCH(SETTINGS!$K$7,D23)),SETTINGS!$L$7,IF(ISNUMBER(SEARCH(SETTINGS!$K$8,D23)),SETTINGS!$L$8,IF(ISNUMBER(SEARCH(SETTINGS!$K$9,D23)),SETTINGS!$L$9,IF(ISNUMBER(SEARCH(SETTINGS!$K$10,D23)),SETTINGS!$L$10,IF(ISNUMBER(SEARCH(SETTINGS!$K$11,D23)),SETTINGS!$L$11,IF(ISNUMBER(SEARCH(SETTINGS!$K$12,D23)),SETTINGS!$L$12,IF(ISNUMBER(SEARCH(SETTINGS!$K$13,D23)),SETTINGS!$L$13,IF(ISNUMBER(SEARCH(SETTINGS!$K$14,D23)),SETTINGS!$L$14,IF(ISNUMBER(SEARCH(SETTINGS!$K$15,D23)),SETTINGS!$L$15,IF(ISNUMBER(SEARCH(SETTINGS!$K$16,D23)),SETTINGS!$L$16,IF(ISNUMBER(SEARCH(SETTINGS!$K$17,D23)),SETTINGS!$L$17,IF(ISNUMBER(SEARCH(SETTINGS!$K$18,D23)),SETTINGS!$L$18,"Miscellaneous"))))))))))))))))</f>
        <v>Miscellaneous</v>
      </c>
      <c r="I23" s="44" t="str">
        <f t="shared" si="0"/>
        <v>Miscellaneous</v>
      </c>
      <c r="J23" s="9" t="s">
        <v>114</v>
      </c>
      <c r="K23" s="9"/>
      <c r="L23" s="9" t="s">
        <v>115</v>
      </c>
      <c r="M23" s="9" t="s">
        <v>116</v>
      </c>
      <c r="N23" s="9" t="s">
        <v>117</v>
      </c>
      <c r="O23" s="9" t="s">
        <v>118</v>
      </c>
      <c r="P23" s="13"/>
      <c r="Q23" s="9" t="s">
        <v>119</v>
      </c>
      <c r="R23" s="9" t="s">
        <v>120</v>
      </c>
      <c r="S23" s="9" t="s">
        <v>121</v>
      </c>
      <c r="T23" s="11"/>
      <c r="U23" s="44" t="str">
        <f t="shared" si="1"/>
        <v>INC-2026-0016</v>
      </c>
      <c r="V23" s="44" t="str">
        <f t="shared" si="2"/>
        <v>June</v>
      </c>
      <c r="W23" s="44">
        <f t="shared" si="3"/>
        <v>6</v>
      </c>
      <c r="X23" s="44">
        <f t="shared" si="4"/>
        <v>2026</v>
      </c>
      <c r="Y23" s="44">
        <f t="shared" si="5"/>
        <v>1</v>
      </c>
      <c r="Z23" s="44" t="str">
        <f t="shared" si="6"/>
        <v>Weekday</v>
      </c>
      <c r="AA23" s="50" t="str">
        <f t="shared" si="7"/>
        <v>OK</v>
      </c>
      <c r="AB23" s="50" t="str">
        <f>IF(OR(B23="",C23&lt;&gt;"Expense"),"",IF(E23&gt;IFERROR(AVERAGEIFS($E$8:$E$1007,$I$8:$I$1007,I23,$C$8:$C$1007,"Expense")*SETTINGS!$B$20,0),"Unusually High","Normal"))</f>
        <v/>
      </c>
      <c r="AC23" s="51" t="s">
        <v>111</v>
      </c>
      <c r="AD23" s="51"/>
      <c r="AE23" s="51"/>
      <c r="AF23" s="50" t="str">
        <f>IF(A23&lt;&gt;"Yes","No",IF(AND(AC23="Yes",SETTINGS!$B$16="No"),"No","Yes"))</f>
        <v>Yes</v>
      </c>
      <c r="AG23" s="50" t="str">
        <f>IF(A23&lt;&gt;"Yes","",IF(OR(B23="",D23="",E23&lt;=0,F23="",I23=""),"Check Required Fields",IF(AA23="Possible Duplicate","Possible Duplicate",IF(E23&gt;SETTINGS!$B$22,"Review Extreme Value","OK"))))</f>
        <v>OK</v>
      </c>
    </row>
    <row r="24" spans="1:33" ht="14.4">
      <c r="A24" s="9" t="s">
        <v>111</v>
      </c>
      <c r="B24" s="13">
        <v>46184</v>
      </c>
      <c r="C24" s="9" t="s">
        <v>43</v>
      </c>
      <c r="D24" s="9" t="s">
        <v>172</v>
      </c>
      <c r="E24" s="11">
        <v>1999</v>
      </c>
      <c r="F24" s="9" t="s">
        <v>61</v>
      </c>
      <c r="G24" s="9" t="s">
        <v>173</v>
      </c>
      <c r="H24" s="44" t="str">
        <f>IF(D24="","",IF(ISNUMBER(SEARCH(SETTINGS!$K$4,D24)),SETTINGS!$L$4,IF(ISNUMBER(SEARCH(SETTINGS!$K$5,D24)),SETTINGS!$L$5,IF(ISNUMBER(SEARCH(SETTINGS!$K$6,D24)),SETTINGS!$L$6,IF(ISNUMBER(SEARCH(SETTINGS!$K$7,D24)),SETTINGS!$L$7,IF(ISNUMBER(SEARCH(SETTINGS!$K$8,D24)),SETTINGS!$L$8,IF(ISNUMBER(SEARCH(SETTINGS!$K$9,D24)),SETTINGS!$L$9,IF(ISNUMBER(SEARCH(SETTINGS!$K$10,D24)),SETTINGS!$L$10,IF(ISNUMBER(SEARCH(SETTINGS!$K$11,D24)),SETTINGS!$L$11,IF(ISNUMBER(SEARCH(SETTINGS!$K$12,D24)),SETTINGS!$L$12,IF(ISNUMBER(SEARCH(SETTINGS!$K$13,D24)),SETTINGS!$L$13,IF(ISNUMBER(SEARCH(SETTINGS!$K$14,D24)),SETTINGS!$L$14,IF(ISNUMBER(SEARCH(SETTINGS!$K$15,D24)),SETTINGS!$L$15,IF(ISNUMBER(SEARCH(SETTINGS!$K$16,D24)),SETTINGS!$L$16,IF(ISNUMBER(SEARCH(SETTINGS!$K$17,D24)),SETTINGS!$L$17,IF(ISNUMBER(SEARCH(SETTINGS!$K$18,D24)),SETTINGS!$L$18,"Miscellaneous"))))))))))))))))</f>
        <v>AI-ML Learning</v>
      </c>
      <c r="I24" s="44" t="str">
        <f t="shared" si="0"/>
        <v>AI-ML Learning</v>
      </c>
      <c r="J24" s="9" t="s">
        <v>174</v>
      </c>
      <c r="K24" s="9" t="s">
        <v>175</v>
      </c>
      <c r="L24" s="9" t="s">
        <v>115</v>
      </c>
      <c r="M24" s="9" t="s">
        <v>116</v>
      </c>
      <c r="N24" s="9" t="s">
        <v>126</v>
      </c>
      <c r="O24" s="9" t="s">
        <v>118</v>
      </c>
      <c r="P24" s="13"/>
      <c r="Q24" s="9" t="s">
        <v>119</v>
      </c>
      <c r="R24" s="9" t="s">
        <v>120</v>
      </c>
      <c r="S24" s="9" t="s">
        <v>125</v>
      </c>
      <c r="T24" s="11"/>
      <c r="U24" s="44" t="str">
        <f t="shared" si="1"/>
        <v>EXP-2026-0017</v>
      </c>
      <c r="V24" s="44" t="str">
        <f t="shared" si="2"/>
        <v>June</v>
      </c>
      <c r="W24" s="44">
        <f t="shared" si="3"/>
        <v>6</v>
      </c>
      <c r="X24" s="44">
        <f t="shared" si="4"/>
        <v>2026</v>
      </c>
      <c r="Y24" s="44">
        <f t="shared" si="5"/>
        <v>11</v>
      </c>
      <c r="Z24" s="44" t="str">
        <f t="shared" si="6"/>
        <v>Weekday</v>
      </c>
      <c r="AA24" s="50" t="str">
        <f t="shared" si="7"/>
        <v>OK</v>
      </c>
      <c r="AB24" s="50" t="str">
        <f>IF(OR(B24="",C24&lt;&gt;"Expense"),"",IF(E24&gt;IFERROR(AVERAGEIFS($E$8:$E$1007,$I$8:$I$1007,I24,$C$8:$C$1007,"Expense")*SETTINGS!$B$20,0),"Unusually High","Normal"))</f>
        <v>Normal</v>
      </c>
      <c r="AC24" s="51" t="s">
        <v>111</v>
      </c>
      <c r="AD24" s="51"/>
      <c r="AE24" s="51"/>
      <c r="AF24" s="50" t="str">
        <f>IF(A24&lt;&gt;"Yes","No",IF(AND(AC24="Yes",SETTINGS!$B$16="No"),"No","Yes"))</f>
        <v>Yes</v>
      </c>
      <c r="AG24" s="50" t="str">
        <f>IF(A24&lt;&gt;"Yes","",IF(OR(B24="",D24="",E24&lt;=0,F24="",I24=""),"Check Required Fields",IF(AA24="Possible Duplicate","Possible Duplicate",IF(E24&gt;SETTINGS!$B$22,"Review Extreme Value","OK"))))</f>
        <v>OK</v>
      </c>
    </row>
    <row r="25" spans="1:33" ht="14.4">
      <c r="A25" s="9" t="s">
        <v>111</v>
      </c>
      <c r="B25" s="13">
        <v>46193</v>
      </c>
      <c r="C25" s="9" t="s">
        <v>43</v>
      </c>
      <c r="D25" s="9" t="s">
        <v>176</v>
      </c>
      <c r="E25" s="11">
        <v>650</v>
      </c>
      <c r="F25" s="9" t="s">
        <v>52</v>
      </c>
      <c r="G25" s="9" t="s">
        <v>177</v>
      </c>
      <c r="H25" s="44" t="str">
        <f>IF(D25="","",IF(ISNUMBER(SEARCH(SETTINGS!$K$4,D25)),SETTINGS!$L$4,IF(ISNUMBER(SEARCH(SETTINGS!$K$5,D25)),SETTINGS!$L$5,IF(ISNUMBER(SEARCH(SETTINGS!$K$6,D25)),SETTINGS!$L$6,IF(ISNUMBER(SEARCH(SETTINGS!$K$7,D25)),SETTINGS!$L$7,IF(ISNUMBER(SEARCH(SETTINGS!$K$8,D25)),SETTINGS!$L$8,IF(ISNUMBER(SEARCH(SETTINGS!$K$9,D25)),SETTINGS!$L$9,IF(ISNUMBER(SEARCH(SETTINGS!$K$10,D25)),SETTINGS!$L$10,IF(ISNUMBER(SEARCH(SETTINGS!$K$11,D25)),SETTINGS!$L$11,IF(ISNUMBER(SEARCH(SETTINGS!$K$12,D25)),SETTINGS!$L$12,IF(ISNUMBER(SEARCH(SETTINGS!$K$13,D25)),SETTINGS!$L$13,IF(ISNUMBER(SEARCH(SETTINGS!$K$14,D25)),SETTINGS!$L$14,IF(ISNUMBER(SEARCH(SETTINGS!$K$15,D25)),SETTINGS!$L$15,IF(ISNUMBER(SEARCH(SETTINGS!$K$16,D25)),SETTINGS!$L$16,IF(ISNUMBER(SEARCH(SETTINGS!$K$17,D25)),SETTINGS!$L$17,IF(ISNUMBER(SEARCH(SETTINGS!$K$18,D25)),SETTINGS!$L$18,"Miscellaneous"))))))))))))))))</f>
        <v>Books &amp; Stationery</v>
      </c>
      <c r="I25" s="44" t="str">
        <f t="shared" si="0"/>
        <v>Books &amp; Stationery</v>
      </c>
      <c r="J25" s="9" t="s">
        <v>178</v>
      </c>
      <c r="K25" s="9" t="s">
        <v>179</v>
      </c>
      <c r="L25" s="9" t="s">
        <v>115</v>
      </c>
      <c r="M25" s="9" t="s">
        <v>116</v>
      </c>
      <c r="N25" s="9" t="s">
        <v>126</v>
      </c>
      <c r="O25" s="9" t="s">
        <v>118</v>
      </c>
      <c r="P25" s="13"/>
      <c r="Q25" s="9" t="s">
        <v>119</v>
      </c>
      <c r="R25" s="9" t="s">
        <v>120</v>
      </c>
      <c r="S25" s="9" t="s">
        <v>125</v>
      </c>
      <c r="T25" s="11"/>
      <c r="U25" s="44" t="str">
        <f t="shared" si="1"/>
        <v>EXP-2026-0018</v>
      </c>
      <c r="V25" s="44" t="str">
        <f t="shared" si="2"/>
        <v>June</v>
      </c>
      <c r="W25" s="44">
        <f t="shared" si="3"/>
        <v>6</v>
      </c>
      <c r="X25" s="44">
        <f t="shared" si="4"/>
        <v>2026</v>
      </c>
      <c r="Y25" s="44">
        <f t="shared" si="5"/>
        <v>20</v>
      </c>
      <c r="Z25" s="44" t="str">
        <f t="shared" si="6"/>
        <v>Weekend</v>
      </c>
      <c r="AA25" s="50" t="str">
        <f t="shared" si="7"/>
        <v>OK</v>
      </c>
      <c r="AB25" s="50" t="str">
        <f>IF(OR(B25="",C25&lt;&gt;"Expense"),"",IF(E25&gt;IFERROR(AVERAGEIFS($E$8:$E$1007,$I$8:$I$1007,I25,$C$8:$C$1007,"Expense")*SETTINGS!$B$20,0),"Unusually High","Normal"))</f>
        <v>Normal</v>
      </c>
      <c r="AC25" s="51" t="s">
        <v>111</v>
      </c>
      <c r="AD25" s="51"/>
      <c r="AE25" s="51"/>
      <c r="AF25" s="50" t="str">
        <f>IF(A25&lt;&gt;"Yes","No",IF(AND(AC25="Yes",SETTINGS!$B$16="No"),"No","Yes"))</f>
        <v>Yes</v>
      </c>
      <c r="AG25" s="50" t="str">
        <f>IF(A25&lt;&gt;"Yes","",IF(OR(B25="",D25="",E25&lt;=0,F25="",I25=""),"Check Required Fields",IF(AA25="Possible Duplicate","Possible Duplicate",IF(E25&gt;SETTINGS!$B$22,"Review Extreme Value","OK"))))</f>
        <v>OK</v>
      </c>
    </row>
    <row r="26" spans="1:33" ht="14.4">
      <c r="A26" s="9" t="s">
        <v>111</v>
      </c>
      <c r="B26" s="13">
        <v>46204</v>
      </c>
      <c r="C26" s="9" t="s">
        <v>42</v>
      </c>
      <c r="D26" s="9" t="s">
        <v>180</v>
      </c>
      <c r="E26" s="11">
        <v>25000</v>
      </c>
      <c r="F26" s="9" t="s">
        <v>52</v>
      </c>
      <c r="G26" s="9" t="s">
        <v>113</v>
      </c>
      <c r="H26" s="44" t="str">
        <f>IF(D26="","",IF(ISNUMBER(SEARCH(SETTINGS!$K$4,D26)),SETTINGS!$L$4,IF(ISNUMBER(SEARCH(SETTINGS!$K$5,D26)),SETTINGS!$L$5,IF(ISNUMBER(SEARCH(SETTINGS!$K$6,D26)),SETTINGS!$L$6,IF(ISNUMBER(SEARCH(SETTINGS!$K$7,D26)),SETTINGS!$L$7,IF(ISNUMBER(SEARCH(SETTINGS!$K$8,D26)),SETTINGS!$L$8,IF(ISNUMBER(SEARCH(SETTINGS!$K$9,D26)),SETTINGS!$L$9,IF(ISNUMBER(SEARCH(SETTINGS!$K$10,D26)),SETTINGS!$L$10,IF(ISNUMBER(SEARCH(SETTINGS!$K$11,D26)),SETTINGS!$L$11,IF(ISNUMBER(SEARCH(SETTINGS!$K$12,D26)),SETTINGS!$L$12,IF(ISNUMBER(SEARCH(SETTINGS!$K$13,D26)),SETTINGS!$L$13,IF(ISNUMBER(SEARCH(SETTINGS!$K$14,D26)),SETTINGS!$L$14,IF(ISNUMBER(SEARCH(SETTINGS!$K$15,D26)),SETTINGS!$L$15,IF(ISNUMBER(SEARCH(SETTINGS!$K$16,D26)),SETTINGS!$L$16,IF(ISNUMBER(SEARCH(SETTINGS!$K$17,D26)),SETTINGS!$L$17,IF(ISNUMBER(SEARCH(SETTINGS!$K$18,D26)),SETTINGS!$L$18,"Miscellaneous"))))))))))))))))</f>
        <v>Miscellaneous</v>
      </c>
      <c r="I26" s="44" t="str">
        <f t="shared" si="0"/>
        <v>Miscellaneous</v>
      </c>
      <c r="J26" s="9" t="s">
        <v>114</v>
      </c>
      <c r="K26" s="9"/>
      <c r="L26" s="9" t="s">
        <v>115</v>
      </c>
      <c r="M26" s="9" t="s">
        <v>116</v>
      </c>
      <c r="N26" s="9" t="s">
        <v>117</v>
      </c>
      <c r="O26" s="9" t="s">
        <v>118</v>
      </c>
      <c r="P26" s="13"/>
      <c r="Q26" s="9" t="s">
        <v>119</v>
      </c>
      <c r="R26" s="9" t="s">
        <v>120</v>
      </c>
      <c r="S26" s="9" t="s">
        <v>121</v>
      </c>
      <c r="T26" s="11"/>
      <c r="U26" s="44" t="str">
        <f t="shared" si="1"/>
        <v>INC-2026-0019</v>
      </c>
      <c r="V26" s="44" t="str">
        <f t="shared" si="2"/>
        <v>July</v>
      </c>
      <c r="W26" s="44">
        <f t="shared" si="3"/>
        <v>7</v>
      </c>
      <c r="X26" s="44">
        <f t="shared" si="4"/>
        <v>2026</v>
      </c>
      <c r="Y26" s="44">
        <f t="shared" si="5"/>
        <v>1</v>
      </c>
      <c r="Z26" s="44" t="str">
        <f t="shared" si="6"/>
        <v>Weekday</v>
      </c>
      <c r="AA26" s="50" t="str">
        <f t="shared" si="7"/>
        <v>OK</v>
      </c>
      <c r="AB26" s="50" t="str">
        <f>IF(OR(B26="",C26&lt;&gt;"Expense"),"",IF(E26&gt;IFERROR(AVERAGEIFS($E$8:$E$1007,$I$8:$I$1007,I26,$C$8:$C$1007,"Expense")*SETTINGS!$B$20,0),"Unusually High","Normal"))</f>
        <v/>
      </c>
      <c r="AC26" s="51" t="s">
        <v>111</v>
      </c>
      <c r="AD26" s="51"/>
      <c r="AE26" s="51"/>
      <c r="AF26" s="50" t="str">
        <f>IF(A26&lt;&gt;"Yes","No",IF(AND(AC26="Yes",SETTINGS!$B$16="No"),"No","Yes"))</f>
        <v>Yes</v>
      </c>
      <c r="AG26" s="50" t="str">
        <f>IF(A26&lt;&gt;"Yes","",IF(OR(B26="",D26="",E26&lt;=0,F26="",I26=""),"Check Required Fields",IF(AA26="Possible Duplicate","Possible Duplicate",IF(E26&gt;SETTINGS!$B$22,"Review Extreme Value","OK"))))</f>
        <v>OK</v>
      </c>
    </row>
    <row r="27" spans="1:33" ht="14.4">
      <c r="A27" s="9" t="s">
        <v>111</v>
      </c>
      <c r="B27" s="13">
        <v>46208</v>
      </c>
      <c r="C27" s="9" t="s">
        <v>43</v>
      </c>
      <c r="D27" s="9" t="s">
        <v>181</v>
      </c>
      <c r="E27" s="11">
        <v>4000</v>
      </c>
      <c r="F27" s="9" t="s">
        <v>67</v>
      </c>
      <c r="G27" s="9" t="s">
        <v>130</v>
      </c>
      <c r="H27" s="44" t="str">
        <f>IF(D27="","",IF(ISNUMBER(SEARCH(SETTINGS!$K$4,D27)),SETTINGS!$L$4,IF(ISNUMBER(SEARCH(SETTINGS!$K$5,D27)),SETTINGS!$L$5,IF(ISNUMBER(SEARCH(SETTINGS!$K$6,D27)),SETTINGS!$L$6,IF(ISNUMBER(SEARCH(SETTINGS!$K$7,D27)),SETTINGS!$L$7,IF(ISNUMBER(SEARCH(SETTINGS!$K$8,D27)),SETTINGS!$L$8,IF(ISNUMBER(SEARCH(SETTINGS!$K$9,D27)),SETTINGS!$L$9,IF(ISNUMBER(SEARCH(SETTINGS!$K$10,D27)),SETTINGS!$L$10,IF(ISNUMBER(SEARCH(SETTINGS!$K$11,D27)),SETTINGS!$L$11,IF(ISNUMBER(SEARCH(SETTINGS!$K$12,D27)),SETTINGS!$L$12,IF(ISNUMBER(SEARCH(SETTINGS!$K$13,D27)),SETTINGS!$L$13,IF(ISNUMBER(SEARCH(SETTINGS!$K$14,D27)),SETTINGS!$L$14,IF(ISNUMBER(SEARCH(SETTINGS!$K$15,D27)),SETTINGS!$L$15,IF(ISNUMBER(SEARCH(SETTINGS!$K$16,D27)),SETTINGS!$L$16,IF(ISNUMBER(SEARCH(SETTINGS!$K$17,D27)),SETTINGS!$L$17,IF(ISNUMBER(SEARCH(SETTINGS!$K$18,D27)),SETTINGS!$L$18,"Miscellaneous"))))))))))))))))</f>
        <v>Miscellaneous</v>
      </c>
      <c r="I27" s="44" t="str">
        <f t="shared" si="0"/>
        <v>Hostel</v>
      </c>
      <c r="J27" s="9" t="s">
        <v>129</v>
      </c>
      <c r="K27" s="9" t="s">
        <v>131</v>
      </c>
      <c r="L27" s="9" t="s">
        <v>115</v>
      </c>
      <c r="M27" s="9" t="s">
        <v>116</v>
      </c>
      <c r="N27" s="9" t="s">
        <v>117</v>
      </c>
      <c r="O27" s="9" t="s">
        <v>118</v>
      </c>
      <c r="P27" s="13"/>
      <c r="Q27" s="9" t="s">
        <v>119</v>
      </c>
      <c r="R27" s="9" t="s">
        <v>128</v>
      </c>
      <c r="S27" s="9" t="s">
        <v>130</v>
      </c>
      <c r="T27" s="11"/>
      <c r="U27" s="44" t="str">
        <f t="shared" si="1"/>
        <v>EXP-2026-0020</v>
      </c>
      <c r="V27" s="44" t="str">
        <f t="shared" si="2"/>
        <v>July</v>
      </c>
      <c r="W27" s="44">
        <f t="shared" si="3"/>
        <v>7</v>
      </c>
      <c r="X27" s="44">
        <f t="shared" si="4"/>
        <v>2026</v>
      </c>
      <c r="Y27" s="44">
        <f t="shared" si="5"/>
        <v>5</v>
      </c>
      <c r="Z27" s="44" t="str">
        <f t="shared" si="6"/>
        <v>Weekend</v>
      </c>
      <c r="AA27" s="50" t="str">
        <f t="shared" si="7"/>
        <v>OK</v>
      </c>
      <c r="AB27" s="50" t="str">
        <f>IF(OR(B27="",C27&lt;&gt;"Expense"),"",IF(E27&gt;IFERROR(AVERAGEIFS($E$8:$E$1007,$I$8:$I$1007,I27,$C$8:$C$1007,"Expense")*SETTINGS!$B$20,0),"Unusually High","Normal"))</f>
        <v>Normal</v>
      </c>
      <c r="AC27" s="51" t="s">
        <v>111</v>
      </c>
      <c r="AD27" s="51"/>
      <c r="AE27" s="51"/>
      <c r="AF27" s="50" t="str">
        <f>IF(A27&lt;&gt;"Yes","No",IF(AND(AC27="Yes",SETTINGS!$B$16="No"),"No","Yes"))</f>
        <v>Yes</v>
      </c>
      <c r="AG27" s="50" t="str">
        <f>IF(A27&lt;&gt;"Yes","",IF(OR(B27="",D27="",E27&lt;=0,F27="",I27=""),"Check Required Fields",IF(AA27="Possible Duplicate","Possible Duplicate",IF(E27&gt;SETTINGS!$B$22,"Review Extreme Value","OK"))))</f>
        <v>OK</v>
      </c>
    </row>
    <row r="28" spans="1:33" ht="14.4">
      <c r="A28" s="9" t="s">
        <v>111</v>
      </c>
      <c r="B28" s="13">
        <v>46219</v>
      </c>
      <c r="C28" s="9" t="s">
        <v>43</v>
      </c>
      <c r="D28" s="9" t="s">
        <v>182</v>
      </c>
      <c r="E28" s="11">
        <v>4200</v>
      </c>
      <c r="F28" s="9" t="s">
        <v>52</v>
      </c>
      <c r="G28" s="9" t="s">
        <v>134</v>
      </c>
      <c r="H28" s="44" t="str">
        <f>IF(D28="","",IF(ISNUMBER(SEARCH(SETTINGS!$K$4,D28)),SETTINGS!$L$4,IF(ISNUMBER(SEARCH(SETTINGS!$K$5,D28)),SETTINGS!$L$5,IF(ISNUMBER(SEARCH(SETTINGS!$K$6,D28)),SETTINGS!$L$6,IF(ISNUMBER(SEARCH(SETTINGS!$K$7,D28)),SETTINGS!$L$7,IF(ISNUMBER(SEARCH(SETTINGS!$K$8,D28)),SETTINGS!$L$8,IF(ISNUMBER(SEARCH(SETTINGS!$K$9,D28)),SETTINGS!$L$9,IF(ISNUMBER(SEARCH(SETTINGS!$K$10,D28)),SETTINGS!$L$10,IF(ISNUMBER(SEARCH(SETTINGS!$K$11,D28)),SETTINGS!$L$11,IF(ISNUMBER(SEARCH(SETTINGS!$K$12,D28)),SETTINGS!$L$12,IF(ISNUMBER(SEARCH(SETTINGS!$K$13,D28)),SETTINGS!$L$13,IF(ISNUMBER(SEARCH(SETTINGS!$K$14,D28)),SETTINGS!$L$14,IF(ISNUMBER(SEARCH(SETTINGS!$K$15,D28)),SETTINGS!$L$15,IF(ISNUMBER(SEARCH(SETTINGS!$K$16,D28)),SETTINGS!$L$16,IF(ISNUMBER(SEARCH(SETTINGS!$K$17,D28)),SETTINGS!$L$17,IF(ISNUMBER(SEARCH(SETTINGS!$K$18,D28)),SETTINGS!$L$18,"Miscellaneous"))))))))))))))))</f>
        <v>Miscellaneous</v>
      </c>
      <c r="I28" s="44" t="str">
        <f t="shared" si="0"/>
        <v>Food</v>
      </c>
      <c r="J28" s="9" t="s">
        <v>135</v>
      </c>
      <c r="K28" s="9" t="s">
        <v>136</v>
      </c>
      <c r="L28" s="9" t="s">
        <v>115</v>
      </c>
      <c r="M28" s="9" t="s">
        <v>116</v>
      </c>
      <c r="N28" s="9" t="s">
        <v>126</v>
      </c>
      <c r="O28" s="9" t="s">
        <v>118</v>
      </c>
      <c r="P28" s="13"/>
      <c r="Q28" s="9" t="s">
        <v>119</v>
      </c>
      <c r="R28" s="9" t="s">
        <v>120</v>
      </c>
      <c r="S28" s="9" t="s">
        <v>130</v>
      </c>
      <c r="T28" s="11"/>
      <c r="U28" s="44" t="str">
        <f t="shared" si="1"/>
        <v>EXP-2026-0021</v>
      </c>
      <c r="V28" s="44" t="str">
        <f t="shared" si="2"/>
        <v>July</v>
      </c>
      <c r="W28" s="44">
        <f t="shared" si="3"/>
        <v>7</v>
      </c>
      <c r="X28" s="44">
        <f t="shared" si="4"/>
        <v>2026</v>
      </c>
      <c r="Y28" s="44">
        <f t="shared" si="5"/>
        <v>16</v>
      </c>
      <c r="Z28" s="44" t="str">
        <f t="shared" si="6"/>
        <v>Weekday</v>
      </c>
      <c r="AA28" s="50" t="str">
        <f t="shared" si="7"/>
        <v>OK</v>
      </c>
      <c r="AB28" s="50" t="str">
        <f>IF(OR(B28="",C28&lt;&gt;"Expense"),"",IF(E28&gt;IFERROR(AVERAGEIFS($E$8:$E$1007,$I$8:$I$1007,I28,$C$8:$C$1007,"Expense")*SETTINGS!$B$20,0),"Unusually High","Normal"))</f>
        <v>Normal</v>
      </c>
      <c r="AC28" s="51" t="s">
        <v>111</v>
      </c>
      <c r="AD28" s="51"/>
      <c r="AE28" s="51"/>
      <c r="AF28" s="50" t="str">
        <f>IF(A28&lt;&gt;"Yes","No",IF(AND(AC28="Yes",SETTINGS!$B$16="No"),"No","Yes"))</f>
        <v>Yes</v>
      </c>
      <c r="AG28" s="50" t="str">
        <f>IF(A28&lt;&gt;"Yes","",IF(OR(B28="",D28="",E28&lt;=0,F28="",I28=""),"Check Required Fields",IF(AA28="Possible Duplicate","Possible Duplicate",IF(E28&gt;SETTINGS!$B$22,"Review Extreme Value","OK"))))</f>
        <v>OK</v>
      </c>
    </row>
    <row r="29" spans="1:33" ht="14.4">
      <c r="A29" s="9" t="s">
        <v>111</v>
      </c>
      <c r="B29" s="13">
        <v>46235</v>
      </c>
      <c r="C29" s="9" t="s">
        <v>42</v>
      </c>
      <c r="D29" s="9" t="s">
        <v>183</v>
      </c>
      <c r="E29" s="11">
        <v>25000</v>
      </c>
      <c r="F29" s="9" t="s">
        <v>52</v>
      </c>
      <c r="G29" s="9" t="s">
        <v>113</v>
      </c>
      <c r="H29" s="44" t="str">
        <f>IF(D29="","",IF(ISNUMBER(SEARCH(SETTINGS!$K$4,D29)),SETTINGS!$L$4,IF(ISNUMBER(SEARCH(SETTINGS!$K$5,D29)),SETTINGS!$L$5,IF(ISNUMBER(SEARCH(SETTINGS!$K$6,D29)),SETTINGS!$L$6,IF(ISNUMBER(SEARCH(SETTINGS!$K$7,D29)),SETTINGS!$L$7,IF(ISNUMBER(SEARCH(SETTINGS!$K$8,D29)),SETTINGS!$L$8,IF(ISNUMBER(SEARCH(SETTINGS!$K$9,D29)),SETTINGS!$L$9,IF(ISNUMBER(SEARCH(SETTINGS!$K$10,D29)),SETTINGS!$L$10,IF(ISNUMBER(SEARCH(SETTINGS!$K$11,D29)),SETTINGS!$L$11,IF(ISNUMBER(SEARCH(SETTINGS!$K$12,D29)),SETTINGS!$L$12,IF(ISNUMBER(SEARCH(SETTINGS!$K$13,D29)),SETTINGS!$L$13,IF(ISNUMBER(SEARCH(SETTINGS!$K$14,D29)),SETTINGS!$L$14,IF(ISNUMBER(SEARCH(SETTINGS!$K$15,D29)),SETTINGS!$L$15,IF(ISNUMBER(SEARCH(SETTINGS!$K$16,D29)),SETTINGS!$L$16,IF(ISNUMBER(SEARCH(SETTINGS!$K$17,D29)),SETTINGS!$L$17,IF(ISNUMBER(SEARCH(SETTINGS!$K$18,D29)),SETTINGS!$L$18,"Miscellaneous"))))))))))))))))</f>
        <v>Miscellaneous</v>
      </c>
      <c r="I29" s="44" t="str">
        <f t="shared" si="0"/>
        <v>Miscellaneous</v>
      </c>
      <c r="J29" s="9" t="s">
        <v>114</v>
      </c>
      <c r="K29" s="9"/>
      <c r="L29" s="9" t="s">
        <v>115</v>
      </c>
      <c r="M29" s="9" t="s">
        <v>116</v>
      </c>
      <c r="N29" s="9" t="s">
        <v>117</v>
      </c>
      <c r="O29" s="9" t="s">
        <v>118</v>
      </c>
      <c r="P29" s="13"/>
      <c r="Q29" s="9" t="s">
        <v>119</v>
      </c>
      <c r="R29" s="9" t="s">
        <v>120</v>
      </c>
      <c r="S29" s="9" t="s">
        <v>121</v>
      </c>
      <c r="T29" s="11"/>
      <c r="U29" s="44" t="str">
        <f t="shared" si="1"/>
        <v>INC-2026-0022</v>
      </c>
      <c r="V29" s="44" t="str">
        <f t="shared" si="2"/>
        <v>August</v>
      </c>
      <c r="W29" s="44">
        <f t="shared" si="3"/>
        <v>8</v>
      </c>
      <c r="X29" s="44">
        <f t="shared" si="4"/>
        <v>2026</v>
      </c>
      <c r="Y29" s="44">
        <f t="shared" si="5"/>
        <v>1</v>
      </c>
      <c r="Z29" s="44" t="str">
        <f t="shared" si="6"/>
        <v>Weekend</v>
      </c>
      <c r="AA29" s="50" t="str">
        <f t="shared" si="7"/>
        <v>OK</v>
      </c>
      <c r="AB29" s="50" t="str">
        <f>IF(OR(B29="",C29&lt;&gt;"Expense"),"",IF(E29&gt;IFERROR(AVERAGEIFS($E$8:$E$1007,$I$8:$I$1007,I29,$C$8:$C$1007,"Expense")*SETTINGS!$B$20,0),"Unusually High","Normal"))</f>
        <v/>
      </c>
      <c r="AC29" s="51" t="s">
        <v>111</v>
      </c>
      <c r="AD29" s="51"/>
      <c r="AE29" s="51"/>
      <c r="AF29" s="50" t="str">
        <f>IF(A29&lt;&gt;"Yes","No",IF(AND(AC29="Yes",SETTINGS!$B$16="No"),"No","Yes"))</f>
        <v>Yes</v>
      </c>
      <c r="AG29" s="50" t="str">
        <f>IF(A29&lt;&gt;"Yes","",IF(OR(B29="",D29="",E29&lt;=0,F29="",I29=""),"Check Required Fields",IF(AA29="Possible Duplicate","Possible Duplicate",IF(E29&gt;SETTINGS!$B$22,"Review Extreme Value","OK"))))</f>
        <v>OK</v>
      </c>
    </row>
    <row r="30" spans="1:33" ht="14.4">
      <c r="A30" s="9" t="s">
        <v>111</v>
      </c>
      <c r="B30" s="13">
        <v>46254</v>
      </c>
      <c r="C30" s="9" t="s">
        <v>42</v>
      </c>
      <c r="D30" s="9" t="s">
        <v>184</v>
      </c>
      <c r="E30" s="11">
        <v>5000</v>
      </c>
      <c r="F30" s="9" t="s">
        <v>67</v>
      </c>
      <c r="G30" s="9" t="s">
        <v>123</v>
      </c>
      <c r="H30" s="44" t="str">
        <f>IF(D30="","",IF(ISNUMBER(SEARCH(SETTINGS!$K$4,D30)),SETTINGS!$L$4,IF(ISNUMBER(SEARCH(SETTINGS!$K$5,D30)),SETTINGS!$L$5,IF(ISNUMBER(SEARCH(SETTINGS!$K$6,D30)),SETTINGS!$L$6,IF(ISNUMBER(SEARCH(SETTINGS!$K$7,D30)),SETTINGS!$L$7,IF(ISNUMBER(SEARCH(SETTINGS!$K$8,D30)),SETTINGS!$L$8,IF(ISNUMBER(SEARCH(SETTINGS!$K$9,D30)),SETTINGS!$L$9,IF(ISNUMBER(SEARCH(SETTINGS!$K$10,D30)),SETTINGS!$L$10,IF(ISNUMBER(SEARCH(SETTINGS!$K$11,D30)),SETTINGS!$L$11,IF(ISNUMBER(SEARCH(SETTINGS!$K$12,D30)),SETTINGS!$L$12,IF(ISNUMBER(SEARCH(SETTINGS!$K$13,D30)),SETTINGS!$L$13,IF(ISNUMBER(SEARCH(SETTINGS!$K$14,D30)),SETTINGS!$L$14,IF(ISNUMBER(SEARCH(SETTINGS!$K$15,D30)),SETTINGS!$L$15,IF(ISNUMBER(SEARCH(SETTINGS!$K$16,D30)),SETTINGS!$L$16,IF(ISNUMBER(SEARCH(SETTINGS!$K$17,D30)),SETTINGS!$L$17,IF(ISNUMBER(SEARCH(SETTINGS!$K$18,D30)),SETTINGS!$L$18,"Miscellaneous"))))))))))))))))</f>
        <v>Miscellaneous</v>
      </c>
      <c r="I30" s="44" t="str">
        <f t="shared" si="0"/>
        <v>College Fees</v>
      </c>
      <c r="J30" s="9" t="s">
        <v>185</v>
      </c>
      <c r="K30" s="9" t="s">
        <v>125</v>
      </c>
      <c r="L30" s="9" t="s">
        <v>115</v>
      </c>
      <c r="M30" s="9" t="s">
        <v>116</v>
      </c>
      <c r="N30" s="9" t="s">
        <v>126</v>
      </c>
      <c r="O30" s="9" t="s">
        <v>118</v>
      </c>
      <c r="P30" s="13"/>
      <c r="Q30" s="9" t="s">
        <v>119</v>
      </c>
      <c r="R30" s="9" t="s">
        <v>128</v>
      </c>
      <c r="S30" s="9" t="s">
        <v>125</v>
      </c>
      <c r="T30" s="11"/>
      <c r="U30" s="44" t="str">
        <f t="shared" si="1"/>
        <v>INC-2026-0023</v>
      </c>
      <c r="V30" s="44" t="str">
        <f t="shared" si="2"/>
        <v>August</v>
      </c>
      <c r="W30" s="44">
        <f t="shared" si="3"/>
        <v>8</v>
      </c>
      <c r="X30" s="44">
        <f t="shared" si="4"/>
        <v>2026</v>
      </c>
      <c r="Y30" s="44">
        <f t="shared" si="5"/>
        <v>20</v>
      </c>
      <c r="Z30" s="44" t="str">
        <f t="shared" si="6"/>
        <v>Weekday</v>
      </c>
      <c r="AA30" s="50" t="str">
        <f t="shared" si="7"/>
        <v>OK</v>
      </c>
      <c r="AB30" s="50" t="str">
        <f>IF(OR(B30="",C30&lt;&gt;"Expense"),"",IF(E30&gt;IFERROR(AVERAGEIFS($E$8:$E$1007,$I$8:$I$1007,I30,$C$8:$C$1007,"Expense")*SETTINGS!$B$20,0),"Unusually High","Normal"))</f>
        <v/>
      </c>
      <c r="AC30" s="51" t="s">
        <v>111</v>
      </c>
      <c r="AD30" s="51"/>
      <c r="AE30" s="51"/>
      <c r="AF30" s="50" t="str">
        <f>IF(A30&lt;&gt;"Yes","No",IF(AND(AC30="Yes",SETTINGS!$B$16="No"),"No","Yes"))</f>
        <v>Yes</v>
      </c>
      <c r="AG30" s="50" t="str">
        <f>IF(A30&lt;&gt;"Yes","",IF(OR(B30="",D30="",E30&lt;=0,F30="",I30=""),"Check Required Fields",IF(AA30="Possible Duplicate","Possible Duplicate",IF(E30&gt;SETTINGS!$B$22,"Review Extreme Value","OK"))))</f>
        <v>OK</v>
      </c>
    </row>
    <row r="31" spans="1:33" ht="14.4">
      <c r="A31" s="9" t="s">
        <v>111</v>
      </c>
      <c r="B31" s="13">
        <v>46244</v>
      </c>
      <c r="C31" s="9" t="s">
        <v>43</v>
      </c>
      <c r="D31" s="9" t="s">
        <v>186</v>
      </c>
      <c r="E31" s="11">
        <v>3400</v>
      </c>
      <c r="F31" s="9" t="s">
        <v>52</v>
      </c>
      <c r="G31" s="9" t="s">
        <v>134</v>
      </c>
      <c r="H31" s="44" t="str">
        <f>IF(D31="","",IF(ISNUMBER(SEARCH(SETTINGS!$K$4,D31)),SETTINGS!$L$4,IF(ISNUMBER(SEARCH(SETTINGS!$K$5,D31)),SETTINGS!$L$5,IF(ISNUMBER(SEARCH(SETTINGS!$K$6,D31)),SETTINGS!$L$6,IF(ISNUMBER(SEARCH(SETTINGS!$K$7,D31)),SETTINGS!$L$7,IF(ISNUMBER(SEARCH(SETTINGS!$K$8,D31)),SETTINGS!$L$8,IF(ISNUMBER(SEARCH(SETTINGS!$K$9,D31)),SETTINGS!$L$9,IF(ISNUMBER(SEARCH(SETTINGS!$K$10,D31)),SETTINGS!$L$10,IF(ISNUMBER(SEARCH(SETTINGS!$K$11,D31)),SETTINGS!$L$11,IF(ISNUMBER(SEARCH(SETTINGS!$K$12,D31)),SETTINGS!$L$12,IF(ISNUMBER(SEARCH(SETTINGS!$K$13,D31)),SETTINGS!$L$13,IF(ISNUMBER(SEARCH(SETTINGS!$K$14,D31)),SETTINGS!$L$14,IF(ISNUMBER(SEARCH(SETTINGS!$K$15,D31)),SETTINGS!$L$15,IF(ISNUMBER(SEARCH(SETTINGS!$K$16,D31)),SETTINGS!$L$16,IF(ISNUMBER(SEARCH(SETTINGS!$K$17,D31)),SETTINGS!$L$17,IF(ISNUMBER(SEARCH(SETTINGS!$K$18,D31)),SETTINGS!$L$18,"Miscellaneous"))))))))))))))))</f>
        <v>Miscellaneous</v>
      </c>
      <c r="I31" s="44" t="str">
        <f t="shared" si="0"/>
        <v>Food</v>
      </c>
      <c r="J31" s="9" t="s">
        <v>155</v>
      </c>
      <c r="K31" s="9" t="s">
        <v>156</v>
      </c>
      <c r="L31" s="9" t="s">
        <v>115</v>
      </c>
      <c r="M31" s="9" t="s">
        <v>116</v>
      </c>
      <c r="N31" s="9" t="s">
        <v>126</v>
      </c>
      <c r="O31" s="9" t="s">
        <v>118</v>
      </c>
      <c r="P31" s="13"/>
      <c r="Q31" s="9" t="s">
        <v>119</v>
      </c>
      <c r="R31" s="9" t="s">
        <v>120</v>
      </c>
      <c r="S31" s="9" t="s">
        <v>130</v>
      </c>
      <c r="T31" s="11"/>
      <c r="U31" s="44" t="str">
        <f t="shared" si="1"/>
        <v>EXP-2026-0024</v>
      </c>
      <c r="V31" s="44" t="str">
        <f t="shared" si="2"/>
        <v>August</v>
      </c>
      <c r="W31" s="44">
        <f t="shared" si="3"/>
        <v>8</v>
      </c>
      <c r="X31" s="44">
        <f t="shared" si="4"/>
        <v>2026</v>
      </c>
      <c r="Y31" s="44">
        <f t="shared" si="5"/>
        <v>10</v>
      </c>
      <c r="Z31" s="44" t="str">
        <f t="shared" si="6"/>
        <v>Weekday</v>
      </c>
      <c r="AA31" s="50" t="str">
        <f t="shared" si="7"/>
        <v>OK</v>
      </c>
      <c r="AB31" s="50" t="str">
        <f>IF(OR(B31="",C31&lt;&gt;"Expense"),"",IF(E31&gt;IFERROR(AVERAGEIFS($E$8:$E$1007,$I$8:$I$1007,I31,$C$8:$C$1007,"Expense")*SETTINGS!$B$20,0),"Unusually High","Normal"))</f>
        <v>Normal</v>
      </c>
      <c r="AC31" s="51" t="s">
        <v>111</v>
      </c>
      <c r="AD31" s="51"/>
      <c r="AE31" s="51"/>
      <c r="AF31" s="50" t="str">
        <f>IF(A31&lt;&gt;"Yes","No",IF(AND(AC31="Yes",SETTINGS!$B$16="No"),"No","Yes"))</f>
        <v>Yes</v>
      </c>
      <c r="AG31" s="50" t="str">
        <f>IF(A31&lt;&gt;"Yes","",IF(OR(B31="",D31="",E31&lt;=0,F31="",I31=""),"Check Required Fields",IF(AA31="Possible Duplicate","Possible Duplicate",IF(E31&gt;SETTINGS!$B$22,"Review Extreme Value","OK"))))</f>
        <v>OK</v>
      </c>
    </row>
    <row r="32" spans="1:33" ht="14.4">
      <c r="A32" s="9" t="s">
        <v>111</v>
      </c>
      <c r="B32" s="13">
        <v>46252</v>
      </c>
      <c r="C32" s="9" t="s">
        <v>43</v>
      </c>
      <c r="D32" s="9" t="s">
        <v>187</v>
      </c>
      <c r="E32" s="11">
        <v>1800</v>
      </c>
      <c r="F32" s="9" t="s">
        <v>52</v>
      </c>
      <c r="G32" s="9" t="s">
        <v>163</v>
      </c>
      <c r="H32" s="44" t="str">
        <f>IF(D32="","",IF(ISNUMBER(SEARCH(SETTINGS!$K$4,D32)),SETTINGS!$L$4,IF(ISNUMBER(SEARCH(SETTINGS!$K$5,D32)),SETTINGS!$L$5,IF(ISNUMBER(SEARCH(SETTINGS!$K$6,D32)),SETTINGS!$L$6,IF(ISNUMBER(SEARCH(SETTINGS!$K$7,D32)),SETTINGS!$L$7,IF(ISNUMBER(SEARCH(SETTINGS!$K$8,D32)),SETTINGS!$L$8,IF(ISNUMBER(SEARCH(SETTINGS!$K$9,D32)),SETTINGS!$L$9,IF(ISNUMBER(SEARCH(SETTINGS!$K$10,D32)),SETTINGS!$L$10,IF(ISNUMBER(SEARCH(SETTINGS!$K$11,D32)),SETTINGS!$L$11,IF(ISNUMBER(SEARCH(SETTINGS!$K$12,D32)),SETTINGS!$L$12,IF(ISNUMBER(SEARCH(SETTINGS!$K$13,D32)),SETTINGS!$L$13,IF(ISNUMBER(SEARCH(SETTINGS!$K$14,D32)),SETTINGS!$L$14,IF(ISNUMBER(SEARCH(SETTINGS!$K$15,D32)),SETTINGS!$L$15,IF(ISNUMBER(SEARCH(SETTINGS!$K$16,D32)),SETTINGS!$L$16,IF(ISNUMBER(SEARCH(SETTINGS!$K$17,D32)),SETTINGS!$L$17,IF(ISNUMBER(SEARCH(SETTINGS!$K$18,D32)),SETTINGS!$L$18,"Miscellaneous"))))))))))))))))</f>
        <v>Miscellaneous</v>
      </c>
      <c r="I32" s="44" t="str">
        <f t="shared" si="0"/>
        <v>Travel Home</v>
      </c>
      <c r="J32" s="9" t="s">
        <v>164</v>
      </c>
      <c r="K32" s="9" t="s">
        <v>165</v>
      </c>
      <c r="L32" s="9" t="s">
        <v>115</v>
      </c>
      <c r="M32" s="9" t="s">
        <v>116</v>
      </c>
      <c r="N32" s="9" t="s">
        <v>126</v>
      </c>
      <c r="O32" s="9" t="s">
        <v>118</v>
      </c>
      <c r="P32" s="13"/>
      <c r="Q32" s="9" t="s">
        <v>119</v>
      </c>
      <c r="R32" s="9" t="s">
        <v>120</v>
      </c>
      <c r="S32" s="9" t="s">
        <v>166</v>
      </c>
      <c r="T32" s="11"/>
      <c r="U32" s="44" t="str">
        <f t="shared" si="1"/>
        <v>EXP-2026-0025</v>
      </c>
      <c r="V32" s="44" t="str">
        <f t="shared" si="2"/>
        <v>August</v>
      </c>
      <c r="W32" s="44">
        <f t="shared" si="3"/>
        <v>8</v>
      </c>
      <c r="X32" s="44">
        <f t="shared" si="4"/>
        <v>2026</v>
      </c>
      <c r="Y32" s="44">
        <f t="shared" si="5"/>
        <v>18</v>
      </c>
      <c r="Z32" s="44" t="str">
        <f t="shared" si="6"/>
        <v>Weekday</v>
      </c>
      <c r="AA32" s="50" t="str">
        <f t="shared" si="7"/>
        <v>OK</v>
      </c>
      <c r="AB32" s="50" t="str">
        <f>IF(OR(B32="",C32&lt;&gt;"Expense"),"",IF(E32&gt;IFERROR(AVERAGEIFS($E$8:$E$1007,$I$8:$I$1007,I32,$C$8:$C$1007,"Expense")*SETTINGS!$B$20,0),"Unusually High","Normal"))</f>
        <v>Normal</v>
      </c>
      <c r="AC32" s="51" t="s">
        <v>111</v>
      </c>
      <c r="AD32" s="51"/>
      <c r="AE32" s="51"/>
      <c r="AF32" s="50" t="str">
        <f>IF(A32&lt;&gt;"Yes","No",IF(AND(AC32="Yes",SETTINGS!$B$16="No"),"No","Yes"))</f>
        <v>Yes</v>
      </c>
      <c r="AG32" s="50" t="str">
        <f>IF(A32&lt;&gt;"Yes","",IF(OR(B32="",D32="",E32&lt;=0,F32="",I32=""),"Check Required Fields",IF(AA32="Possible Duplicate","Possible Duplicate",IF(E32&gt;SETTINGS!$B$22,"Review Extreme Value","OK"))))</f>
        <v>OK</v>
      </c>
    </row>
    <row r="33" spans="1:33" ht="14.4">
      <c r="A33" s="9" t="s">
        <v>111</v>
      </c>
      <c r="B33" s="13">
        <v>46262</v>
      </c>
      <c r="C33" s="9" t="s">
        <v>188</v>
      </c>
      <c r="D33" s="9" t="s">
        <v>189</v>
      </c>
      <c r="E33" s="11">
        <v>2000</v>
      </c>
      <c r="F33" s="9" t="s">
        <v>67</v>
      </c>
      <c r="G33" s="9" t="s">
        <v>57</v>
      </c>
      <c r="H33" s="44" t="str">
        <f>IF(D33="","",IF(ISNUMBER(SEARCH(SETTINGS!$K$4,D33)),SETTINGS!$L$4,IF(ISNUMBER(SEARCH(SETTINGS!$K$5,D33)),SETTINGS!$L$5,IF(ISNUMBER(SEARCH(SETTINGS!$K$6,D33)),SETTINGS!$L$6,IF(ISNUMBER(SEARCH(SETTINGS!$K$7,D33)),SETTINGS!$L$7,IF(ISNUMBER(SEARCH(SETTINGS!$K$8,D33)),SETTINGS!$L$8,IF(ISNUMBER(SEARCH(SETTINGS!$K$9,D33)),SETTINGS!$L$9,IF(ISNUMBER(SEARCH(SETTINGS!$K$10,D33)),SETTINGS!$L$10,IF(ISNUMBER(SEARCH(SETTINGS!$K$11,D33)),SETTINGS!$L$11,IF(ISNUMBER(SEARCH(SETTINGS!$K$12,D33)),SETTINGS!$L$12,IF(ISNUMBER(SEARCH(SETTINGS!$K$13,D33)),SETTINGS!$L$13,IF(ISNUMBER(SEARCH(SETTINGS!$K$14,D33)),SETTINGS!$L$14,IF(ISNUMBER(SEARCH(SETTINGS!$K$15,D33)),SETTINGS!$L$15,IF(ISNUMBER(SEARCH(SETTINGS!$K$16,D33)),SETTINGS!$L$16,IF(ISNUMBER(SEARCH(SETTINGS!$K$17,D33)),SETTINGS!$L$17,IF(ISNUMBER(SEARCH(SETTINGS!$K$18,D33)),SETTINGS!$L$18,"Miscellaneous"))))))))))))))))</f>
        <v>Miscellaneous</v>
      </c>
      <c r="I33" s="44" t="str">
        <f t="shared" si="0"/>
        <v>Savings</v>
      </c>
      <c r="J33" s="9" t="s">
        <v>190</v>
      </c>
      <c r="K33" s="9"/>
      <c r="L33" s="9" t="s">
        <v>191</v>
      </c>
      <c r="M33" s="9" t="s">
        <v>116</v>
      </c>
      <c r="N33" s="9" t="s">
        <v>126</v>
      </c>
      <c r="O33" s="9" t="s">
        <v>118</v>
      </c>
      <c r="P33" s="13"/>
      <c r="Q33" s="9" t="s">
        <v>119</v>
      </c>
      <c r="R33" s="9" t="s">
        <v>120</v>
      </c>
      <c r="S33" s="9" t="s">
        <v>192</v>
      </c>
      <c r="T33" s="11"/>
      <c r="U33" s="44" t="str">
        <f t="shared" si="1"/>
        <v>TRX-2026-0026</v>
      </c>
      <c r="V33" s="44" t="str">
        <f t="shared" si="2"/>
        <v>August</v>
      </c>
      <c r="W33" s="44">
        <f t="shared" si="3"/>
        <v>8</v>
      </c>
      <c r="X33" s="44">
        <f t="shared" si="4"/>
        <v>2026</v>
      </c>
      <c r="Y33" s="44">
        <f t="shared" si="5"/>
        <v>28</v>
      </c>
      <c r="Z33" s="44" t="str">
        <f t="shared" si="6"/>
        <v>Weekday</v>
      </c>
      <c r="AA33" s="50" t="str">
        <f t="shared" si="7"/>
        <v>OK</v>
      </c>
      <c r="AB33" s="50" t="str">
        <f>IF(OR(B33="",C33&lt;&gt;"Expense"),"",IF(E33&gt;IFERROR(AVERAGEIFS($E$8:$E$1007,$I$8:$I$1007,I33,$C$8:$C$1007,"Expense")*SETTINGS!$B$20,0),"Unusually High","Normal"))</f>
        <v/>
      </c>
      <c r="AC33" s="51" t="s">
        <v>111</v>
      </c>
      <c r="AD33" s="51"/>
      <c r="AE33" s="51"/>
      <c r="AF33" s="50" t="str">
        <f>IF(A33&lt;&gt;"Yes","No",IF(AND(AC33="Yes",SETTINGS!$B$16="No"),"No","Yes"))</f>
        <v>Yes</v>
      </c>
      <c r="AG33" s="50" t="str">
        <f>IF(A33&lt;&gt;"Yes","",IF(OR(B33="",D33="",E33&lt;=0,F33="",I33=""),"Check Required Fields",IF(AA33="Possible Duplicate","Possible Duplicate",IF(E33&gt;SETTINGS!$B$22,"Review Extreme Value","OK"))))</f>
        <v>OK</v>
      </c>
    </row>
    <row r="34" spans="1:33" ht="14.4">
      <c r="A34" s="9" t="s">
        <v>111</v>
      </c>
      <c r="B34" s="13">
        <v>46266</v>
      </c>
      <c r="C34" s="9" t="s">
        <v>42</v>
      </c>
      <c r="D34" s="9" t="s">
        <v>193</v>
      </c>
      <c r="E34" s="11">
        <v>25000</v>
      </c>
      <c r="F34" s="9" t="s">
        <v>67</v>
      </c>
      <c r="G34" s="9" t="s">
        <v>113</v>
      </c>
      <c r="H34" s="44" t="str">
        <f>IF(D34="","",IF(ISNUMBER(SEARCH(SETTINGS!$K$4,D34)),SETTINGS!$L$4,IF(ISNUMBER(SEARCH(SETTINGS!$K$5,D34)),SETTINGS!$L$5,IF(ISNUMBER(SEARCH(SETTINGS!$K$6,D34)),SETTINGS!$L$6,IF(ISNUMBER(SEARCH(SETTINGS!$K$7,D34)),SETTINGS!$L$7,IF(ISNUMBER(SEARCH(SETTINGS!$K$8,D34)),SETTINGS!$L$8,IF(ISNUMBER(SEARCH(SETTINGS!$K$9,D34)),SETTINGS!$L$9,IF(ISNUMBER(SEARCH(SETTINGS!$K$10,D34)),SETTINGS!$L$10,IF(ISNUMBER(SEARCH(SETTINGS!$K$11,D34)),SETTINGS!$L$11,IF(ISNUMBER(SEARCH(SETTINGS!$K$12,D34)),SETTINGS!$L$12,IF(ISNUMBER(SEARCH(SETTINGS!$K$13,D34)),SETTINGS!$L$13,IF(ISNUMBER(SEARCH(SETTINGS!$K$14,D34)),SETTINGS!$L$14,IF(ISNUMBER(SEARCH(SETTINGS!$K$15,D34)),SETTINGS!$L$15,IF(ISNUMBER(SEARCH(SETTINGS!$K$16,D34)),SETTINGS!$L$16,IF(ISNUMBER(SEARCH(SETTINGS!$K$17,D34)),SETTINGS!$L$17,IF(ISNUMBER(SEARCH(SETTINGS!$K$18,D34)),SETTINGS!$L$18,"Miscellaneous"))))))))))))))))</f>
        <v>Miscellaneous</v>
      </c>
      <c r="I34" s="44" t="str">
        <f t="shared" si="0"/>
        <v>Miscellaneous</v>
      </c>
      <c r="J34" s="9" t="s">
        <v>114</v>
      </c>
      <c r="K34" s="9"/>
      <c r="L34" s="9" t="s">
        <v>194</v>
      </c>
      <c r="M34" s="9" t="s">
        <v>116</v>
      </c>
      <c r="N34" s="9" t="s">
        <v>117</v>
      </c>
      <c r="O34" s="9" t="s">
        <v>118</v>
      </c>
      <c r="P34" s="13"/>
      <c r="Q34" s="9" t="s">
        <v>119</v>
      </c>
      <c r="R34" s="9" t="s">
        <v>120</v>
      </c>
      <c r="S34" s="9" t="s">
        <v>121</v>
      </c>
      <c r="T34" s="11"/>
      <c r="U34" s="44" t="str">
        <f t="shared" si="1"/>
        <v>INC-2026-0027</v>
      </c>
      <c r="V34" s="44" t="str">
        <f t="shared" si="2"/>
        <v>September</v>
      </c>
      <c r="W34" s="44">
        <f t="shared" si="3"/>
        <v>9</v>
      </c>
      <c r="X34" s="44">
        <f t="shared" si="4"/>
        <v>2026</v>
      </c>
      <c r="Y34" s="44">
        <f t="shared" si="5"/>
        <v>1</v>
      </c>
      <c r="Z34" s="44" t="str">
        <f t="shared" si="6"/>
        <v>Weekday</v>
      </c>
      <c r="AA34" s="50" t="str">
        <f t="shared" si="7"/>
        <v>OK</v>
      </c>
      <c r="AB34" s="50" t="str">
        <f>IF(OR(B34="",C34&lt;&gt;"Expense"),"",IF(E34&gt;IFERROR(AVERAGEIFS($E$8:$E$1007,$I$8:$I$1007,I34,$C$8:$C$1007,"Expense")*SETTINGS!$B$20,0),"Unusually High","Normal"))</f>
        <v/>
      </c>
      <c r="AC34" s="51" t="s">
        <v>111</v>
      </c>
      <c r="AD34" s="51"/>
      <c r="AE34" s="51"/>
      <c r="AF34" s="50" t="str">
        <f>IF(A34&lt;&gt;"Yes","No",IF(AND(AC34="Yes",SETTINGS!$B$16="No"),"No","Yes"))</f>
        <v>Yes</v>
      </c>
      <c r="AG34" s="50" t="str">
        <f>IF(A34&lt;&gt;"Yes","",IF(OR(B34="",D34="",E34&lt;=0,F34="",I34=""),"Check Required Fields",IF(AA34="Possible Duplicate","Possible Duplicate",IF(E34&gt;SETTINGS!$B$22,"Review Extreme Value","OK"))))</f>
        <v>OK</v>
      </c>
    </row>
    <row r="35" spans="1:33" ht="14.4">
      <c r="A35" s="9" t="s">
        <v>111</v>
      </c>
      <c r="B35" s="13">
        <v>46266</v>
      </c>
      <c r="C35" s="9" t="s">
        <v>43</v>
      </c>
      <c r="D35" s="9" t="s">
        <v>195</v>
      </c>
      <c r="E35" s="11">
        <v>3200</v>
      </c>
      <c r="F35" s="9" t="s">
        <v>52</v>
      </c>
      <c r="G35" s="9" t="s">
        <v>130</v>
      </c>
      <c r="H35" s="44" t="str">
        <f>IF(D35="","",IF(ISNUMBER(SEARCH(SETTINGS!$K$4,D35)),SETTINGS!$L$4,IF(ISNUMBER(SEARCH(SETTINGS!$K$5,D35)),SETTINGS!$L$5,IF(ISNUMBER(SEARCH(SETTINGS!$K$6,D35)),SETTINGS!$L$6,IF(ISNUMBER(SEARCH(SETTINGS!$K$7,D35)),SETTINGS!$L$7,IF(ISNUMBER(SEARCH(SETTINGS!$K$8,D35)),SETTINGS!$L$8,IF(ISNUMBER(SEARCH(SETTINGS!$K$9,D35)),SETTINGS!$L$9,IF(ISNUMBER(SEARCH(SETTINGS!$K$10,D35)),SETTINGS!$L$10,IF(ISNUMBER(SEARCH(SETTINGS!$K$11,D35)),SETTINGS!$L$11,IF(ISNUMBER(SEARCH(SETTINGS!$K$12,D35)),SETTINGS!$L$12,IF(ISNUMBER(SEARCH(SETTINGS!$K$13,D35)),SETTINGS!$L$13,IF(ISNUMBER(SEARCH(SETTINGS!$K$14,D35)),SETTINGS!$L$14,IF(ISNUMBER(SEARCH(SETTINGS!$K$15,D35)),SETTINGS!$L$15,IF(ISNUMBER(SEARCH(SETTINGS!$K$16,D35)),SETTINGS!$L$16,IF(ISNUMBER(SEARCH(SETTINGS!$K$17,D35)),SETTINGS!$L$17,IF(ISNUMBER(SEARCH(SETTINGS!$K$18,D35)),SETTINGS!$L$18,"Miscellaneous"))))))))))))))))</f>
        <v>Hostel</v>
      </c>
      <c r="I35" s="44" t="str">
        <f t="shared" si="0"/>
        <v>Hostel</v>
      </c>
      <c r="J35" s="9" t="s">
        <v>155</v>
      </c>
      <c r="K35" s="9" t="s">
        <v>156</v>
      </c>
      <c r="L35" s="9" t="s">
        <v>115</v>
      </c>
      <c r="M35" s="9" t="s">
        <v>116</v>
      </c>
      <c r="N35" s="9" t="s">
        <v>117</v>
      </c>
      <c r="O35" s="9" t="s">
        <v>118</v>
      </c>
      <c r="P35" s="13">
        <v>46266</v>
      </c>
      <c r="Q35" s="9" t="s">
        <v>119</v>
      </c>
      <c r="R35" s="9" t="s">
        <v>128</v>
      </c>
      <c r="S35" s="9" t="s">
        <v>130</v>
      </c>
      <c r="T35" s="11"/>
      <c r="U35" s="44" t="str">
        <f t="shared" si="1"/>
        <v>EXP-2026-0028</v>
      </c>
      <c r="V35" s="44" t="str">
        <f t="shared" si="2"/>
        <v>September</v>
      </c>
      <c r="W35" s="44">
        <f t="shared" si="3"/>
        <v>9</v>
      </c>
      <c r="X35" s="44">
        <f t="shared" si="4"/>
        <v>2026</v>
      </c>
      <c r="Y35" s="44">
        <f t="shared" si="5"/>
        <v>1</v>
      </c>
      <c r="Z35" s="44" t="str">
        <f t="shared" si="6"/>
        <v>Weekday</v>
      </c>
      <c r="AA35" s="50" t="str">
        <f t="shared" si="7"/>
        <v>OK</v>
      </c>
      <c r="AB35" s="50" t="str">
        <f>IF(OR(B35="",C35&lt;&gt;"Expense"),"",IF(E35&gt;IFERROR(AVERAGEIFS($E$8:$E$1007,$I$8:$I$1007,I35,$C$8:$C$1007,"Expense")*SETTINGS!$B$20,0),"Unusually High","Normal"))</f>
        <v>Normal</v>
      </c>
      <c r="AC35" s="51" t="s">
        <v>111</v>
      </c>
      <c r="AD35" s="51"/>
      <c r="AE35" s="51"/>
      <c r="AF35" s="50" t="str">
        <f>IF(A35&lt;&gt;"Yes","No",IF(AND(AC35="Yes",SETTINGS!$B$16="No"),"No","Yes"))</f>
        <v>Yes</v>
      </c>
      <c r="AG35" s="50" t="str">
        <f>IF(A35&lt;&gt;"Yes","",IF(OR(B35="",D35="",E35&lt;=0,F35="",I35=""),"Check Required Fields",IF(AA35="Possible Duplicate","Possible Duplicate",IF(E35&gt;SETTINGS!$B$22,"Review Extreme Value","OK"))))</f>
        <v>OK</v>
      </c>
    </row>
    <row r="36" spans="1:33" ht="14.4">
      <c r="A36" s="9" t="s">
        <v>111</v>
      </c>
      <c r="B36" s="13">
        <v>46267</v>
      </c>
      <c r="C36" s="9" t="s">
        <v>43</v>
      </c>
      <c r="D36" s="9" t="s">
        <v>196</v>
      </c>
      <c r="E36" s="11">
        <v>620</v>
      </c>
      <c r="F36" s="9" t="s">
        <v>58</v>
      </c>
      <c r="G36" s="9" t="s">
        <v>134</v>
      </c>
      <c r="H36" s="44" t="str">
        <f>IF(D36="","",IF(ISNUMBER(SEARCH(SETTINGS!$K$4,D36)),SETTINGS!$L$4,IF(ISNUMBER(SEARCH(SETTINGS!$K$5,D36)),SETTINGS!$L$5,IF(ISNUMBER(SEARCH(SETTINGS!$K$6,D36)),SETTINGS!$L$6,IF(ISNUMBER(SEARCH(SETTINGS!$K$7,D36)),SETTINGS!$L$7,IF(ISNUMBER(SEARCH(SETTINGS!$K$8,D36)),SETTINGS!$L$8,IF(ISNUMBER(SEARCH(SETTINGS!$K$9,D36)),SETTINGS!$L$9,IF(ISNUMBER(SEARCH(SETTINGS!$K$10,D36)),SETTINGS!$L$10,IF(ISNUMBER(SEARCH(SETTINGS!$K$11,D36)),SETTINGS!$L$11,IF(ISNUMBER(SEARCH(SETTINGS!$K$12,D36)),SETTINGS!$L$12,IF(ISNUMBER(SEARCH(SETTINGS!$K$13,D36)),SETTINGS!$L$13,IF(ISNUMBER(SEARCH(SETTINGS!$K$14,D36)),SETTINGS!$L$14,IF(ISNUMBER(SEARCH(SETTINGS!$K$15,D36)),SETTINGS!$L$15,IF(ISNUMBER(SEARCH(SETTINGS!$K$16,D36)),SETTINGS!$L$16,IF(ISNUMBER(SEARCH(SETTINGS!$K$17,D36)),SETTINGS!$L$17,IF(ISNUMBER(SEARCH(SETTINGS!$K$18,D36)),SETTINGS!$L$18,"Miscellaneous"))))))))))))))))</f>
        <v>Food</v>
      </c>
      <c r="I36" s="44" t="str">
        <f t="shared" si="0"/>
        <v>Food</v>
      </c>
      <c r="J36" s="9" t="s">
        <v>197</v>
      </c>
      <c r="K36" s="9" t="s">
        <v>198</v>
      </c>
      <c r="L36" s="9" t="s">
        <v>115</v>
      </c>
      <c r="M36" s="9" t="s">
        <v>151</v>
      </c>
      <c r="N36" s="9" t="s">
        <v>126</v>
      </c>
      <c r="O36" s="9" t="s">
        <v>118</v>
      </c>
      <c r="P36" s="13"/>
      <c r="Q36" s="9" t="s">
        <v>119</v>
      </c>
      <c r="R36" s="9" t="s">
        <v>120</v>
      </c>
      <c r="S36" s="9" t="s">
        <v>199</v>
      </c>
      <c r="T36" s="11"/>
      <c r="U36" s="44" t="str">
        <f t="shared" si="1"/>
        <v>EXP-2026-0029</v>
      </c>
      <c r="V36" s="44" t="str">
        <f t="shared" si="2"/>
        <v>September</v>
      </c>
      <c r="W36" s="44">
        <f t="shared" si="3"/>
        <v>9</v>
      </c>
      <c r="X36" s="44">
        <f t="shared" si="4"/>
        <v>2026</v>
      </c>
      <c r="Y36" s="44">
        <f t="shared" si="5"/>
        <v>2</v>
      </c>
      <c r="Z36" s="44" t="str">
        <f t="shared" si="6"/>
        <v>Weekday</v>
      </c>
      <c r="AA36" s="50" t="str">
        <f t="shared" si="7"/>
        <v>OK</v>
      </c>
      <c r="AB36" s="50" t="str">
        <f>IF(OR(B36="",C36&lt;&gt;"Expense"),"",IF(E36&gt;IFERROR(AVERAGEIFS($E$8:$E$1007,$I$8:$I$1007,I36,$C$8:$C$1007,"Expense")*SETTINGS!$B$20,0),"Unusually High","Normal"))</f>
        <v>Normal</v>
      </c>
      <c r="AC36" s="51" t="s">
        <v>111</v>
      </c>
      <c r="AD36" s="51"/>
      <c r="AE36" s="51"/>
      <c r="AF36" s="50" t="str">
        <f>IF(A36&lt;&gt;"Yes","No",IF(AND(AC36="Yes",SETTINGS!$B$16="No"),"No","Yes"))</f>
        <v>Yes</v>
      </c>
      <c r="AG36" s="50" t="str">
        <f>IF(A36&lt;&gt;"Yes","",IF(OR(B36="",D36="",E36&lt;=0,F36="",I36=""),"Check Required Fields",IF(AA36="Possible Duplicate","Possible Duplicate",IF(E36&gt;SETTINGS!$B$22,"Review Extreme Value","OK"))))</f>
        <v>OK</v>
      </c>
    </row>
    <row r="37" spans="1:33" ht="14.4">
      <c r="A37" s="9" t="s">
        <v>111</v>
      </c>
      <c r="B37" s="13">
        <v>46267</v>
      </c>
      <c r="C37" s="9" t="s">
        <v>43</v>
      </c>
      <c r="D37" s="9" t="s">
        <v>200</v>
      </c>
      <c r="E37" s="11">
        <v>350</v>
      </c>
      <c r="F37" s="9" t="s">
        <v>59</v>
      </c>
      <c r="G37" s="9" t="s">
        <v>138</v>
      </c>
      <c r="H37" s="44" t="str">
        <f>IF(D37="","",IF(ISNUMBER(SEARCH(SETTINGS!$K$4,D37)),SETTINGS!$L$4,IF(ISNUMBER(SEARCH(SETTINGS!$K$5,D37)),SETTINGS!$L$5,IF(ISNUMBER(SEARCH(SETTINGS!$K$6,D37)),SETTINGS!$L$6,IF(ISNUMBER(SEARCH(SETTINGS!$K$7,D37)),SETTINGS!$L$7,IF(ISNUMBER(SEARCH(SETTINGS!$K$8,D37)),SETTINGS!$L$8,IF(ISNUMBER(SEARCH(SETTINGS!$K$9,D37)),SETTINGS!$L$9,IF(ISNUMBER(SEARCH(SETTINGS!$K$10,D37)),SETTINGS!$L$10,IF(ISNUMBER(SEARCH(SETTINGS!$K$11,D37)),SETTINGS!$L$11,IF(ISNUMBER(SEARCH(SETTINGS!$K$12,D37)),SETTINGS!$L$12,IF(ISNUMBER(SEARCH(SETTINGS!$K$13,D37)),SETTINGS!$L$13,IF(ISNUMBER(SEARCH(SETTINGS!$K$14,D37)),SETTINGS!$L$14,IF(ISNUMBER(SEARCH(SETTINGS!$K$15,D37)),SETTINGS!$L$15,IF(ISNUMBER(SEARCH(SETTINGS!$K$16,D37)),SETTINGS!$L$16,IF(ISNUMBER(SEARCH(SETTINGS!$K$17,D37)),SETTINGS!$L$17,IF(ISNUMBER(SEARCH(SETTINGS!$K$18,D37)),SETTINGS!$L$18,"Miscellaneous"))))))))))))))))</f>
        <v>Transport</v>
      </c>
      <c r="I37" s="44" t="str">
        <f t="shared" si="0"/>
        <v>Transport</v>
      </c>
      <c r="J37" s="9" t="s">
        <v>201</v>
      </c>
      <c r="K37" s="9" t="s">
        <v>202</v>
      </c>
      <c r="L37" s="9" t="s">
        <v>115</v>
      </c>
      <c r="M37" s="9" t="s">
        <v>141</v>
      </c>
      <c r="N37" s="9" t="s">
        <v>126</v>
      </c>
      <c r="O37" s="9" t="s">
        <v>118</v>
      </c>
      <c r="P37" s="13"/>
      <c r="Q37" s="9" t="s">
        <v>119</v>
      </c>
      <c r="R37" s="9" t="s">
        <v>120</v>
      </c>
      <c r="S37" s="9" t="s">
        <v>166</v>
      </c>
      <c r="T37" s="11"/>
      <c r="U37" s="44" t="str">
        <f t="shared" si="1"/>
        <v>EXP-2026-0030</v>
      </c>
      <c r="V37" s="44" t="str">
        <f t="shared" si="2"/>
        <v>September</v>
      </c>
      <c r="W37" s="44">
        <f t="shared" si="3"/>
        <v>9</v>
      </c>
      <c r="X37" s="44">
        <f t="shared" si="4"/>
        <v>2026</v>
      </c>
      <c r="Y37" s="44">
        <f t="shared" si="5"/>
        <v>2</v>
      </c>
      <c r="Z37" s="44" t="str">
        <f t="shared" si="6"/>
        <v>Weekday</v>
      </c>
      <c r="AA37" s="50" t="str">
        <f t="shared" si="7"/>
        <v>OK</v>
      </c>
      <c r="AB37" s="50" t="str">
        <f>IF(OR(B37="",C37&lt;&gt;"Expense"),"",IF(E37&gt;IFERROR(AVERAGEIFS($E$8:$E$1007,$I$8:$I$1007,I37,$C$8:$C$1007,"Expense")*SETTINGS!$B$20,0),"Unusually High","Normal"))</f>
        <v>Normal</v>
      </c>
      <c r="AC37" s="51" t="s">
        <v>111</v>
      </c>
      <c r="AD37" s="51"/>
      <c r="AE37" s="51"/>
      <c r="AF37" s="50" t="str">
        <f>IF(A37&lt;&gt;"Yes","No",IF(AND(AC37="Yes",SETTINGS!$B$16="No"),"No","Yes"))</f>
        <v>Yes</v>
      </c>
      <c r="AG37" s="50" t="str">
        <f>IF(A37&lt;&gt;"Yes","",IF(OR(B37="",D37="",E37&lt;=0,F37="",I37=""),"Check Required Fields",IF(AA37="Possible Duplicate","Possible Duplicate",IF(E37&gt;SETTINGS!$B$22,"Review Extreme Value","OK"))))</f>
        <v>OK</v>
      </c>
    </row>
    <row r="38" spans="1:33" ht="14.4">
      <c r="A38" s="9" t="s">
        <v>111</v>
      </c>
      <c r="B38" s="13">
        <v>46267</v>
      </c>
      <c r="C38" s="9" t="s">
        <v>43</v>
      </c>
      <c r="D38" s="9" t="s">
        <v>203</v>
      </c>
      <c r="E38" s="11">
        <v>1499</v>
      </c>
      <c r="F38" s="9" t="s">
        <v>61</v>
      </c>
      <c r="G38" s="9" t="s">
        <v>173</v>
      </c>
      <c r="H38" s="44" t="str">
        <f>IF(D38="","",IF(ISNUMBER(SEARCH(SETTINGS!$K$4,D38)),SETTINGS!$L$4,IF(ISNUMBER(SEARCH(SETTINGS!$K$5,D38)),SETTINGS!$L$5,IF(ISNUMBER(SEARCH(SETTINGS!$K$6,D38)),SETTINGS!$L$6,IF(ISNUMBER(SEARCH(SETTINGS!$K$7,D38)),SETTINGS!$L$7,IF(ISNUMBER(SEARCH(SETTINGS!$K$8,D38)),SETTINGS!$L$8,IF(ISNUMBER(SEARCH(SETTINGS!$K$9,D38)),SETTINGS!$L$9,IF(ISNUMBER(SEARCH(SETTINGS!$K$10,D38)),SETTINGS!$L$10,IF(ISNUMBER(SEARCH(SETTINGS!$K$11,D38)),SETTINGS!$L$11,IF(ISNUMBER(SEARCH(SETTINGS!$K$12,D38)),SETTINGS!$L$12,IF(ISNUMBER(SEARCH(SETTINGS!$K$13,D38)),SETTINGS!$L$13,IF(ISNUMBER(SEARCH(SETTINGS!$K$14,D38)),SETTINGS!$L$14,IF(ISNUMBER(SEARCH(SETTINGS!$K$15,D38)),SETTINGS!$L$15,IF(ISNUMBER(SEARCH(SETTINGS!$K$16,D38)),SETTINGS!$L$16,IF(ISNUMBER(SEARCH(SETTINGS!$K$17,D38)),SETTINGS!$L$17,IF(ISNUMBER(SEARCH(SETTINGS!$K$18,D38)),SETTINGS!$L$18,"Miscellaneous"))))))))))))))))</f>
        <v>AI-ML Learning</v>
      </c>
      <c r="I38" s="44" t="str">
        <f t="shared" si="0"/>
        <v>AI-ML Learning</v>
      </c>
      <c r="J38" s="9" t="s">
        <v>174</v>
      </c>
      <c r="K38" s="9" t="s">
        <v>175</v>
      </c>
      <c r="L38" s="9" t="s">
        <v>115</v>
      </c>
      <c r="M38" s="9" t="s">
        <v>116</v>
      </c>
      <c r="N38" s="9" t="s">
        <v>126</v>
      </c>
      <c r="O38" s="9" t="s">
        <v>118</v>
      </c>
      <c r="P38" s="13"/>
      <c r="Q38" s="9" t="s">
        <v>119</v>
      </c>
      <c r="R38" s="9" t="s">
        <v>120</v>
      </c>
      <c r="S38" s="9" t="s">
        <v>125</v>
      </c>
      <c r="T38" s="11"/>
      <c r="U38" s="44" t="str">
        <f t="shared" si="1"/>
        <v>EXP-2026-0031</v>
      </c>
      <c r="V38" s="44" t="str">
        <f t="shared" si="2"/>
        <v>September</v>
      </c>
      <c r="W38" s="44">
        <f t="shared" si="3"/>
        <v>9</v>
      </c>
      <c r="X38" s="44">
        <f t="shared" si="4"/>
        <v>2026</v>
      </c>
      <c r="Y38" s="44">
        <f t="shared" si="5"/>
        <v>2</v>
      </c>
      <c r="Z38" s="44" t="str">
        <f t="shared" si="6"/>
        <v>Weekday</v>
      </c>
      <c r="AA38" s="50" t="str">
        <f t="shared" si="7"/>
        <v>OK</v>
      </c>
      <c r="AB38" s="50" t="str">
        <f>IF(OR(B38="",C38&lt;&gt;"Expense"),"",IF(E38&gt;IFERROR(AVERAGEIFS($E$8:$E$1007,$I$8:$I$1007,I38,$C$8:$C$1007,"Expense")*SETTINGS!$B$20,0),"Unusually High","Normal"))</f>
        <v>Normal</v>
      </c>
      <c r="AC38" s="51" t="s">
        <v>111</v>
      </c>
      <c r="AD38" s="51"/>
      <c r="AE38" s="51"/>
      <c r="AF38" s="50" t="str">
        <f>IF(A38&lt;&gt;"Yes","No",IF(AND(AC38="Yes",SETTINGS!$B$16="No"),"No","Yes"))</f>
        <v>Yes</v>
      </c>
      <c r="AG38" s="50" t="str">
        <f>IF(A38&lt;&gt;"Yes","",IF(OR(B38="",D38="",E38&lt;=0,F38="",I38=""),"Check Required Fields",IF(AA38="Possible Duplicate","Possible Duplicate",IF(E38&gt;SETTINGS!$B$22,"Review Extreme Value","OK"))))</f>
        <v>OK</v>
      </c>
    </row>
    <row r="39" spans="1:33" ht="14.4">
      <c r="A39" s="9" t="s">
        <v>111</v>
      </c>
      <c r="B39" s="13">
        <v>46267</v>
      </c>
      <c r="C39" s="9" t="s">
        <v>43</v>
      </c>
      <c r="D39" s="9" t="s">
        <v>204</v>
      </c>
      <c r="E39" s="11">
        <v>349</v>
      </c>
      <c r="F39" s="9" t="s">
        <v>52</v>
      </c>
      <c r="G39" s="9" t="s">
        <v>205</v>
      </c>
      <c r="H39" s="44" t="str">
        <f>IF(D39="","",IF(ISNUMBER(SEARCH(SETTINGS!$K$4,D39)),SETTINGS!$L$4,IF(ISNUMBER(SEARCH(SETTINGS!$K$5,D39)),SETTINGS!$L$5,IF(ISNUMBER(SEARCH(SETTINGS!$K$6,D39)),SETTINGS!$L$6,IF(ISNUMBER(SEARCH(SETTINGS!$K$7,D39)),SETTINGS!$L$7,IF(ISNUMBER(SEARCH(SETTINGS!$K$8,D39)),SETTINGS!$L$8,IF(ISNUMBER(SEARCH(SETTINGS!$K$9,D39)),SETTINGS!$L$9,IF(ISNUMBER(SEARCH(SETTINGS!$K$10,D39)),SETTINGS!$L$10,IF(ISNUMBER(SEARCH(SETTINGS!$K$11,D39)),SETTINGS!$L$11,IF(ISNUMBER(SEARCH(SETTINGS!$K$12,D39)),SETTINGS!$L$12,IF(ISNUMBER(SEARCH(SETTINGS!$K$13,D39)),SETTINGS!$L$13,IF(ISNUMBER(SEARCH(SETTINGS!$K$14,D39)),SETTINGS!$L$14,IF(ISNUMBER(SEARCH(SETTINGS!$K$15,D39)),SETTINGS!$L$15,IF(ISNUMBER(SEARCH(SETTINGS!$K$16,D39)),SETTINGS!$L$16,IF(ISNUMBER(SEARCH(SETTINGS!$K$17,D39)),SETTINGS!$L$17,IF(ISNUMBER(SEARCH(SETTINGS!$K$18,D39)),SETTINGS!$L$18,"Miscellaneous"))))))))))))))))</f>
        <v>Mobile &amp; Internet</v>
      </c>
      <c r="I39" s="44" t="str">
        <f t="shared" si="0"/>
        <v>Mobile &amp; Internet</v>
      </c>
      <c r="J39" s="9" t="s">
        <v>206</v>
      </c>
      <c r="K39" s="9" t="s">
        <v>207</v>
      </c>
      <c r="L39" s="9" t="s">
        <v>115</v>
      </c>
      <c r="M39" s="9" t="s">
        <v>116</v>
      </c>
      <c r="N39" s="9" t="s">
        <v>117</v>
      </c>
      <c r="O39" s="9" t="s">
        <v>118</v>
      </c>
      <c r="P39" s="13"/>
      <c r="Q39" s="9" t="s">
        <v>119</v>
      </c>
      <c r="R39" s="9" t="s">
        <v>120</v>
      </c>
      <c r="S39" s="9" t="s">
        <v>152</v>
      </c>
      <c r="T39" s="11"/>
      <c r="U39" s="44" t="str">
        <f t="shared" si="1"/>
        <v>EXP-2026-0032</v>
      </c>
      <c r="V39" s="44" t="str">
        <f t="shared" si="2"/>
        <v>September</v>
      </c>
      <c r="W39" s="44">
        <f t="shared" si="3"/>
        <v>9</v>
      </c>
      <c r="X39" s="44">
        <f t="shared" si="4"/>
        <v>2026</v>
      </c>
      <c r="Y39" s="44">
        <f t="shared" si="5"/>
        <v>2</v>
      </c>
      <c r="Z39" s="44" t="str">
        <f t="shared" si="6"/>
        <v>Weekday</v>
      </c>
      <c r="AA39" s="50" t="str">
        <f t="shared" si="7"/>
        <v>OK</v>
      </c>
      <c r="AB39" s="50" t="str">
        <f>IF(OR(B39="",C39&lt;&gt;"Expense"),"",IF(E39&gt;IFERROR(AVERAGEIFS($E$8:$E$1007,$I$8:$I$1007,I39,$C$8:$C$1007,"Expense")*SETTINGS!$B$20,0),"Unusually High","Normal"))</f>
        <v>Normal</v>
      </c>
      <c r="AC39" s="51" t="s">
        <v>111</v>
      </c>
      <c r="AD39" s="51"/>
      <c r="AE39" s="51"/>
      <c r="AF39" s="50" t="str">
        <f>IF(A39&lt;&gt;"Yes","No",IF(AND(AC39="Yes",SETTINGS!$B$16="No"),"No","Yes"))</f>
        <v>Yes</v>
      </c>
      <c r="AG39" s="50" t="str">
        <f>IF(A39&lt;&gt;"Yes","",IF(OR(B39="",D39="",E39&lt;=0,F39="",I39=""),"Check Required Fields",IF(AA39="Possible Duplicate","Possible Duplicate",IF(E39&gt;SETTINGS!$B$22,"Review Extreme Value","OK"))))</f>
        <v>OK</v>
      </c>
    </row>
    <row r="40" spans="1:33" ht="14.4">
      <c r="A40" s="9" t="s">
        <v>111</v>
      </c>
      <c r="B40" s="13">
        <v>46267</v>
      </c>
      <c r="C40" s="9" t="s">
        <v>43</v>
      </c>
      <c r="D40" s="9" t="s">
        <v>208</v>
      </c>
      <c r="E40" s="11">
        <v>199</v>
      </c>
      <c r="F40" s="9" t="s">
        <v>52</v>
      </c>
      <c r="G40" s="9" t="s">
        <v>148</v>
      </c>
      <c r="H40" s="44" t="str">
        <f>IF(D40="","",IF(ISNUMBER(SEARCH(SETTINGS!$K$4,D40)),SETTINGS!$L$4,IF(ISNUMBER(SEARCH(SETTINGS!$K$5,D40)),SETTINGS!$L$5,IF(ISNUMBER(SEARCH(SETTINGS!$K$6,D40)),SETTINGS!$L$6,IF(ISNUMBER(SEARCH(SETTINGS!$K$7,D40)),SETTINGS!$L$7,IF(ISNUMBER(SEARCH(SETTINGS!$K$8,D40)),SETTINGS!$L$8,IF(ISNUMBER(SEARCH(SETTINGS!$K$9,D40)),SETTINGS!$L$9,IF(ISNUMBER(SEARCH(SETTINGS!$K$10,D40)),SETTINGS!$L$10,IF(ISNUMBER(SEARCH(SETTINGS!$K$11,D40)),SETTINGS!$L$11,IF(ISNUMBER(SEARCH(SETTINGS!$K$12,D40)),SETTINGS!$L$12,IF(ISNUMBER(SEARCH(SETTINGS!$K$13,D40)),SETTINGS!$L$13,IF(ISNUMBER(SEARCH(SETTINGS!$K$14,D40)),SETTINGS!$L$14,IF(ISNUMBER(SEARCH(SETTINGS!$K$15,D40)),SETTINGS!$L$15,IF(ISNUMBER(SEARCH(SETTINGS!$K$16,D40)),SETTINGS!$L$16,IF(ISNUMBER(SEARCH(SETTINGS!$K$17,D40)),SETTINGS!$L$17,IF(ISNUMBER(SEARCH(SETTINGS!$K$18,D40)),SETTINGS!$L$18,"Miscellaneous"))))))))))))))))</f>
        <v>Subscriptions</v>
      </c>
      <c r="I40" s="44" t="str">
        <f t="shared" si="0"/>
        <v>Subscriptions</v>
      </c>
      <c r="J40" s="9" t="s">
        <v>149</v>
      </c>
      <c r="K40" s="9" t="s">
        <v>150</v>
      </c>
      <c r="L40" s="9" t="s">
        <v>115</v>
      </c>
      <c r="M40" s="9" t="s">
        <v>151</v>
      </c>
      <c r="N40" s="9" t="s">
        <v>117</v>
      </c>
      <c r="O40" s="9" t="s">
        <v>118</v>
      </c>
      <c r="P40" s="13"/>
      <c r="Q40" s="9" t="s">
        <v>119</v>
      </c>
      <c r="R40" s="9" t="s">
        <v>120</v>
      </c>
      <c r="S40" s="9" t="s">
        <v>152</v>
      </c>
      <c r="T40" s="11"/>
      <c r="U40" s="44" t="str">
        <f t="shared" si="1"/>
        <v>EXP-2026-0033</v>
      </c>
      <c r="V40" s="44" t="str">
        <f t="shared" si="2"/>
        <v>September</v>
      </c>
      <c r="W40" s="44">
        <f t="shared" si="3"/>
        <v>9</v>
      </c>
      <c r="X40" s="44">
        <f t="shared" si="4"/>
        <v>2026</v>
      </c>
      <c r="Y40" s="44">
        <f t="shared" si="5"/>
        <v>2</v>
      </c>
      <c r="Z40" s="44" t="str">
        <f t="shared" si="6"/>
        <v>Weekday</v>
      </c>
      <c r="AA40" s="50" t="str">
        <f t="shared" si="7"/>
        <v>OK</v>
      </c>
      <c r="AB40" s="50" t="str">
        <f>IF(OR(B40="",C40&lt;&gt;"Expense"),"",IF(E40&gt;IFERROR(AVERAGEIFS($E$8:$E$1007,$I$8:$I$1007,I40,$C$8:$C$1007,"Expense")*SETTINGS!$B$20,0),"Unusually High","Normal"))</f>
        <v>Normal</v>
      </c>
      <c r="AC40" s="51" t="s">
        <v>111</v>
      </c>
      <c r="AD40" s="51"/>
      <c r="AE40" s="51"/>
      <c r="AF40" s="50" t="str">
        <f>IF(A40&lt;&gt;"Yes","No",IF(AND(AC40="Yes",SETTINGS!$B$16="No"),"No","Yes"))</f>
        <v>Yes</v>
      </c>
      <c r="AG40" s="50" t="str">
        <f>IF(A40&lt;&gt;"Yes","",IF(OR(B40="",D40="",E40&lt;=0,F40="",I40=""),"Check Required Fields",IF(AA40="Possible Duplicate","Possible Duplicate",IF(E40&gt;SETTINGS!$B$22,"Review Extreme Value","OK"))))</f>
        <v>OK</v>
      </c>
    </row>
    <row r="41" spans="1:33" ht="14.4">
      <c r="A41" s="9" t="s">
        <v>111</v>
      </c>
      <c r="B41" s="13">
        <v>46267</v>
      </c>
      <c r="C41" s="9" t="s">
        <v>43</v>
      </c>
      <c r="D41" s="9" t="s">
        <v>209</v>
      </c>
      <c r="E41" s="11">
        <v>280</v>
      </c>
      <c r="F41" s="9" t="s">
        <v>50</v>
      </c>
      <c r="G41" s="9" t="s">
        <v>177</v>
      </c>
      <c r="H41" s="44" t="str">
        <f>IF(D41="","",IF(ISNUMBER(SEARCH(SETTINGS!$K$4,D41)),SETTINGS!$L$4,IF(ISNUMBER(SEARCH(SETTINGS!$K$5,D41)),SETTINGS!$L$5,IF(ISNUMBER(SEARCH(SETTINGS!$K$6,D41)),SETTINGS!$L$6,IF(ISNUMBER(SEARCH(SETTINGS!$K$7,D41)),SETTINGS!$L$7,IF(ISNUMBER(SEARCH(SETTINGS!$K$8,D41)),SETTINGS!$L$8,IF(ISNUMBER(SEARCH(SETTINGS!$K$9,D41)),SETTINGS!$L$9,IF(ISNUMBER(SEARCH(SETTINGS!$K$10,D41)),SETTINGS!$L$10,IF(ISNUMBER(SEARCH(SETTINGS!$K$11,D41)),SETTINGS!$L$11,IF(ISNUMBER(SEARCH(SETTINGS!$K$12,D41)),SETTINGS!$L$12,IF(ISNUMBER(SEARCH(SETTINGS!$K$13,D41)),SETTINGS!$L$13,IF(ISNUMBER(SEARCH(SETTINGS!$K$14,D41)),SETTINGS!$L$14,IF(ISNUMBER(SEARCH(SETTINGS!$K$15,D41)),SETTINGS!$L$15,IF(ISNUMBER(SEARCH(SETTINGS!$K$16,D41)),SETTINGS!$L$16,IF(ISNUMBER(SEARCH(SETTINGS!$K$17,D41)),SETTINGS!$L$17,IF(ISNUMBER(SEARCH(SETTINGS!$K$18,D41)),SETTINGS!$L$18,"Miscellaneous"))))))))))))))))</f>
        <v>Books &amp; Stationery</v>
      </c>
      <c r="I41" s="44" t="str">
        <f t="shared" si="0"/>
        <v>Books &amp; Stationery</v>
      </c>
      <c r="J41" s="9" t="s">
        <v>210</v>
      </c>
      <c r="K41" s="9" t="s">
        <v>211</v>
      </c>
      <c r="L41" s="9" t="s">
        <v>115</v>
      </c>
      <c r="M41" s="9" t="s">
        <v>116</v>
      </c>
      <c r="N41" s="9" t="s">
        <v>126</v>
      </c>
      <c r="O41" s="9" t="s">
        <v>118</v>
      </c>
      <c r="P41" s="13"/>
      <c r="Q41" s="9" t="s">
        <v>119</v>
      </c>
      <c r="R41" s="9" t="s">
        <v>120</v>
      </c>
      <c r="S41" s="9" t="s">
        <v>125</v>
      </c>
      <c r="T41" s="11"/>
      <c r="U41" s="44" t="str">
        <f t="shared" si="1"/>
        <v>EXP-2026-0034</v>
      </c>
      <c r="V41" s="44" t="str">
        <f t="shared" si="2"/>
        <v>September</v>
      </c>
      <c r="W41" s="44">
        <f t="shared" si="3"/>
        <v>9</v>
      </c>
      <c r="X41" s="44">
        <f t="shared" si="4"/>
        <v>2026</v>
      </c>
      <c r="Y41" s="44">
        <f t="shared" si="5"/>
        <v>2</v>
      </c>
      <c r="Z41" s="44" t="str">
        <f t="shared" si="6"/>
        <v>Weekday</v>
      </c>
      <c r="AA41" s="50" t="str">
        <f t="shared" si="7"/>
        <v>OK</v>
      </c>
      <c r="AB41" s="50" t="str">
        <f>IF(OR(B41="",C41&lt;&gt;"Expense"),"",IF(E41&gt;IFERROR(AVERAGEIFS($E$8:$E$1007,$I$8:$I$1007,I41,$C$8:$C$1007,"Expense")*SETTINGS!$B$20,0),"Unusually High","Normal"))</f>
        <v>Normal</v>
      </c>
      <c r="AC41" s="51" t="s">
        <v>111</v>
      </c>
      <c r="AD41" s="51"/>
      <c r="AE41" s="51"/>
      <c r="AF41" s="50" t="str">
        <f>IF(A41&lt;&gt;"Yes","No",IF(AND(AC41="Yes",SETTINGS!$B$16="No"),"No","Yes"))</f>
        <v>Yes</v>
      </c>
      <c r="AG41" s="50" t="str">
        <f>IF(A41&lt;&gt;"Yes","",IF(OR(B41="",D41="",E41&lt;=0,F41="",I41=""),"Check Required Fields",IF(AA41="Possible Duplicate","Possible Duplicate",IF(E41&gt;SETTINGS!$B$22,"Review Extreme Value","OK"))))</f>
        <v>OK</v>
      </c>
    </row>
    <row r="42" spans="1:33" ht="14.4">
      <c r="A42" s="9" t="s">
        <v>111</v>
      </c>
      <c r="B42" s="13">
        <v>46267</v>
      </c>
      <c r="C42" s="9" t="s">
        <v>43</v>
      </c>
      <c r="D42" s="9" t="s">
        <v>212</v>
      </c>
      <c r="E42" s="11">
        <v>700</v>
      </c>
      <c r="F42" s="9" t="s">
        <v>52</v>
      </c>
      <c r="G42" s="9" t="s">
        <v>213</v>
      </c>
      <c r="H42" s="44" t="str">
        <f>IF(D42="","",IF(ISNUMBER(SEARCH(SETTINGS!$K$4,D42)),SETTINGS!$L$4,IF(ISNUMBER(SEARCH(SETTINGS!$K$5,D42)),SETTINGS!$L$5,IF(ISNUMBER(SEARCH(SETTINGS!$K$6,D42)),SETTINGS!$L$6,IF(ISNUMBER(SEARCH(SETTINGS!$K$7,D42)),SETTINGS!$L$7,IF(ISNUMBER(SEARCH(SETTINGS!$K$8,D42)),SETTINGS!$L$8,IF(ISNUMBER(SEARCH(SETTINGS!$K$9,D42)),SETTINGS!$L$9,IF(ISNUMBER(SEARCH(SETTINGS!$K$10,D42)),SETTINGS!$L$10,IF(ISNUMBER(SEARCH(SETTINGS!$K$11,D42)),SETTINGS!$L$11,IF(ISNUMBER(SEARCH(SETTINGS!$K$12,D42)),SETTINGS!$L$12,IF(ISNUMBER(SEARCH(SETTINGS!$K$13,D42)),SETTINGS!$L$13,IF(ISNUMBER(SEARCH(SETTINGS!$K$14,D42)),SETTINGS!$L$14,IF(ISNUMBER(SEARCH(SETTINGS!$K$15,D42)),SETTINGS!$L$15,IF(ISNUMBER(SEARCH(SETTINGS!$K$16,D42)),SETTINGS!$L$16,IF(ISNUMBER(SEARCH(SETTINGS!$K$17,D42)),SETTINGS!$L$17,IF(ISNUMBER(SEARCH(SETTINGS!$K$18,D42)),SETTINGS!$L$18,"Miscellaneous"))))))))))))))))</f>
        <v>Health &amp; Fitness</v>
      </c>
      <c r="I42" s="44" t="str">
        <f t="shared" si="0"/>
        <v>Health &amp; Fitness</v>
      </c>
      <c r="J42" s="9" t="s">
        <v>214</v>
      </c>
      <c r="K42" s="9" t="s">
        <v>215</v>
      </c>
      <c r="L42" s="9" t="s">
        <v>115</v>
      </c>
      <c r="M42" s="9" t="s">
        <v>141</v>
      </c>
      <c r="N42" s="9" t="s">
        <v>117</v>
      </c>
      <c r="O42" s="9" t="s">
        <v>118</v>
      </c>
      <c r="P42" s="13"/>
      <c r="Q42" s="9" t="s">
        <v>119</v>
      </c>
      <c r="R42" s="9" t="s">
        <v>120</v>
      </c>
      <c r="S42" s="9"/>
      <c r="T42" s="11"/>
      <c r="U42" s="44" t="str">
        <f t="shared" si="1"/>
        <v>EXP-2026-0035</v>
      </c>
      <c r="V42" s="44" t="str">
        <f t="shared" si="2"/>
        <v>September</v>
      </c>
      <c r="W42" s="44">
        <f t="shared" si="3"/>
        <v>9</v>
      </c>
      <c r="X42" s="44">
        <f t="shared" si="4"/>
        <v>2026</v>
      </c>
      <c r="Y42" s="44">
        <f t="shared" si="5"/>
        <v>2</v>
      </c>
      <c r="Z42" s="44" t="str">
        <f t="shared" si="6"/>
        <v>Weekday</v>
      </c>
      <c r="AA42" s="50" t="str">
        <f t="shared" si="7"/>
        <v>OK</v>
      </c>
      <c r="AB42" s="50" t="str">
        <f>IF(OR(B42="",C42&lt;&gt;"Expense"),"",IF(E42&gt;IFERROR(AVERAGEIFS($E$8:$E$1007,$I$8:$I$1007,I42,$C$8:$C$1007,"Expense")*SETTINGS!$B$20,0),"Unusually High","Normal"))</f>
        <v>Normal</v>
      </c>
      <c r="AC42" s="51" t="s">
        <v>111</v>
      </c>
      <c r="AD42" s="51"/>
      <c r="AE42" s="51"/>
      <c r="AF42" s="50" t="str">
        <f>IF(A42&lt;&gt;"Yes","No",IF(AND(AC42="Yes",SETTINGS!$B$16="No"),"No","Yes"))</f>
        <v>Yes</v>
      </c>
      <c r="AG42" s="50" t="str">
        <f>IF(A42&lt;&gt;"Yes","",IF(OR(B42="",D42="",E42&lt;=0,F42="",I42=""),"Check Required Fields",IF(AA42="Possible Duplicate","Possible Duplicate",IF(E42&gt;SETTINGS!$B$22,"Review Extreme Value","OK"))))</f>
        <v>OK</v>
      </c>
    </row>
    <row r="43" spans="1:33" ht="14.4">
      <c r="A43" s="9" t="s">
        <v>111</v>
      </c>
      <c r="B43" s="13">
        <v>46267</v>
      </c>
      <c r="C43" s="9" t="s">
        <v>188</v>
      </c>
      <c r="D43" s="9" t="s">
        <v>216</v>
      </c>
      <c r="E43" s="11">
        <v>2500</v>
      </c>
      <c r="F43" s="9" t="s">
        <v>67</v>
      </c>
      <c r="G43" s="9" t="s">
        <v>57</v>
      </c>
      <c r="H43" s="44" t="str">
        <f>IF(D43="","",IF(ISNUMBER(SEARCH(SETTINGS!$K$4,D43)),SETTINGS!$L$4,IF(ISNUMBER(SEARCH(SETTINGS!$K$5,D43)),SETTINGS!$L$5,IF(ISNUMBER(SEARCH(SETTINGS!$K$6,D43)),SETTINGS!$L$6,IF(ISNUMBER(SEARCH(SETTINGS!$K$7,D43)),SETTINGS!$L$7,IF(ISNUMBER(SEARCH(SETTINGS!$K$8,D43)),SETTINGS!$L$8,IF(ISNUMBER(SEARCH(SETTINGS!$K$9,D43)),SETTINGS!$L$9,IF(ISNUMBER(SEARCH(SETTINGS!$K$10,D43)),SETTINGS!$L$10,IF(ISNUMBER(SEARCH(SETTINGS!$K$11,D43)),SETTINGS!$L$11,IF(ISNUMBER(SEARCH(SETTINGS!$K$12,D43)),SETTINGS!$L$12,IF(ISNUMBER(SEARCH(SETTINGS!$K$13,D43)),SETTINGS!$L$13,IF(ISNUMBER(SEARCH(SETTINGS!$K$14,D43)),SETTINGS!$L$14,IF(ISNUMBER(SEARCH(SETTINGS!$K$15,D43)),SETTINGS!$L$15,IF(ISNUMBER(SEARCH(SETTINGS!$K$16,D43)),SETTINGS!$L$16,IF(ISNUMBER(SEARCH(SETTINGS!$K$17,D43)),SETTINGS!$L$17,IF(ISNUMBER(SEARCH(SETTINGS!$K$18,D43)),SETTINGS!$L$18,"Miscellaneous"))))))))))))))))</f>
        <v>Miscellaneous</v>
      </c>
      <c r="I43" s="44" t="str">
        <f t="shared" si="0"/>
        <v>Savings</v>
      </c>
      <c r="J43" s="9" t="s">
        <v>190</v>
      </c>
      <c r="K43" s="9"/>
      <c r="L43" s="9" t="s">
        <v>191</v>
      </c>
      <c r="M43" s="9" t="s">
        <v>116</v>
      </c>
      <c r="N43" s="9" t="s">
        <v>126</v>
      </c>
      <c r="O43" s="9" t="s">
        <v>118</v>
      </c>
      <c r="P43" s="13"/>
      <c r="Q43" s="9" t="s">
        <v>119</v>
      </c>
      <c r="R43" s="9" t="s">
        <v>120</v>
      </c>
      <c r="S43" s="9" t="s">
        <v>192</v>
      </c>
      <c r="T43" s="11"/>
      <c r="U43" s="44" t="str">
        <f t="shared" si="1"/>
        <v>TRX-2026-0036</v>
      </c>
      <c r="V43" s="44" t="str">
        <f t="shared" si="2"/>
        <v>September</v>
      </c>
      <c r="W43" s="44">
        <f t="shared" si="3"/>
        <v>9</v>
      </c>
      <c r="X43" s="44">
        <f t="shared" si="4"/>
        <v>2026</v>
      </c>
      <c r="Y43" s="44">
        <f t="shared" si="5"/>
        <v>2</v>
      </c>
      <c r="Z43" s="44" t="str">
        <f t="shared" si="6"/>
        <v>Weekday</v>
      </c>
      <c r="AA43" s="50" t="str">
        <f t="shared" si="7"/>
        <v>OK</v>
      </c>
      <c r="AB43" s="50" t="str">
        <f>IF(OR(B43="",C43&lt;&gt;"Expense"),"",IF(E43&gt;IFERROR(AVERAGEIFS($E$8:$E$1007,$I$8:$I$1007,I43,$C$8:$C$1007,"Expense")*SETTINGS!$B$20,0),"Unusually High","Normal"))</f>
        <v/>
      </c>
      <c r="AC43" s="51" t="s">
        <v>111</v>
      </c>
      <c r="AD43" s="51"/>
      <c r="AE43" s="51"/>
      <c r="AF43" s="50" t="str">
        <f>IF(A43&lt;&gt;"Yes","No",IF(AND(AC43="Yes",SETTINGS!$B$16="No"),"No","Yes"))</f>
        <v>Yes</v>
      </c>
      <c r="AG43" s="50" t="str">
        <f>IF(A43&lt;&gt;"Yes","",IF(OR(B43="",D43="",E43&lt;=0,F43="",I43=""),"Check Required Fields",IF(AA43="Possible Duplicate","Possible Duplicate",IF(E43&gt;SETTINGS!$B$22,"Review Extreme Value","OK"))))</f>
        <v>OK</v>
      </c>
    </row>
    <row r="44" spans="1:33" ht="14.4">
      <c r="A44" s="9"/>
      <c r="B44" s="13"/>
      <c r="C44" s="9"/>
      <c r="D44" s="9"/>
      <c r="E44" s="11"/>
      <c r="F44" s="9"/>
      <c r="G44" s="9"/>
      <c r="H44" s="44" t="str">
        <f>IF(D44="","",IF(ISNUMBER(SEARCH(SETTINGS!$K$4,D44)),SETTINGS!$L$4,IF(ISNUMBER(SEARCH(SETTINGS!$K$5,D44)),SETTINGS!$L$5,IF(ISNUMBER(SEARCH(SETTINGS!$K$6,D44)),SETTINGS!$L$6,IF(ISNUMBER(SEARCH(SETTINGS!$K$7,D44)),SETTINGS!$L$7,IF(ISNUMBER(SEARCH(SETTINGS!$K$8,D44)),SETTINGS!$L$8,IF(ISNUMBER(SEARCH(SETTINGS!$K$9,D44)),SETTINGS!$L$9,IF(ISNUMBER(SEARCH(SETTINGS!$K$10,D44)),SETTINGS!$L$10,IF(ISNUMBER(SEARCH(SETTINGS!$K$11,D44)),SETTINGS!$L$11,IF(ISNUMBER(SEARCH(SETTINGS!$K$12,D44)),SETTINGS!$L$12,IF(ISNUMBER(SEARCH(SETTINGS!$K$13,D44)),SETTINGS!$L$13,IF(ISNUMBER(SEARCH(SETTINGS!$K$14,D44)),SETTINGS!$L$14,IF(ISNUMBER(SEARCH(SETTINGS!$K$15,D44)),SETTINGS!$L$15,IF(ISNUMBER(SEARCH(SETTINGS!$K$16,D44)),SETTINGS!$L$16,IF(ISNUMBER(SEARCH(SETTINGS!$K$17,D44)),SETTINGS!$L$17,IF(ISNUMBER(SEARCH(SETTINGS!$K$18,D44)),SETTINGS!$L$18,"Miscellaneous"))))))))))))))))</f>
        <v/>
      </c>
      <c r="I44" s="44" t="str">
        <f t="shared" si="0"/>
        <v/>
      </c>
      <c r="J44" s="9"/>
      <c r="K44" s="9"/>
      <c r="L44" s="9"/>
      <c r="M44" s="9"/>
      <c r="N44" s="9"/>
      <c r="O44" s="9"/>
      <c r="P44" s="13"/>
      <c r="Q44" s="9"/>
      <c r="R44" s="9"/>
      <c r="S44" s="9"/>
      <c r="T44" s="11"/>
      <c r="U44" s="44" t="str">
        <f t="shared" si="1"/>
        <v/>
      </c>
      <c r="V44" s="44" t="str">
        <f t="shared" si="2"/>
        <v/>
      </c>
      <c r="W44" s="44" t="str">
        <f t="shared" si="3"/>
        <v/>
      </c>
      <c r="X44" s="44" t="str">
        <f t="shared" si="4"/>
        <v/>
      </c>
      <c r="Y44" s="44" t="str">
        <f t="shared" si="5"/>
        <v/>
      </c>
      <c r="Z44" s="44" t="str">
        <f t="shared" si="6"/>
        <v/>
      </c>
      <c r="AA44" s="50" t="str">
        <f t="shared" si="7"/>
        <v/>
      </c>
      <c r="AB44" s="50" t="str">
        <f>IF(OR(B44="",C44&lt;&gt;"Expense"),"",IF(E44&gt;IFERROR(AVERAGEIFS($E$8:$E$1007,$I$8:$I$1007,I44,$C$8:$C$1007,"Expense")*SETTINGS!$B$20,0),"Unusually High","Normal"))</f>
        <v/>
      </c>
      <c r="AC44" s="51"/>
      <c r="AD44" s="51"/>
      <c r="AE44" s="51"/>
      <c r="AF44" s="50" t="str">
        <f>IF(A44&lt;&gt;"Yes","No",IF(AND(AC44="Yes",SETTINGS!$B$16="No"),"No","Yes"))</f>
        <v>No</v>
      </c>
      <c r="AG44" s="50" t="str">
        <f>IF(A44&lt;&gt;"Yes","",IF(OR(B44="",D44="",E44&lt;=0,F44="",I44=""),"Check Required Fields",IF(AA44="Possible Duplicate","Possible Duplicate",IF(E44&gt;SETTINGS!$B$22,"Review Extreme Value","OK"))))</f>
        <v/>
      </c>
    </row>
    <row r="45" spans="1:33" ht="14.4">
      <c r="A45" s="9"/>
      <c r="B45" s="13"/>
      <c r="C45" s="9"/>
      <c r="D45" s="9"/>
      <c r="E45" s="11"/>
      <c r="F45" s="9"/>
      <c r="G45" s="9"/>
      <c r="H45" s="44" t="str">
        <f>IF(D45="","",IF(ISNUMBER(SEARCH(SETTINGS!$K$4,D45)),SETTINGS!$L$4,IF(ISNUMBER(SEARCH(SETTINGS!$K$5,D45)),SETTINGS!$L$5,IF(ISNUMBER(SEARCH(SETTINGS!$K$6,D45)),SETTINGS!$L$6,IF(ISNUMBER(SEARCH(SETTINGS!$K$7,D45)),SETTINGS!$L$7,IF(ISNUMBER(SEARCH(SETTINGS!$K$8,D45)),SETTINGS!$L$8,IF(ISNUMBER(SEARCH(SETTINGS!$K$9,D45)),SETTINGS!$L$9,IF(ISNUMBER(SEARCH(SETTINGS!$K$10,D45)),SETTINGS!$L$10,IF(ISNUMBER(SEARCH(SETTINGS!$K$11,D45)),SETTINGS!$L$11,IF(ISNUMBER(SEARCH(SETTINGS!$K$12,D45)),SETTINGS!$L$12,IF(ISNUMBER(SEARCH(SETTINGS!$K$13,D45)),SETTINGS!$L$13,IF(ISNUMBER(SEARCH(SETTINGS!$K$14,D45)),SETTINGS!$L$14,IF(ISNUMBER(SEARCH(SETTINGS!$K$15,D45)),SETTINGS!$L$15,IF(ISNUMBER(SEARCH(SETTINGS!$K$16,D45)),SETTINGS!$L$16,IF(ISNUMBER(SEARCH(SETTINGS!$K$17,D45)),SETTINGS!$L$17,IF(ISNUMBER(SEARCH(SETTINGS!$K$18,D45)),SETTINGS!$L$18,"Miscellaneous"))))))))))))))))</f>
        <v/>
      </c>
      <c r="I45" s="44" t="str">
        <f t="shared" si="0"/>
        <v/>
      </c>
      <c r="J45" s="9"/>
      <c r="K45" s="9"/>
      <c r="L45" s="9"/>
      <c r="M45" s="9"/>
      <c r="N45" s="9"/>
      <c r="O45" s="9"/>
      <c r="P45" s="13"/>
      <c r="Q45" s="9"/>
      <c r="R45" s="9"/>
      <c r="S45" s="9"/>
      <c r="T45" s="11"/>
      <c r="U45" s="44" t="str">
        <f t="shared" si="1"/>
        <v/>
      </c>
      <c r="V45" s="44" t="str">
        <f t="shared" si="2"/>
        <v/>
      </c>
      <c r="W45" s="44" t="str">
        <f t="shared" si="3"/>
        <v/>
      </c>
      <c r="X45" s="44" t="str">
        <f t="shared" si="4"/>
        <v/>
      </c>
      <c r="Y45" s="44" t="str">
        <f t="shared" si="5"/>
        <v/>
      </c>
      <c r="Z45" s="44" t="str">
        <f t="shared" si="6"/>
        <v/>
      </c>
      <c r="AA45" s="50" t="str">
        <f t="shared" si="7"/>
        <v/>
      </c>
      <c r="AB45" s="50" t="str">
        <f>IF(OR(B45="",C45&lt;&gt;"Expense"),"",IF(E45&gt;IFERROR(AVERAGEIFS($E$8:$E$1007,$I$8:$I$1007,I45,$C$8:$C$1007,"Expense")*SETTINGS!$B$20,0),"Unusually High","Normal"))</f>
        <v/>
      </c>
      <c r="AC45" s="51"/>
      <c r="AD45" s="51"/>
      <c r="AE45" s="51"/>
      <c r="AF45" s="50" t="str">
        <f>IF(A45&lt;&gt;"Yes","No",IF(AND(AC45="Yes",SETTINGS!$B$16="No"),"No","Yes"))</f>
        <v>No</v>
      </c>
      <c r="AG45" s="50" t="str">
        <f>IF(A45&lt;&gt;"Yes","",IF(OR(B45="",D45="",E45&lt;=0,F45="",I45=""),"Check Required Fields",IF(AA45="Possible Duplicate","Possible Duplicate",IF(E45&gt;SETTINGS!$B$22,"Review Extreme Value","OK"))))</f>
        <v/>
      </c>
    </row>
    <row r="46" spans="1:33" ht="14.4">
      <c r="A46" s="9"/>
      <c r="B46" s="13"/>
      <c r="C46" s="9"/>
      <c r="D46" s="9"/>
      <c r="E46" s="11"/>
      <c r="F46" s="9"/>
      <c r="G46" s="9"/>
      <c r="H46" s="44" t="str">
        <f>IF(D46="","",IF(ISNUMBER(SEARCH(SETTINGS!$K$4,D46)),SETTINGS!$L$4,IF(ISNUMBER(SEARCH(SETTINGS!$K$5,D46)),SETTINGS!$L$5,IF(ISNUMBER(SEARCH(SETTINGS!$K$6,D46)),SETTINGS!$L$6,IF(ISNUMBER(SEARCH(SETTINGS!$K$7,D46)),SETTINGS!$L$7,IF(ISNUMBER(SEARCH(SETTINGS!$K$8,D46)),SETTINGS!$L$8,IF(ISNUMBER(SEARCH(SETTINGS!$K$9,D46)),SETTINGS!$L$9,IF(ISNUMBER(SEARCH(SETTINGS!$K$10,D46)),SETTINGS!$L$10,IF(ISNUMBER(SEARCH(SETTINGS!$K$11,D46)),SETTINGS!$L$11,IF(ISNUMBER(SEARCH(SETTINGS!$K$12,D46)),SETTINGS!$L$12,IF(ISNUMBER(SEARCH(SETTINGS!$K$13,D46)),SETTINGS!$L$13,IF(ISNUMBER(SEARCH(SETTINGS!$K$14,D46)),SETTINGS!$L$14,IF(ISNUMBER(SEARCH(SETTINGS!$K$15,D46)),SETTINGS!$L$15,IF(ISNUMBER(SEARCH(SETTINGS!$K$16,D46)),SETTINGS!$L$16,IF(ISNUMBER(SEARCH(SETTINGS!$K$17,D46)),SETTINGS!$L$17,IF(ISNUMBER(SEARCH(SETTINGS!$K$18,D46)),SETTINGS!$L$18,"Miscellaneous"))))))))))))))))</f>
        <v/>
      </c>
      <c r="I46" s="44" t="str">
        <f t="shared" si="0"/>
        <v/>
      </c>
      <c r="J46" s="9"/>
      <c r="K46" s="9"/>
      <c r="L46" s="9"/>
      <c r="M46" s="9"/>
      <c r="N46" s="9"/>
      <c r="O46" s="9"/>
      <c r="P46" s="13"/>
      <c r="Q46" s="9"/>
      <c r="R46" s="9"/>
      <c r="S46" s="9"/>
      <c r="T46" s="11"/>
      <c r="U46" s="44" t="str">
        <f t="shared" si="1"/>
        <v/>
      </c>
      <c r="V46" s="44" t="str">
        <f t="shared" si="2"/>
        <v/>
      </c>
      <c r="W46" s="44" t="str">
        <f t="shared" si="3"/>
        <v/>
      </c>
      <c r="X46" s="44" t="str">
        <f t="shared" si="4"/>
        <v/>
      </c>
      <c r="Y46" s="44" t="str">
        <f t="shared" si="5"/>
        <v/>
      </c>
      <c r="Z46" s="44" t="str">
        <f t="shared" si="6"/>
        <v/>
      </c>
      <c r="AA46" s="50" t="str">
        <f t="shared" si="7"/>
        <v/>
      </c>
      <c r="AB46" s="50" t="str">
        <f>IF(OR(B46="",C46&lt;&gt;"Expense"),"",IF(E46&gt;IFERROR(AVERAGEIFS($E$8:$E$1007,$I$8:$I$1007,I46,$C$8:$C$1007,"Expense")*SETTINGS!$B$20,0),"Unusually High","Normal"))</f>
        <v/>
      </c>
      <c r="AC46" s="51"/>
      <c r="AD46" s="51"/>
      <c r="AE46" s="51"/>
      <c r="AF46" s="50" t="str">
        <f>IF(A46&lt;&gt;"Yes","No",IF(AND(AC46="Yes",SETTINGS!$B$16="No"),"No","Yes"))</f>
        <v>No</v>
      </c>
      <c r="AG46" s="50" t="str">
        <f>IF(A46&lt;&gt;"Yes","",IF(OR(B46="",D46="",E46&lt;=0,F46="",I46=""),"Check Required Fields",IF(AA46="Possible Duplicate","Possible Duplicate",IF(E46&gt;SETTINGS!$B$22,"Review Extreme Value","OK"))))</f>
        <v/>
      </c>
    </row>
    <row r="47" spans="1:33" ht="14.4">
      <c r="A47" s="9"/>
      <c r="B47" s="13"/>
      <c r="C47" s="9"/>
      <c r="D47" s="9"/>
      <c r="E47" s="11"/>
      <c r="F47" s="9"/>
      <c r="G47" s="9"/>
      <c r="H47" s="44" t="str">
        <f>IF(D47="","",IF(ISNUMBER(SEARCH(SETTINGS!$K$4,D47)),SETTINGS!$L$4,IF(ISNUMBER(SEARCH(SETTINGS!$K$5,D47)),SETTINGS!$L$5,IF(ISNUMBER(SEARCH(SETTINGS!$K$6,D47)),SETTINGS!$L$6,IF(ISNUMBER(SEARCH(SETTINGS!$K$7,D47)),SETTINGS!$L$7,IF(ISNUMBER(SEARCH(SETTINGS!$K$8,D47)),SETTINGS!$L$8,IF(ISNUMBER(SEARCH(SETTINGS!$K$9,D47)),SETTINGS!$L$9,IF(ISNUMBER(SEARCH(SETTINGS!$K$10,D47)),SETTINGS!$L$10,IF(ISNUMBER(SEARCH(SETTINGS!$K$11,D47)),SETTINGS!$L$11,IF(ISNUMBER(SEARCH(SETTINGS!$K$12,D47)),SETTINGS!$L$12,IF(ISNUMBER(SEARCH(SETTINGS!$K$13,D47)),SETTINGS!$L$13,IF(ISNUMBER(SEARCH(SETTINGS!$K$14,D47)),SETTINGS!$L$14,IF(ISNUMBER(SEARCH(SETTINGS!$K$15,D47)),SETTINGS!$L$15,IF(ISNUMBER(SEARCH(SETTINGS!$K$16,D47)),SETTINGS!$L$16,IF(ISNUMBER(SEARCH(SETTINGS!$K$17,D47)),SETTINGS!$L$17,IF(ISNUMBER(SEARCH(SETTINGS!$K$18,D47)),SETTINGS!$L$18,"Miscellaneous"))))))))))))))))</f>
        <v/>
      </c>
      <c r="I47" s="44" t="str">
        <f t="shared" si="0"/>
        <v/>
      </c>
      <c r="J47" s="9"/>
      <c r="K47" s="9"/>
      <c r="L47" s="9"/>
      <c r="M47" s="9"/>
      <c r="N47" s="9"/>
      <c r="O47" s="9"/>
      <c r="P47" s="13"/>
      <c r="Q47" s="9"/>
      <c r="R47" s="9"/>
      <c r="S47" s="9"/>
      <c r="T47" s="11"/>
      <c r="U47" s="44" t="str">
        <f t="shared" si="1"/>
        <v/>
      </c>
      <c r="V47" s="44" t="str">
        <f t="shared" si="2"/>
        <v/>
      </c>
      <c r="W47" s="44" t="str">
        <f t="shared" si="3"/>
        <v/>
      </c>
      <c r="X47" s="44" t="str">
        <f t="shared" si="4"/>
        <v/>
      </c>
      <c r="Y47" s="44" t="str">
        <f t="shared" si="5"/>
        <v/>
      </c>
      <c r="Z47" s="44" t="str">
        <f t="shared" si="6"/>
        <v/>
      </c>
      <c r="AA47" s="50" t="str">
        <f t="shared" si="7"/>
        <v/>
      </c>
      <c r="AB47" s="50" t="str">
        <f>IF(OR(B47="",C47&lt;&gt;"Expense"),"",IF(E47&gt;IFERROR(AVERAGEIFS($E$8:$E$1007,$I$8:$I$1007,I47,$C$8:$C$1007,"Expense")*SETTINGS!$B$20,0),"Unusually High","Normal"))</f>
        <v/>
      </c>
      <c r="AC47" s="51"/>
      <c r="AD47" s="51"/>
      <c r="AE47" s="51"/>
      <c r="AF47" s="50" t="str">
        <f>IF(A47&lt;&gt;"Yes","No",IF(AND(AC47="Yes",SETTINGS!$B$16="No"),"No","Yes"))</f>
        <v>No</v>
      </c>
      <c r="AG47" s="50" t="str">
        <f>IF(A47&lt;&gt;"Yes","",IF(OR(B47="",D47="",E47&lt;=0,F47="",I47=""),"Check Required Fields",IF(AA47="Possible Duplicate","Possible Duplicate",IF(E47&gt;SETTINGS!$B$22,"Review Extreme Value","OK"))))</f>
        <v/>
      </c>
    </row>
    <row r="48" spans="1:33" ht="14.4">
      <c r="A48" s="9"/>
      <c r="B48" s="13"/>
      <c r="C48" s="9"/>
      <c r="D48" s="9"/>
      <c r="E48" s="11"/>
      <c r="F48" s="9"/>
      <c r="G48" s="9"/>
      <c r="H48" s="44" t="str">
        <f>IF(D48="","",IF(ISNUMBER(SEARCH(SETTINGS!$K$4,D48)),SETTINGS!$L$4,IF(ISNUMBER(SEARCH(SETTINGS!$K$5,D48)),SETTINGS!$L$5,IF(ISNUMBER(SEARCH(SETTINGS!$K$6,D48)),SETTINGS!$L$6,IF(ISNUMBER(SEARCH(SETTINGS!$K$7,D48)),SETTINGS!$L$7,IF(ISNUMBER(SEARCH(SETTINGS!$K$8,D48)),SETTINGS!$L$8,IF(ISNUMBER(SEARCH(SETTINGS!$K$9,D48)),SETTINGS!$L$9,IF(ISNUMBER(SEARCH(SETTINGS!$K$10,D48)),SETTINGS!$L$10,IF(ISNUMBER(SEARCH(SETTINGS!$K$11,D48)),SETTINGS!$L$11,IF(ISNUMBER(SEARCH(SETTINGS!$K$12,D48)),SETTINGS!$L$12,IF(ISNUMBER(SEARCH(SETTINGS!$K$13,D48)),SETTINGS!$L$13,IF(ISNUMBER(SEARCH(SETTINGS!$K$14,D48)),SETTINGS!$L$14,IF(ISNUMBER(SEARCH(SETTINGS!$K$15,D48)),SETTINGS!$L$15,IF(ISNUMBER(SEARCH(SETTINGS!$K$16,D48)),SETTINGS!$L$16,IF(ISNUMBER(SEARCH(SETTINGS!$K$17,D48)),SETTINGS!$L$17,IF(ISNUMBER(SEARCH(SETTINGS!$K$18,D48)),SETTINGS!$L$18,"Miscellaneous"))))))))))))))))</f>
        <v/>
      </c>
      <c r="I48" s="44" t="str">
        <f t="shared" si="0"/>
        <v/>
      </c>
      <c r="J48" s="9"/>
      <c r="K48" s="9"/>
      <c r="L48" s="9"/>
      <c r="M48" s="9"/>
      <c r="N48" s="9"/>
      <c r="O48" s="9"/>
      <c r="P48" s="13"/>
      <c r="Q48" s="9"/>
      <c r="R48" s="9"/>
      <c r="S48" s="9"/>
      <c r="T48" s="11"/>
      <c r="U48" s="44" t="str">
        <f t="shared" si="1"/>
        <v/>
      </c>
      <c r="V48" s="44" t="str">
        <f t="shared" si="2"/>
        <v/>
      </c>
      <c r="W48" s="44" t="str">
        <f t="shared" si="3"/>
        <v/>
      </c>
      <c r="X48" s="44" t="str">
        <f t="shared" si="4"/>
        <v/>
      </c>
      <c r="Y48" s="44" t="str">
        <f t="shared" si="5"/>
        <v/>
      </c>
      <c r="Z48" s="44" t="str">
        <f t="shared" si="6"/>
        <v/>
      </c>
      <c r="AA48" s="50" t="str">
        <f t="shared" si="7"/>
        <v/>
      </c>
      <c r="AB48" s="50" t="str">
        <f>IF(OR(B48="",C48&lt;&gt;"Expense"),"",IF(E48&gt;IFERROR(AVERAGEIFS($E$8:$E$1007,$I$8:$I$1007,I48,$C$8:$C$1007,"Expense")*SETTINGS!$B$20,0),"Unusually High","Normal"))</f>
        <v/>
      </c>
      <c r="AC48" s="51"/>
      <c r="AD48" s="51"/>
      <c r="AE48" s="51"/>
      <c r="AF48" s="50" t="str">
        <f>IF(A48&lt;&gt;"Yes","No",IF(AND(AC48="Yes",SETTINGS!$B$16="No"),"No","Yes"))</f>
        <v>No</v>
      </c>
      <c r="AG48" s="50" t="str">
        <f>IF(A48&lt;&gt;"Yes","",IF(OR(B48="",D48="",E48&lt;=0,F48="",I48=""),"Check Required Fields",IF(AA48="Possible Duplicate","Possible Duplicate",IF(E48&gt;SETTINGS!$B$22,"Review Extreme Value","OK"))))</f>
        <v/>
      </c>
    </row>
    <row r="49" spans="1:33" ht="14.4">
      <c r="A49" s="9"/>
      <c r="B49" s="13"/>
      <c r="C49" s="9"/>
      <c r="D49" s="9"/>
      <c r="E49" s="11"/>
      <c r="F49" s="9"/>
      <c r="G49" s="9"/>
      <c r="H49" s="44" t="str">
        <f>IF(D49="","",IF(ISNUMBER(SEARCH(SETTINGS!$K$4,D49)),SETTINGS!$L$4,IF(ISNUMBER(SEARCH(SETTINGS!$K$5,D49)),SETTINGS!$L$5,IF(ISNUMBER(SEARCH(SETTINGS!$K$6,D49)),SETTINGS!$L$6,IF(ISNUMBER(SEARCH(SETTINGS!$K$7,D49)),SETTINGS!$L$7,IF(ISNUMBER(SEARCH(SETTINGS!$K$8,D49)),SETTINGS!$L$8,IF(ISNUMBER(SEARCH(SETTINGS!$K$9,D49)),SETTINGS!$L$9,IF(ISNUMBER(SEARCH(SETTINGS!$K$10,D49)),SETTINGS!$L$10,IF(ISNUMBER(SEARCH(SETTINGS!$K$11,D49)),SETTINGS!$L$11,IF(ISNUMBER(SEARCH(SETTINGS!$K$12,D49)),SETTINGS!$L$12,IF(ISNUMBER(SEARCH(SETTINGS!$K$13,D49)),SETTINGS!$L$13,IF(ISNUMBER(SEARCH(SETTINGS!$K$14,D49)),SETTINGS!$L$14,IF(ISNUMBER(SEARCH(SETTINGS!$K$15,D49)),SETTINGS!$L$15,IF(ISNUMBER(SEARCH(SETTINGS!$K$16,D49)),SETTINGS!$L$16,IF(ISNUMBER(SEARCH(SETTINGS!$K$17,D49)),SETTINGS!$L$17,IF(ISNUMBER(SEARCH(SETTINGS!$K$18,D49)),SETTINGS!$L$18,"Miscellaneous"))))))))))))))))</f>
        <v/>
      </c>
      <c r="I49" s="44" t="str">
        <f t="shared" si="0"/>
        <v/>
      </c>
      <c r="J49" s="9"/>
      <c r="K49" s="9"/>
      <c r="L49" s="9"/>
      <c r="M49" s="9"/>
      <c r="N49" s="9"/>
      <c r="O49" s="9"/>
      <c r="P49" s="13"/>
      <c r="Q49" s="9"/>
      <c r="R49" s="9"/>
      <c r="S49" s="9"/>
      <c r="T49" s="11"/>
      <c r="U49" s="44" t="str">
        <f t="shared" si="1"/>
        <v/>
      </c>
      <c r="V49" s="44" t="str">
        <f t="shared" si="2"/>
        <v/>
      </c>
      <c r="W49" s="44" t="str">
        <f t="shared" si="3"/>
        <v/>
      </c>
      <c r="X49" s="44" t="str">
        <f t="shared" si="4"/>
        <v/>
      </c>
      <c r="Y49" s="44" t="str">
        <f t="shared" si="5"/>
        <v/>
      </c>
      <c r="Z49" s="44" t="str">
        <f t="shared" si="6"/>
        <v/>
      </c>
      <c r="AA49" s="50" t="str">
        <f t="shared" si="7"/>
        <v/>
      </c>
      <c r="AB49" s="50" t="str">
        <f>IF(OR(B49="",C49&lt;&gt;"Expense"),"",IF(E49&gt;IFERROR(AVERAGEIFS($E$8:$E$1007,$I$8:$I$1007,I49,$C$8:$C$1007,"Expense")*SETTINGS!$B$20,0),"Unusually High","Normal"))</f>
        <v/>
      </c>
      <c r="AC49" s="51"/>
      <c r="AD49" s="51"/>
      <c r="AE49" s="51"/>
      <c r="AF49" s="50" t="str">
        <f>IF(A49&lt;&gt;"Yes","No",IF(AND(AC49="Yes",SETTINGS!$B$16="No"),"No","Yes"))</f>
        <v>No</v>
      </c>
      <c r="AG49" s="50" t="str">
        <f>IF(A49&lt;&gt;"Yes","",IF(OR(B49="",D49="",E49&lt;=0,F49="",I49=""),"Check Required Fields",IF(AA49="Possible Duplicate","Possible Duplicate",IF(E49&gt;SETTINGS!$B$22,"Review Extreme Value","OK"))))</f>
        <v/>
      </c>
    </row>
    <row r="50" spans="1:33" ht="14.4">
      <c r="A50" s="9"/>
      <c r="B50" s="13"/>
      <c r="C50" s="9"/>
      <c r="D50" s="9"/>
      <c r="E50" s="11"/>
      <c r="F50" s="9"/>
      <c r="G50" s="9"/>
      <c r="H50" s="44" t="str">
        <f>IF(D50="","",IF(ISNUMBER(SEARCH(SETTINGS!$K$4,D50)),SETTINGS!$L$4,IF(ISNUMBER(SEARCH(SETTINGS!$K$5,D50)),SETTINGS!$L$5,IF(ISNUMBER(SEARCH(SETTINGS!$K$6,D50)),SETTINGS!$L$6,IF(ISNUMBER(SEARCH(SETTINGS!$K$7,D50)),SETTINGS!$L$7,IF(ISNUMBER(SEARCH(SETTINGS!$K$8,D50)),SETTINGS!$L$8,IF(ISNUMBER(SEARCH(SETTINGS!$K$9,D50)),SETTINGS!$L$9,IF(ISNUMBER(SEARCH(SETTINGS!$K$10,D50)),SETTINGS!$L$10,IF(ISNUMBER(SEARCH(SETTINGS!$K$11,D50)),SETTINGS!$L$11,IF(ISNUMBER(SEARCH(SETTINGS!$K$12,D50)),SETTINGS!$L$12,IF(ISNUMBER(SEARCH(SETTINGS!$K$13,D50)),SETTINGS!$L$13,IF(ISNUMBER(SEARCH(SETTINGS!$K$14,D50)),SETTINGS!$L$14,IF(ISNUMBER(SEARCH(SETTINGS!$K$15,D50)),SETTINGS!$L$15,IF(ISNUMBER(SEARCH(SETTINGS!$K$16,D50)),SETTINGS!$L$16,IF(ISNUMBER(SEARCH(SETTINGS!$K$17,D50)),SETTINGS!$L$17,IF(ISNUMBER(SEARCH(SETTINGS!$K$18,D50)),SETTINGS!$L$18,"Miscellaneous"))))))))))))))))</f>
        <v/>
      </c>
      <c r="I50" s="44" t="str">
        <f t="shared" si="0"/>
        <v/>
      </c>
      <c r="J50" s="9"/>
      <c r="K50" s="9"/>
      <c r="L50" s="9"/>
      <c r="M50" s="9"/>
      <c r="N50" s="9"/>
      <c r="O50" s="9"/>
      <c r="P50" s="13"/>
      <c r="Q50" s="9"/>
      <c r="R50" s="9"/>
      <c r="S50" s="9"/>
      <c r="T50" s="11"/>
      <c r="U50" s="44" t="str">
        <f t="shared" si="1"/>
        <v/>
      </c>
      <c r="V50" s="44" t="str">
        <f t="shared" si="2"/>
        <v/>
      </c>
      <c r="W50" s="44" t="str">
        <f t="shared" si="3"/>
        <v/>
      </c>
      <c r="X50" s="44" t="str">
        <f t="shared" si="4"/>
        <v/>
      </c>
      <c r="Y50" s="44" t="str">
        <f t="shared" si="5"/>
        <v/>
      </c>
      <c r="Z50" s="44" t="str">
        <f t="shared" si="6"/>
        <v/>
      </c>
      <c r="AA50" s="50" t="str">
        <f t="shared" si="7"/>
        <v/>
      </c>
      <c r="AB50" s="50" t="str">
        <f>IF(OR(B50="",C50&lt;&gt;"Expense"),"",IF(E50&gt;IFERROR(AVERAGEIFS($E$8:$E$1007,$I$8:$I$1007,I50,$C$8:$C$1007,"Expense")*SETTINGS!$B$20,0),"Unusually High","Normal"))</f>
        <v/>
      </c>
      <c r="AC50" s="51"/>
      <c r="AD50" s="51"/>
      <c r="AE50" s="51"/>
      <c r="AF50" s="50" t="str">
        <f>IF(A50&lt;&gt;"Yes","No",IF(AND(AC50="Yes",SETTINGS!$B$16="No"),"No","Yes"))</f>
        <v>No</v>
      </c>
      <c r="AG50" s="50" t="str">
        <f>IF(A50&lt;&gt;"Yes","",IF(OR(B50="",D50="",E50&lt;=0,F50="",I50=""),"Check Required Fields",IF(AA50="Possible Duplicate","Possible Duplicate",IF(E50&gt;SETTINGS!$B$22,"Review Extreme Value","OK"))))</f>
        <v/>
      </c>
    </row>
    <row r="51" spans="1:33" ht="14.4">
      <c r="A51" s="9"/>
      <c r="B51" s="13"/>
      <c r="C51" s="9"/>
      <c r="D51" s="9"/>
      <c r="E51" s="11"/>
      <c r="F51" s="9"/>
      <c r="G51" s="9"/>
      <c r="H51" s="44" t="str">
        <f>IF(D51="","",IF(ISNUMBER(SEARCH(SETTINGS!$K$4,D51)),SETTINGS!$L$4,IF(ISNUMBER(SEARCH(SETTINGS!$K$5,D51)),SETTINGS!$L$5,IF(ISNUMBER(SEARCH(SETTINGS!$K$6,D51)),SETTINGS!$L$6,IF(ISNUMBER(SEARCH(SETTINGS!$K$7,D51)),SETTINGS!$L$7,IF(ISNUMBER(SEARCH(SETTINGS!$K$8,D51)),SETTINGS!$L$8,IF(ISNUMBER(SEARCH(SETTINGS!$K$9,D51)),SETTINGS!$L$9,IF(ISNUMBER(SEARCH(SETTINGS!$K$10,D51)),SETTINGS!$L$10,IF(ISNUMBER(SEARCH(SETTINGS!$K$11,D51)),SETTINGS!$L$11,IF(ISNUMBER(SEARCH(SETTINGS!$K$12,D51)),SETTINGS!$L$12,IF(ISNUMBER(SEARCH(SETTINGS!$K$13,D51)),SETTINGS!$L$13,IF(ISNUMBER(SEARCH(SETTINGS!$K$14,D51)),SETTINGS!$L$14,IF(ISNUMBER(SEARCH(SETTINGS!$K$15,D51)),SETTINGS!$L$15,IF(ISNUMBER(SEARCH(SETTINGS!$K$16,D51)),SETTINGS!$L$16,IF(ISNUMBER(SEARCH(SETTINGS!$K$17,D51)),SETTINGS!$L$17,IF(ISNUMBER(SEARCH(SETTINGS!$K$18,D51)),SETTINGS!$L$18,"Miscellaneous"))))))))))))))))</f>
        <v/>
      </c>
      <c r="I51" s="44" t="str">
        <f t="shared" si="0"/>
        <v/>
      </c>
      <c r="J51" s="9"/>
      <c r="K51" s="9"/>
      <c r="L51" s="9"/>
      <c r="M51" s="9"/>
      <c r="N51" s="9"/>
      <c r="O51" s="9"/>
      <c r="P51" s="13"/>
      <c r="Q51" s="9"/>
      <c r="R51" s="9"/>
      <c r="S51" s="9"/>
      <c r="T51" s="11"/>
      <c r="U51" s="44" t="str">
        <f t="shared" si="1"/>
        <v/>
      </c>
      <c r="V51" s="44" t="str">
        <f t="shared" si="2"/>
        <v/>
      </c>
      <c r="W51" s="44" t="str">
        <f t="shared" si="3"/>
        <v/>
      </c>
      <c r="X51" s="44" t="str">
        <f t="shared" si="4"/>
        <v/>
      </c>
      <c r="Y51" s="44" t="str">
        <f t="shared" si="5"/>
        <v/>
      </c>
      <c r="Z51" s="44" t="str">
        <f t="shared" si="6"/>
        <v/>
      </c>
      <c r="AA51" s="50" t="str">
        <f t="shared" si="7"/>
        <v/>
      </c>
      <c r="AB51" s="50" t="str">
        <f>IF(OR(B51="",C51&lt;&gt;"Expense"),"",IF(E51&gt;IFERROR(AVERAGEIFS($E$8:$E$1007,$I$8:$I$1007,I51,$C$8:$C$1007,"Expense")*SETTINGS!$B$20,0),"Unusually High","Normal"))</f>
        <v/>
      </c>
      <c r="AC51" s="51"/>
      <c r="AD51" s="51"/>
      <c r="AE51" s="51"/>
      <c r="AF51" s="50" t="str">
        <f>IF(A51&lt;&gt;"Yes","No",IF(AND(AC51="Yes",SETTINGS!$B$16="No"),"No","Yes"))</f>
        <v>No</v>
      </c>
      <c r="AG51" s="50" t="str">
        <f>IF(A51&lt;&gt;"Yes","",IF(OR(B51="",D51="",E51&lt;=0,F51="",I51=""),"Check Required Fields",IF(AA51="Possible Duplicate","Possible Duplicate",IF(E51&gt;SETTINGS!$B$22,"Review Extreme Value","OK"))))</f>
        <v/>
      </c>
    </row>
    <row r="52" spans="1:33" ht="14.4">
      <c r="A52" s="9"/>
      <c r="B52" s="13"/>
      <c r="C52" s="9"/>
      <c r="D52" s="9"/>
      <c r="E52" s="11"/>
      <c r="F52" s="9"/>
      <c r="G52" s="9"/>
      <c r="H52" s="44" t="str">
        <f>IF(D52="","",IF(ISNUMBER(SEARCH(SETTINGS!$K$4,D52)),SETTINGS!$L$4,IF(ISNUMBER(SEARCH(SETTINGS!$K$5,D52)),SETTINGS!$L$5,IF(ISNUMBER(SEARCH(SETTINGS!$K$6,D52)),SETTINGS!$L$6,IF(ISNUMBER(SEARCH(SETTINGS!$K$7,D52)),SETTINGS!$L$7,IF(ISNUMBER(SEARCH(SETTINGS!$K$8,D52)),SETTINGS!$L$8,IF(ISNUMBER(SEARCH(SETTINGS!$K$9,D52)),SETTINGS!$L$9,IF(ISNUMBER(SEARCH(SETTINGS!$K$10,D52)),SETTINGS!$L$10,IF(ISNUMBER(SEARCH(SETTINGS!$K$11,D52)),SETTINGS!$L$11,IF(ISNUMBER(SEARCH(SETTINGS!$K$12,D52)),SETTINGS!$L$12,IF(ISNUMBER(SEARCH(SETTINGS!$K$13,D52)),SETTINGS!$L$13,IF(ISNUMBER(SEARCH(SETTINGS!$K$14,D52)),SETTINGS!$L$14,IF(ISNUMBER(SEARCH(SETTINGS!$K$15,D52)),SETTINGS!$L$15,IF(ISNUMBER(SEARCH(SETTINGS!$K$16,D52)),SETTINGS!$L$16,IF(ISNUMBER(SEARCH(SETTINGS!$K$17,D52)),SETTINGS!$L$17,IF(ISNUMBER(SEARCH(SETTINGS!$K$18,D52)),SETTINGS!$L$18,"Miscellaneous"))))))))))))))))</f>
        <v/>
      </c>
      <c r="I52" s="44" t="str">
        <f t="shared" si="0"/>
        <v/>
      </c>
      <c r="J52" s="9"/>
      <c r="K52" s="9"/>
      <c r="L52" s="9"/>
      <c r="M52" s="9"/>
      <c r="N52" s="9"/>
      <c r="O52" s="9"/>
      <c r="P52" s="13"/>
      <c r="Q52" s="9"/>
      <c r="R52" s="9"/>
      <c r="S52" s="9"/>
      <c r="T52" s="11"/>
      <c r="U52" s="44" t="str">
        <f t="shared" si="1"/>
        <v/>
      </c>
      <c r="V52" s="44" t="str">
        <f t="shared" si="2"/>
        <v/>
      </c>
      <c r="W52" s="44" t="str">
        <f t="shared" si="3"/>
        <v/>
      </c>
      <c r="X52" s="44" t="str">
        <f t="shared" si="4"/>
        <v/>
      </c>
      <c r="Y52" s="44" t="str">
        <f t="shared" si="5"/>
        <v/>
      </c>
      <c r="Z52" s="44" t="str">
        <f t="shared" si="6"/>
        <v/>
      </c>
      <c r="AA52" s="50" t="str">
        <f t="shared" si="7"/>
        <v/>
      </c>
      <c r="AB52" s="50" t="str">
        <f>IF(OR(B52="",C52&lt;&gt;"Expense"),"",IF(E52&gt;IFERROR(AVERAGEIFS($E$8:$E$1007,$I$8:$I$1007,I52,$C$8:$C$1007,"Expense")*SETTINGS!$B$20,0),"Unusually High","Normal"))</f>
        <v/>
      </c>
      <c r="AC52" s="51"/>
      <c r="AD52" s="51"/>
      <c r="AE52" s="51"/>
      <c r="AF52" s="50" t="str">
        <f>IF(A52&lt;&gt;"Yes","No",IF(AND(AC52="Yes",SETTINGS!$B$16="No"),"No","Yes"))</f>
        <v>No</v>
      </c>
      <c r="AG52" s="50" t="str">
        <f>IF(A52&lt;&gt;"Yes","",IF(OR(B52="",D52="",E52&lt;=0,F52="",I52=""),"Check Required Fields",IF(AA52="Possible Duplicate","Possible Duplicate",IF(E52&gt;SETTINGS!$B$22,"Review Extreme Value","OK"))))</f>
        <v/>
      </c>
    </row>
    <row r="53" spans="1:33" ht="14.4">
      <c r="A53" s="9"/>
      <c r="B53" s="13"/>
      <c r="C53" s="9"/>
      <c r="D53" s="9"/>
      <c r="E53" s="11"/>
      <c r="F53" s="9"/>
      <c r="G53" s="9"/>
      <c r="H53" s="44" t="str">
        <f>IF(D53="","",IF(ISNUMBER(SEARCH(SETTINGS!$K$4,D53)),SETTINGS!$L$4,IF(ISNUMBER(SEARCH(SETTINGS!$K$5,D53)),SETTINGS!$L$5,IF(ISNUMBER(SEARCH(SETTINGS!$K$6,D53)),SETTINGS!$L$6,IF(ISNUMBER(SEARCH(SETTINGS!$K$7,D53)),SETTINGS!$L$7,IF(ISNUMBER(SEARCH(SETTINGS!$K$8,D53)),SETTINGS!$L$8,IF(ISNUMBER(SEARCH(SETTINGS!$K$9,D53)),SETTINGS!$L$9,IF(ISNUMBER(SEARCH(SETTINGS!$K$10,D53)),SETTINGS!$L$10,IF(ISNUMBER(SEARCH(SETTINGS!$K$11,D53)),SETTINGS!$L$11,IF(ISNUMBER(SEARCH(SETTINGS!$K$12,D53)),SETTINGS!$L$12,IF(ISNUMBER(SEARCH(SETTINGS!$K$13,D53)),SETTINGS!$L$13,IF(ISNUMBER(SEARCH(SETTINGS!$K$14,D53)),SETTINGS!$L$14,IF(ISNUMBER(SEARCH(SETTINGS!$K$15,D53)),SETTINGS!$L$15,IF(ISNUMBER(SEARCH(SETTINGS!$K$16,D53)),SETTINGS!$L$16,IF(ISNUMBER(SEARCH(SETTINGS!$K$17,D53)),SETTINGS!$L$17,IF(ISNUMBER(SEARCH(SETTINGS!$K$18,D53)),SETTINGS!$L$18,"Miscellaneous"))))))))))))))))</f>
        <v/>
      </c>
      <c r="I53" s="44" t="str">
        <f t="shared" si="0"/>
        <v/>
      </c>
      <c r="J53" s="9"/>
      <c r="K53" s="9"/>
      <c r="L53" s="9"/>
      <c r="M53" s="9"/>
      <c r="N53" s="9"/>
      <c r="O53" s="9"/>
      <c r="P53" s="13"/>
      <c r="Q53" s="9"/>
      <c r="R53" s="9"/>
      <c r="S53" s="9"/>
      <c r="T53" s="11"/>
      <c r="U53" s="44" t="str">
        <f t="shared" si="1"/>
        <v/>
      </c>
      <c r="V53" s="44" t="str">
        <f t="shared" si="2"/>
        <v/>
      </c>
      <c r="W53" s="44" t="str">
        <f t="shared" si="3"/>
        <v/>
      </c>
      <c r="X53" s="44" t="str">
        <f t="shared" si="4"/>
        <v/>
      </c>
      <c r="Y53" s="44" t="str">
        <f t="shared" si="5"/>
        <v/>
      </c>
      <c r="Z53" s="44" t="str">
        <f t="shared" si="6"/>
        <v/>
      </c>
      <c r="AA53" s="50" t="str">
        <f t="shared" si="7"/>
        <v/>
      </c>
      <c r="AB53" s="50" t="str">
        <f>IF(OR(B53="",C53&lt;&gt;"Expense"),"",IF(E53&gt;IFERROR(AVERAGEIFS($E$8:$E$1007,$I$8:$I$1007,I53,$C$8:$C$1007,"Expense")*SETTINGS!$B$20,0),"Unusually High","Normal"))</f>
        <v/>
      </c>
      <c r="AC53" s="51"/>
      <c r="AD53" s="51"/>
      <c r="AE53" s="51"/>
      <c r="AF53" s="50" t="str">
        <f>IF(A53&lt;&gt;"Yes","No",IF(AND(AC53="Yes",SETTINGS!$B$16="No"),"No","Yes"))</f>
        <v>No</v>
      </c>
      <c r="AG53" s="50" t="str">
        <f>IF(A53&lt;&gt;"Yes","",IF(OR(B53="",D53="",E53&lt;=0,F53="",I53=""),"Check Required Fields",IF(AA53="Possible Duplicate","Possible Duplicate",IF(E53&gt;SETTINGS!$B$22,"Review Extreme Value","OK"))))</f>
        <v/>
      </c>
    </row>
    <row r="54" spans="1:33" ht="14.4">
      <c r="A54" s="9"/>
      <c r="B54" s="13"/>
      <c r="C54" s="9"/>
      <c r="D54" s="9"/>
      <c r="E54" s="11"/>
      <c r="F54" s="9"/>
      <c r="G54" s="9"/>
      <c r="H54" s="44" t="str">
        <f>IF(D54="","",IF(ISNUMBER(SEARCH(SETTINGS!$K$4,D54)),SETTINGS!$L$4,IF(ISNUMBER(SEARCH(SETTINGS!$K$5,D54)),SETTINGS!$L$5,IF(ISNUMBER(SEARCH(SETTINGS!$K$6,D54)),SETTINGS!$L$6,IF(ISNUMBER(SEARCH(SETTINGS!$K$7,D54)),SETTINGS!$L$7,IF(ISNUMBER(SEARCH(SETTINGS!$K$8,D54)),SETTINGS!$L$8,IF(ISNUMBER(SEARCH(SETTINGS!$K$9,D54)),SETTINGS!$L$9,IF(ISNUMBER(SEARCH(SETTINGS!$K$10,D54)),SETTINGS!$L$10,IF(ISNUMBER(SEARCH(SETTINGS!$K$11,D54)),SETTINGS!$L$11,IF(ISNUMBER(SEARCH(SETTINGS!$K$12,D54)),SETTINGS!$L$12,IF(ISNUMBER(SEARCH(SETTINGS!$K$13,D54)),SETTINGS!$L$13,IF(ISNUMBER(SEARCH(SETTINGS!$K$14,D54)),SETTINGS!$L$14,IF(ISNUMBER(SEARCH(SETTINGS!$K$15,D54)),SETTINGS!$L$15,IF(ISNUMBER(SEARCH(SETTINGS!$K$16,D54)),SETTINGS!$L$16,IF(ISNUMBER(SEARCH(SETTINGS!$K$17,D54)),SETTINGS!$L$17,IF(ISNUMBER(SEARCH(SETTINGS!$K$18,D54)),SETTINGS!$L$18,"Miscellaneous"))))))))))))))))</f>
        <v/>
      </c>
      <c r="I54" s="44" t="str">
        <f t="shared" si="0"/>
        <v/>
      </c>
      <c r="J54" s="9"/>
      <c r="K54" s="9"/>
      <c r="L54" s="9"/>
      <c r="M54" s="9"/>
      <c r="N54" s="9"/>
      <c r="O54" s="9"/>
      <c r="P54" s="13"/>
      <c r="Q54" s="9"/>
      <c r="R54" s="9"/>
      <c r="S54" s="9"/>
      <c r="T54" s="11"/>
      <c r="U54" s="44" t="str">
        <f t="shared" si="1"/>
        <v/>
      </c>
      <c r="V54" s="44" t="str">
        <f t="shared" si="2"/>
        <v/>
      </c>
      <c r="W54" s="44" t="str">
        <f t="shared" si="3"/>
        <v/>
      </c>
      <c r="X54" s="44" t="str">
        <f t="shared" si="4"/>
        <v/>
      </c>
      <c r="Y54" s="44" t="str">
        <f t="shared" si="5"/>
        <v/>
      </c>
      <c r="Z54" s="44" t="str">
        <f t="shared" si="6"/>
        <v/>
      </c>
      <c r="AA54" s="50" t="str">
        <f t="shared" si="7"/>
        <v/>
      </c>
      <c r="AB54" s="50" t="str">
        <f>IF(OR(B54="",C54&lt;&gt;"Expense"),"",IF(E54&gt;IFERROR(AVERAGEIFS($E$8:$E$1007,$I$8:$I$1007,I54,$C$8:$C$1007,"Expense")*SETTINGS!$B$20,0),"Unusually High","Normal"))</f>
        <v/>
      </c>
      <c r="AC54" s="51"/>
      <c r="AD54" s="51"/>
      <c r="AE54" s="51"/>
      <c r="AF54" s="50" t="str">
        <f>IF(A54&lt;&gt;"Yes","No",IF(AND(AC54="Yes",SETTINGS!$B$16="No"),"No","Yes"))</f>
        <v>No</v>
      </c>
      <c r="AG54" s="50" t="str">
        <f>IF(A54&lt;&gt;"Yes","",IF(OR(B54="",D54="",E54&lt;=0,F54="",I54=""),"Check Required Fields",IF(AA54="Possible Duplicate","Possible Duplicate",IF(E54&gt;SETTINGS!$B$22,"Review Extreme Value","OK"))))</f>
        <v/>
      </c>
    </row>
    <row r="55" spans="1:33" ht="14.4">
      <c r="A55" s="9"/>
      <c r="B55" s="13"/>
      <c r="C55" s="9"/>
      <c r="D55" s="9"/>
      <c r="E55" s="11"/>
      <c r="F55" s="9"/>
      <c r="G55" s="9"/>
      <c r="H55" s="44" t="str">
        <f>IF(D55="","",IF(ISNUMBER(SEARCH(SETTINGS!$K$4,D55)),SETTINGS!$L$4,IF(ISNUMBER(SEARCH(SETTINGS!$K$5,D55)),SETTINGS!$L$5,IF(ISNUMBER(SEARCH(SETTINGS!$K$6,D55)),SETTINGS!$L$6,IF(ISNUMBER(SEARCH(SETTINGS!$K$7,D55)),SETTINGS!$L$7,IF(ISNUMBER(SEARCH(SETTINGS!$K$8,D55)),SETTINGS!$L$8,IF(ISNUMBER(SEARCH(SETTINGS!$K$9,D55)),SETTINGS!$L$9,IF(ISNUMBER(SEARCH(SETTINGS!$K$10,D55)),SETTINGS!$L$10,IF(ISNUMBER(SEARCH(SETTINGS!$K$11,D55)),SETTINGS!$L$11,IF(ISNUMBER(SEARCH(SETTINGS!$K$12,D55)),SETTINGS!$L$12,IF(ISNUMBER(SEARCH(SETTINGS!$K$13,D55)),SETTINGS!$L$13,IF(ISNUMBER(SEARCH(SETTINGS!$K$14,D55)),SETTINGS!$L$14,IF(ISNUMBER(SEARCH(SETTINGS!$K$15,D55)),SETTINGS!$L$15,IF(ISNUMBER(SEARCH(SETTINGS!$K$16,D55)),SETTINGS!$L$16,IF(ISNUMBER(SEARCH(SETTINGS!$K$17,D55)),SETTINGS!$L$17,IF(ISNUMBER(SEARCH(SETTINGS!$K$18,D55)),SETTINGS!$L$18,"Miscellaneous"))))))))))))))))</f>
        <v/>
      </c>
      <c r="I55" s="44" t="str">
        <f t="shared" si="0"/>
        <v/>
      </c>
      <c r="J55" s="9"/>
      <c r="K55" s="9"/>
      <c r="L55" s="9"/>
      <c r="M55" s="9"/>
      <c r="N55" s="9"/>
      <c r="O55" s="9"/>
      <c r="P55" s="13"/>
      <c r="Q55" s="9"/>
      <c r="R55" s="9"/>
      <c r="S55" s="9"/>
      <c r="T55" s="11"/>
      <c r="U55" s="44" t="str">
        <f t="shared" si="1"/>
        <v/>
      </c>
      <c r="V55" s="44" t="str">
        <f t="shared" si="2"/>
        <v/>
      </c>
      <c r="W55" s="44" t="str">
        <f t="shared" si="3"/>
        <v/>
      </c>
      <c r="X55" s="44" t="str">
        <f t="shared" si="4"/>
        <v/>
      </c>
      <c r="Y55" s="44" t="str">
        <f t="shared" si="5"/>
        <v/>
      </c>
      <c r="Z55" s="44" t="str">
        <f t="shared" si="6"/>
        <v/>
      </c>
      <c r="AA55" s="50" t="str">
        <f t="shared" si="7"/>
        <v/>
      </c>
      <c r="AB55" s="50" t="str">
        <f>IF(OR(B55="",C55&lt;&gt;"Expense"),"",IF(E55&gt;IFERROR(AVERAGEIFS($E$8:$E$1007,$I$8:$I$1007,I55,$C$8:$C$1007,"Expense")*SETTINGS!$B$20,0),"Unusually High","Normal"))</f>
        <v/>
      </c>
      <c r="AC55" s="51"/>
      <c r="AD55" s="51"/>
      <c r="AE55" s="51"/>
      <c r="AF55" s="50" t="str">
        <f>IF(A55&lt;&gt;"Yes","No",IF(AND(AC55="Yes",SETTINGS!$B$16="No"),"No","Yes"))</f>
        <v>No</v>
      </c>
      <c r="AG55" s="50" t="str">
        <f>IF(A55&lt;&gt;"Yes","",IF(OR(B55="",D55="",E55&lt;=0,F55="",I55=""),"Check Required Fields",IF(AA55="Possible Duplicate","Possible Duplicate",IF(E55&gt;SETTINGS!$B$22,"Review Extreme Value","OK"))))</f>
        <v/>
      </c>
    </row>
    <row r="56" spans="1:33" ht="14.4">
      <c r="A56" s="9"/>
      <c r="B56" s="13"/>
      <c r="C56" s="9"/>
      <c r="D56" s="9"/>
      <c r="E56" s="11"/>
      <c r="F56" s="9"/>
      <c r="G56" s="9"/>
      <c r="H56" s="44" t="str">
        <f>IF(D56="","",IF(ISNUMBER(SEARCH(SETTINGS!$K$4,D56)),SETTINGS!$L$4,IF(ISNUMBER(SEARCH(SETTINGS!$K$5,D56)),SETTINGS!$L$5,IF(ISNUMBER(SEARCH(SETTINGS!$K$6,D56)),SETTINGS!$L$6,IF(ISNUMBER(SEARCH(SETTINGS!$K$7,D56)),SETTINGS!$L$7,IF(ISNUMBER(SEARCH(SETTINGS!$K$8,D56)),SETTINGS!$L$8,IF(ISNUMBER(SEARCH(SETTINGS!$K$9,D56)),SETTINGS!$L$9,IF(ISNUMBER(SEARCH(SETTINGS!$K$10,D56)),SETTINGS!$L$10,IF(ISNUMBER(SEARCH(SETTINGS!$K$11,D56)),SETTINGS!$L$11,IF(ISNUMBER(SEARCH(SETTINGS!$K$12,D56)),SETTINGS!$L$12,IF(ISNUMBER(SEARCH(SETTINGS!$K$13,D56)),SETTINGS!$L$13,IF(ISNUMBER(SEARCH(SETTINGS!$K$14,D56)),SETTINGS!$L$14,IF(ISNUMBER(SEARCH(SETTINGS!$K$15,D56)),SETTINGS!$L$15,IF(ISNUMBER(SEARCH(SETTINGS!$K$16,D56)),SETTINGS!$L$16,IF(ISNUMBER(SEARCH(SETTINGS!$K$17,D56)),SETTINGS!$L$17,IF(ISNUMBER(SEARCH(SETTINGS!$K$18,D56)),SETTINGS!$L$18,"Miscellaneous"))))))))))))))))</f>
        <v/>
      </c>
      <c r="I56" s="44" t="str">
        <f t="shared" si="0"/>
        <v/>
      </c>
      <c r="J56" s="9"/>
      <c r="K56" s="9"/>
      <c r="L56" s="9"/>
      <c r="M56" s="9"/>
      <c r="N56" s="9"/>
      <c r="O56" s="9"/>
      <c r="P56" s="13"/>
      <c r="Q56" s="9"/>
      <c r="R56" s="9"/>
      <c r="S56" s="9"/>
      <c r="T56" s="11"/>
      <c r="U56" s="44" t="str">
        <f t="shared" si="1"/>
        <v/>
      </c>
      <c r="V56" s="44" t="str">
        <f t="shared" si="2"/>
        <v/>
      </c>
      <c r="W56" s="44" t="str">
        <f t="shared" si="3"/>
        <v/>
      </c>
      <c r="X56" s="44" t="str">
        <f t="shared" si="4"/>
        <v/>
      </c>
      <c r="Y56" s="44" t="str">
        <f t="shared" si="5"/>
        <v/>
      </c>
      <c r="Z56" s="44" t="str">
        <f t="shared" si="6"/>
        <v/>
      </c>
      <c r="AA56" s="50" t="str">
        <f t="shared" si="7"/>
        <v/>
      </c>
      <c r="AB56" s="50" t="str">
        <f>IF(OR(B56="",C56&lt;&gt;"Expense"),"",IF(E56&gt;IFERROR(AVERAGEIFS($E$8:$E$1007,$I$8:$I$1007,I56,$C$8:$C$1007,"Expense")*SETTINGS!$B$20,0),"Unusually High","Normal"))</f>
        <v/>
      </c>
      <c r="AC56" s="51"/>
      <c r="AD56" s="51"/>
      <c r="AE56" s="51"/>
      <c r="AF56" s="50" t="str">
        <f>IF(A56&lt;&gt;"Yes","No",IF(AND(AC56="Yes",SETTINGS!$B$16="No"),"No","Yes"))</f>
        <v>No</v>
      </c>
      <c r="AG56" s="50" t="str">
        <f>IF(A56&lt;&gt;"Yes","",IF(OR(B56="",D56="",E56&lt;=0,F56="",I56=""),"Check Required Fields",IF(AA56="Possible Duplicate","Possible Duplicate",IF(E56&gt;SETTINGS!$B$22,"Review Extreme Value","OK"))))</f>
        <v/>
      </c>
    </row>
    <row r="57" spans="1:33" ht="14.4">
      <c r="A57" s="9"/>
      <c r="B57" s="13"/>
      <c r="C57" s="9"/>
      <c r="D57" s="9"/>
      <c r="E57" s="11"/>
      <c r="F57" s="9"/>
      <c r="G57" s="9"/>
      <c r="H57" s="44" t="str">
        <f>IF(D57="","",IF(ISNUMBER(SEARCH(SETTINGS!$K$4,D57)),SETTINGS!$L$4,IF(ISNUMBER(SEARCH(SETTINGS!$K$5,D57)),SETTINGS!$L$5,IF(ISNUMBER(SEARCH(SETTINGS!$K$6,D57)),SETTINGS!$L$6,IF(ISNUMBER(SEARCH(SETTINGS!$K$7,D57)),SETTINGS!$L$7,IF(ISNUMBER(SEARCH(SETTINGS!$K$8,D57)),SETTINGS!$L$8,IF(ISNUMBER(SEARCH(SETTINGS!$K$9,D57)),SETTINGS!$L$9,IF(ISNUMBER(SEARCH(SETTINGS!$K$10,D57)),SETTINGS!$L$10,IF(ISNUMBER(SEARCH(SETTINGS!$K$11,D57)),SETTINGS!$L$11,IF(ISNUMBER(SEARCH(SETTINGS!$K$12,D57)),SETTINGS!$L$12,IF(ISNUMBER(SEARCH(SETTINGS!$K$13,D57)),SETTINGS!$L$13,IF(ISNUMBER(SEARCH(SETTINGS!$K$14,D57)),SETTINGS!$L$14,IF(ISNUMBER(SEARCH(SETTINGS!$K$15,D57)),SETTINGS!$L$15,IF(ISNUMBER(SEARCH(SETTINGS!$K$16,D57)),SETTINGS!$L$16,IF(ISNUMBER(SEARCH(SETTINGS!$K$17,D57)),SETTINGS!$L$17,IF(ISNUMBER(SEARCH(SETTINGS!$K$18,D57)),SETTINGS!$L$18,"Miscellaneous"))))))))))))))))</f>
        <v/>
      </c>
      <c r="I57" s="44" t="str">
        <f t="shared" si="0"/>
        <v/>
      </c>
      <c r="J57" s="9"/>
      <c r="K57" s="9"/>
      <c r="L57" s="9"/>
      <c r="M57" s="9"/>
      <c r="N57" s="9"/>
      <c r="O57" s="9"/>
      <c r="P57" s="13"/>
      <c r="Q57" s="9"/>
      <c r="R57" s="9"/>
      <c r="S57" s="9"/>
      <c r="T57" s="11"/>
      <c r="U57" s="44" t="str">
        <f t="shared" si="1"/>
        <v/>
      </c>
      <c r="V57" s="44" t="str">
        <f t="shared" si="2"/>
        <v/>
      </c>
      <c r="W57" s="44" t="str">
        <f t="shared" si="3"/>
        <v/>
      </c>
      <c r="X57" s="44" t="str">
        <f t="shared" si="4"/>
        <v/>
      </c>
      <c r="Y57" s="44" t="str">
        <f t="shared" si="5"/>
        <v/>
      </c>
      <c r="Z57" s="44" t="str">
        <f t="shared" si="6"/>
        <v/>
      </c>
      <c r="AA57" s="50" t="str">
        <f t="shared" si="7"/>
        <v/>
      </c>
      <c r="AB57" s="50" t="str">
        <f>IF(OR(B57="",C57&lt;&gt;"Expense"),"",IF(E57&gt;IFERROR(AVERAGEIFS($E$8:$E$1007,$I$8:$I$1007,I57,$C$8:$C$1007,"Expense")*SETTINGS!$B$20,0),"Unusually High","Normal"))</f>
        <v/>
      </c>
      <c r="AC57" s="51"/>
      <c r="AD57" s="51"/>
      <c r="AE57" s="51"/>
      <c r="AF57" s="50" t="str">
        <f>IF(A57&lt;&gt;"Yes","No",IF(AND(AC57="Yes",SETTINGS!$B$16="No"),"No","Yes"))</f>
        <v>No</v>
      </c>
      <c r="AG57" s="50" t="str">
        <f>IF(A57&lt;&gt;"Yes","",IF(OR(B57="",D57="",E57&lt;=0,F57="",I57=""),"Check Required Fields",IF(AA57="Possible Duplicate","Possible Duplicate",IF(E57&gt;SETTINGS!$B$22,"Review Extreme Value","OK"))))</f>
        <v/>
      </c>
    </row>
    <row r="58" spans="1:33" ht="14.4">
      <c r="A58" s="9"/>
      <c r="B58" s="13"/>
      <c r="C58" s="9"/>
      <c r="D58" s="9"/>
      <c r="E58" s="11"/>
      <c r="F58" s="9"/>
      <c r="G58" s="9"/>
      <c r="H58" s="44" t="str">
        <f>IF(D58="","",IF(ISNUMBER(SEARCH(SETTINGS!$K$4,D58)),SETTINGS!$L$4,IF(ISNUMBER(SEARCH(SETTINGS!$K$5,D58)),SETTINGS!$L$5,IF(ISNUMBER(SEARCH(SETTINGS!$K$6,D58)),SETTINGS!$L$6,IF(ISNUMBER(SEARCH(SETTINGS!$K$7,D58)),SETTINGS!$L$7,IF(ISNUMBER(SEARCH(SETTINGS!$K$8,D58)),SETTINGS!$L$8,IF(ISNUMBER(SEARCH(SETTINGS!$K$9,D58)),SETTINGS!$L$9,IF(ISNUMBER(SEARCH(SETTINGS!$K$10,D58)),SETTINGS!$L$10,IF(ISNUMBER(SEARCH(SETTINGS!$K$11,D58)),SETTINGS!$L$11,IF(ISNUMBER(SEARCH(SETTINGS!$K$12,D58)),SETTINGS!$L$12,IF(ISNUMBER(SEARCH(SETTINGS!$K$13,D58)),SETTINGS!$L$13,IF(ISNUMBER(SEARCH(SETTINGS!$K$14,D58)),SETTINGS!$L$14,IF(ISNUMBER(SEARCH(SETTINGS!$K$15,D58)),SETTINGS!$L$15,IF(ISNUMBER(SEARCH(SETTINGS!$K$16,D58)),SETTINGS!$L$16,IF(ISNUMBER(SEARCH(SETTINGS!$K$17,D58)),SETTINGS!$L$17,IF(ISNUMBER(SEARCH(SETTINGS!$K$18,D58)),SETTINGS!$L$18,"Miscellaneous"))))))))))))))))</f>
        <v/>
      </c>
      <c r="I58" s="44" t="str">
        <f t="shared" si="0"/>
        <v/>
      </c>
      <c r="J58" s="9"/>
      <c r="K58" s="9"/>
      <c r="L58" s="9"/>
      <c r="M58" s="9"/>
      <c r="N58" s="9"/>
      <c r="O58" s="9"/>
      <c r="P58" s="13"/>
      <c r="Q58" s="9"/>
      <c r="R58" s="9"/>
      <c r="S58" s="9"/>
      <c r="T58" s="11"/>
      <c r="U58" s="44" t="str">
        <f t="shared" si="1"/>
        <v/>
      </c>
      <c r="V58" s="44" t="str">
        <f t="shared" si="2"/>
        <v/>
      </c>
      <c r="W58" s="44" t="str">
        <f t="shared" si="3"/>
        <v/>
      </c>
      <c r="X58" s="44" t="str">
        <f t="shared" si="4"/>
        <v/>
      </c>
      <c r="Y58" s="44" t="str">
        <f t="shared" si="5"/>
        <v/>
      </c>
      <c r="Z58" s="44" t="str">
        <f t="shared" si="6"/>
        <v/>
      </c>
      <c r="AA58" s="50" t="str">
        <f t="shared" si="7"/>
        <v/>
      </c>
      <c r="AB58" s="50" t="str">
        <f>IF(OR(B58="",C58&lt;&gt;"Expense"),"",IF(E58&gt;IFERROR(AVERAGEIFS($E$8:$E$1007,$I$8:$I$1007,I58,$C$8:$C$1007,"Expense")*SETTINGS!$B$20,0),"Unusually High","Normal"))</f>
        <v/>
      </c>
      <c r="AC58" s="51"/>
      <c r="AD58" s="51"/>
      <c r="AE58" s="51"/>
      <c r="AF58" s="50" t="str">
        <f>IF(A58&lt;&gt;"Yes","No",IF(AND(AC58="Yes",SETTINGS!$B$16="No"),"No","Yes"))</f>
        <v>No</v>
      </c>
      <c r="AG58" s="50" t="str">
        <f>IF(A58&lt;&gt;"Yes","",IF(OR(B58="",D58="",E58&lt;=0,F58="",I58=""),"Check Required Fields",IF(AA58="Possible Duplicate","Possible Duplicate",IF(E58&gt;SETTINGS!$B$22,"Review Extreme Value","OK"))))</f>
        <v/>
      </c>
    </row>
    <row r="59" spans="1:33" ht="14.4">
      <c r="A59" s="9"/>
      <c r="B59" s="13"/>
      <c r="C59" s="9"/>
      <c r="D59" s="9"/>
      <c r="E59" s="11"/>
      <c r="F59" s="9"/>
      <c r="G59" s="9"/>
      <c r="H59" s="44" t="str">
        <f>IF(D59="","",IF(ISNUMBER(SEARCH(SETTINGS!$K$4,D59)),SETTINGS!$L$4,IF(ISNUMBER(SEARCH(SETTINGS!$K$5,D59)),SETTINGS!$L$5,IF(ISNUMBER(SEARCH(SETTINGS!$K$6,D59)),SETTINGS!$L$6,IF(ISNUMBER(SEARCH(SETTINGS!$K$7,D59)),SETTINGS!$L$7,IF(ISNUMBER(SEARCH(SETTINGS!$K$8,D59)),SETTINGS!$L$8,IF(ISNUMBER(SEARCH(SETTINGS!$K$9,D59)),SETTINGS!$L$9,IF(ISNUMBER(SEARCH(SETTINGS!$K$10,D59)),SETTINGS!$L$10,IF(ISNUMBER(SEARCH(SETTINGS!$K$11,D59)),SETTINGS!$L$11,IF(ISNUMBER(SEARCH(SETTINGS!$K$12,D59)),SETTINGS!$L$12,IF(ISNUMBER(SEARCH(SETTINGS!$K$13,D59)),SETTINGS!$L$13,IF(ISNUMBER(SEARCH(SETTINGS!$K$14,D59)),SETTINGS!$L$14,IF(ISNUMBER(SEARCH(SETTINGS!$K$15,D59)),SETTINGS!$L$15,IF(ISNUMBER(SEARCH(SETTINGS!$K$16,D59)),SETTINGS!$L$16,IF(ISNUMBER(SEARCH(SETTINGS!$K$17,D59)),SETTINGS!$L$17,IF(ISNUMBER(SEARCH(SETTINGS!$K$18,D59)),SETTINGS!$L$18,"Miscellaneous"))))))))))))))))</f>
        <v/>
      </c>
      <c r="I59" s="44" t="str">
        <f t="shared" si="0"/>
        <v/>
      </c>
      <c r="J59" s="9"/>
      <c r="K59" s="9"/>
      <c r="L59" s="9"/>
      <c r="M59" s="9"/>
      <c r="N59" s="9"/>
      <c r="O59" s="9"/>
      <c r="P59" s="13"/>
      <c r="Q59" s="9"/>
      <c r="R59" s="9"/>
      <c r="S59" s="9"/>
      <c r="T59" s="11"/>
      <c r="U59" s="44" t="str">
        <f t="shared" si="1"/>
        <v/>
      </c>
      <c r="V59" s="44" t="str">
        <f t="shared" si="2"/>
        <v/>
      </c>
      <c r="W59" s="44" t="str">
        <f t="shared" si="3"/>
        <v/>
      </c>
      <c r="X59" s="44" t="str">
        <f t="shared" si="4"/>
        <v/>
      </c>
      <c r="Y59" s="44" t="str">
        <f t="shared" si="5"/>
        <v/>
      </c>
      <c r="Z59" s="44" t="str">
        <f t="shared" si="6"/>
        <v/>
      </c>
      <c r="AA59" s="50" t="str">
        <f t="shared" si="7"/>
        <v/>
      </c>
      <c r="AB59" s="50" t="str">
        <f>IF(OR(B59="",C59&lt;&gt;"Expense"),"",IF(E59&gt;IFERROR(AVERAGEIFS($E$8:$E$1007,$I$8:$I$1007,I59,$C$8:$C$1007,"Expense")*SETTINGS!$B$20,0),"Unusually High","Normal"))</f>
        <v/>
      </c>
      <c r="AC59" s="51"/>
      <c r="AD59" s="51"/>
      <c r="AE59" s="51"/>
      <c r="AF59" s="50" t="str">
        <f>IF(A59&lt;&gt;"Yes","No",IF(AND(AC59="Yes",SETTINGS!$B$16="No"),"No","Yes"))</f>
        <v>No</v>
      </c>
      <c r="AG59" s="50" t="str">
        <f>IF(A59&lt;&gt;"Yes","",IF(OR(B59="",D59="",E59&lt;=0,F59="",I59=""),"Check Required Fields",IF(AA59="Possible Duplicate","Possible Duplicate",IF(E59&gt;SETTINGS!$B$22,"Review Extreme Value","OK"))))</f>
        <v/>
      </c>
    </row>
    <row r="60" spans="1:33" ht="14.4">
      <c r="A60" s="9"/>
      <c r="B60" s="13"/>
      <c r="C60" s="9"/>
      <c r="D60" s="9"/>
      <c r="E60" s="11"/>
      <c r="F60" s="9"/>
      <c r="G60" s="9"/>
      <c r="H60" s="44" t="str">
        <f>IF(D60="","",IF(ISNUMBER(SEARCH(SETTINGS!$K$4,D60)),SETTINGS!$L$4,IF(ISNUMBER(SEARCH(SETTINGS!$K$5,D60)),SETTINGS!$L$5,IF(ISNUMBER(SEARCH(SETTINGS!$K$6,D60)),SETTINGS!$L$6,IF(ISNUMBER(SEARCH(SETTINGS!$K$7,D60)),SETTINGS!$L$7,IF(ISNUMBER(SEARCH(SETTINGS!$K$8,D60)),SETTINGS!$L$8,IF(ISNUMBER(SEARCH(SETTINGS!$K$9,D60)),SETTINGS!$L$9,IF(ISNUMBER(SEARCH(SETTINGS!$K$10,D60)),SETTINGS!$L$10,IF(ISNUMBER(SEARCH(SETTINGS!$K$11,D60)),SETTINGS!$L$11,IF(ISNUMBER(SEARCH(SETTINGS!$K$12,D60)),SETTINGS!$L$12,IF(ISNUMBER(SEARCH(SETTINGS!$K$13,D60)),SETTINGS!$L$13,IF(ISNUMBER(SEARCH(SETTINGS!$K$14,D60)),SETTINGS!$L$14,IF(ISNUMBER(SEARCH(SETTINGS!$K$15,D60)),SETTINGS!$L$15,IF(ISNUMBER(SEARCH(SETTINGS!$K$16,D60)),SETTINGS!$L$16,IF(ISNUMBER(SEARCH(SETTINGS!$K$17,D60)),SETTINGS!$L$17,IF(ISNUMBER(SEARCH(SETTINGS!$K$18,D60)),SETTINGS!$L$18,"Miscellaneous"))))))))))))))))</f>
        <v/>
      </c>
      <c r="I60" s="44" t="str">
        <f t="shared" si="0"/>
        <v/>
      </c>
      <c r="J60" s="9"/>
      <c r="K60" s="9"/>
      <c r="L60" s="9"/>
      <c r="M60" s="9"/>
      <c r="N60" s="9"/>
      <c r="O60" s="9"/>
      <c r="P60" s="13"/>
      <c r="Q60" s="9"/>
      <c r="R60" s="9"/>
      <c r="S60" s="9"/>
      <c r="T60" s="11"/>
      <c r="U60" s="44" t="str">
        <f t="shared" si="1"/>
        <v/>
      </c>
      <c r="V60" s="44" t="str">
        <f t="shared" si="2"/>
        <v/>
      </c>
      <c r="W60" s="44" t="str">
        <f t="shared" si="3"/>
        <v/>
      </c>
      <c r="X60" s="44" t="str">
        <f t="shared" si="4"/>
        <v/>
      </c>
      <c r="Y60" s="44" t="str">
        <f t="shared" si="5"/>
        <v/>
      </c>
      <c r="Z60" s="44" t="str">
        <f t="shared" si="6"/>
        <v/>
      </c>
      <c r="AA60" s="50" t="str">
        <f t="shared" si="7"/>
        <v/>
      </c>
      <c r="AB60" s="50" t="str">
        <f>IF(OR(B60="",C60&lt;&gt;"Expense"),"",IF(E60&gt;IFERROR(AVERAGEIFS($E$8:$E$1007,$I$8:$I$1007,I60,$C$8:$C$1007,"Expense")*SETTINGS!$B$20,0),"Unusually High","Normal"))</f>
        <v/>
      </c>
      <c r="AC60" s="51"/>
      <c r="AD60" s="51"/>
      <c r="AE60" s="51"/>
      <c r="AF60" s="50" t="str">
        <f>IF(A60&lt;&gt;"Yes","No",IF(AND(AC60="Yes",SETTINGS!$B$16="No"),"No","Yes"))</f>
        <v>No</v>
      </c>
      <c r="AG60" s="50" t="str">
        <f>IF(A60&lt;&gt;"Yes","",IF(OR(B60="",D60="",E60&lt;=0,F60="",I60=""),"Check Required Fields",IF(AA60="Possible Duplicate","Possible Duplicate",IF(E60&gt;SETTINGS!$B$22,"Review Extreme Value","OK"))))</f>
        <v/>
      </c>
    </row>
    <row r="61" spans="1:33" ht="14.4">
      <c r="A61" s="9"/>
      <c r="B61" s="13"/>
      <c r="C61" s="9"/>
      <c r="D61" s="9"/>
      <c r="E61" s="11"/>
      <c r="F61" s="9"/>
      <c r="G61" s="9"/>
      <c r="H61" s="44" t="str">
        <f>IF(D61="","",IF(ISNUMBER(SEARCH(SETTINGS!$K$4,D61)),SETTINGS!$L$4,IF(ISNUMBER(SEARCH(SETTINGS!$K$5,D61)),SETTINGS!$L$5,IF(ISNUMBER(SEARCH(SETTINGS!$K$6,D61)),SETTINGS!$L$6,IF(ISNUMBER(SEARCH(SETTINGS!$K$7,D61)),SETTINGS!$L$7,IF(ISNUMBER(SEARCH(SETTINGS!$K$8,D61)),SETTINGS!$L$8,IF(ISNUMBER(SEARCH(SETTINGS!$K$9,D61)),SETTINGS!$L$9,IF(ISNUMBER(SEARCH(SETTINGS!$K$10,D61)),SETTINGS!$L$10,IF(ISNUMBER(SEARCH(SETTINGS!$K$11,D61)),SETTINGS!$L$11,IF(ISNUMBER(SEARCH(SETTINGS!$K$12,D61)),SETTINGS!$L$12,IF(ISNUMBER(SEARCH(SETTINGS!$K$13,D61)),SETTINGS!$L$13,IF(ISNUMBER(SEARCH(SETTINGS!$K$14,D61)),SETTINGS!$L$14,IF(ISNUMBER(SEARCH(SETTINGS!$K$15,D61)),SETTINGS!$L$15,IF(ISNUMBER(SEARCH(SETTINGS!$K$16,D61)),SETTINGS!$L$16,IF(ISNUMBER(SEARCH(SETTINGS!$K$17,D61)),SETTINGS!$L$17,IF(ISNUMBER(SEARCH(SETTINGS!$K$18,D61)),SETTINGS!$L$18,"Miscellaneous"))))))))))))))))</f>
        <v/>
      </c>
      <c r="I61" s="44" t="str">
        <f t="shared" si="0"/>
        <v/>
      </c>
      <c r="J61" s="9"/>
      <c r="K61" s="9"/>
      <c r="L61" s="9"/>
      <c r="M61" s="9"/>
      <c r="N61" s="9"/>
      <c r="O61" s="9"/>
      <c r="P61" s="13"/>
      <c r="Q61" s="9"/>
      <c r="R61" s="9"/>
      <c r="S61" s="9"/>
      <c r="T61" s="11"/>
      <c r="U61" s="44" t="str">
        <f t="shared" si="1"/>
        <v/>
      </c>
      <c r="V61" s="44" t="str">
        <f t="shared" si="2"/>
        <v/>
      </c>
      <c r="W61" s="44" t="str">
        <f t="shared" si="3"/>
        <v/>
      </c>
      <c r="X61" s="44" t="str">
        <f t="shared" si="4"/>
        <v/>
      </c>
      <c r="Y61" s="44" t="str">
        <f t="shared" si="5"/>
        <v/>
      </c>
      <c r="Z61" s="44" t="str">
        <f t="shared" si="6"/>
        <v/>
      </c>
      <c r="AA61" s="50" t="str">
        <f t="shared" si="7"/>
        <v/>
      </c>
      <c r="AB61" s="50" t="str">
        <f>IF(OR(B61="",C61&lt;&gt;"Expense"),"",IF(E61&gt;IFERROR(AVERAGEIFS($E$8:$E$1007,$I$8:$I$1007,I61,$C$8:$C$1007,"Expense")*SETTINGS!$B$20,0),"Unusually High","Normal"))</f>
        <v/>
      </c>
      <c r="AC61" s="51"/>
      <c r="AD61" s="51"/>
      <c r="AE61" s="51"/>
      <c r="AF61" s="50" t="str">
        <f>IF(A61&lt;&gt;"Yes","No",IF(AND(AC61="Yes",SETTINGS!$B$16="No"),"No","Yes"))</f>
        <v>No</v>
      </c>
      <c r="AG61" s="50" t="str">
        <f>IF(A61&lt;&gt;"Yes","",IF(OR(B61="",D61="",E61&lt;=0,F61="",I61=""),"Check Required Fields",IF(AA61="Possible Duplicate","Possible Duplicate",IF(E61&gt;SETTINGS!$B$22,"Review Extreme Value","OK"))))</f>
        <v/>
      </c>
    </row>
    <row r="62" spans="1:33" ht="14.4">
      <c r="A62" s="9"/>
      <c r="B62" s="13"/>
      <c r="C62" s="9"/>
      <c r="D62" s="9"/>
      <c r="E62" s="11"/>
      <c r="F62" s="9"/>
      <c r="G62" s="9"/>
      <c r="H62" s="44" t="str">
        <f>IF(D62="","",IF(ISNUMBER(SEARCH(SETTINGS!$K$4,D62)),SETTINGS!$L$4,IF(ISNUMBER(SEARCH(SETTINGS!$K$5,D62)),SETTINGS!$L$5,IF(ISNUMBER(SEARCH(SETTINGS!$K$6,D62)),SETTINGS!$L$6,IF(ISNUMBER(SEARCH(SETTINGS!$K$7,D62)),SETTINGS!$L$7,IF(ISNUMBER(SEARCH(SETTINGS!$K$8,D62)),SETTINGS!$L$8,IF(ISNUMBER(SEARCH(SETTINGS!$K$9,D62)),SETTINGS!$L$9,IF(ISNUMBER(SEARCH(SETTINGS!$K$10,D62)),SETTINGS!$L$10,IF(ISNUMBER(SEARCH(SETTINGS!$K$11,D62)),SETTINGS!$L$11,IF(ISNUMBER(SEARCH(SETTINGS!$K$12,D62)),SETTINGS!$L$12,IF(ISNUMBER(SEARCH(SETTINGS!$K$13,D62)),SETTINGS!$L$13,IF(ISNUMBER(SEARCH(SETTINGS!$K$14,D62)),SETTINGS!$L$14,IF(ISNUMBER(SEARCH(SETTINGS!$K$15,D62)),SETTINGS!$L$15,IF(ISNUMBER(SEARCH(SETTINGS!$K$16,D62)),SETTINGS!$L$16,IF(ISNUMBER(SEARCH(SETTINGS!$K$17,D62)),SETTINGS!$L$17,IF(ISNUMBER(SEARCH(SETTINGS!$K$18,D62)),SETTINGS!$L$18,"Miscellaneous"))))))))))))))))</f>
        <v/>
      </c>
      <c r="I62" s="44" t="str">
        <f t="shared" si="0"/>
        <v/>
      </c>
      <c r="J62" s="9"/>
      <c r="K62" s="9"/>
      <c r="L62" s="9"/>
      <c r="M62" s="9"/>
      <c r="N62" s="9"/>
      <c r="O62" s="9"/>
      <c r="P62" s="13"/>
      <c r="Q62" s="9"/>
      <c r="R62" s="9"/>
      <c r="S62" s="9"/>
      <c r="T62" s="11"/>
      <c r="U62" s="44" t="str">
        <f t="shared" si="1"/>
        <v/>
      </c>
      <c r="V62" s="44" t="str">
        <f t="shared" si="2"/>
        <v/>
      </c>
      <c r="W62" s="44" t="str">
        <f t="shared" si="3"/>
        <v/>
      </c>
      <c r="X62" s="44" t="str">
        <f t="shared" si="4"/>
        <v/>
      </c>
      <c r="Y62" s="44" t="str">
        <f t="shared" si="5"/>
        <v/>
      </c>
      <c r="Z62" s="44" t="str">
        <f t="shared" si="6"/>
        <v/>
      </c>
      <c r="AA62" s="50" t="str">
        <f t="shared" si="7"/>
        <v/>
      </c>
      <c r="AB62" s="50" t="str">
        <f>IF(OR(B62="",C62&lt;&gt;"Expense"),"",IF(E62&gt;IFERROR(AVERAGEIFS($E$8:$E$1007,$I$8:$I$1007,I62,$C$8:$C$1007,"Expense")*SETTINGS!$B$20,0),"Unusually High","Normal"))</f>
        <v/>
      </c>
      <c r="AC62" s="51"/>
      <c r="AD62" s="51"/>
      <c r="AE62" s="51"/>
      <c r="AF62" s="50" t="str">
        <f>IF(A62&lt;&gt;"Yes","No",IF(AND(AC62="Yes",SETTINGS!$B$16="No"),"No","Yes"))</f>
        <v>No</v>
      </c>
      <c r="AG62" s="50" t="str">
        <f>IF(A62&lt;&gt;"Yes","",IF(OR(B62="",D62="",E62&lt;=0,F62="",I62=""),"Check Required Fields",IF(AA62="Possible Duplicate","Possible Duplicate",IF(E62&gt;SETTINGS!$B$22,"Review Extreme Value","OK"))))</f>
        <v/>
      </c>
    </row>
    <row r="63" spans="1:33" ht="14.4">
      <c r="A63" s="9"/>
      <c r="B63" s="13"/>
      <c r="C63" s="9"/>
      <c r="D63" s="9"/>
      <c r="E63" s="11"/>
      <c r="F63" s="9"/>
      <c r="G63" s="9"/>
      <c r="H63" s="44" t="str">
        <f>IF(D63="","",IF(ISNUMBER(SEARCH(SETTINGS!$K$4,D63)),SETTINGS!$L$4,IF(ISNUMBER(SEARCH(SETTINGS!$K$5,D63)),SETTINGS!$L$5,IF(ISNUMBER(SEARCH(SETTINGS!$K$6,D63)),SETTINGS!$L$6,IF(ISNUMBER(SEARCH(SETTINGS!$K$7,D63)),SETTINGS!$L$7,IF(ISNUMBER(SEARCH(SETTINGS!$K$8,D63)),SETTINGS!$L$8,IF(ISNUMBER(SEARCH(SETTINGS!$K$9,D63)),SETTINGS!$L$9,IF(ISNUMBER(SEARCH(SETTINGS!$K$10,D63)),SETTINGS!$L$10,IF(ISNUMBER(SEARCH(SETTINGS!$K$11,D63)),SETTINGS!$L$11,IF(ISNUMBER(SEARCH(SETTINGS!$K$12,D63)),SETTINGS!$L$12,IF(ISNUMBER(SEARCH(SETTINGS!$K$13,D63)),SETTINGS!$L$13,IF(ISNUMBER(SEARCH(SETTINGS!$K$14,D63)),SETTINGS!$L$14,IF(ISNUMBER(SEARCH(SETTINGS!$K$15,D63)),SETTINGS!$L$15,IF(ISNUMBER(SEARCH(SETTINGS!$K$16,D63)),SETTINGS!$L$16,IF(ISNUMBER(SEARCH(SETTINGS!$K$17,D63)),SETTINGS!$L$17,IF(ISNUMBER(SEARCH(SETTINGS!$K$18,D63)),SETTINGS!$L$18,"Miscellaneous"))))))))))))))))</f>
        <v/>
      </c>
      <c r="I63" s="44" t="str">
        <f t="shared" si="0"/>
        <v/>
      </c>
      <c r="J63" s="9"/>
      <c r="K63" s="9"/>
      <c r="L63" s="9"/>
      <c r="M63" s="9"/>
      <c r="N63" s="9"/>
      <c r="O63" s="9"/>
      <c r="P63" s="13"/>
      <c r="Q63" s="9"/>
      <c r="R63" s="9"/>
      <c r="S63" s="9"/>
      <c r="T63" s="11"/>
      <c r="U63" s="44" t="str">
        <f t="shared" si="1"/>
        <v/>
      </c>
      <c r="V63" s="44" t="str">
        <f t="shared" si="2"/>
        <v/>
      </c>
      <c r="W63" s="44" t="str">
        <f t="shared" si="3"/>
        <v/>
      </c>
      <c r="X63" s="44" t="str">
        <f t="shared" si="4"/>
        <v/>
      </c>
      <c r="Y63" s="44" t="str">
        <f t="shared" si="5"/>
        <v/>
      </c>
      <c r="Z63" s="44" t="str">
        <f t="shared" si="6"/>
        <v/>
      </c>
      <c r="AA63" s="50" t="str">
        <f t="shared" si="7"/>
        <v/>
      </c>
      <c r="AB63" s="50" t="str">
        <f>IF(OR(B63="",C63&lt;&gt;"Expense"),"",IF(E63&gt;IFERROR(AVERAGEIFS($E$8:$E$1007,$I$8:$I$1007,I63,$C$8:$C$1007,"Expense")*SETTINGS!$B$20,0),"Unusually High","Normal"))</f>
        <v/>
      </c>
      <c r="AC63" s="51"/>
      <c r="AD63" s="51"/>
      <c r="AE63" s="51"/>
      <c r="AF63" s="50" t="str">
        <f>IF(A63&lt;&gt;"Yes","No",IF(AND(AC63="Yes",SETTINGS!$B$16="No"),"No","Yes"))</f>
        <v>No</v>
      </c>
      <c r="AG63" s="50" t="str">
        <f>IF(A63&lt;&gt;"Yes","",IF(OR(B63="",D63="",E63&lt;=0,F63="",I63=""),"Check Required Fields",IF(AA63="Possible Duplicate","Possible Duplicate",IF(E63&gt;SETTINGS!$B$22,"Review Extreme Value","OK"))))</f>
        <v/>
      </c>
    </row>
    <row r="64" spans="1:33" ht="14.4">
      <c r="A64" s="9"/>
      <c r="B64" s="13"/>
      <c r="C64" s="9"/>
      <c r="D64" s="9"/>
      <c r="E64" s="11"/>
      <c r="F64" s="9"/>
      <c r="G64" s="9"/>
      <c r="H64" s="44" t="str">
        <f>IF(D64="","",IF(ISNUMBER(SEARCH(SETTINGS!$K$4,D64)),SETTINGS!$L$4,IF(ISNUMBER(SEARCH(SETTINGS!$K$5,D64)),SETTINGS!$L$5,IF(ISNUMBER(SEARCH(SETTINGS!$K$6,D64)),SETTINGS!$L$6,IF(ISNUMBER(SEARCH(SETTINGS!$K$7,D64)),SETTINGS!$L$7,IF(ISNUMBER(SEARCH(SETTINGS!$K$8,D64)),SETTINGS!$L$8,IF(ISNUMBER(SEARCH(SETTINGS!$K$9,D64)),SETTINGS!$L$9,IF(ISNUMBER(SEARCH(SETTINGS!$K$10,D64)),SETTINGS!$L$10,IF(ISNUMBER(SEARCH(SETTINGS!$K$11,D64)),SETTINGS!$L$11,IF(ISNUMBER(SEARCH(SETTINGS!$K$12,D64)),SETTINGS!$L$12,IF(ISNUMBER(SEARCH(SETTINGS!$K$13,D64)),SETTINGS!$L$13,IF(ISNUMBER(SEARCH(SETTINGS!$K$14,D64)),SETTINGS!$L$14,IF(ISNUMBER(SEARCH(SETTINGS!$K$15,D64)),SETTINGS!$L$15,IF(ISNUMBER(SEARCH(SETTINGS!$K$16,D64)),SETTINGS!$L$16,IF(ISNUMBER(SEARCH(SETTINGS!$K$17,D64)),SETTINGS!$L$17,IF(ISNUMBER(SEARCH(SETTINGS!$K$18,D64)),SETTINGS!$L$18,"Miscellaneous"))))))))))))))))</f>
        <v/>
      </c>
      <c r="I64" s="44" t="str">
        <f t="shared" si="0"/>
        <v/>
      </c>
      <c r="J64" s="9"/>
      <c r="K64" s="9"/>
      <c r="L64" s="9"/>
      <c r="M64" s="9"/>
      <c r="N64" s="9"/>
      <c r="O64" s="9"/>
      <c r="P64" s="13"/>
      <c r="Q64" s="9"/>
      <c r="R64" s="9"/>
      <c r="S64" s="9"/>
      <c r="T64" s="11"/>
      <c r="U64" s="44" t="str">
        <f t="shared" si="1"/>
        <v/>
      </c>
      <c r="V64" s="44" t="str">
        <f t="shared" si="2"/>
        <v/>
      </c>
      <c r="W64" s="44" t="str">
        <f t="shared" si="3"/>
        <v/>
      </c>
      <c r="X64" s="44" t="str">
        <f t="shared" si="4"/>
        <v/>
      </c>
      <c r="Y64" s="44" t="str">
        <f t="shared" si="5"/>
        <v/>
      </c>
      <c r="Z64" s="44" t="str">
        <f t="shared" si="6"/>
        <v/>
      </c>
      <c r="AA64" s="50" t="str">
        <f t="shared" si="7"/>
        <v/>
      </c>
      <c r="AB64" s="50" t="str">
        <f>IF(OR(B64="",C64&lt;&gt;"Expense"),"",IF(E64&gt;IFERROR(AVERAGEIFS($E$8:$E$1007,$I$8:$I$1007,I64,$C$8:$C$1007,"Expense")*SETTINGS!$B$20,0),"Unusually High","Normal"))</f>
        <v/>
      </c>
      <c r="AC64" s="51"/>
      <c r="AD64" s="51"/>
      <c r="AE64" s="51"/>
      <c r="AF64" s="50" t="str">
        <f>IF(A64&lt;&gt;"Yes","No",IF(AND(AC64="Yes",SETTINGS!$B$16="No"),"No","Yes"))</f>
        <v>No</v>
      </c>
      <c r="AG64" s="50" t="str">
        <f>IF(A64&lt;&gt;"Yes","",IF(OR(B64="",D64="",E64&lt;=0,F64="",I64=""),"Check Required Fields",IF(AA64="Possible Duplicate","Possible Duplicate",IF(E64&gt;SETTINGS!$B$22,"Review Extreme Value","OK"))))</f>
        <v/>
      </c>
    </row>
    <row r="65" spans="1:33" ht="14.4">
      <c r="A65" s="9"/>
      <c r="B65" s="13"/>
      <c r="C65" s="9"/>
      <c r="D65" s="9"/>
      <c r="E65" s="11"/>
      <c r="F65" s="9"/>
      <c r="G65" s="9"/>
      <c r="H65" s="44" t="str">
        <f>IF(D65="","",IF(ISNUMBER(SEARCH(SETTINGS!$K$4,D65)),SETTINGS!$L$4,IF(ISNUMBER(SEARCH(SETTINGS!$K$5,D65)),SETTINGS!$L$5,IF(ISNUMBER(SEARCH(SETTINGS!$K$6,D65)),SETTINGS!$L$6,IF(ISNUMBER(SEARCH(SETTINGS!$K$7,D65)),SETTINGS!$L$7,IF(ISNUMBER(SEARCH(SETTINGS!$K$8,D65)),SETTINGS!$L$8,IF(ISNUMBER(SEARCH(SETTINGS!$K$9,D65)),SETTINGS!$L$9,IF(ISNUMBER(SEARCH(SETTINGS!$K$10,D65)),SETTINGS!$L$10,IF(ISNUMBER(SEARCH(SETTINGS!$K$11,D65)),SETTINGS!$L$11,IF(ISNUMBER(SEARCH(SETTINGS!$K$12,D65)),SETTINGS!$L$12,IF(ISNUMBER(SEARCH(SETTINGS!$K$13,D65)),SETTINGS!$L$13,IF(ISNUMBER(SEARCH(SETTINGS!$K$14,D65)),SETTINGS!$L$14,IF(ISNUMBER(SEARCH(SETTINGS!$K$15,D65)),SETTINGS!$L$15,IF(ISNUMBER(SEARCH(SETTINGS!$K$16,D65)),SETTINGS!$L$16,IF(ISNUMBER(SEARCH(SETTINGS!$K$17,D65)),SETTINGS!$L$17,IF(ISNUMBER(SEARCH(SETTINGS!$K$18,D65)),SETTINGS!$L$18,"Miscellaneous"))))))))))))))))</f>
        <v/>
      </c>
      <c r="I65" s="44" t="str">
        <f t="shared" si="0"/>
        <v/>
      </c>
      <c r="J65" s="9"/>
      <c r="K65" s="9"/>
      <c r="L65" s="9"/>
      <c r="M65" s="9"/>
      <c r="N65" s="9"/>
      <c r="O65" s="9"/>
      <c r="P65" s="13"/>
      <c r="Q65" s="9"/>
      <c r="R65" s="9"/>
      <c r="S65" s="9"/>
      <c r="T65" s="11"/>
      <c r="U65" s="44" t="str">
        <f t="shared" si="1"/>
        <v/>
      </c>
      <c r="V65" s="44" t="str">
        <f t="shared" si="2"/>
        <v/>
      </c>
      <c r="W65" s="44" t="str">
        <f t="shared" si="3"/>
        <v/>
      </c>
      <c r="X65" s="44" t="str">
        <f t="shared" si="4"/>
        <v/>
      </c>
      <c r="Y65" s="44" t="str">
        <f t="shared" si="5"/>
        <v/>
      </c>
      <c r="Z65" s="44" t="str">
        <f t="shared" si="6"/>
        <v/>
      </c>
      <c r="AA65" s="50" t="str">
        <f t="shared" si="7"/>
        <v/>
      </c>
      <c r="AB65" s="50" t="str">
        <f>IF(OR(B65="",C65&lt;&gt;"Expense"),"",IF(E65&gt;IFERROR(AVERAGEIFS($E$8:$E$1007,$I$8:$I$1007,I65,$C$8:$C$1007,"Expense")*SETTINGS!$B$20,0),"Unusually High","Normal"))</f>
        <v/>
      </c>
      <c r="AC65" s="51"/>
      <c r="AD65" s="51"/>
      <c r="AE65" s="51"/>
      <c r="AF65" s="50" t="str">
        <f>IF(A65&lt;&gt;"Yes","No",IF(AND(AC65="Yes",SETTINGS!$B$16="No"),"No","Yes"))</f>
        <v>No</v>
      </c>
      <c r="AG65" s="50" t="str">
        <f>IF(A65&lt;&gt;"Yes","",IF(OR(B65="",D65="",E65&lt;=0,F65="",I65=""),"Check Required Fields",IF(AA65="Possible Duplicate","Possible Duplicate",IF(E65&gt;SETTINGS!$B$22,"Review Extreme Value","OK"))))</f>
        <v/>
      </c>
    </row>
    <row r="66" spans="1:33" ht="14.4">
      <c r="A66" s="9"/>
      <c r="B66" s="13"/>
      <c r="C66" s="9"/>
      <c r="D66" s="9"/>
      <c r="E66" s="11"/>
      <c r="F66" s="9"/>
      <c r="G66" s="9"/>
      <c r="H66" s="44" t="str">
        <f>IF(D66="","",IF(ISNUMBER(SEARCH(SETTINGS!$K$4,D66)),SETTINGS!$L$4,IF(ISNUMBER(SEARCH(SETTINGS!$K$5,D66)),SETTINGS!$L$5,IF(ISNUMBER(SEARCH(SETTINGS!$K$6,D66)),SETTINGS!$L$6,IF(ISNUMBER(SEARCH(SETTINGS!$K$7,D66)),SETTINGS!$L$7,IF(ISNUMBER(SEARCH(SETTINGS!$K$8,D66)),SETTINGS!$L$8,IF(ISNUMBER(SEARCH(SETTINGS!$K$9,D66)),SETTINGS!$L$9,IF(ISNUMBER(SEARCH(SETTINGS!$K$10,D66)),SETTINGS!$L$10,IF(ISNUMBER(SEARCH(SETTINGS!$K$11,D66)),SETTINGS!$L$11,IF(ISNUMBER(SEARCH(SETTINGS!$K$12,D66)),SETTINGS!$L$12,IF(ISNUMBER(SEARCH(SETTINGS!$K$13,D66)),SETTINGS!$L$13,IF(ISNUMBER(SEARCH(SETTINGS!$K$14,D66)),SETTINGS!$L$14,IF(ISNUMBER(SEARCH(SETTINGS!$K$15,D66)),SETTINGS!$L$15,IF(ISNUMBER(SEARCH(SETTINGS!$K$16,D66)),SETTINGS!$L$16,IF(ISNUMBER(SEARCH(SETTINGS!$K$17,D66)),SETTINGS!$L$17,IF(ISNUMBER(SEARCH(SETTINGS!$K$18,D66)),SETTINGS!$L$18,"Miscellaneous"))))))))))))))))</f>
        <v/>
      </c>
      <c r="I66" s="44" t="str">
        <f t="shared" si="0"/>
        <v/>
      </c>
      <c r="J66" s="9"/>
      <c r="K66" s="9"/>
      <c r="L66" s="9"/>
      <c r="M66" s="9"/>
      <c r="N66" s="9"/>
      <c r="O66" s="9"/>
      <c r="P66" s="13"/>
      <c r="Q66" s="9"/>
      <c r="R66" s="9"/>
      <c r="S66" s="9"/>
      <c r="T66" s="11"/>
      <c r="U66" s="44" t="str">
        <f t="shared" si="1"/>
        <v/>
      </c>
      <c r="V66" s="44" t="str">
        <f t="shared" si="2"/>
        <v/>
      </c>
      <c r="W66" s="44" t="str">
        <f t="shared" si="3"/>
        <v/>
      </c>
      <c r="X66" s="44" t="str">
        <f t="shared" si="4"/>
        <v/>
      </c>
      <c r="Y66" s="44" t="str">
        <f t="shared" si="5"/>
        <v/>
      </c>
      <c r="Z66" s="44" t="str">
        <f t="shared" si="6"/>
        <v/>
      </c>
      <c r="AA66" s="50" t="str">
        <f t="shared" si="7"/>
        <v/>
      </c>
      <c r="AB66" s="50" t="str">
        <f>IF(OR(B66="",C66&lt;&gt;"Expense"),"",IF(E66&gt;IFERROR(AVERAGEIFS($E$8:$E$1007,$I$8:$I$1007,I66,$C$8:$C$1007,"Expense")*SETTINGS!$B$20,0),"Unusually High","Normal"))</f>
        <v/>
      </c>
      <c r="AC66" s="51"/>
      <c r="AD66" s="51"/>
      <c r="AE66" s="51"/>
      <c r="AF66" s="50" t="str">
        <f>IF(A66&lt;&gt;"Yes","No",IF(AND(AC66="Yes",SETTINGS!$B$16="No"),"No","Yes"))</f>
        <v>No</v>
      </c>
      <c r="AG66" s="50" t="str">
        <f>IF(A66&lt;&gt;"Yes","",IF(OR(B66="",D66="",E66&lt;=0,F66="",I66=""),"Check Required Fields",IF(AA66="Possible Duplicate","Possible Duplicate",IF(E66&gt;SETTINGS!$B$22,"Review Extreme Value","OK"))))</f>
        <v/>
      </c>
    </row>
    <row r="67" spans="1:33" ht="14.4">
      <c r="A67" s="9"/>
      <c r="B67" s="13"/>
      <c r="C67" s="9"/>
      <c r="D67" s="9"/>
      <c r="E67" s="11"/>
      <c r="F67" s="9"/>
      <c r="G67" s="9"/>
      <c r="H67" s="44" t="str">
        <f>IF(D67="","",IF(ISNUMBER(SEARCH(SETTINGS!$K$4,D67)),SETTINGS!$L$4,IF(ISNUMBER(SEARCH(SETTINGS!$K$5,D67)),SETTINGS!$L$5,IF(ISNUMBER(SEARCH(SETTINGS!$K$6,D67)),SETTINGS!$L$6,IF(ISNUMBER(SEARCH(SETTINGS!$K$7,D67)),SETTINGS!$L$7,IF(ISNUMBER(SEARCH(SETTINGS!$K$8,D67)),SETTINGS!$L$8,IF(ISNUMBER(SEARCH(SETTINGS!$K$9,D67)),SETTINGS!$L$9,IF(ISNUMBER(SEARCH(SETTINGS!$K$10,D67)),SETTINGS!$L$10,IF(ISNUMBER(SEARCH(SETTINGS!$K$11,D67)),SETTINGS!$L$11,IF(ISNUMBER(SEARCH(SETTINGS!$K$12,D67)),SETTINGS!$L$12,IF(ISNUMBER(SEARCH(SETTINGS!$K$13,D67)),SETTINGS!$L$13,IF(ISNUMBER(SEARCH(SETTINGS!$K$14,D67)),SETTINGS!$L$14,IF(ISNUMBER(SEARCH(SETTINGS!$K$15,D67)),SETTINGS!$L$15,IF(ISNUMBER(SEARCH(SETTINGS!$K$16,D67)),SETTINGS!$L$16,IF(ISNUMBER(SEARCH(SETTINGS!$K$17,D67)),SETTINGS!$L$17,IF(ISNUMBER(SEARCH(SETTINGS!$K$18,D67)),SETTINGS!$L$18,"Miscellaneous"))))))))))))))))</f>
        <v/>
      </c>
      <c r="I67" s="44" t="str">
        <f t="shared" si="0"/>
        <v/>
      </c>
      <c r="J67" s="9"/>
      <c r="K67" s="9"/>
      <c r="L67" s="9"/>
      <c r="M67" s="9"/>
      <c r="N67" s="9"/>
      <c r="O67" s="9"/>
      <c r="P67" s="13"/>
      <c r="Q67" s="9"/>
      <c r="R67" s="9"/>
      <c r="S67" s="9"/>
      <c r="T67" s="11"/>
      <c r="U67" s="44" t="str">
        <f t="shared" si="1"/>
        <v/>
      </c>
      <c r="V67" s="44" t="str">
        <f t="shared" si="2"/>
        <v/>
      </c>
      <c r="W67" s="44" t="str">
        <f t="shared" si="3"/>
        <v/>
      </c>
      <c r="X67" s="44" t="str">
        <f t="shared" si="4"/>
        <v/>
      </c>
      <c r="Y67" s="44" t="str">
        <f t="shared" si="5"/>
        <v/>
      </c>
      <c r="Z67" s="44" t="str">
        <f t="shared" si="6"/>
        <v/>
      </c>
      <c r="AA67" s="50" t="str">
        <f t="shared" si="7"/>
        <v/>
      </c>
      <c r="AB67" s="50" t="str">
        <f>IF(OR(B67="",C67&lt;&gt;"Expense"),"",IF(E67&gt;IFERROR(AVERAGEIFS($E$8:$E$1007,$I$8:$I$1007,I67,$C$8:$C$1007,"Expense")*SETTINGS!$B$20,0),"Unusually High","Normal"))</f>
        <v/>
      </c>
      <c r="AC67" s="51"/>
      <c r="AD67" s="51"/>
      <c r="AE67" s="51"/>
      <c r="AF67" s="50" t="str">
        <f>IF(A67&lt;&gt;"Yes","No",IF(AND(AC67="Yes",SETTINGS!$B$16="No"),"No","Yes"))</f>
        <v>No</v>
      </c>
      <c r="AG67" s="50" t="str">
        <f>IF(A67&lt;&gt;"Yes","",IF(OR(B67="",D67="",E67&lt;=0,F67="",I67=""),"Check Required Fields",IF(AA67="Possible Duplicate","Possible Duplicate",IF(E67&gt;SETTINGS!$B$22,"Review Extreme Value","OK"))))</f>
        <v/>
      </c>
    </row>
    <row r="68" spans="1:33" ht="14.4">
      <c r="A68" s="9"/>
      <c r="B68" s="13"/>
      <c r="C68" s="9"/>
      <c r="D68" s="9"/>
      <c r="E68" s="11"/>
      <c r="F68" s="9"/>
      <c r="G68" s="9"/>
      <c r="H68" s="44" t="str">
        <f>IF(D68="","",IF(ISNUMBER(SEARCH(SETTINGS!$K$4,D68)),SETTINGS!$L$4,IF(ISNUMBER(SEARCH(SETTINGS!$K$5,D68)),SETTINGS!$L$5,IF(ISNUMBER(SEARCH(SETTINGS!$K$6,D68)),SETTINGS!$L$6,IF(ISNUMBER(SEARCH(SETTINGS!$K$7,D68)),SETTINGS!$L$7,IF(ISNUMBER(SEARCH(SETTINGS!$K$8,D68)),SETTINGS!$L$8,IF(ISNUMBER(SEARCH(SETTINGS!$K$9,D68)),SETTINGS!$L$9,IF(ISNUMBER(SEARCH(SETTINGS!$K$10,D68)),SETTINGS!$L$10,IF(ISNUMBER(SEARCH(SETTINGS!$K$11,D68)),SETTINGS!$L$11,IF(ISNUMBER(SEARCH(SETTINGS!$K$12,D68)),SETTINGS!$L$12,IF(ISNUMBER(SEARCH(SETTINGS!$K$13,D68)),SETTINGS!$L$13,IF(ISNUMBER(SEARCH(SETTINGS!$K$14,D68)),SETTINGS!$L$14,IF(ISNUMBER(SEARCH(SETTINGS!$K$15,D68)),SETTINGS!$L$15,IF(ISNUMBER(SEARCH(SETTINGS!$K$16,D68)),SETTINGS!$L$16,IF(ISNUMBER(SEARCH(SETTINGS!$K$17,D68)),SETTINGS!$L$17,IF(ISNUMBER(SEARCH(SETTINGS!$K$18,D68)),SETTINGS!$L$18,"Miscellaneous"))))))))))))))))</f>
        <v/>
      </c>
      <c r="I68" s="44" t="str">
        <f t="shared" si="0"/>
        <v/>
      </c>
      <c r="J68" s="9"/>
      <c r="K68" s="9"/>
      <c r="L68" s="9"/>
      <c r="M68" s="9"/>
      <c r="N68" s="9"/>
      <c r="O68" s="9"/>
      <c r="P68" s="13"/>
      <c r="Q68" s="9"/>
      <c r="R68" s="9"/>
      <c r="S68" s="9"/>
      <c r="T68" s="11"/>
      <c r="U68" s="44" t="str">
        <f t="shared" si="1"/>
        <v/>
      </c>
      <c r="V68" s="44" t="str">
        <f t="shared" si="2"/>
        <v/>
      </c>
      <c r="W68" s="44" t="str">
        <f t="shared" si="3"/>
        <v/>
      </c>
      <c r="X68" s="44" t="str">
        <f t="shared" si="4"/>
        <v/>
      </c>
      <c r="Y68" s="44" t="str">
        <f t="shared" si="5"/>
        <v/>
      </c>
      <c r="Z68" s="44" t="str">
        <f t="shared" si="6"/>
        <v/>
      </c>
      <c r="AA68" s="50" t="str">
        <f t="shared" si="7"/>
        <v/>
      </c>
      <c r="AB68" s="50" t="str">
        <f>IF(OR(B68="",C68&lt;&gt;"Expense"),"",IF(E68&gt;IFERROR(AVERAGEIFS($E$8:$E$1007,$I$8:$I$1007,I68,$C$8:$C$1007,"Expense")*SETTINGS!$B$20,0),"Unusually High","Normal"))</f>
        <v/>
      </c>
      <c r="AC68" s="51"/>
      <c r="AD68" s="51"/>
      <c r="AE68" s="51"/>
      <c r="AF68" s="50" t="str">
        <f>IF(A68&lt;&gt;"Yes","No",IF(AND(AC68="Yes",SETTINGS!$B$16="No"),"No","Yes"))</f>
        <v>No</v>
      </c>
      <c r="AG68" s="50" t="str">
        <f>IF(A68&lt;&gt;"Yes","",IF(OR(B68="",D68="",E68&lt;=0,F68="",I68=""),"Check Required Fields",IF(AA68="Possible Duplicate","Possible Duplicate",IF(E68&gt;SETTINGS!$B$22,"Review Extreme Value","OK"))))</f>
        <v/>
      </c>
    </row>
    <row r="69" spans="1:33" ht="14.4">
      <c r="A69" s="9"/>
      <c r="B69" s="13"/>
      <c r="C69" s="9"/>
      <c r="D69" s="9"/>
      <c r="E69" s="11"/>
      <c r="F69" s="9"/>
      <c r="G69" s="9"/>
      <c r="H69" s="44" t="str">
        <f>IF(D69="","",IF(ISNUMBER(SEARCH(SETTINGS!$K$4,D69)),SETTINGS!$L$4,IF(ISNUMBER(SEARCH(SETTINGS!$K$5,D69)),SETTINGS!$L$5,IF(ISNUMBER(SEARCH(SETTINGS!$K$6,D69)),SETTINGS!$L$6,IF(ISNUMBER(SEARCH(SETTINGS!$K$7,D69)),SETTINGS!$L$7,IF(ISNUMBER(SEARCH(SETTINGS!$K$8,D69)),SETTINGS!$L$8,IF(ISNUMBER(SEARCH(SETTINGS!$K$9,D69)),SETTINGS!$L$9,IF(ISNUMBER(SEARCH(SETTINGS!$K$10,D69)),SETTINGS!$L$10,IF(ISNUMBER(SEARCH(SETTINGS!$K$11,D69)),SETTINGS!$L$11,IF(ISNUMBER(SEARCH(SETTINGS!$K$12,D69)),SETTINGS!$L$12,IF(ISNUMBER(SEARCH(SETTINGS!$K$13,D69)),SETTINGS!$L$13,IF(ISNUMBER(SEARCH(SETTINGS!$K$14,D69)),SETTINGS!$L$14,IF(ISNUMBER(SEARCH(SETTINGS!$K$15,D69)),SETTINGS!$L$15,IF(ISNUMBER(SEARCH(SETTINGS!$K$16,D69)),SETTINGS!$L$16,IF(ISNUMBER(SEARCH(SETTINGS!$K$17,D69)),SETTINGS!$L$17,IF(ISNUMBER(SEARCH(SETTINGS!$K$18,D69)),SETTINGS!$L$18,"Miscellaneous"))))))))))))))))</f>
        <v/>
      </c>
      <c r="I69" s="44" t="str">
        <f t="shared" si="0"/>
        <v/>
      </c>
      <c r="J69" s="9"/>
      <c r="K69" s="9"/>
      <c r="L69" s="9"/>
      <c r="M69" s="9"/>
      <c r="N69" s="9"/>
      <c r="O69" s="9"/>
      <c r="P69" s="13"/>
      <c r="Q69" s="9"/>
      <c r="R69" s="9"/>
      <c r="S69" s="9"/>
      <c r="T69" s="11"/>
      <c r="U69" s="44" t="str">
        <f t="shared" si="1"/>
        <v/>
      </c>
      <c r="V69" s="44" t="str">
        <f t="shared" si="2"/>
        <v/>
      </c>
      <c r="W69" s="44" t="str">
        <f t="shared" si="3"/>
        <v/>
      </c>
      <c r="X69" s="44" t="str">
        <f t="shared" si="4"/>
        <v/>
      </c>
      <c r="Y69" s="44" t="str">
        <f t="shared" si="5"/>
        <v/>
      </c>
      <c r="Z69" s="44" t="str">
        <f t="shared" si="6"/>
        <v/>
      </c>
      <c r="AA69" s="50" t="str">
        <f t="shared" si="7"/>
        <v/>
      </c>
      <c r="AB69" s="50" t="str">
        <f>IF(OR(B69="",C69&lt;&gt;"Expense"),"",IF(E69&gt;IFERROR(AVERAGEIFS($E$8:$E$1007,$I$8:$I$1007,I69,$C$8:$C$1007,"Expense")*SETTINGS!$B$20,0),"Unusually High","Normal"))</f>
        <v/>
      </c>
      <c r="AC69" s="51"/>
      <c r="AD69" s="51"/>
      <c r="AE69" s="51"/>
      <c r="AF69" s="50" t="str">
        <f>IF(A69&lt;&gt;"Yes","No",IF(AND(AC69="Yes",SETTINGS!$B$16="No"),"No","Yes"))</f>
        <v>No</v>
      </c>
      <c r="AG69" s="50" t="str">
        <f>IF(A69&lt;&gt;"Yes","",IF(OR(B69="",D69="",E69&lt;=0,F69="",I69=""),"Check Required Fields",IF(AA69="Possible Duplicate","Possible Duplicate",IF(E69&gt;SETTINGS!$B$22,"Review Extreme Value","OK"))))</f>
        <v/>
      </c>
    </row>
    <row r="70" spans="1:33" ht="14.4">
      <c r="A70" s="9"/>
      <c r="B70" s="13"/>
      <c r="C70" s="9"/>
      <c r="D70" s="9"/>
      <c r="E70" s="11"/>
      <c r="F70" s="9"/>
      <c r="G70" s="9"/>
      <c r="H70" s="44" t="str">
        <f>IF(D70="","",IF(ISNUMBER(SEARCH(SETTINGS!$K$4,D70)),SETTINGS!$L$4,IF(ISNUMBER(SEARCH(SETTINGS!$K$5,D70)),SETTINGS!$L$5,IF(ISNUMBER(SEARCH(SETTINGS!$K$6,D70)),SETTINGS!$L$6,IF(ISNUMBER(SEARCH(SETTINGS!$K$7,D70)),SETTINGS!$L$7,IF(ISNUMBER(SEARCH(SETTINGS!$K$8,D70)),SETTINGS!$L$8,IF(ISNUMBER(SEARCH(SETTINGS!$K$9,D70)),SETTINGS!$L$9,IF(ISNUMBER(SEARCH(SETTINGS!$K$10,D70)),SETTINGS!$L$10,IF(ISNUMBER(SEARCH(SETTINGS!$K$11,D70)),SETTINGS!$L$11,IF(ISNUMBER(SEARCH(SETTINGS!$K$12,D70)),SETTINGS!$L$12,IF(ISNUMBER(SEARCH(SETTINGS!$K$13,D70)),SETTINGS!$L$13,IF(ISNUMBER(SEARCH(SETTINGS!$K$14,D70)),SETTINGS!$L$14,IF(ISNUMBER(SEARCH(SETTINGS!$K$15,D70)),SETTINGS!$L$15,IF(ISNUMBER(SEARCH(SETTINGS!$K$16,D70)),SETTINGS!$L$16,IF(ISNUMBER(SEARCH(SETTINGS!$K$17,D70)),SETTINGS!$L$17,IF(ISNUMBER(SEARCH(SETTINGS!$K$18,D70)),SETTINGS!$L$18,"Miscellaneous"))))))))))))))))</f>
        <v/>
      </c>
      <c r="I70" s="44" t="str">
        <f t="shared" si="0"/>
        <v/>
      </c>
      <c r="J70" s="9"/>
      <c r="K70" s="9"/>
      <c r="L70" s="9"/>
      <c r="M70" s="9"/>
      <c r="N70" s="9"/>
      <c r="O70" s="9"/>
      <c r="P70" s="13"/>
      <c r="Q70" s="9"/>
      <c r="R70" s="9"/>
      <c r="S70" s="9"/>
      <c r="T70" s="11"/>
      <c r="U70" s="44" t="str">
        <f t="shared" si="1"/>
        <v/>
      </c>
      <c r="V70" s="44" t="str">
        <f t="shared" si="2"/>
        <v/>
      </c>
      <c r="W70" s="44" t="str">
        <f t="shared" si="3"/>
        <v/>
      </c>
      <c r="X70" s="44" t="str">
        <f t="shared" si="4"/>
        <v/>
      </c>
      <c r="Y70" s="44" t="str">
        <f t="shared" si="5"/>
        <v/>
      </c>
      <c r="Z70" s="44" t="str">
        <f t="shared" si="6"/>
        <v/>
      </c>
      <c r="AA70" s="50" t="str">
        <f t="shared" si="7"/>
        <v/>
      </c>
      <c r="AB70" s="50" t="str">
        <f>IF(OR(B70="",C70&lt;&gt;"Expense"),"",IF(E70&gt;IFERROR(AVERAGEIFS($E$8:$E$1007,$I$8:$I$1007,I70,$C$8:$C$1007,"Expense")*SETTINGS!$B$20,0),"Unusually High","Normal"))</f>
        <v/>
      </c>
      <c r="AC70" s="51"/>
      <c r="AD70" s="51"/>
      <c r="AE70" s="51"/>
      <c r="AF70" s="50" t="str">
        <f>IF(A70&lt;&gt;"Yes","No",IF(AND(AC70="Yes",SETTINGS!$B$16="No"),"No","Yes"))</f>
        <v>No</v>
      </c>
      <c r="AG70" s="50" t="str">
        <f>IF(A70&lt;&gt;"Yes","",IF(OR(B70="",D70="",E70&lt;=0,F70="",I70=""),"Check Required Fields",IF(AA70="Possible Duplicate","Possible Duplicate",IF(E70&gt;SETTINGS!$B$22,"Review Extreme Value","OK"))))</f>
        <v/>
      </c>
    </row>
    <row r="71" spans="1:33" ht="14.4">
      <c r="A71" s="9"/>
      <c r="B71" s="13"/>
      <c r="C71" s="9"/>
      <c r="D71" s="9"/>
      <c r="E71" s="11"/>
      <c r="F71" s="9"/>
      <c r="G71" s="9"/>
      <c r="H71" s="44" t="str">
        <f>IF(D71="","",IF(ISNUMBER(SEARCH(SETTINGS!$K$4,D71)),SETTINGS!$L$4,IF(ISNUMBER(SEARCH(SETTINGS!$K$5,D71)),SETTINGS!$L$5,IF(ISNUMBER(SEARCH(SETTINGS!$K$6,D71)),SETTINGS!$L$6,IF(ISNUMBER(SEARCH(SETTINGS!$K$7,D71)),SETTINGS!$L$7,IF(ISNUMBER(SEARCH(SETTINGS!$K$8,D71)),SETTINGS!$L$8,IF(ISNUMBER(SEARCH(SETTINGS!$K$9,D71)),SETTINGS!$L$9,IF(ISNUMBER(SEARCH(SETTINGS!$K$10,D71)),SETTINGS!$L$10,IF(ISNUMBER(SEARCH(SETTINGS!$K$11,D71)),SETTINGS!$L$11,IF(ISNUMBER(SEARCH(SETTINGS!$K$12,D71)),SETTINGS!$L$12,IF(ISNUMBER(SEARCH(SETTINGS!$K$13,D71)),SETTINGS!$L$13,IF(ISNUMBER(SEARCH(SETTINGS!$K$14,D71)),SETTINGS!$L$14,IF(ISNUMBER(SEARCH(SETTINGS!$K$15,D71)),SETTINGS!$L$15,IF(ISNUMBER(SEARCH(SETTINGS!$K$16,D71)),SETTINGS!$L$16,IF(ISNUMBER(SEARCH(SETTINGS!$K$17,D71)),SETTINGS!$L$17,IF(ISNUMBER(SEARCH(SETTINGS!$K$18,D71)),SETTINGS!$L$18,"Miscellaneous"))))))))))))))))</f>
        <v/>
      </c>
      <c r="I71" s="44" t="str">
        <f t="shared" si="0"/>
        <v/>
      </c>
      <c r="J71" s="9"/>
      <c r="K71" s="9"/>
      <c r="L71" s="9"/>
      <c r="M71" s="9"/>
      <c r="N71" s="9"/>
      <c r="O71" s="9"/>
      <c r="P71" s="13"/>
      <c r="Q71" s="9"/>
      <c r="R71" s="9"/>
      <c r="S71" s="9"/>
      <c r="T71" s="11"/>
      <c r="U71" s="44" t="str">
        <f t="shared" si="1"/>
        <v/>
      </c>
      <c r="V71" s="44" t="str">
        <f t="shared" si="2"/>
        <v/>
      </c>
      <c r="W71" s="44" t="str">
        <f t="shared" si="3"/>
        <v/>
      </c>
      <c r="X71" s="44" t="str">
        <f t="shared" si="4"/>
        <v/>
      </c>
      <c r="Y71" s="44" t="str">
        <f t="shared" si="5"/>
        <v/>
      </c>
      <c r="Z71" s="44" t="str">
        <f t="shared" si="6"/>
        <v/>
      </c>
      <c r="AA71" s="50" t="str">
        <f t="shared" si="7"/>
        <v/>
      </c>
      <c r="AB71" s="50" t="str">
        <f>IF(OR(B71="",C71&lt;&gt;"Expense"),"",IF(E71&gt;IFERROR(AVERAGEIFS($E$8:$E$1007,$I$8:$I$1007,I71,$C$8:$C$1007,"Expense")*SETTINGS!$B$20,0),"Unusually High","Normal"))</f>
        <v/>
      </c>
      <c r="AC71" s="51"/>
      <c r="AD71" s="51"/>
      <c r="AE71" s="51"/>
      <c r="AF71" s="50" t="str">
        <f>IF(A71&lt;&gt;"Yes","No",IF(AND(AC71="Yes",SETTINGS!$B$16="No"),"No","Yes"))</f>
        <v>No</v>
      </c>
      <c r="AG71" s="50" t="str">
        <f>IF(A71&lt;&gt;"Yes","",IF(OR(B71="",D71="",E71&lt;=0,F71="",I71=""),"Check Required Fields",IF(AA71="Possible Duplicate","Possible Duplicate",IF(E71&gt;SETTINGS!$B$22,"Review Extreme Value","OK"))))</f>
        <v/>
      </c>
    </row>
    <row r="72" spans="1:33" ht="14.4">
      <c r="A72" s="9"/>
      <c r="B72" s="13"/>
      <c r="C72" s="9"/>
      <c r="D72" s="9"/>
      <c r="E72" s="11"/>
      <c r="F72" s="9"/>
      <c r="G72" s="9"/>
      <c r="H72" s="44" t="str">
        <f>IF(D72="","",IF(ISNUMBER(SEARCH(SETTINGS!$K$4,D72)),SETTINGS!$L$4,IF(ISNUMBER(SEARCH(SETTINGS!$K$5,D72)),SETTINGS!$L$5,IF(ISNUMBER(SEARCH(SETTINGS!$K$6,D72)),SETTINGS!$L$6,IF(ISNUMBER(SEARCH(SETTINGS!$K$7,D72)),SETTINGS!$L$7,IF(ISNUMBER(SEARCH(SETTINGS!$K$8,D72)),SETTINGS!$L$8,IF(ISNUMBER(SEARCH(SETTINGS!$K$9,D72)),SETTINGS!$L$9,IF(ISNUMBER(SEARCH(SETTINGS!$K$10,D72)),SETTINGS!$L$10,IF(ISNUMBER(SEARCH(SETTINGS!$K$11,D72)),SETTINGS!$L$11,IF(ISNUMBER(SEARCH(SETTINGS!$K$12,D72)),SETTINGS!$L$12,IF(ISNUMBER(SEARCH(SETTINGS!$K$13,D72)),SETTINGS!$L$13,IF(ISNUMBER(SEARCH(SETTINGS!$K$14,D72)),SETTINGS!$L$14,IF(ISNUMBER(SEARCH(SETTINGS!$K$15,D72)),SETTINGS!$L$15,IF(ISNUMBER(SEARCH(SETTINGS!$K$16,D72)),SETTINGS!$L$16,IF(ISNUMBER(SEARCH(SETTINGS!$K$17,D72)),SETTINGS!$L$17,IF(ISNUMBER(SEARCH(SETTINGS!$K$18,D72)),SETTINGS!$L$18,"Miscellaneous"))))))))))))))))</f>
        <v/>
      </c>
      <c r="I72" s="44" t="str">
        <f t="shared" ref="I72:I135" si="8">IF(B72="","",IF(G72&lt;&gt;"",G72,H72))</f>
        <v/>
      </c>
      <c r="J72" s="9"/>
      <c r="K72" s="9"/>
      <c r="L72" s="9"/>
      <c r="M72" s="9"/>
      <c r="N72" s="9"/>
      <c r="O72" s="9"/>
      <c r="P72" s="13"/>
      <c r="Q72" s="9"/>
      <c r="R72" s="9"/>
      <c r="S72" s="9"/>
      <c r="T72" s="11"/>
      <c r="U72" s="44" t="str">
        <f t="shared" ref="U72:U135" si="9">IF(B72="","",IF(C72="Income","INC-",IF(C72="Expense","EXP-","TRX-"))&amp;TEXT(YEAR(B72),"0000")&amp;"-"&amp;TEXT(ROW()-7,"0000"))</f>
        <v/>
      </c>
      <c r="V72" s="44" t="str">
        <f t="shared" ref="V72:V135" si="10">IF(B72="","",TEXT(B72,"mmmm"))</f>
        <v/>
      </c>
      <c r="W72" s="44" t="str">
        <f t="shared" ref="W72:W135" si="11">IF(B72="","",MONTH(B72))</f>
        <v/>
      </c>
      <c r="X72" s="44" t="str">
        <f t="shared" ref="X72:X135" si="12">IF(B72="","",YEAR(B72))</f>
        <v/>
      </c>
      <c r="Y72" s="44" t="str">
        <f t="shared" ref="Y72:Y135" si="13">IF(B72="","",DAY(B72))</f>
        <v/>
      </c>
      <c r="Z72" s="44" t="str">
        <f t="shared" ref="Z72:Z135" si="14">IF(B72="","",IF(WEEKDAY(B72,2)&gt;5,"Weekend","Weekday"))</f>
        <v/>
      </c>
      <c r="AA72" s="50" t="str">
        <f t="shared" ref="AA72:AA135" si="15">IF(B72="","",IF(COUNTIFS($B$8:$B$1007,B72,$E$8:$E$1007,E72,$D$8:$D$1007,D72,$I$8:$I$1007,I72)&gt;1,"Possible Duplicate","OK"))</f>
        <v/>
      </c>
      <c r="AB72" s="50" t="str">
        <f>IF(OR(B72="",C72&lt;&gt;"Expense"),"",IF(E72&gt;IFERROR(AVERAGEIFS($E$8:$E$1007,$I$8:$I$1007,I72,$C$8:$C$1007,"Expense")*SETTINGS!$B$20,0),"Unusually High","Normal"))</f>
        <v/>
      </c>
      <c r="AC72" s="51"/>
      <c r="AD72" s="51"/>
      <c r="AE72" s="51"/>
      <c r="AF72" s="50" t="str">
        <f>IF(A72&lt;&gt;"Yes","No",IF(AND(AC72="Yes",SETTINGS!$B$16="No"),"No","Yes"))</f>
        <v>No</v>
      </c>
      <c r="AG72" s="50" t="str">
        <f>IF(A72&lt;&gt;"Yes","",IF(OR(B72="",D72="",E72&lt;=0,F72="",I72=""),"Check Required Fields",IF(AA72="Possible Duplicate","Possible Duplicate",IF(E72&gt;SETTINGS!$B$22,"Review Extreme Value","OK"))))</f>
        <v/>
      </c>
    </row>
    <row r="73" spans="1:33" ht="14.4">
      <c r="A73" s="9"/>
      <c r="B73" s="13"/>
      <c r="C73" s="9"/>
      <c r="D73" s="9"/>
      <c r="E73" s="11"/>
      <c r="F73" s="9"/>
      <c r="G73" s="9"/>
      <c r="H73" s="44" t="str">
        <f>IF(D73="","",IF(ISNUMBER(SEARCH(SETTINGS!$K$4,D73)),SETTINGS!$L$4,IF(ISNUMBER(SEARCH(SETTINGS!$K$5,D73)),SETTINGS!$L$5,IF(ISNUMBER(SEARCH(SETTINGS!$K$6,D73)),SETTINGS!$L$6,IF(ISNUMBER(SEARCH(SETTINGS!$K$7,D73)),SETTINGS!$L$7,IF(ISNUMBER(SEARCH(SETTINGS!$K$8,D73)),SETTINGS!$L$8,IF(ISNUMBER(SEARCH(SETTINGS!$K$9,D73)),SETTINGS!$L$9,IF(ISNUMBER(SEARCH(SETTINGS!$K$10,D73)),SETTINGS!$L$10,IF(ISNUMBER(SEARCH(SETTINGS!$K$11,D73)),SETTINGS!$L$11,IF(ISNUMBER(SEARCH(SETTINGS!$K$12,D73)),SETTINGS!$L$12,IF(ISNUMBER(SEARCH(SETTINGS!$K$13,D73)),SETTINGS!$L$13,IF(ISNUMBER(SEARCH(SETTINGS!$K$14,D73)),SETTINGS!$L$14,IF(ISNUMBER(SEARCH(SETTINGS!$K$15,D73)),SETTINGS!$L$15,IF(ISNUMBER(SEARCH(SETTINGS!$K$16,D73)),SETTINGS!$L$16,IF(ISNUMBER(SEARCH(SETTINGS!$K$17,D73)),SETTINGS!$L$17,IF(ISNUMBER(SEARCH(SETTINGS!$K$18,D73)),SETTINGS!$L$18,"Miscellaneous"))))))))))))))))</f>
        <v/>
      </c>
      <c r="I73" s="44" t="str">
        <f t="shared" si="8"/>
        <v/>
      </c>
      <c r="J73" s="9"/>
      <c r="K73" s="9"/>
      <c r="L73" s="9"/>
      <c r="M73" s="9"/>
      <c r="N73" s="9"/>
      <c r="O73" s="9"/>
      <c r="P73" s="13"/>
      <c r="Q73" s="9"/>
      <c r="R73" s="9"/>
      <c r="S73" s="9"/>
      <c r="T73" s="11"/>
      <c r="U73" s="44" t="str">
        <f t="shared" si="9"/>
        <v/>
      </c>
      <c r="V73" s="44" t="str">
        <f t="shared" si="10"/>
        <v/>
      </c>
      <c r="W73" s="44" t="str">
        <f t="shared" si="11"/>
        <v/>
      </c>
      <c r="X73" s="44" t="str">
        <f t="shared" si="12"/>
        <v/>
      </c>
      <c r="Y73" s="44" t="str">
        <f t="shared" si="13"/>
        <v/>
      </c>
      <c r="Z73" s="44" t="str">
        <f t="shared" si="14"/>
        <v/>
      </c>
      <c r="AA73" s="50" t="str">
        <f t="shared" si="15"/>
        <v/>
      </c>
      <c r="AB73" s="50" t="str">
        <f>IF(OR(B73="",C73&lt;&gt;"Expense"),"",IF(E73&gt;IFERROR(AVERAGEIFS($E$8:$E$1007,$I$8:$I$1007,I73,$C$8:$C$1007,"Expense")*SETTINGS!$B$20,0),"Unusually High","Normal"))</f>
        <v/>
      </c>
      <c r="AC73" s="51"/>
      <c r="AD73" s="51"/>
      <c r="AE73" s="51"/>
      <c r="AF73" s="50" t="str">
        <f>IF(A73&lt;&gt;"Yes","No",IF(AND(AC73="Yes",SETTINGS!$B$16="No"),"No","Yes"))</f>
        <v>No</v>
      </c>
      <c r="AG73" s="50" t="str">
        <f>IF(A73&lt;&gt;"Yes","",IF(OR(B73="",D73="",E73&lt;=0,F73="",I73=""),"Check Required Fields",IF(AA73="Possible Duplicate","Possible Duplicate",IF(E73&gt;SETTINGS!$B$22,"Review Extreme Value","OK"))))</f>
        <v/>
      </c>
    </row>
    <row r="74" spans="1:33" ht="14.4">
      <c r="A74" s="9"/>
      <c r="B74" s="13"/>
      <c r="C74" s="9"/>
      <c r="D74" s="9"/>
      <c r="E74" s="11"/>
      <c r="F74" s="9"/>
      <c r="G74" s="9"/>
      <c r="H74" s="44" t="str">
        <f>IF(D74="","",IF(ISNUMBER(SEARCH(SETTINGS!$K$4,D74)),SETTINGS!$L$4,IF(ISNUMBER(SEARCH(SETTINGS!$K$5,D74)),SETTINGS!$L$5,IF(ISNUMBER(SEARCH(SETTINGS!$K$6,D74)),SETTINGS!$L$6,IF(ISNUMBER(SEARCH(SETTINGS!$K$7,D74)),SETTINGS!$L$7,IF(ISNUMBER(SEARCH(SETTINGS!$K$8,D74)),SETTINGS!$L$8,IF(ISNUMBER(SEARCH(SETTINGS!$K$9,D74)),SETTINGS!$L$9,IF(ISNUMBER(SEARCH(SETTINGS!$K$10,D74)),SETTINGS!$L$10,IF(ISNUMBER(SEARCH(SETTINGS!$K$11,D74)),SETTINGS!$L$11,IF(ISNUMBER(SEARCH(SETTINGS!$K$12,D74)),SETTINGS!$L$12,IF(ISNUMBER(SEARCH(SETTINGS!$K$13,D74)),SETTINGS!$L$13,IF(ISNUMBER(SEARCH(SETTINGS!$K$14,D74)),SETTINGS!$L$14,IF(ISNUMBER(SEARCH(SETTINGS!$K$15,D74)),SETTINGS!$L$15,IF(ISNUMBER(SEARCH(SETTINGS!$K$16,D74)),SETTINGS!$L$16,IF(ISNUMBER(SEARCH(SETTINGS!$K$17,D74)),SETTINGS!$L$17,IF(ISNUMBER(SEARCH(SETTINGS!$K$18,D74)),SETTINGS!$L$18,"Miscellaneous"))))))))))))))))</f>
        <v/>
      </c>
      <c r="I74" s="44" t="str">
        <f t="shared" si="8"/>
        <v/>
      </c>
      <c r="J74" s="9"/>
      <c r="K74" s="9"/>
      <c r="L74" s="9"/>
      <c r="M74" s="9"/>
      <c r="N74" s="9"/>
      <c r="O74" s="9"/>
      <c r="P74" s="13"/>
      <c r="Q74" s="9"/>
      <c r="R74" s="9"/>
      <c r="S74" s="9"/>
      <c r="T74" s="11"/>
      <c r="U74" s="44" t="str">
        <f t="shared" si="9"/>
        <v/>
      </c>
      <c r="V74" s="44" t="str">
        <f t="shared" si="10"/>
        <v/>
      </c>
      <c r="W74" s="44" t="str">
        <f t="shared" si="11"/>
        <v/>
      </c>
      <c r="X74" s="44" t="str">
        <f t="shared" si="12"/>
        <v/>
      </c>
      <c r="Y74" s="44" t="str">
        <f t="shared" si="13"/>
        <v/>
      </c>
      <c r="Z74" s="44" t="str">
        <f t="shared" si="14"/>
        <v/>
      </c>
      <c r="AA74" s="50" t="str">
        <f t="shared" si="15"/>
        <v/>
      </c>
      <c r="AB74" s="50" t="str">
        <f>IF(OR(B74="",C74&lt;&gt;"Expense"),"",IF(E74&gt;IFERROR(AVERAGEIFS($E$8:$E$1007,$I$8:$I$1007,I74,$C$8:$C$1007,"Expense")*SETTINGS!$B$20,0),"Unusually High","Normal"))</f>
        <v/>
      </c>
      <c r="AC74" s="51"/>
      <c r="AD74" s="51"/>
      <c r="AE74" s="51"/>
      <c r="AF74" s="50" t="str">
        <f>IF(A74&lt;&gt;"Yes","No",IF(AND(AC74="Yes",SETTINGS!$B$16="No"),"No","Yes"))</f>
        <v>No</v>
      </c>
      <c r="AG74" s="50" t="str">
        <f>IF(A74&lt;&gt;"Yes","",IF(OR(B74="",D74="",E74&lt;=0,F74="",I74=""),"Check Required Fields",IF(AA74="Possible Duplicate","Possible Duplicate",IF(E74&gt;SETTINGS!$B$22,"Review Extreme Value","OK"))))</f>
        <v/>
      </c>
    </row>
    <row r="75" spans="1:33" ht="14.4">
      <c r="A75" s="9"/>
      <c r="B75" s="13"/>
      <c r="C75" s="9"/>
      <c r="D75" s="9"/>
      <c r="E75" s="11"/>
      <c r="F75" s="9"/>
      <c r="G75" s="9"/>
      <c r="H75" s="44" t="str">
        <f>IF(D75="","",IF(ISNUMBER(SEARCH(SETTINGS!$K$4,D75)),SETTINGS!$L$4,IF(ISNUMBER(SEARCH(SETTINGS!$K$5,D75)),SETTINGS!$L$5,IF(ISNUMBER(SEARCH(SETTINGS!$K$6,D75)),SETTINGS!$L$6,IF(ISNUMBER(SEARCH(SETTINGS!$K$7,D75)),SETTINGS!$L$7,IF(ISNUMBER(SEARCH(SETTINGS!$K$8,D75)),SETTINGS!$L$8,IF(ISNUMBER(SEARCH(SETTINGS!$K$9,D75)),SETTINGS!$L$9,IF(ISNUMBER(SEARCH(SETTINGS!$K$10,D75)),SETTINGS!$L$10,IF(ISNUMBER(SEARCH(SETTINGS!$K$11,D75)),SETTINGS!$L$11,IF(ISNUMBER(SEARCH(SETTINGS!$K$12,D75)),SETTINGS!$L$12,IF(ISNUMBER(SEARCH(SETTINGS!$K$13,D75)),SETTINGS!$L$13,IF(ISNUMBER(SEARCH(SETTINGS!$K$14,D75)),SETTINGS!$L$14,IF(ISNUMBER(SEARCH(SETTINGS!$K$15,D75)),SETTINGS!$L$15,IF(ISNUMBER(SEARCH(SETTINGS!$K$16,D75)),SETTINGS!$L$16,IF(ISNUMBER(SEARCH(SETTINGS!$K$17,D75)),SETTINGS!$L$17,IF(ISNUMBER(SEARCH(SETTINGS!$K$18,D75)),SETTINGS!$L$18,"Miscellaneous"))))))))))))))))</f>
        <v/>
      </c>
      <c r="I75" s="44" t="str">
        <f t="shared" si="8"/>
        <v/>
      </c>
      <c r="J75" s="9"/>
      <c r="K75" s="9"/>
      <c r="L75" s="9"/>
      <c r="M75" s="9"/>
      <c r="N75" s="9"/>
      <c r="O75" s="9"/>
      <c r="P75" s="13"/>
      <c r="Q75" s="9"/>
      <c r="R75" s="9"/>
      <c r="S75" s="9"/>
      <c r="T75" s="11"/>
      <c r="U75" s="44" t="str">
        <f t="shared" si="9"/>
        <v/>
      </c>
      <c r="V75" s="44" t="str">
        <f t="shared" si="10"/>
        <v/>
      </c>
      <c r="W75" s="44" t="str">
        <f t="shared" si="11"/>
        <v/>
      </c>
      <c r="X75" s="44" t="str">
        <f t="shared" si="12"/>
        <v/>
      </c>
      <c r="Y75" s="44" t="str">
        <f t="shared" si="13"/>
        <v/>
      </c>
      <c r="Z75" s="44" t="str">
        <f t="shared" si="14"/>
        <v/>
      </c>
      <c r="AA75" s="50" t="str">
        <f t="shared" si="15"/>
        <v/>
      </c>
      <c r="AB75" s="50" t="str">
        <f>IF(OR(B75="",C75&lt;&gt;"Expense"),"",IF(E75&gt;IFERROR(AVERAGEIFS($E$8:$E$1007,$I$8:$I$1007,I75,$C$8:$C$1007,"Expense")*SETTINGS!$B$20,0),"Unusually High","Normal"))</f>
        <v/>
      </c>
      <c r="AC75" s="51"/>
      <c r="AD75" s="51"/>
      <c r="AE75" s="51"/>
      <c r="AF75" s="50" t="str">
        <f>IF(A75&lt;&gt;"Yes","No",IF(AND(AC75="Yes",SETTINGS!$B$16="No"),"No","Yes"))</f>
        <v>No</v>
      </c>
      <c r="AG75" s="50" t="str">
        <f>IF(A75&lt;&gt;"Yes","",IF(OR(B75="",D75="",E75&lt;=0,F75="",I75=""),"Check Required Fields",IF(AA75="Possible Duplicate","Possible Duplicate",IF(E75&gt;SETTINGS!$B$22,"Review Extreme Value","OK"))))</f>
        <v/>
      </c>
    </row>
    <row r="76" spans="1:33" ht="14.4">
      <c r="A76" s="9"/>
      <c r="B76" s="13"/>
      <c r="C76" s="9"/>
      <c r="D76" s="9"/>
      <c r="E76" s="11"/>
      <c r="F76" s="9"/>
      <c r="G76" s="9"/>
      <c r="H76" s="44" t="str">
        <f>IF(D76="","",IF(ISNUMBER(SEARCH(SETTINGS!$K$4,D76)),SETTINGS!$L$4,IF(ISNUMBER(SEARCH(SETTINGS!$K$5,D76)),SETTINGS!$L$5,IF(ISNUMBER(SEARCH(SETTINGS!$K$6,D76)),SETTINGS!$L$6,IF(ISNUMBER(SEARCH(SETTINGS!$K$7,D76)),SETTINGS!$L$7,IF(ISNUMBER(SEARCH(SETTINGS!$K$8,D76)),SETTINGS!$L$8,IF(ISNUMBER(SEARCH(SETTINGS!$K$9,D76)),SETTINGS!$L$9,IF(ISNUMBER(SEARCH(SETTINGS!$K$10,D76)),SETTINGS!$L$10,IF(ISNUMBER(SEARCH(SETTINGS!$K$11,D76)),SETTINGS!$L$11,IF(ISNUMBER(SEARCH(SETTINGS!$K$12,D76)),SETTINGS!$L$12,IF(ISNUMBER(SEARCH(SETTINGS!$K$13,D76)),SETTINGS!$L$13,IF(ISNUMBER(SEARCH(SETTINGS!$K$14,D76)),SETTINGS!$L$14,IF(ISNUMBER(SEARCH(SETTINGS!$K$15,D76)),SETTINGS!$L$15,IF(ISNUMBER(SEARCH(SETTINGS!$K$16,D76)),SETTINGS!$L$16,IF(ISNUMBER(SEARCH(SETTINGS!$K$17,D76)),SETTINGS!$L$17,IF(ISNUMBER(SEARCH(SETTINGS!$K$18,D76)),SETTINGS!$L$18,"Miscellaneous"))))))))))))))))</f>
        <v/>
      </c>
      <c r="I76" s="44" t="str">
        <f t="shared" si="8"/>
        <v/>
      </c>
      <c r="J76" s="9"/>
      <c r="K76" s="9"/>
      <c r="L76" s="9"/>
      <c r="M76" s="9"/>
      <c r="N76" s="9"/>
      <c r="O76" s="9"/>
      <c r="P76" s="13"/>
      <c r="Q76" s="9"/>
      <c r="R76" s="9"/>
      <c r="S76" s="9"/>
      <c r="T76" s="11"/>
      <c r="U76" s="44" t="str">
        <f t="shared" si="9"/>
        <v/>
      </c>
      <c r="V76" s="44" t="str">
        <f t="shared" si="10"/>
        <v/>
      </c>
      <c r="W76" s="44" t="str">
        <f t="shared" si="11"/>
        <v/>
      </c>
      <c r="X76" s="44" t="str">
        <f t="shared" si="12"/>
        <v/>
      </c>
      <c r="Y76" s="44" t="str">
        <f t="shared" si="13"/>
        <v/>
      </c>
      <c r="Z76" s="44" t="str">
        <f t="shared" si="14"/>
        <v/>
      </c>
      <c r="AA76" s="50" t="str">
        <f t="shared" si="15"/>
        <v/>
      </c>
      <c r="AB76" s="50" t="str">
        <f>IF(OR(B76="",C76&lt;&gt;"Expense"),"",IF(E76&gt;IFERROR(AVERAGEIFS($E$8:$E$1007,$I$8:$I$1007,I76,$C$8:$C$1007,"Expense")*SETTINGS!$B$20,0),"Unusually High","Normal"))</f>
        <v/>
      </c>
      <c r="AC76" s="51"/>
      <c r="AD76" s="51"/>
      <c r="AE76" s="51"/>
      <c r="AF76" s="50" t="str">
        <f>IF(A76&lt;&gt;"Yes","No",IF(AND(AC76="Yes",SETTINGS!$B$16="No"),"No","Yes"))</f>
        <v>No</v>
      </c>
      <c r="AG76" s="50" t="str">
        <f>IF(A76&lt;&gt;"Yes","",IF(OR(B76="",D76="",E76&lt;=0,F76="",I76=""),"Check Required Fields",IF(AA76="Possible Duplicate","Possible Duplicate",IF(E76&gt;SETTINGS!$B$22,"Review Extreme Value","OK"))))</f>
        <v/>
      </c>
    </row>
    <row r="77" spans="1:33" ht="14.4">
      <c r="A77" s="9"/>
      <c r="B77" s="13"/>
      <c r="C77" s="9"/>
      <c r="D77" s="9"/>
      <c r="E77" s="11"/>
      <c r="F77" s="9"/>
      <c r="G77" s="9"/>
      <c r="H77" s="44" t="str">
        <f>IF(D77="","",IF(ISNUMBER(SEARCH(SETTINGS!$K$4,D77)),SETTINGS!$L$4,IF(ISNUMBER(SEARCH(SETTINGS!$K$5,D77)),SETTINGS!$L$5,IF(ISNUMBER(SEARCH(SETTINGS!$K$6,D77)),SETTINGS!$L$6,IF(ISNUMBER(SEARCH(SETTINGS!$K$7,D77)),SETTINGS!$L$7,IF(ISNUMBER(SEARCH(SETTINGS!$K$8,D77)),SETTINGS!$L$8,IF(ISNUMBER(SEARCH(SETTINGS!$K$9,D77)),SETTINGS!$L$9,IF(ISNUMBER(SEARCH(SETTINGS!$K$10,D77)),SETTINGS!$L$10,IF(ISNUMBER(SEARCH(SETTINGS!$K$11,D77)),SETTINGS!$L$11,IF(ISNUMBER(SEARCH(SETTINGS!$K$12,D77)),SETTINGS!$L$12,IF(ISNUMBER(SEARCH(SETTINGS!$K$13,D77)),SETTINGS!$L$13,IF(ISNUMBER(SEARCH(SETTINGS!$K$14,D77)),SETTINGS!$L$14,IF(ISNUMBER(SEARCH(SETTINGS!$K$15,D77)),SETTINGS!$L$15,IF(ISNUMBER(SEARCH(SETTINGS!$K$16,D77)),SETTINGS!$L$16,IF(ISNUMBER(SEARCH(SETTINGS!$K$17,D77)),SETTINGS!$L$17,IF(ISNUMBER(SEARCH(SETTINGS!$K$18,D77)),SETTINGS!$L$18,"Miscellaneous"))))))))))))))))</f>
        <v/>
      </c>
      <c r="I77" s="44" t="str">
        <f t="shared" si="8"/>
        <v/>
      </c>
      <c r="J77" s="9"/>
      <c r="K77" s="9"/>
      <c r="L77" s="9"/>
      <c r="M77" s="9"/>
      <c r="N77" s="9"/>
      <c r="O77" s="9"/>
      <c r="P77" s="13"/>
      <c r="Q77" s="9"/>
      <c r="R77" s="9"/>
      <c r="S77" s="9"/>
      <c r="T77" s="11"/>
      <c r="U77" s="44" t="str">
        <f t="shared" si="9"/>
        <v/>
      </c>
      <c r="V77" s="44" t="str">
        <f t="shared" si="10"/>
        <v/>
      </c>
      <c r="W77" s="44" t="str">
        <f t="shared" si="11"/>
        <v/>
      </c>
      <c r="X77" s="44" t="str">
        <f t="shared" si="12"/>
        <v/>
      </c>
      <c r="Y77" s="44" t="str">
        <f t="shared" si="13"/>
        <v/>
      </c>
      <c r="Z77" s="44" t="str">
        <f t="shared" si="14"/>
        <v/>
      </c>
      <c r="AA77" s="50" t="str">
        <f t="shared" si="15"/>
        <v/>
      </c>
      <c r="AB77" s="50" t="str">
        <f>IF(OR(B77="",C77&lt;&gt;"Expense"),"",IF(E77&gt;IFERROR(AVERAGEIFS($E$8:$E$1007,$I$8:$I$1007,I77,$C$8:$C$1007,"Expense")*SETTINGS!$B$20,0),"Unusually High","Normal"))</f>
        <v/>
      </c>
      <c r="AC77" s="51"/>
      <c r="AD77" s="51"/>
      <c r="AE77" s="51"/>
      <c r="AF77" s="50" t="str">
        <f>IF(A77&lt;&gt;"Yes","No",IF(AND(AC77="Yes",SETTINGS!$B$16="No"),"No","Yes"))</f>
        <v>No</v>
      </c>
      <c r="AG77" s="50" t="str">
        <f>IF(A77&lt;&gt;"Yes","",IF(OR(B77="",D77="",E77&lt;=0,F77="",I77=""),"Check Required Fields",IF(AA77="Possible Duplicate","Possible Duplicate",IF(E77&gt;SETTINGS!$B$22,"Review Extreme Value","OK"))))</f>
        <v/>
      </c>
    </row>
    <row r="78" spans="1:33" ht="14.4">
      <c r="A78" s="9"/>
      <c r="B78" s="13"/>
      <c r="C78" s="9"/>
      <c r="D78" s="9"/>
      <c r="E78" s="11"/>
      <c r="F78" s="9"/>
      <c r="G78" s="9"/>
      <c r="H78" s="44" t="str">
        <f>IF(D78="","",IF(ISNUMBER(SEARCH(SETTINGS!$K$4,D78)),SETTINGS!$L$4,IF(ISNUMBER(SEARCH(SETTINGS!$K$5,D78)),SETTINGS!$L$5,IF(ISNUMBER(SEARCH(SETTINGS!$K$6,D78)),SETTINGS!$L$6,IF(ISNUMBER(SEARCH(SETTINGS!$K$7,D78)),SETTINGS!$L$7,IF(ISNUMBER(SEARCH(SETTINGS!$K$8,D78)),SETTINGS!$L$8,IF(ISNUMBER(SEARCH(SETTINGS!$K$9,D78)),SETTINGS!$L$9,IF(ISNUMBER(SEARCH(SETTINGS!$K$10,D78)),SETTINGS!$L$10,IF(ISNUMBER(SEARCH(SETTINGS!$K$11,D78)),SETTINGS!$L$11,IF(ISNUMBER(SEARCH(SETTINGS!$K$12,D78)),SETTINGS!$L$12,IF(ISNUMBER(SEARCH(SETTINGS!$K$13,D78)),SETTINGS!$L$13,IF(ISNUMBER(SEARCH(SETTINGS!$K$14,D78)),SETTINGS!$L$14,IF(ISNUMBER(SEARCH(SETTINGS!$K$15,D78)),SETTINGS!$L$15,IF(ISNUMBER(SEARCH(SETTINGS!$K$16,D78)),SETTINGS!$L$16,IF(ISNUMBER(SEARCH(SETTINGS!$K$17,D78)),SETTINGS!$L$17,IF(ISNUMBER(SEARCH(SETTINGS!$K$18,D78)),SETTINGS!$L$18,"Miscellaneous"))))))))))))))))</f>
        <v/>
      </c>
      <c r="I78" s="44" t="str">
        <f t="shared" si="8"/>
        <v/>
      </c>
      <c r="J78" s="9"/>
      <c r="K78" s="9"/>
      <c r="L78" s="9"/>
      <c r="M78" s="9"/>
      <c r="N78" s="9"/>
      <c r="O78" s="9"/>
      <c r="P78" s="13"/>
      <c r="Q78" s="9"/>
      <c r="R78" s="9"/>
      <c r="S78" s="9"/>
      <c r="T78" s="11"/>
      <c r="U78" s="44" t="str">
        <f t="shared" si="9"/>
        <v/>
      </c>
      <c r="V78" s="44" t="str">
        <f t="shared" si="10"/>
        <v/>
      </c>
      <c r="W78" s="44" t="str">
        <f t="shared" si="11"/>
        <v/>
      </c>
      <c r="X78" s="44" t="str">
        <f t="shared" si="12"/>
        <v/>
      </c>
      <c r="Y78" s="44" t="str">
        <f t="shared" si="13"/>
        <v/>
      </c>
      <c r="Z78" s="44" t="str">
        <f t="shared" si="14"/>
        <v/>
      </c>
      <c r="AA78" s="50" t="str">
        <f t="shared" si="15"/>
        <v/>
      </c>
      <c r="AB78" s="50" t="str">
        <f>IF(OR(B78="",C78&lt;&gt;"Expense"),"",IF(E78&gt;IFERROR(AVERAGEIFS($E$8:$E$1007,$I$8:$I$1007,I78,$C$8:$C$1007,"Expense")*SETTINGS!$B$20,0),"Unusually High","Normal"))</f>
        <v/>
      </c>
      <c r="AC78" s="51"/>
      <c r="AD78" s="51"/>
      <c r="AE78" s="51"/>
      <c r="AF78" s="50" t="str">
        <f>IF(A78&lt;&gt;"Yes","No",IF(AND(AC78="Yes",SETTINGS!$B$16="No"),"No","Yes"))</f>
        <v>No</v>
      </c>
      <c r="AG78" s="50" t="str">
        <f>IF(A78&lt;&gt;"Yes","",IF(OR(B78="",D78="",E78&lt;=0,F78="",I78=""),"Check Required Fields",IF(AA78="Possible Duplicate","Possible Duplicate",IF(E78&gt;SETTINGS!$B$22,"Review Extreme Value","OK"))))</f>
        <v/>
      </c>
    </row>
    <row r="79" spans="1:33" ht="14.4">
      <c r="A79" s="9"/>
      <c r="B79" s="13"/>
      <c r="C79" s="9"/>
      <c r="D79" s="9"/>
      <c r="E79" s="11"/>
      <c r="F79" s="9"/>
      <c r="G79" s="9"/>
      <c r="H79" s="44" t="str">
        <f>IF(D79="","",IF(ISNUMBER(SEARCH(SETTINGS!$K$4,D79)),SETTINGS!$L$4,IF(ISNUMBER(SEARCH(SETTINGS!$K$5,D79)),SETTINGS!$L$5,IF(ISNUMBER(SEARCH(SETTINGS!$K$6,D79)),SETTINGS!$L$6,IF(ISNUMBER(SEARCH(SETTINGS!$K$7,D79)),SETTINGS!$L$7,IF(ISNUMBER(SEARCH(SETTINGS!$K$8,D79)),SETTINGS!$L$8,IF(ISNUMBER(SEARCH(SETTINGS!$K$9,D79)),SETTINGS!$L$9,IF(ISNUMBER(SEARCH(SETTINGS!$K$10,D79)),SETTINGS!$L$10,IF(ISNUMBER(SEARCH(SETTINGS!$K$11,D79)),SETTINGS!$L$11,IF(ISNUMBER(SEARCH(SETTINGS!$K$12,D79)),SETTINGS!$L$12,IF(ISNUMBER(SEARCH(SETTINGS!$K$13,D79)),SETTINGS!$L$13,IF(ISNUMBER(SEARCH(SETTINGS!$K$14,D79)),SETTINGS!$L$14,IF(ISNUMBER(SEARCH(SETTINGS!$K$15,D79)),SETTINGS!$L$15,IF(ISNUMBER(SEARCH(SETTINGS!$K$16,D79)),SETTINGS!$L$16,IF(ISNUMBER(SEARCH(SETTINGS!$K$17,D79)),SETTINGS!$L$17,IF(ISNUMBER(SEARCH(SETTINGS!$K$18,D79)),SETTINGS!$L$18,"Miscellaneous"))))))))))))))))</f>
        <v/>
      </c>
      <c r="I79" s="44" t="str">
        <f t="shared" si="8"/>
        <v/>
      </c>
      <c r="J79" s="9"/>
      <c r="K79" s="9"/>
      <c r="L79" s="9"/>
      <c r="M79" s="9"/>
      <c r="N79" s="9"/>
      <c r="O79" s="9"/>
      <c r="P79" s="13"/>
      <c r="Q79" s="9"/>
      <c r="R79" s="9"/>
      <c r="S79" s="9"/>
      <c r="T79" s="11"/>
      <c r="U79" s="44" t="str">
        <f t="shared" si="9"/>
        <v/>
      </c>
      <c r="V79" s="44" t="str">
        <f t="shared" si="10"/>
        <v/>
      </c>
      <c r="W79" s="44" t="str">
        <f t="shared" si="11"/>
        <v/>
      </c>
      <c r="X79" s="44" t="str">
        <f t="shared" si="12"/>
        <v/>
      </c>
      <c r="Y79" s="44" t="str">
        <f t="shared" si="13"/>
        <v/>
      </c>
      <c r="Z79" s="44" t="str">
        <f t="shared" si="14"/>
        <v/>
      </c>
      <c r="AA79" s="50" t="str">
        <f t="shared" si="15"/>
        <v/>
      </c>
      <c r="AB79" s="50" t="str">
        <f>IF(OR(B79="",C79&lt;&gt;"Expense"),"",IF(E79&gt;IFERROR(AVERAGEIFS($E$8:$E$1007,$I$8:$I$1007,I79,$C$8:$C$1007,"Expense")*SETTINGS!$B$20,0),"Unusually High","Normal"))</f>
        <v/>
      </c>
      <c r="AC79" s="51"/>
      <c r="AD79" s="51"/>
      <c r="AE79" s="51"/>
      <c r="AF79" s="50" t="str">
        <f>IF(A79&lt;&gt;"Yes","No",IF(AND(AC79="Yes",SETTINGS!$B$16="No"),"No","Yes"))</f>
        <v>No</v>
      </c>
      <c r="AG79" s="50" t="str">
        <f>IF(A79&lt;&gt;"Yes","",IF(OR(B79="",D79="",E79&lt;=0,F79="",I79=""),"Check Required Fields",IF(AA79="Possible Duplicate","Possible Duplicate",IF(E79&gt;SETTINGS!$B$22,"Review Extreme Value","OK"))))</f>
        <v/>
      </c>
    </row>
    <row r="80" spans="1:33" ht="14.4">
      <c r="A80" s="9"/>
      <c r="B80" s="13"/>
      <c r="C80" s="9"/>
      <c r="D80" s="9"/>
      <c r="E80" s="11"/>
      <c r="F80" s="9"/>
      <c r="G80" s="9"/>
      <c r="H80" s="44" t="str">
        <f>IF(D80="","",IF(ISNUMBER(SEARCH(SETTINGS!$K$4,D80)),SETTINGS!$L$4,IF(ISNUMBER(SEARCH(SETTINGS!$K$5,D80)),SETTINGS!$L$5,IF(ISNUMBER(SEARCH(SETTINGS!$K$6,D80)),SETTINGS!$L$6,IF(ISNUMBER(SEARCH(SETTINGS!$K$7,D80)),SETTINGS!$L$7,IF(ISNUMBER(SEARCH(SETTINGS!$K$8,D80)),SETTINGS!$L$8,IF(ISNUMBER(SEARCH(SETTINGS!$K$9,D80)),SETTINGS!$L$9,IF(ISNUMBER(SEARCH(SETTINGS!$K$10,D80)),SETTINGS!$L$10,IF(ISNUMBER(SEARCH(SETTINGS!$K$11,D80)),SETTINGS!$L$11,IF(ISNUMBER(SEARCH(SETTINGS!$K$12,D80)),SETTINGS!$L$12,IF(ISNUMBER(SEARCH(SETTINGS!$K$13,D80)),SETTINGS!$L$13,IF(ISNUMBER(SEARCH(SETTINGS!$K$14,D80)),SETTINGS!$L$14,IF(ISNUMBER(SEARCH(SETTINGS!$K$15,D80)),SETTINGS!$L$15,IF(ISNUMBER(SEARCH(SETTINGS!$K$16,D80)),SETTINGS!$L$16,IF(ISNUMBER(SEARCH(SETTINGS!$K$17,D80)),SETTINGS!$L$17,IF(ISNUMBER(SEARCH(SETTINGS!$K$18,D80)),SETTINGS!$L$18,"Miscellaneous"))))))))))))))))</f>
        <v/>
      </c>
      <c r="I80" s="44" t="str">
        <f t="shared" si="8"/>
        <v/>
      </c>
      <c r="J80" s="9"/>
      <c r="K80" s="9"/>
      <c r="L80" s="9"/>
      <c r="M80" s="9"/>
      <c r="N80" s="9"/>
      <c r="O80" s="9"/>
      <c r="P80" s="13"/>
      <c r="Q80" s="9"/>
      <c r="R80" s="9"/>
      <c r="S80" s="9"/>
      <c r="T80" s="11"/>
      <c r="U80" s="44" t="str">
        <f t="shared" si="9"/>
        <v/>
      </c>
      <c r="V80" s="44" t="str">
        <f t="shared" si="10"/>
        <v/>
      </c>
      <c r="W80" s="44" t="str">
        <f t="shared" si="11"/>
        <v/>
      </c>
      <c r="X80" s="44" t="str">
        <f t="shared" si="12"/>
        <v/>
      </c>
      <c r="Y80" s="44" t="str">
        <f t="shared" si="13"/>
        <v/>
      </c>
      <c r="Z80" s="44" t="str">
        <f t="shared" si="14"/>
        <v/>
      </c>
      <c r="AA80" s="50" t="str">
        <f t="shared" si="15"/>
        <v/>
      </c>
      <c r="AB80" s="50" t="str">
        <f>IF(OR(B80="",C80&lt;&gt;"Expense"),"",IF(E80&gt;IFERROR(AVERAGEIFS($E$8:$E$1007,$I$8:$I$1007,I80,$C$8:$C$1007,"Expense")*SETTINGS!$B$20,0),"Unusually High","Normal"))</f>
        <v/>
      </c>
      <c r="AC80" s="51"/>
      <c r="AD80" s="51"/>
      <c r="AE80" s="51"/>
      <c r="AF80" s="50" t="str">
        <f>IF(A80&lt;&gt;"Yes","No",IF(AND(AC80="Yes",SETTINGS!$B$16="No"),"No","Yes"))</f>
        <v>No</v>
      </c>
      <c r="AG80" s="50" t="str">
        <f>IF(A80&lt;&gt;"Yes","",IF(OR(B80="",D80="",E80&lt;=0,F80="",I80=""),"Check Required Fields",IF(AA80="Possible Duplicate","Possible Duplicate",IF(E80&gt;SETTINGS!$B$22,"Review Extreme Value","OK"))))</f>
        <v/>
      </c>
    </row>
    <row r="81" spans="1:33" ht="14.4">
      <c r="A81" s="9"/>
      <c r="B81" s="13"/>
      <c r="C81" s="9"/>
      <c r="D81" s="9"/>
      <c r="E81" s="11"/>
      <c r="F81" s="9"/>
      <c r="G81" s="9"/>
      <c r="H81" s="44" t="str">
        <f>IF(D81="","",IF(ISNUMBER(SEARCH(SETTINGS!$K$4,D81)),SETTINGS!$L$4,IF(ISNUMBER(SEARCH(SETTINGS!$K$5,D81)),SETTINGS!$L$5,IF(ISNUMBER(SEARCH(SETTINGS!$K$6,D81)),SETTINGS!$L$6,IF(ISNUMBER(SEARCH(SETTINGS!$K$7,D81)),SETTINGS!$L$7,IF(ISNUMBER(SEARCH(SETTINGS!$K$8,D81)),SETTINGS!$L$8,IF(ISNUMBER(SEARCH(SETTINGS!$K$9,D81)),SETTINGS!$L$9,IF(ISNUMBER(SEARCH(SETTINGS!$K$10,D81)),SETTINGS!$L$10,IF(ISNUMBER(SEARCH(SETTINGS!$K$11,D81)),SETTINGS!$L$11,IF(ISNUMBER(SEARCH(SETTINGS!$K$12,D81)),SETTINGS!$L$12,IF(ISNUMBER(SEARCH(SETTINGS!$K$13,D81)),SETTINGS!$L$13,IF(ISNUMBER(SEARCH(SETTINGS!$K$14,D81)),SETTINGS!$L$14,IF(ISNUMBER(SEARCH(SETTINGS!$K$15,D81)),SETTINGS!$L$15,IF(ISNUMBER(SEARCH(SETTINGS!$K$16,D81)),SETTINGS!$L$16,IF(ISNUMBER(SEARCH(SETTINGS!$K$17,D81)),SETTINGS!$L$17,IF(ISNUMBER(SEARCH(SETTINGS!$K$18,D81)),SETTINGS!$L$18,"Miscellaneous"))))))))))))))))</f>
        <v/>
      </c>
      <c r="I81" s="44" t="str">
        <f t="shared" si="8"/>
        <v/>
      </c>
      <c r="J81" s="9"/>
      <c r="K81" s="9"/>
      <c r="L81" s="9"/>
      <c r="M81" s="9"/>
      <c r="N81" s="9"/>
      <c r="O81" s="9"/>
      <c r="P81" s="13"/>
      <c r="Q81" s="9"/>
      <c r="R81" s="9"/>
      <c r="S81" s="9"/>
      <c r="T81" s="11"/>
      <c r="U81" s="44" t="str">
        <f t="shared" si="9"/>
        <v/>
      </c>
      <c r="V81" s="44" t="str">
        <f t="shared" si="10"/>
        <v/>
      </c>
      <c r="W81" s="44" t="str">
        <f t="shared" si="11"/>
        <v/>
      </c>
      <c r="X81" s="44" t="str">
        <f t="shared" si="12"/>
        <v/>
      </c>
      <c r="Y81" s="44" t="str">
        <f t="shared" si="13"/>
        <v/>
      </c>
      <c r="Z81" s="44" t="str">
        <f t="shared" si="14"/>
        <v/>
      </c>
      <c r="AA81" s="50" t="str">
        <f t="shared" si="15"/>
        <v/>
      </c>
      <c r="AB81" s="50" t="str">
        <f>IF(OR(B81="",C81&lt;&gt;"Expense"),"",IF(E81&gt;IFERROR(AVERAGEIFS($E$8:$E$1007,$I$8:$I$1007,I81,$C$8:$C$1007,"Expense")*SETTINGS!$B$20,0),"Unusually High","Normal"))</f>
        <v/>
      </c>
      <c r="AC81" s="51"/>
      <c r="AD81" s="51"/>
      <c r="AE81" s="51"/>
      <c r="AF81" s="50" t="str">
        <f>IF(A81&lt;&gt;"Yes","No",IF(AND(AC81="Yes",SETTINGS!$B$16="No"),"No","Yes"))</f>
        <v>No</v>
      </c>
      <c r="AG81" s="50" t="str">
        <f>IF(A81&lt;&gt;"Yes","",IF(OR(B81="",D81="",E81&lt;=0,F81="",I81=""),"Check Required Fields",IF(AA81="Possible Duplicate","Possible Duplicate",IF(E81&gt;SETTINGS!$B$22,"Review Extreme Value","OK"))))</f>
        <v/>
      </c>
    </row>
    <row r="82" spans="1:33" ht="14.4">
      <c r="A82" s="9"/>
      <c r="B82" s="13"/>
      <c r="C82" s="9"/>
      <c r="D82" s="9"/>
      <c r="E82" s="11"/>
      <c r="F82" s="9"/>
      <c r="G82" s="9"/>
      <c r="H82" s="44" t="str">
        <f>IF(D82="","",IF(ISNUMBER(SEARCH(SETTINGS!$K$4,D82)),SETTINGS!$L$4,IF(ISNUMBER(SEARCH(SETTINGS!$K$5,D82)),SETTINGS!$L$5,IF(ISNUMBER(SEARCH(SETTINGS!$K$6,D82)),SETTINGS!$L$6,IF(ISNUMBER(SEARCH(SETTINGS!$K$7,D82)),SETTINGS!$L$7,IF(ISNUMBER(SEARCH(SETTINGS!$K$8,D82)),SETTINGS!$L$8,IF(ISNUMBER(SEARCH(SETTINGS!$K$9,D82)),SETTINGS!$L$9,IF(ISNUMBER(SEARCH(SETTINGS!$K$10,D82)),SETTINGS!$L$10,IF(ISNUMBER(SEARCH(SETTINGS!$K$11,D82)),SETTINGS!$L$11,IF(ISNUMBER(SEARCH(SETTINGS!$K$12,D82)),SETTINGS!$L$12,IF(ISNUMBER(SEARCH(SETTINGS!$K$13,D82)),SETTINGS!$L$13,IF(ISNUMBER(SEARCH(SETTINGS!$K$14,D82)),SETTINGS!$L$14,IF(ISNUMBER(SEARCH(SETTINGS!$K$15,D82)),SETTINGS!$L$15,IF(ISNUMBER(SEARCH(SETTINGS!$K$16,D82)),SETTINGS!$L$16,IF(ISNUMBER(SEARCH(SETTINGS!$K$17,D82)),SETTINGS!$L$17,IF(ISNUMBER(SEARCH(SETTINGS!$K$18,D82)),SETTINGS!$L$18,"Miscellaneous"))))))))))))))))</f>
        <v/>
      </c>
      <c r="I82" s="44" t="str">
        <f t="shared" si="8"/>
        <v/>
      </c>
      <c r="J82" s="9"/>
      <c r="K82" s="9"/>
      <c r="L82" s="9"/>
      <c r="M82" s="9"/>
      <c r="N82" s="9"/>
      <c r="O82" s="9"/>
      <c r="P82" s="13"/>
      <c r="Q82" s="9"/>
      <c r="R82" s="9"/>
      <c r="S82" s="9"/>
      <c r="T82" s="11"/>
      <c r="U82" s="44" t="str">
        <f t="shared" si="9"/>
        <v/>
      </c>
      <c r="V82" s="44" t="str">
        <f t="shared" si="10"/>
        <v/>
      </c>
      <c r="W82" s="44" t="str">
        <f t="shared" si="11"/>
        <v/>
      </c>
      <c r="X82" s="44" t="str">
        <f t="shared" si="12"/>
        <v/>
      </c>
      <c r="Y82" s="44" t="str">
        <f t="shared" si="13"/>
        <v/>
      </c>
      <c r="Z82" s="44" t="str">
        <f t="shared" si="14"/>
        <v/>
      </c>
      <c r="AA82" s="50" t="str">
        <f t="shared" si="15"/>
        <v/>
      </c>
      <c r="AB82" s="50" t="str">
        <f>IF(OR(B82="",C82&lt;&gt;"Expense"),"",IF(E82&gt;IFERROR(AVERAGEIFS($E$8:$E$1007,$I$8:$I$1007,I82,$C$8:$C$1007,"Expense")*SETTINGS!$B$20,0),"Unusually High","Normal"))</f>
        <v/>
      </c>
      <c r="AC82" s="51"/>
      <c r="AD82" s="51"/>
      <c r="AE82" s="51"/>
      <c r="AF82" s="50" t="str">
        <f>IF(A82&lt;&gt;"Yes","No",IF(AND(AC82="Yes",SETTINGS!$B$16="No"),"No","Yes"))</f>
        <v>No</v>
      </c>
      <c r="AG82" s="50" t="str">
        <f>IF(A82&lt;&gt;"Yes","",IF(OR(B82="",D82="",E82&lt;=0,F82="",I82=""),"Check Required Fields",IF(AA82="Possible Duplicate","Possible Duplicate",IF(E82&gt;SETTINGS!$B$22,"Review Extreme Value","OK"))))</f>
        <v/>
      </c>
    </row>
    <row r="83" spans="1:33" ht="14.4">
      <c r="A83" s="9"/>
      <c r="B83" s="13"/>
      <c r="C83" s="9"/>
      <c r="D83" s="9"/>
      <c r="E83" s="11"/>
      <c r="F83" s="9"/>
      <c r="G83" s="9"/>
      <c r="H83" s="44" t="str">
        <f>IF(D83="","",IF(ISNUMBER(SEARCH(SETTINGS!$K$4,D83)),SETTINGS!$L$4,IF(ISNUMBER(SEARCH(SETTINGS!$K$5,D83)),SETTINGS!$L$5,IF(ISNUMBER(SEARCH(SETTINGS!$K$6,D83)),SETTINGS!$L$6,IF(ISNUMBER(SEARCH(SETTINGS!$K$7,D83)),SETTINGS!$L$7,IF(ISNUMBER(SEARCH(SETTINGS!$K$8,D83)),SETTINGS!$L$8,IF(ISNUMBER(SEARCH(SETTINGS!$K$9,D83)),SETTINGS!$L$9,IF(ISNUMBER(SEARCH(SETTINGS!$K$10,D83)),SETTINGS!$L$10,IF(ISNUMBER(SEARCH(SETTINGS!$K$11,D83)),SETTINGS!$L$11,IF(ISNUMBER(SEARCH(SETTINGS!$K$12,D83)),SETTINGS!$L$12,IF(ISNUMBER(SEARCH(SETTINGS!$K$13,D83)),SETTINGS!$L$13,IF(ISNUMBER(SEARCH(SETTINGS!$K$14,D83)),SETTINGS!$L$14,IF(ISNUMBER(SEARCH(SETTINGS!$K$15,D83)),SETTINGS!$L$15,IF(ISNUMBER(SEARCH(SETTINGS!$K$16,D83)),SETTINGS!$L$16,IF(ISNUMBER(SEARCH(SETTINGS!$K$17,D83)),SETTINGS!$L$17,IF(ISNUMBER(SEARCH(SETTINGS!$K$18,D83)),SETTINGS!$L$18,"Miscellaneous"))))))))))))))))</f>
        <v/>
      </c>
      <c r="I83" s="44" t="str">
        <f t="shared" si="8"/>
        <v/>
      </c>
      <c r="J83" s="9"/>
      <c r="K83" s="9"/>
      <c r="L83" s="9"/>
      <c r="M83" s="9"/>
      <c r="N83" s="9"/>
      <c r="O83" s="9"/>
      <c r="P83" s="13"/>
      <c r="Q83" s="9"/>
      <c r="R83" s="9"/>
      <c r="S83" s="9"/>
      <c r="T83" s="11"/>
      <c r="U83" s="44" t="str">
        <f t="shared" si="9"/>
        <v/>
      </c>
      <c r="V83" s="44" t="str">
        <f t="shared" si="10"/>
        <v/>
      </c>
      <c r="W83" s="44" t="str">
        <f t="shared" si="11"/>
        <v/>
      </c>
      <c r="X83" s="44" t="str">
        <f t="shared" si="12"/>
        <v/>
      </c>
      <c r="Y83" s="44" t="str">
        <f t="shared" si="13"/>
        <v/>
      </c>
      <c r="Z83" s="44" t="str">
        <f t="shared" si="14"/>
        <v/>
      </c>
      <c r="AA83" s="50" t="str">
        <f t="shared" si="15"/>
        <v/>
      </c>
      <c r="AB83" s="50" t="str">
        <f>IF(OR(B83="",C83&lt;&gt;"Expense"),"",IF(E83&gt;IFERROR(AVERAGEIFS($E$8:$E$1007,$I$8:$I$1007,I83,$C$8:$C$1007,"Expense")*SETTINGS!$B$20,0),"Unusually High","Normal"))</f>
        <v/>
      </c>
      <c r="AC83" s="51"/>
      <c r="AD83" s="51"/>
      <c r="AE83" s="51"/>
      <c r="AF83" s="50" t="str">
        <f>IF(A83&lt;&gt;"Yes","No",IF(AND(AC83="Yes",SETTINGS!$B$16="No"),"No","Yes"))</f>
        <v>No</v>
      </c>
      <c r="AG83" s="50" t="str">
        <f>IF(A83&lt;&gt;"Yes","",IF(OR(B83="",D83="",E83&lt;=0,F83="",I83=""),"Check Required Fields",IF(AA83="Possible Duplicate","Possible Duplicate",IF(E83&gt;SETTINGS!$B$22,"Review Extreme Value","OK"))))</f>
        <v/>
      </c>
    </row>
    <row r="84" spans="1:33" ht="14.4">
      <c r="A84" s="9"/>
      <c r="B84" s="13"/>
      <c r="C84" s="9"/>
      <c r="D84" s="9"/>
      <c r="E84" s="11"/>
      <c r="F84" s="9"/>
      <c r="G84" s="9"/>
      <c r="H84" s="44" t="str">
        <f>IF(D84="","",IF(ISNUMBER(SEARCH(SETTINGS!$K$4,D84)),SETTINGS!$L$4,IF(ISNUMBER(SEARCH(SETTINGS!$K$5,D84)),SETTINGS!$L$5,IF(ISNUMBER(SEARCH(SETTINGS!$K$6,D84)),SETTINGS!$L$6,IF(ISNUMBER(SEARCH(SETTINGS!$K$7,D84)),SETTINGS!$L$7,IF(ISNUMBER(SEARCH(SETTINGS!$K$8,D84)),SETTINGS!$L$8,IF(ISNUMBER(SEARCH(SETTINGS!$K$9,D84)),SETTINGS!$L$9,IF(ISNUMBER(SEARCH(SETTINGS!$K$10,D84)),SETTINGS!$L$10,IF(ISNUMBER(SEARCH(SETTINGS!$K$11,D84)),SETTINGS!$L$11,IF(ISNUMBER(SEARCH(SETTINGS!$K$12,D84)),SETTINGS!$L$12,IF(ISNUMBER(SEARCH(SETTINGS!$K$13,D84)),SETTINGS!$L$13,IF(ISNUMBER(SEARCH(SETTINGS!$K$14,D84)),SETTINGS!$L$14,IF(ISNUMBER(SEARCH(SETTINGS!$K$15,D84)),SETTINGS!$L$15,IF(ISNUMBER(SEARCH(SETTINGS!$K$16,D84)),SETTINGS!$L$16,IF(ISNUMBER(SEARCH(SETTINGS!$K$17,D84)),SETTINGS!$L$17,IF(ISNUMBER(SEARCH(SETTINGS!$K$18,D84)),SETTINGS!$L$18,"Miscellaneous"))))))))))))))))</f>
        <v/>
      </c>
      <c r="I84" s="44" t="str">
        <f t="shared" si="8"/>
        <v/>
      </c>
      <c r="J84" s="9"/>
      <c r="K84" s="9"/>
      <c r="L84" s="9"/>
      <c r="M84" s="9"/>
      <c r="N84" s="9"/>
      <c r="O84" s="9"/>
      <c r="P84" s="13"/>
      <c r="Q84" s="9"/>
      <c r="R84" s="9"/>
      <c r="S84" s="9"/>
      <c r="T84" s="11"/>
      <c r="U84" s="44" t="str">
        <f t="shared" si="9"/>
        <v/>
      </c>
      <c r="V84" s="44" t="str">
        <f t="shared" si="10"/>
        <v/>
      </c>
      <c r="W84" s="44" t="str">
        <f t="shared" si="11"/>
        <v/>
      </c>
      <c r="X84" s="44" t="str">
        <f t="shared" si="12"/>
        <v/>
      </c>
      <c r="Y84" s="44" t="str">
        <f t="shared" si="13"/>
        <v/>
      </c>
      <c r="Z84" s="44" t="str">
        <f t="shared" si="14"/>
        <v/>
      </c>
      <c r="AA84" s="50" t="str">
        <f t="shared" si="15"/>
        <v/>
      </c>
      <c r="AB84" s="50" t="str">
        <f>IF(OR(B84="",C84&lt;&gt;"Expense"),"",IF(E84&gt;IFERROR(AVERAGEIFS($E$8:$E$1007,$I$8:$I$1007,I84,$C$8:$C$1007,"Expense")*SETTINGS!$B$20,0),"Unusually High","Normal"))</f>
        <v/>
      </c>
      <c r="AC84" s="51"/>
      <c r="AD84" s="51"/>
      <c r="AE84" s="51"/>
      <c r="AF84" s="50" t="str">
        <f>IF(A84&lt;&gt;"Yes","No",IF(AND(AC84="Yes",SETTINGS!$B$16="No"),"No","Yes"))</f>
        <v>No</v>
      </c>
      <c r="AG84" s="50" t="str">
        <f>IF(A84&lt;&gt;"Yes","",IF(OR(B84="",D84="",E84&lt;=0,F84="",I84=""),"Check Required Fields",IF(AA84="Possible Duplicate","Possible Duplicate",IF(E84&gt;SETTINGS!$B$22,"Review Extreme Value","OK"))))</f>
        <v/>
      </c>
    </row>
    <row r="85" spans="1:33" ht="14.4">
      <c r="A85" s="9"/>
      <c r="B85" s="13"/>
      <c r="C85" s="9"/>
      <c r="D85" s="9"/>
      <c r="E85" s="11"/>
      <c r="F85" s="9"/>
      <c r="G85" s="9"/>
      <c r="H85" s="44" t="str">
        <f>IF(D85="","",IF(ISNUMBER(SEARCH(SETTINGS!$K$4,D85)),SETTINGS!$L$4,IF(ISNUMBER(SEARCH(SETTINGS!$K$5,D85)),SETTINGS!$L$5,IF(ISNUMBER(SEARCH(SETTINGS!$K$6,D85)),SETTINGS!$L$6,IF(ISNUMBER(SEARCH(SETTINGS!$K$7,D85)),SETTINGS!$L$7,IF(ISNUMBER(SEARCH(SETTINGS!$K$8,D85)),SETTINGS!$L$8,IF(ISNUMBER(SEARCH(SETTINGS!$K$9,D85)),SETTINGS!$L$9,IF(ISNUMBER(SEARCH(SETTINGS!$K$10,D85)),SETTINGS!$L$10,IF(ISNUMBER(SEARCH(SETTINGS!$K$11,D85)),SETTINGS!$L$11,IF(ISNUMBER(SEARCH(SETTINGS!$K$12,D85)),SETTINGS!$L$12,IF(ISNUMBER(SEARCH(SETTINGS!$K$13,D85)),SETTINGS!$L$13,IF(ISNUMBER(SEARCH(SETTINGS!$K$14,D85)),SETTINGS!$L$14,IF(ISNUMBER(SEARCH(SETTINGS!$K$15,D85)),SETTINGS!$L$15,IF(ISNUMBER(SEARCH(SETTINGS!$K$16,D85)),SETTINGS!$L$16,IF(ISNUMBER(SEARCH(SETTINGS!$K$17,D85)),SETTINGS!$L$17,IF(ISNUMBER(SEARCH(SETTINGS!$K$18,D85)),SETTINGS!$L$18,"Miscellaneous"))))))))))))))))</f>
        <v/>
      </c>
      <c r="I85" s="44" t="str">
        <f t="shared" si="8"/>
        <v/>
      </c>
      <c r="J85" s="9"/>
      <c r="K85" s="9"/>
      <c r="L85" s="9"/>
      <c r="M85" s="9"/>
      <c r="N85" s="9"/>
      <c r="O85" s="9"/>
      <c r="P85" s="13"/>
      <c r="Q85" s="9"/>
      <c r="R85" s="9"/>
      <c r="S85" s="9"/>
      <c r="T85" s="11"/>
      <c r="U85" s="44" t="str">
        <f t="shared" si="9"/>
        <v/>
      </c>
      <c r="V85" s="44" t="str">
        <f t="shared" si="10"/>
        <v/>
      </c>
      <c r="W85" s="44" t="str">
        <f t="shared" si="11"/>
        <v/>
      </c>
      <c r="X85" s="44" t="str">
        <f t="shared" si="12"/>
        <v/>
      </c>
      <c r="Y85" s="44" t="str">
        <f t="shared" si="13"/>
        <v/>
      </c>
      <c r="Z85" s="44" t="str">
        <f t="shared" si="14"/>
        <v/>
      </c>
      <c r="AA85" s="50" t="str">
        <f t="shared" si="15"/>
        <v/>
      </c>
      <c r="AB85" s="50" t="str">
        <f>IF(OR(B85="",C85&lt;&gt;"Expense"),"",IF(E85&gt;IFERROR(AVERAGEIFS($E$8:$E$1007,$I$8:$I$1007,I85,$C$8:$C$1007,"Expense")*SETTINGS!$B$20,0),"Unusually High","Normal"))</f>
        <v/>
      </c>
      <c r="AC85" s="51"/>
      <c r="AD85" s="51"/>
      <c r="AE85" s="51"/>
      <c r="AF85" s="50" t="str">
        <f>IF(A85&lt;&gt;"Yes","No",IF(AND(AC85="Yes",SETTINGS!$B$16="No"),"No","Yes"))</f>
        <v>No</v>
      </c>
      <c r="AG85" s="50" t="str">
        <f>IF(A85&lt;&gt;"Yes","",IF(OR(B85="",D85="",E85&lt;=0,F85="",I85=""),"Check Required Fields",IF(AA85="Possible Duplicate","Possible Duplicate",IF(E85&gt;SETTINGS!$B$22,"Review Extreme Value","OK"))))</f>
        <v/>
      </c>
    </row>
    <row r="86" spans="1:33" ht="14.4">
      <c r="A86" s="9"/>
      <c r="B86" s="13"/>
      <c r="C86" s="9"/>
      <c r="D86" s="9"/>
      <c r="E86" s="11"/>
      <c r="F86" s="9"/>
      <c r="G86" s="9"/>
      <c r="H86" s="44" t="str">
        <f>IF(D86="","",IF(ISNUMBER(SEARCH(SETTINGS!$K$4,D86)),SETTINGS!$L$4,IF(ISNUMBER(SEARCH(SETTINGS!$K$5,D86)),SETTINGS!$L$5,IF(ISNUMBER(SEARCH(SETTINGS!$K$6,D86)),SETTINGS!$L$6,IF(ISNUMBER(SEARCH(SETTINGS!$K$7,D86)),SETTINGS!$L$7,IF(ISNUMBER(SEARCH(SETTINGS!$K$8,D86)),SETTINGS!$L$8,IF(ISNUMBER(SEARCH(SETTINGS!$K$9,D86)),SETTINGS!$L$9,IF(ISNUMBER(SEARCH(SETTINGS!$K$10,D86)),SETTINGS!$L$10,IF(ISNUMBER(SEARCH(SETTINGS!$K$11,D86)),SETTINGS!$L$11,IF(ISNUMBER(SEARCH(SETTINGS!$K$12,D86)),SETTINGS!$L$12,IF(ISNUMBER(SEARCH(SETTINGS!$K$13,D86)),SETTINGS!$L$13,IF(ISNUMBER(SEARCH(SETTINGS!$K$14,D86)),SETTINGS!$L$14,IF(ISNUMBER(SEARCH(SETTINGS!$K$15,D86)),SETTINGS!$L$15,IF(ISNUMBER(SEARCH(SETTINGS!$K$16,D86)),SETTINGS!$L$16,IF(ISNUMBER(SEARCH(SETTINGS!$K$17,D86)),SETTINGS!$L$17,IF(ISNUMBER(SEARCH(SETTINGS!$K$18,D86)),SETTINGS!$L$18,"Miscellaneous"))))))))))))))))</f>
        <v/>
      </c>
      <c r="I86" s="44" t="str">
        <f t="shared" si="8"/>
        <v/>
      </c>
      <c r="J86" s="9"/>
      <c r="K86" s="9"/>
      <c r="L86" s="9"/>
      <c r="M86" s="9"/>
      <c r="N86" s="9"/>
      <c r="O86" s="9"/>
      <c r="P86" s="13"/>
      <c r="Q86" s="9"/>
      <c r="R86" s="9"/>
      <c r="S86" s="9"/>
      <c r="T86" s="11"/>
      <c r="U86" s="44" t="str">
        <f t="shared" si="9"/>
        <v/>
      </c>
      <c r="V86" s="44" t="str">
        <f t="shared" si="10"/>
        <v/>
      </c>
      <c r="W86" s="44" t="str">
        <f t="shared" si="11"/>
        <v/>
      </c>
      <c r="X86" s="44" t="str">
        <f t="shared" si="12"/>
        <v/>
      </c>
      <c r="Y86" s="44" t="str">
        <f t="shared" si="13"/>
        <v/>
      </c>
      <c r="Z86" s="44" t="str">
        <f t="shared" si="14"/>
        <v/>
      </c>
      <c r="AA86" s="50" t="str">
        <f t="shared" si="15"/>
        <v/>
      </c>
      <c r="AB86" s="50" t="str">
        <f>IF(OR(B86="",C86&lt;&gt;"Expense"),"",IF(E86&gt;IFERROR(AVERAGEIFS($E$8:$E$1007,$I$8:$I$1007,I86,$C$8:$C$1007,"Expense")*SETTINGS!$B$20,0),"Unusually High","Normal"))</f>
        <v/>
      </c>
      <c r="AC86" s="51"/>
      <c r="AD86" s="51"/>
      <c r="AE86" s="51"/>
      <c r="AF86" s="50" t="str">
        <f>IF(A86&lt;&gt;"Yes","No",IF(AND(AC86="Yes",SETTINGS!$B$16="No"),"No","Yes"))</f>
        <v>No</v>
      </c>
      <c r="AG86" s="50" t="str">
        <f>IF(A86&lt;&gt;"Yes","",IF(OR(B86="",D86="",E86&lt;=0,F86="",I86=""),"Check Required Fields",IF(AA86="Possible Duplicate","Possible Duplicate",IF(E86&gt;SETTINGS!$B$22,"Review Extreme Value","OK"))))</f>
        <v/>
      </c>
    </row>
    <row r="87" spans="1:33" ht="14.4">
      <c r="A87" s="9"/>
      <c r="B87" s="13"/>
      <c r="C87" s="9"/>
      <c r="D87" s="9"/>
      <c r="E87" s="11"/>
      <c r="F87" s="9"/>
      <c r="G87" s="9"/>
      <c r="H87" s="44" t="str">
        <f>IF(D87="","",IF(ISNUMBER(SEARCH(SETTINGS!$K$4,D87)),SETTINGS!$L$4,IF(ISNUMBER(SEARCH(SETTINGS!$K$5,D87)),SETTINGS!$L$5,IF(ISNUMBER(SEARCH(SETTINGS!$K$6,D87)),SETTINGS!$L$6,IF(ISNUMBER(SEARCH(SETTINGS!$K$7,D87)),SETTINGS!$L$7,IF(ISNUMBER(SEARCH(SETTINGS!$K$8,D87)),SETTINGS!$L$8,IF(ISNUMBER(SEARCH(SETTINGS!$K$9,D87)),SETTINGS!$L$9,IF(ISNUMBER(SEARCH(SETTINGS!$K$10,D87)),SETTINGS!$L$10,IF(ISNUMBER(SEARCH(SETTINGS!$K$11,D87)),SETTINGS!$L$11,IF(ISNUMBER(SEARCH(SETTINGS!$K$12,D87)),SETTINGS!$L$12,IF(ISNUMBER(SEARCH(SETTINGS!$K$13,D87)),SETTINGS!$L$13,IF(ISNUMBER(SEARCH(SETTINGS!$K$14,D87)),SETTINGS!$L$14,IF(ISNUMBER(SEARCH(SETTINGS!$K$15,D87)),SETTINGS!$L$15,IF(ISNUMBER(SEARCH(SETTINGS!$K$16,D87)),SETTINGS!$L$16,IF(ISNUMBER(SEARCH(SETTINGS!$K$17,D87)),SETTINGS!$L$17,IF(ISNUMBER(SEARCH(SETTINGS!$K$18,D87)),SETTINGS!$L$18,"Miscellaneous"))))))))))))))))</f>
        <v/>
      </c>
      <c r="I87" s="44" t="str">
        <f t="shared" si="8"/>
        <v/>
      </c>
      <c r="J87" s="9"/>
      <c r="K87" s="9"/>
      <c r="L87" s="9"/>
      <c r="M87" s="9"/>
      <c r="N87" s="9"/>
      <c r="O87" s="9"/>
      <c r="P87" s="13"/>
      <c r="Q87" s="9"/>
      <c r="R87" s="9"/>
      <c r="S87" s="9"/>
      <c r="T87" s="11"/>
      <c r="U87" s="44" t="str">
        <f t="shared" si="9"/>
        <v/>
      </c>
      <c r="V87" s="44" t="str">
        <f t="shared" si="10"/>
        <v/>
      </c>
      <c r="W87" s="44" t="str">
        <f t="shared" si="11"/>
        <v/>
      </c>
      <c r="X87" s="44" t="str">
        <f t="shared" si="12"/>
        <v/>
      </c>
      <c r="Y87" s="44" t="str">
        <f t="shared" si="13"/>
        <v/>
      </c>
      <c r="Z87" s="44" t="str">
        <f t="shared" si="14"/>
        <v/>
      </c>
      <c r="AA87" s="50" t="str">
        <f t="shared" si="15"/>
        <v/>
      </c>
      <c r="AB87" s="50" t="str">
        <f>IF(OR(B87="",C87&lt;&gt;"Expense"),"",IF(E87&gt;IFERROR(AVERAGEIFS($E$8:$E$1007,$I$8:$I$1007,I87,$C$8:$C$1007,"Expense")*SETTINGS!$B$20,0),"Unusually High","Normal"))</f>
        <v/>
      </c>
      <c r="AC87" s="51"/>
      <c r="AD87" s="51"/>
      <c r="AE87" s="51"/>
      <c r="AF87" s="50" t="str">
        <f>IF(A87&lt;&gt;"Yes","No",IF(AND(AC87="Yes",SETTINGS!$B$16="No"),"No","Yes"))</f>
        <v>No</v>
      </c>
      <c r="AG87" s="50" t="str">
        <f>IF(A87&lt;&gt;"Yes","",IF(OR(B87="",D87="",E87&lt;=0,F87="",I87=""),"Check Required Fields",IF(AA87="Possible Duplicate","Possible Duplicate",IF(E87&gt;SETTINGS!$B$22,"Review Extreme Value","OK"))))</f>
        <v/>
      </c>
    </row>
    <row r="88" spans="1:33" ht="14.4">
      <c r="A88" s="9"/>
      <c r="B88" s="13"/>
      <c r="C88" s="9"/>
      <c r="D88" s="9"/>
      <c r="E88" s="11"/>
      <c r="F88" s="9"/>
      <c r="G88" s="9"/>
      <c r="H88" s="44" t="str">
        <f>IF(D88="","",IF(ISNUMBER(SEARCH(SETTINGS!$K$4,D88)),SETTINGS!$L$4,IF(ISNUMBER(SEARCH(SETTINGS!$K$5,D88)),SETTINGS!$L$5,IF(ISNUMBER(SEARCH(SETTINGS!$K$6,D88)),SETTINGS!$L$6,IF(ISNUMBER(SEARCH(SETTINGS!$K$7,D88)),SETTINGS!$L$7,IF(ISNUMBER(SEARCH(SETTINGS!$K$8,D88)),SETTINGS!$L$8,IF(ISNUMBER(SEARCH(SETTINGS!$K$9,D88)),SETTINGS!$L$9,IF(ISNUMBER(SEARCH(SETTINGS!$K$10,D88)),SETTINGS!$L$10,IF(ISNUMBER(SEARCH(SETTINGS!$K$11,D88)),SETTINGS!$L$11,IF(ISNUMBER(SEARCH(SETTINGS!$K$12,D88)),SETTINGS!$L$12,IF(ISNUMBER(SEARCH(SETTINGS!$K$13,D88)),SETTINGS!$L$13,IF(ISNUMBER(SEARCH(SETTINGS!$K$14,D88)),SETTINGS!$L$14,IF(ISNUMBER(SEARCH(SETTINGS!$K$15,D88)),SETTINGS!$L$15,IF(ISNUMBER(SEARCH(SETTINGS!$K$16,D88)),SETTINGS!$L$16,IF(ISNUMBER(SEARCH(SETTINGS!$K$17,D88)),SETTINGS!$L$17,IF(ISNUMBER(SEARCH(SETTINGS!$K$18,D88)),SETTINGS!$L$18,"Miscellaneous"))))))))))))))))</f>
        <v/>
      </c>
      <c r="I88" s="44" t="str">
        <f t="shared" si="8"/>
        <v/>
      </c>
      <c r="J88" s="9"/>
      <c r="K88" s="9"/>
      <c r="L88" s="9"/>
      <c r="M88" s="9"/>
      <c r="N88" s="9"/>
      <c r="O88" s="9"/>
      <c r="P88" s="13"/>
      <c r="Q88" s="9"/>
      <c r="R88" s="9"/>
      <c r="S88" s="9"/>
      <c r="T88" s="11"/>
      <c r="U88" s="44" t="str">
        <f t="shared" si="9"/>
        <v/>
      </c>
      <c r="V88" s="44" t="str">
        <f t="shared" si="10"/>
        <v/>
      </c>
      <c r="W88" s="44" t="str">
        <f t="shared" si="11"/>
        <v/>
      </c>
      <c r="X88" s="44" t="str">
        <f t="shared" si="12"/>
        <v/>
      </c>
      <c r="Y88" s="44" t="str">
        <f t="shared" si="13"/>
        <v/>
      </c>
      <c r="Z88" s="44" t="str">
        <f t="shared" si="14"/>
        <v/>
      </c>
      <c r="AA88" s="50" t="str">
        <f t="shared" si="15"/>
        <v/>
      </c>
      <c r="AB88" s="50" t="str">
        <f>IF(OR(B88="",C88&lt;&gt;"Expense"),"",IF(E88&gt;IFERROR(AVERAGEIFS($E$8:$E$1007,$I$8:$I$1007,I88,$C$8:$C$1007,"Expense")*SETTINGS!$B$20,0),"Unusually High","Normal"))</f>
        <v/>
      </c>
      <c r="AC88" s="51"/>
      <c r="AD88" s="51"/>
      <c r="AE88" s="51"/>
      <c r="AF88" s="50" t="str">
        <f>IF(A88&lt;&gt;"Yes","No",IF(AND(AC88="Yes",SETTINGS!$B$16="No"),"No","Yes"))</f>
        <v>No</v>
      </c>
      <c r="AG88" s="50" t="str">
        <f>IF(A88&lt;&gt;"Yes","",IF(OR(B88="",D88="",E88&lt;=0,F88="",I88=""),"Check Required Fields",IF(AA88="Possible Duplicate","Possible Duplicate",IF(E88&gt;SETTINGS!$B$22,"Review Extreme Value","OK"))))</f>
        <v/>
      </c>
    </row>
    <row r="89" spans="1:33" ht="14.4">
      <c r="A89" s="9"/>
      <c r="B89" s="13"/>
      <c r="C89" s="9"/>
      <c r="D89" s="9"/>
      <c r="E89" s="11"/>
      <c r="F89" s="9"/>
      <c r="G89" s="9"/>
      <c r="H89" s="44" t="str">
        <f>IF(D89="","",IF(ISNUMBER(SEARCH(SETTINGS!$K$4,D89)),SETTINGS!$L$4,IF(ISNUMBER(SEARCH(SETTINGS!$K$5,D89)),SETTINGS!$L$5,IF(ISNUMBER(SEARCH(SETTINGS!$K$6,D89)),SETTINGS!$L$6,IF(ISNUMBER(SEARCH(SETTINGS!$K$7,D89)),SETTINGS!$L$7,IF(ISNUMBER(SEARCH(SETTINGS!$K$8,D89)),SETTINGS!$L$8,IF(ISNUMBER(SEARCH(SETTINGS!$K$9,D89)),SETTINGS!$L$9,IF(ISNUMBER(SEARCH(SETTINGS!$K$10,D89)),SETTINGS!$L$10,IF(ISNUMBER(SEARCH(SETTINGS!$K$11,D89)),SETTINGS!$L$11,IF(ISNUMBER(SEARCH(SETTINGS!$K$12,D89)),SETTINGS!$L$12,IF(ISNUMBER(SEARCH(SETTINGS!$K$13,D89)),SETTINGS!$L$13,IF(ISNUMBER(SEARCH(SETTINGS!$K$14,D89)),SETTINGS!$L$14,IF(ISNUMBER(SEARCH(SETTINGS!$K$15,D89)),SETTINGS!$L$15,IF(ISNUMBER(SEARCH(SETTINGS!$K$16,D89)),SETTINGS!$L$16,IF(ISNUMBER(SEARCH(SETTINGS!$K$17,D89)),SETTINGS!$L$17,IF(ISNUMBER(SEARCH(SETTINGS!$K$18,D89)),SETTINGS!$L$18,"Miscellaneous"))))))))))))))))</f>
        <v/>
      </c>
      <c r="I89" s="44" t="str">
        <f t="shared" si="8"/>
        <v/>
      </c>
      <c r="J89" s="9"/>
      <c r="K89" s="9"/>
      <c r="L89" s="9"/>
      <c r="M89" s="9"/>
      <c r="N89" s="9"/>
      <c r="O89" s="9"/>
      <c r="P89" s="13"/>
      <c r="Q89" s="9"/>
      <c r="R89" s="9"/>
      <c r="S89" s="9"/>
      <c r="T89" s="11"/>
      <c r="U89" s="44" t="str">
        <f t="shared" si="9"/>
        <v/>
      </c>
      <c r="V89" s="44" t="str">
        <f t="shared" si="10"/>
        <v/>
      </c>
      <c r="W89" s="44" t="str">
        <f t="shared" si="11"/>
        <v/>
      </c>
      <c r="X89" s="44" t="str">
        <f t="shared" si="12"/>
        <v/>
      </c>
      <c r="Y89" s="44" t="str">
        <f t="shared" si="13"/>
        <v/>
      </c>
      <c r="Z89" s="44" t="str">
        <f t="shared" si="14"/>
        <v/>
      </c>
      <c r="AA89" s="50" t="str">
        <f t="shared" si="15"/>
        <v/>
      </c>
      <c r="AB89" s="50" t="str">
        <f>IF(OR(B89="",C89&lt;&gt;"Expense"),"",IF(E89&gt;IFERROR(AVERAGEIFS($E$8:$E$1007,$I$8:$I$1007,I89,$C$8:$C$1007,"Expense")*SETTINGS!$B$20,0),"Unusually High","Normal"))</f>
        <v/>
      </c>
      <c r="AC89" s="51"/>
      <c r="AD89" s="51"/>
      <c r="AE89" s="51"/>
      <c r="AF89" s="50" t="str">
        <f>IF(A89&lt;&gt;"Yes","No",IF(AND(AC89="Yes",SETTINGS!$B$16="No"),"No","Yes"))</f>
        <v>No</v>
      </c>
      <c r="AG89" s="50" t="str">
        <f>IF(A89&lt;&gt;"Yes","",IF(OR(B89="",D89="",E89&lt;=0,F89="",I89=""),"Check Required Fields",IF(AA89="Possible Duplicate","Possible Duplicate",IF(E89&gt;SETTINGS!$B$22,"Review Extreme Value","OK"))))</f>
        <v/>
      </c>
    </row>
    <row r="90" spans="1:33" ht="14.4">
      <c r="A90" s="9"/>
      <c r="B90" s="13"/>
      <c r="C90" s="9"/>
      <c r="D90" s="9"/>
      <c r="E90" s="11"/>
      <c r="F90" s="9"/>
      <c r="G90" s="9"/>
      <c r="H90" s="44" t="str">
        <f>IF(D90="","",IF(ISNUMBER(SEARCH(SETTINGS!$K$4,D90)),SETTINGS!$L$4,IF(ISNUMBER(SEARCH(SETTINGS!$K$5,D90)),SETTINGS!$L$5,IF(ISNUMBER(SEARCH(SETTINGS!$K$6,D90)),SETTINGS!$L$6,IF(ISNUMBER(SEARCH(SETTINGS!$K$7,D90)),SETTINGS!$L$7,IF(ISNUMBER(SEARCH(SETTINGS!$K$8,D90)),SETTINGS!$L$8,IF(ISNUMBER(SEARCH(SETTINGS!$K$9,D90)),SETTINGS!$L$9,IF(ISNUMBER(SEARCH(SETTINGS!$K$10,D90)),SETTINGS!$L$10,IF(ISNUMBER(SEARCH(SETTINGS!$K$11,D90)),SETTINGS!$L$11,IF(ISNUMBER(SEARCH(SETTINGS!$K$12,D90)),SETTINGS!$L$12,IF(ISNUMBER(SEARCH(SETTINGS!$K$13,D90)),SETTINGS!$L$13,IF(ISNUMBER(SEARCH(SETTINGS!$K$14,D90)),SETTINGS!$L$14,IF(ISNUMBER(SEARCH(SETTINGS!$K$15,D90)),SETTINGS!$L$15,IF(ISNUMBER(SEARCH(SETTINGS!$K$16,D90)),SETTINGS!$L$16,IF(ISNUMBER(SEARCH(SETTINGS!$K$17,D90)),SETTINGS!$L$17,IF(ISNUMBER(SEARCH(SETTINGS!$K$18,D90)),SETTINGS!$L$18,"Miscellaneous"))))))))))))))))</f>
        <v/>
      </c>
      <c r="I90" s="44" t="str">
        <f t="shared" si="8"/>
        <v/>
      </c>
      <c r="J90" s="9"/>
      <c r="K90" s="9"/>
      <c r="L90" s="9"/>
      <c r="M90" s="9"/>
      <c r="N90" s="9"/>
      <c r="O90" s="9"/>
      <c r="P90" s="13"/>
      <c r="Q90" s="9"/>
      <c r="R90" s="9"/>
      <c r="S90" s="9"/>
      <c r="T90" s="11"/>
      <c r="U90" s="44" t="str">
        <f t="shared" si="9"/>
        <v/>
      </c>
      <c r="V90" s="44" t="str">
        <f t="shared" si="10"/>
        <v/>
      </c>
      <c r="W90" s="44" t="str">
        <f t="shared" si="11"/>
        <v/>
      </c>
      <c r="X90" s="44" t="str">
        <f t="shared" si="12"/>
        <v/>
      </c>
      <c r="Y90" s="44" t="str">
        <f t="shared" si="13"/>
        <v/>
      </c>
      <c r="Z90" s="44" t="str">
        <f t="shared" si="14"/>
        <v/>
      </c>
      <c r="AA90" s="50" t="str">
        <f t="shared" si="15"/>
        <v/>
      </c>
      <c r="AB90" s="50" t="str">
        <f>IF(OR(B90="",C90&lt;&gt;"Expense"),"",IF(E90&gt;IFERROR(AVERAGEIFS($E$8:$E$1007,$I$8:$I$1007,I90,$C$8:$C$1007,"Expense")*SETTINGS!$B$20,0),"Unusually High","Normal"))</f>
        <v/>
      </c>
      <c r="AC90" s="51"/>
      <c r="AD90" s="51"/>
      <c r="AE90" s="51"/>
      <c r="AF90" s="50" t="str">
        <f>IF(A90&lt;&gt;"Yes","No",IF(AND(AC90="Yes",SETTINGS!$B$16="No"),"No","Yes"))</f>
        <v>No</v>
      </c>
      <c r="AG90" s="50" t="str">
        <f>IF(A90&lt;&gt;"Yes","",IF(OR(B90="",D90="",E90&lt;=0,F90="",I90=""),"Check Required Fields",IF(AA90="Possible Duplicate","Possible Duplicate",IF(E90&gt;SETTINGS!$B$22,"Review Extreme Value","OK"))))</f>
        <v/>
      </c>
    </row>
    <row r="91" spans="1:33" ht="14.4">
      <c r="A91" s="9"/>
      <c r="B91" s="13"/>
      <c r="C91" s="9"/>
      <c r="D91" s="9"/>
      <c r="E91" s="11"/>
      <c r="F91" s="9"/>
      <c r="G91" s="9"/>
      <c r="H91" s="44" t="str">
        <f>IF(D91="","",IF(ISNUMBER(SEARCH(SETTINGS!$K$4,D91)),SETTINGS!$L$4,IF(ISNUMBER(SEARCH(SETTINGS!$K$5,D91)),SETTINGS!$L$5,IF(ISNUMBER(SEARCH(SETTINGS!$K$6,D91)),SETTINGS!$L$6,IF(ISNUMBER(SEARCH(SETTINGS!$K$7,D91)),SETTINGS!$L$7,IF(ISNUMBER(SEARCH(SETTINGS!$K$8,D91)),SETTINGS!$L$8,IF(ISNUMBER(SEARCH(SETTINGS!$K$9,D91)),SETTINGS!$L$9,IF(ISNUMBER(SEARCH(SETTINGS!$K$10,D91)),SETTINGS!$L$10,IF(ISNUMBER(SEARCH(SETTINGS!$K$11,D91)),SETTINGS!$L$11,IF(ISNUMBER(SEARCH(SETTINGS!$K$12,D91)),SETTINGS!$L$12,IF(ISNUMBER(SEARCH(SETTINGS!$K$13,D91)),SETTINGS!$L$13,IF(ISNUMBER(SEARCH(SETTINGS!$K$14,D91)),SETTINGS!$L$14,IF(ISNUMBER(SEARCH(SETTINGS!$K$15,D91)),SETTINGS!$L$15,IF(ISNUMBER(SEARCH(SETTINGS!$K$16,D91)),SETTINGS!$L$16,IF(ISNUMBER(SEARCH(SETTINGS!$K$17,D91)),SETTINGS!$L$17,IF(ISNUMBER(SEARCH(SETTINGS!$K$18,D91)),SETTINGS!$L$18,"Miscellaneous"))))))))))))))))</f>
        <v/>
      </c>
      <c r="I91" s="44" t="str">
        <f t="shared" si="8"/>
        <v/>
      </c>
      <c r="J91" s="9"/>
      <c r="K91" s="9"/>
      <c r="L91" s="9"/>
      <c r="M91" s="9"/>
      <c r="N91" s="9"/>
      <c r="O91" s="9"/>
      <c r="P91" s="13"/>
      <c r="Q91" s="9"/>
      <c r="R91" s="9"/>
      <c r="S91" s="9"/>
      <c r="T91" s="11"/>
      <c r="U91" s="44" t="str">
        <f t="shared" si="9"/>
        <v/>
      </c>
      <c r="V91" s="44" t="str">
        <f t="shared" si="10"/>
        <v/>
      </c>
      <c r="W91" s="44" t="str">
        <f t="shared" si="11"/>
        <v/>
      </c>
      <c r="X91" s="44" t="str">
        <f t="shared" si="12"/>
        <v/>
      </c>
      <c r="Y91" s="44" t="str">
        <f t="shared" si="13"/>
        <v/>
      </c>
      <c r="Z91" s="44" t="str">
        <f t="shared" si="14"/>
        <v/>
      </c>
      <c r="AA91" s="50" t="str">
        <f t="shared" si="15"/>
        <v/>
      </c>
      <c r="AB91" s="50" t="str">
        <f>IF(OR(B91="",C91&lt;&gt;"Expense"),"",IF(E91&gt;IFERROR(AVERAGEIFS($E$8:$E$1007,$I$8:$I$1007,I91,$C$8:$C$1007,"Expense")*SETTINGS!$B$20,0),"Unusually High","Normal"))</f>
        <v/>
      </c>
      <c r="AC91" s="51"/>
      <c r="AD91" s="51"/>
      <c r="AE91" s="51"/>
      <c r="AF91" s="50" t="str">
        <f>IF(A91&lt;&gt;"Yes","No",IF(AND(AC91="Yes",SETTINGS!$B$16="No"),"No","Yes"))</f>
        <v>No</v>
      </c>
      <c r="AG91" s="50" t="str">
        <f>IF(A91&lt;&gt;"Yes","",IF(OR(B91="",D91="",E91&lt;=0,F91="",I91=""),"Check Required Fields",IF(AA91="Possible Duplicate","Possible Duplicate",IF(E91&gt;SETTINGS!$B$22,"Review Extreme Value","OK"))))</f>
        <v/>
      </c>
    </row>
    <row r="92" spans="1:33" ht="14.4">
      <c r="A92" s="9"/>
      <c r="B92" s="13"/>
      <c r="C92" s="9"/>
      <c r="D92" s="9"/>
      <c r="E92" s="11"/>
      <c r="F92" s="9"/>
      <c r="G92" s="9"/>
      <c r="H92" s="44" t="str">
        <f>IF(D92="","",IF(ISNUMBER(SEARCH(SETTINGS!$K$4,D92)),SETTINGS!$L$4,IF(ISNUMBER(SEARCH(SETTINGS!$K$5,D92)),SETTINGS!$L$5,IF(ISNUMBER(SEARCH(SETTINGS!$K$6,D92)),SETTINGS!$L$6,IF(ISNUMBER(SEARCH(SETTINGS!$K$7,D92)),SETTINGS!$L$7,IF(ISNUMBER(SEARCH(SETTINGS!$K$8,D92)),SETTINGS!$L$8,IF(ISNUMBER(SEARCH(SETTINGS!$K$9,D92)),SETTINGS!$L$9,IF(ISNUMBER(SEARCH(SETTINGS!$K$10,D92)),SETTINGS!$L$10,IF(ISNUMBER(SEARCH(SETTINGS!$K$11,D92)),SETTINGS!$L$11,IF(ISNUMBER(SEARCH(SETTINGS!$K$12,D92)),SETTINGS!$L$12,IF(ISNUMBER(SEARCH(SETTINGS!$K$13,D92)),SETTINGS!$L$13,IF(ISNUMBER(SEARCH(SETTINGS!$K$14,D92)),SETTINGS!$L$14,IF(ISNUMBER(SEARCH(SETTINGS!$K$15,D92)),SETTINGS!$L$15,IF(ISNUMBER(SEARCH(SETTINGS!$K$16,D92)),SETTINGS!$L$16,IF(ISNUMBER(SEARCH(SETTINGS!$K$17,D92)),SETTINGS!$L$17,IF(ISNUMBER(SEARCH(SETTINGS!$K$18,D92)),SETTINGS!$L$18,"Miscellaneous"))))))))))))))))</f>
        <v/>
      </c>
      <c r="I92" s="44" t="str">
        <f t="shared" si="8"/>
        <v/>
      </c>
      <c r="J92" s="9"/>
      <c r="K92" s="9"/>
      <c r="L92" s="9"/>
      <c r="M92" s="9"/>
      <c r="N92" s="9"/>
      <c r="O92" s="9"/>
      <c r="P92" s="13"/>
      <c r="Q92" s="9"/>
      <c r="R92" s="9"/>
      <c r="S92" s="9"/>
      <c r="T92" s="11"/>
      <c r="U92" s="44" t="str">
        <f t="shared" si="9"/>
        <v/>
      </c>
      <c r="V92" s="44" t="str">
        <f t="shared" si="10"/>
        <v/>
      </c>
      <c r="W92" s="44" t="str">
        <f t="shared" si="11"/>
        <v/>
      </c>
      <c r="X92" s="44" t="str">
        <f t="shared" si="12"/>
        <v/>
      </c>
      <c r="Y92" s="44" t="str">
        <f t="shared" si="13"/>
        <v/>
      </c>
      <c r="Z92" s="44" t="str">
        <f t="shared" si="14"/>
        <v/>
      </c>
      <c r="AA92" s="50" t="str">
        <f t="shared" si="15"/>
        <v/>
      </c>
      <c r="AB92" s="50" t="str">
        <f>IF(OR(B92="",C92&lt;&gt;"Expense"),"",IF(E92&gt;IFERROR(AVERAGEIFS($E$8:$E$1007,$I$8:$I$1007,I92,$C$8:$C$1007,"Expense")*SETTINGS!$B$20,0),"Unusually High","Normal"))</f>
        <v/>
      </c>
      <c r="AC92" s="51"/>
      <c r="AD92" s="51"/>
      <c r="AE92" s="51"/>
      <c r="AF92" s="50" t="str">
        <f>IF(A92&lt;&gt;"Yes","No",IF(AND(AC92="Yes",SETTINGS!$B$16="No"),"No","Yes"))</f>
        <v>No</v>
      </c>
      <c r="AG92" s="50" t="str">
        <f>IF(A92&lt;&gt;"Yes","",IF(OR(B92="",D92="",E92&lt;=0,F92="",I92=""),"Check Required Fields",IF(AA92="Possible Duplicate","Possible Duplicate",IF(E92&gt;SETTINGS!$B$22,"Review Extreme Value","OK"))))</f>
        <v/>
      </c>
    </row>
    <row r="93" spans="1:33" ht="14.4">
      <c r="A93" s="9"/>
      <c r="B93" s="13"/>
      <c r="C93" s="9"/>
      <c r="D93" s="9"/>
      <c r="E93" s="11"/>
      <c r="F93" s="9"/>
      <c r="G93" s="9"/>
      <c r="H93" s="44" t="str">
        <f>IF(D93="","",IF(ISNUMBER(SEARCH(SETTINGS!$K$4,D93)),SETTINGS!$L$4,IF(ISNUMBER(SEARCH(SETTINGS!$K$5,D93)),SETTINGS!$L$5,IF(ISNUMBER(SEARCH(SETTINGS!$K$6,D93)),SETTINGS!$L$6,IF(ISNUMBER(SEARCH(SETTINGS!$K$7,D93)),SETTINGS!$L$7,IF(ISNUMBER(SEARCH(SETTINGS!$K$8,D93)),SETTINGS!$L$8,IF(ISNUMBER(SEARCH(SETTINGS!$K$9,D93)),SETTINGS!$L$9,IF(ISNUMBER(SEARCH(SETTINGS!$K$10,D93)),SETTINGS!$L$10,IF(ISNUMBER(SEARCH(SETTINGS!$K$11,D93)),SETTINGS!$L$11,IF(ISNUMBER(SEARCH(SETTINGS!$K$12,D93)),SETTINGS!$L$12,IF(ISNUMBER(SEARCH(SETTINGS!$K$13,D93)),SETTINGS!$L$13,IF(ISNUMBER(SEARCH(SETTINGS!$K$14,D93)),SETTINGS!$L$14,IF(ISNUMBER(SEARCH(SETTINGS!$K$15,D93)),SETTINGS!$L$15,IF(ISNUMBER(SEARCH(SETTINGS!$K$16,D93)),SETTINGS!$L$16,IF(ISNUMBER(SEARCH(SETTINGS!$K$17,D93)),SETTINGS!$L$17,IF(ISNUMBER(SEARCH(SETTINGS!$K$18,D93)),SETTINGS!$L$18,"Miscellaneous"))))))))))))))))</f>
        <v/>
      </c>
      <c r="I93" s="44" t="str">
        <f t="shared" si="8"/>
        <v/>
      </c>
      <c r="J93" s="9"/>
      <c r="K93" s="9"/>
      <c r="L93" s="9"/>
      <c r="M93" s="9"/>
      <c r="N93" s="9"/>
      <c r="O93" s="9"/>
      <c r="P93" s="13"/>
      <c r="Q93" s="9"/>
      <c r="R93" s="9"/>
      <c r="S93" s="9"/>
      <c r="T93" s="11"/>
      <c r="U93" s="44" t="str">
        <f t="shared" si="9"/>
        <v/>
      </c>
      <c r="V93" s="44" t="str">
        <f t="shared" si="10"/>
        <v/>
      </c>
      <c r="W93" s="44" t="str">
        <f t="shared" si="11"/>
        <v/>
      </c>
      <c r="X93" s="44" t="str">
        <f t="shared" si="12"/>
        <v/>
      </c>
      <c r="Y93" s="44" t="str">
        <f t="shared" si="13"/>
        <v/>
      </c>
      <c r="Z93" s="44" t="str">
        <f t="shared" si="14"/>
        <v/>
      </c>
      <c r="AA93" s="50" t="str">
        <f t="shared" si="15"/>
        <v/>
      </c>
      <c r="AB93" s="50" t="str">
        <f>IF(OR(B93="",C93&lt;&gt;"Expense"),"",IF(E93&gt;IFERROR(AVERAGEIFS($E$8:$E$1007,$I$8:$I$1007,I93,$C$8:$C$1007,"Expense")*SETTINGS!$B$20,0),"Unusually High","Normal"))</f>
        <v/>
      </c>
      <c r="AC93" s="51"/>
      <c r="AD93" s="51"/>
      <c r="AE93" s="51"/>
      <c r="AF93" s="50" t="str">
        <f>IF(A93&lt;&gt;"Yes","No",IF(AND(AC93="Yes",SETTINGS!$B$16="No"),"No","Yes"))</f>
        <v>No</v>
      </c>
      <c r="AG93" s="50" t="str">
        <f>IF(A93&lt;&gt;"Yes","",IF(OR(B93="",D93="",E93&lt;=0,F93="",I93=""),"Check Required Fields",IF(AA93="Possible Duplicate","Possible Duplicate",IF(E93&gt;SETTINGS!$B$22,"Review Extreme Value","OK"))))</f>
        <v/>
      </c>
    </row>
    <row r="94" spans="1:33" ht="14.4">
      <c r="A94" s="9"/>
      <c r="B94" s="13"/>
      <c r="C94" s="9"/>
      <c r="D94" s="9"/>
      <c r="E94" s="11"/>
      <c r="F94" s="9"/>
      <c r="G94" s="9"/>
      <c r="H94" s="44" t="str">
        <f>IF(D94="","",IF(ISNUMBER(SEARCH(SETTINGS!$K$4,D94)),SETTINGS!$L$4,IF(ISNUMBER(SEARCH(SETTINGS!$K$5,D94)),SETTINGS!$L$5,IF(ISNUMBER(SEARCH(SETTINGS!$K$6,D94)),SETTINGS!$L$6,IF(ISNUMBER(SEARCH(SETTINGS!$K$7,D94)),SETTINGS!$L$7,IF(ISNUMBER(SEARCH(SETTINGS!$K$8,D94)),SETTINGS!$L$8,IF(ISNUMBER(SEARCH(SETTINGS!$K$9,D94)),SETTINGS!$L$9,IF(ISNUMBER(SEARCH(SETTINGS!$K$10,D94)),SETTINGS!$L$10,IF(ISNUMBER(SEARCH(SETTINGS!$K$11,D94)),SETTINGS!$L$11,IF(ISNUMBER(SEARCH(SETTINGS!$K$12,D94)),SETTINGS!$L$12,IF(ISNUMBER(SEARCH(SETTINGS!$K$13,D94)),SETTINGS!$L$13,IF(ISNUMBER(SEARCH(SETTINGS!$K$14,D94)),SETTINGS!$L$14,IF(ISNUMBER(SEARCH(SETTINGS!$K$15,D94)),SETTINGS!$L$15,IF(ISNUMBER(SEARCH(SETTINGS!$K$16,D94)),SETTINGS!$L$16,IF(ISNUMBER(SEARCH(SETTINGS!$K$17,D94)),SETTINGS!$L$17,IF(ISNUMBER(SEARCH(SETTINGS!$K$18,D94)),SETTINGS!$L$18,"Miscellaneous"))))))))))))))))</f>
        <v/>
      </c>
      <c r="I94" s="44" t="str">
        <f t="shared" si="8"/>
        <v/>
      </c>
      <c r="J94" s="9"/>
      <c r="K94" s="9"/>
      <c r="L94" s="9"/>
      <c r="M94" s="9"/>
      <c r="N94" s="9"/>
      <c r="O94" s="9"/>
      <c r="P94" s="13"/>
      <c r="Q94" s="9"/>
      <c r="R94" s="9"/>
      <c r="S94" s="9"/>
      <c r="T94" s="11"/>
      <c r="U94" s="44" t="str">
        <f t="shared" si="9"/>
        <v/>
      </c>
      <c r="V94" s="44" t="str">
        <f t="shared" si="10"/>
        <v/>
      </c>
      <c r="W94" s="44" t="str">
        <f t="shared" si="11"/>
        <v/>
      </c>
      <c r="X94" s="44" t="str">
        <f t="shared" si="12"/>
        <v/>
      </c>
      <c r="Y94" s="44" t="str">
        <f t="shared" si="13"/>
        <v/>
      </c>
      <c r="Z94" s="44" t="str">
        <f t="shared" si="14"/>
        <v/>
      </c>
      <c r="AA94" s="50" t="str">
        <f t="shared" si="15"/>
        <v/>
      </c>
      <c r="AB94" s="50" t="str">
        <f>IF(OR(B94="",C94&lt;&gt;"Expense"),"",IF(E94&gt;IFERROR(AVERAGEIFS($E$8:$E$1007,$I$8:$I$1007,I94,$C$8:$C$1007,"Expense")*SETTINGS!$B$20,0),"Unusually High","Normal"))</f>
        <v/>
      </c>
      <c r="AC94" s="51"/>
      <c r="AD94" s="51"/>
      <c r="AE94" s="51"/>
      <c r="AF94" s="50" t="str">
        <f>IF(A94&lt;&gt;"Yes","No",IF(AND(AC94="Yes",SETTINGS!$B$16="No"),"No","Yes"))</f>
        <v>No</v>
      </c>
      <c r="AG94" s="50" t="str">
        <f>IF(A94&lt;&gt;"Yes","",IF(OR(B94="",D94="",E94&lt;=0,F94="",I94=""),"Check Required Fields",IF(AA94="Possible Duplicate","Possible Duplicate",IF(E94&gt;SETTINGS!$B$22,"Review Extreme Value","OK"))))</f>
        <v/>
      </c>
    </row>
    <row r="95" spans="1:33" ht="14.4">
      <c r="A95" s="9"/>
      <c r="B95" s="13"/>
      <c r="C95" s="9"/>
      <c r="D95" s="9"/>
      <c r="E95" s="11"/>
      <c r="F95" s="9"/>
      <c r="G95" s="9"/>
      <c r="H95" s="44" t="str">
        <f>IF(D95="","",IF(ISNUMBER(SEARCH(SETTINGS!$K$4,D95)),SETTINGS!$L$4,IF(ISNUMBER(SEARCH(SETTINGS!$K$5,D95)),SETTINGS!$L$5,IF(ISNUMBER(SEARCH(SETTINGS!$K$6,D95)),SETTINGS!$L$6,IF(ISNUMBER(SEARCH(SETTINGS!$K$7,D95)),SETTINGS!$L$7,IF(ISNUMBER(SEARCH(SETTINGS!$K$8,D95)),SETTINGS!$L$8,IF(ISNUMBER(SEARCH(SETTINGS!$K$9,D95)),SETTINGS!$L$9,IF(ISNUMBER(SEARCH(SETTINGS!$K$10,D95)),SETTINGS!$L$10,IF(ISNUMBER(SEARCH(SETTINGS!$K$11,D95)),SETTINGS!$L$11,IF(ISNUMBER(SEARCH(SETTINGS!$K$12,D95)),SETTINGS!$L$12,IF(ISNUMBER(SEARCH(SETTINGS!$K$13,D95)),SETTINGS!$L$13,IF(ISNUMBER(SEARCH(SETTINGS!$K$14,D95)),SETTINGS!$L$14,IF(ISNUMBER(SEARCH(SETTINGS!$K$15,D95)),SETTINGS!$L$15,IF(ISNUMBER(SEARCH(SETTINGS!$K$16,D95)),SETTINGS!$L$16,IF(ISNUMBER(SEARCH(SETTINGS!$K$17,D95)),SETTINGS!$L$17,IF(ISNUMBER(SEARCH(SETTINGS!$K$18,D95)),SETTINGS!$L$18,"Miscellaneous"))))))))))))))))</f>
        <v/>
      </c>
      <c r="I95" s="44" t="str">
        <f t="shared" si="8"/>
        <v/>
      </c>
      <c r="J95" s="9"/>
      <c r="K95" s="9"/>
      <c r="L95" s="9"/>
      <c r="M95" s="9"/>
      <c r="N95" s="9"/>
      <c r="O95" s="9"/>
      <c r="P95" s="13"/>
      <c r="Q95" s="9"/>
      <c r="R95" s="9"/>
      <c r="S95" s="9"/>
      <c r="T95" s="11"/>
      <c r="U95" s="44" t="str">
        <f t="shared" si="9"/>
        <v/>
      </c>
      <c r="V95" s="44" t="str">
        <f t="shared" si="10"/>
        <v/>
      </c>
      <c r="W95" s="44" t="str">
        <f t="shared" si="11"/>
        <v/>
      </c>
      <c r="X95" s="44" t="str">
        <f t="shared" si="12"/>
        <v/>
      </c>
      <c r="Y95" s="44" t="str">
        <f t="shared" si="13"/>
        <v/>
      </c>
      <c r="Z95" s="44" t="str">
        <f t="shared" si="14"/>
        <v/>
      </c>
      <c r="AA95" s="50" t="str">
        <f t="shared" si="15"/>
        <v/>
      </c>
      <c r="AB95" s="50" t="str">
        <f>IF(OR(B95="",C95&lt;&gt;"Expense"),"",IF(E95&gt;IFERROR(AVERAGEIFS($E$8:$E$1007,$I$8:$I$1007,I95,$C$8:$C$1007,"Expense")*SETTINGS!$B$20,0),"Unusually High","Normal"))</f>
        <v/>
      </c>
      <c r="AC95" s="51"/>
      <c r="AD95" s="51"/>
      <c r="AE95" s="51"/>
      <c r="AF95" s="50" t="str">
        <f>IF(A95&lt;&gt;"Yes","No",IF(AND(AC95="Yes",SETTINGS!$B$16="No"),"No","Yes"))</f>
        <v>No</v>
      </c>
      <c r="AG95" s="50" t="str">
        <f>IF(A95&lt;&gt;"Yes","",IF(OR(B95="",D95="",E95&lt;=0,F95="",I95=""),"Check Required Fields",IF(AA95="Possible Duplicate","Possible Duplicate",IF(E95&gt;SETTINGS!$B$22,"Review Extreme Value","OK"))))</f>
        <v/>
      </c>
    </row>
    <row r="96" spans="1:33" ht="14.4">
      <c r="A96" s="9"/>
      <c r="B96" s="13"/>
      <c r="C96" s="9"/>
      <c r="D96" s="9"/>
      <c r="E96" s="11"/>
      <c r="F96" s="9"/>
      <c r="G96" s="9"/>
      <c r="H96" s="44" t="str">
        <f>IF(D96="","",IF(ISNUMBER(SEARCH(SETTINGS!$K$4,D96)),SETTINGS!$L$4,IF(ISNUMBER(SEARCH(SETTINGS!$K$5,D96)),SETTINGS!$L$5,IF(ISNUMBER(SEARCH(SETTINGS!$K$6,D96)),SETTINGS!$L$6,IF(ISNUMBER(SEARCH(SETTINGS!$K$7,D96)),SETTINGS!$L$7,IF(ISNUMBER(SEARCH(SETTINGS!$K$8,D96)),SETTINGS!$L$8,IF(ISNUMBER(SEARCH(SETTINGS!$K$9,D96)),SETTINGS!$L$9,IF(ISNUMBER(SEARCH(SETTINGS!$K$10,D96)),SETTINGS!$L$10,IF(ISNUMBER(SEARCH(SETTINGS!$K$11,D96)),SETTINGS!$L$11,IF(ISNUMBER(SEARCH(SETTINGS!$K$12,D96)),SETTINGS!$L$12,IF(ISNUMBER(SEARCH(SETTINGS!$K$13,D96)),SETTINGS!$L$13,IF(ISNUMBER(SEARCH(SETTINGS!$K$14,D96)),SETTINGS!$L$14,IF(ISNUMBER(SEARCH(SETTINGS!$K$15,D96)),SETTINGS!$L$15,IF(ISNUMBER(SEARCH(SETTINGS!$K$16,D96)),SETTINGS!$L$16,IF(ISNUMBER(SEARCH(SETTINGS!$K$17,D96)),SETTINGS!$L$17,IF(ISNUMBER(SEARCH(SETTINGS!$K$18,D96)),SETTINGS!$L$18,"Miscellaneous"))))))))))))))))</f>
        <v/>
      </c>
      <c r="I96" s="44" t="str">
        <f t="shared" si="8"/>
        <v/>
      </c>
      <c r="J96" s="9"/>
      <c r="K96" s="9"/>
      <c r="L96" s="9"/>
      <c r="M96" s="9"/>
      <c r="N96" s="9"/>
      <c r="O96" s="9"/>
      <c r="P96" s="13"/>
      <c r="Q96" s="9"/>
      <c r="R96" s="9"/>
      <c r="S96" s="9"/>
      <c r="T96" s="11"/>
      <c r="U96" s="44" t="str">
        <f t="shared" si="9"/>
        <v/>
      </c>
      <c r="V96" s="44" t="str">
        <f t="shared" si="10"/>
        <v/>
      </c>
      <c r="W96" s="44" t="str">
        <f t="shared" si="11"/>
        <v/>
      </c>
      <c r="X96" s="44" t="str">
        <f t="shared" si="12"/>
        <v/>
      </c>
      <c r="Y96" s="44" t="str">
        <f t="shared" si="13"/>
        <v/>
      </c>
      <c r="Z96" s="44" t="str">
        <f t="shared" si="14"/>
        <v/>
      </c>
      <c r="AA96" s="50" t="str">
        <f t="shared" si="15"/>
        <v/>
      </c>
      <c r="AB96" s="50" t="str">
        <f>IF(OR(B96="",C96&lt;&gt;"Expense"),"",IF(E96&gt;IFERROR(AVERAGEIFS($E$8:$E$1007,$I$8:$I$1007,I96,$C$8:$C$1007,"Expense")*SETTINGS!$B$20,0),"Unusually High","Normal"))</f>
        <v/>
      </c>
      <c r="AC96" s="51"/>
      <c r="AD96" s="51"/>
      <c r="AE96" s="51"/>
      <c r="AF96" s="50" t="str">
        <f>IF(A96&lt;&gt;"Yes","No",IF(AND(AC96="Yes",SETTINGS!$B$16="No"),"No","Yes"))</f>
        <v>No</v>
      </c>
      <c r="AG96" s="50" t="str">
        <f>IF(A96&lt;&gt;"Yes","",IF(OR(B96="",D96="",E96&lt;=0,F96="",I96=""),"Check Required Fields",IF(AA96="Possible Duplicate","Possible Duplicate",IF(E96&gt;SETTINGS!$B$22,"Review Extreme Value","OK"))))</f>
        <v/>
      </c>
    </row>
    <row r="97" spans="1:33" ht="14.4">
      <c r="A97" s="9"/>
      <c r="B97" s="13"/>
      <c r="C97" s="9"/>
      <c r="D97" s="9"/>
      <c r="E97" s="11"/>
      <c r="F97" s="9"/>
      <c r="G97" s="9"/>
      <c r="H97" s="44" t="str">
        <f>IF(D97="","",IF(ISNUMBER(SEARCH(SETTINGS!$K$4,D97)),SETTINGS!$L$4,IF(ISNUMBER(SEARCH(SETTINGS!$K$5,D97)),SETTINGS!$L$5,IF(ISNUMBER(SEARCH(SETTINGS!$K$6,D97)),SETTINGS!$L$6,IF(ISNUMBER(SEARCH(SETTINGS!$K$7,D97)),SETTINGS!$L$7,IF(ISNUMBER(SEARCH(SETTINGS!$K$8,D97)),SETTINGS!$L$8,IF(ISNUMBER(SEARCH(SETTINGS!$K$9,D97)),SETTINGS!$L$9,IF(ISNUMBER(SEARCH(SETTINGS!$K$10,D97)),SETTINGS!$L$10,IF(ISNUMBER(SEARCH(SETTINGS!$K$11,D97)),SETTINGS!$L$11,IF(ISNUMBER(SEARCH(SETTINGS!$K$12,D97)),SETTINGS!$L$12,IF(ISNUMBER(SEARCH(SETTINGS!$K$13,D97)),SETTINGS!$L$13,IF(ISNUMBER(SEARCH(SETTINGS!$K$14,D97)),SETTINGS!$L$14,IF(ISNUMBER(SEARCH(SETTINGS!$K$15,D97)),SETTINGS!$L$15,IF(ISNUMBER(SEARCH(SETTINGS!$K$16,D97)),SETTINGS!$L$16,IF(ISNUMBER(SEARCH(SETTINGS!$K$17,D97)),SETTINGS!$L$17,IF(ISNUMBER(SEARCH(SETTINGS!$K$18,D97)),SETTINGS!$L$18,"Miscellaneous"))))))))))))))))</f>
        <v/>
      </c>
      <c r="I97" s="44" t="str">
        <f t="shared" si="8"/>
        <v/>
      </c>
      <c r="J97" s="9"/>
      <c r="K97" s="9"/>
      <c r="L97" s="9"/>
      <c r="M97" s="9"/>
      <c r="N97" s="9"/>
      <c r="O97" s="9"/>
      <c r="P97" s="13"/>
      <c r="Q97" s="9"/>
      <c r="R97" s="9"/>
      <c r="S97" s="9"/>
      <c r="T97" s="11"/>
      <c r="U97" s="44" t="str">
        <f t="shared" si="9"/>
        <v/>
      </c>
      <c r="V97" s="44" t="str">
        <f t="shared" si="10"/>
        <v/>
      </c>
      <c r="W97" s="44" t="str">
        <f t="shared" si="11"/>
        <v/>
      </c>
      <c r="X97" s="44" t="str">
        <f t="shared" si="12"/>
        <v/>
      </c>
      <c r="Y97" s="44" t="str">
        <f t="shared" si="13"/>
        <v/>
      </c>
      <c r="Z97" s="44" t="str">
        <f t="shared" si="14"/>
        <v/>
      </c>
      <c r="AA97" s="50" t="str">
        <f t="shared" si="15"/>
        <v/>
      </c>
      <c r="AB97" s="50" t="str">
        <f>IF(OR(B97="",C97&lt;&gt;"Expense"),"",IF(E97&gt;IFERROR(AVERAGEIFS($E$8:$E$1007,$I$8:$I$1007,I97,$C$8:$C$1007,"Expense")*SETTINGS!$B$20,0),"Unusually High","Normal"))</f>
        <v/>
      </c>
      <c r="AC97" s="51"/>
      <c r="AD97" s="51"/>
      <c r="AE97" s="51"/>
      <c r="AF97" s="50" t="str">
        <f>IF(A97&lt;&gt;"Yes","No",IF(AND(AC97="Yes",SETTINGS!$B$16="No"),"No","Yes"))</f>
        <v>No</v>
      </c>
      <c r="AG97" s="50" t="str">
        <f>IF(A97&lt;&gt;"Yes","",IF(OR(B97="",D97="",E97&lt;=0,F97="",I97=""),"Check Required Fields",IF(AA97="Possible Duplicate","Possible Duplicate",IF(E97&gt;SETTINGS!$B$22,"Review Extreme Value","OK"))))</f>
        <v/>
      </c>
    </row>
    <row r="98" spans="1:33" ht="14.4">
      <c r="A98" s="9"/>
      <c r="B98" s="13"/>
      <c r="C98" s="9"/>
      <c r="D98" s="9"/>
      <c r="E98" s="11"/>
      <c r="F98" s="9"/>
      <c r="G98" s="9"/>
      <c r="H98" s="44" t="str">
        <f>IF(D98="","",IF(ISNUMBER(SEARCH(SETTINGS!$K$4,D98)),SETTINGS!$L$4,IF(ISNUMBER(SEARCH(SETTINGS!$K$5,D98)),SETTINGS!$L$5,IF(ISNUMBER(SEARCH(SETTINGS!$K$6,D98)),SETTINGS!$L$6,IF(ISNUMBER(SEARCH(SETTINGS!$K$7,D98)),SETTINGS!$L$7,IF(ISNUMBER(SEARCH(SETTINGS!$K$8,D98)),SETTINGS!$L$8,IF(ISNUMBER(SEARCH(SETTINGS!$K$9,D98)),SETTINGS!$L$9,IF(ISNUMBER(SEARCH(SETTINGS!$K$10,D98)),SETTINGS!$L$10,IF(ISNUMBER(SEARCH(SETTINGS!$K$11,D98)),SETTINGS!$L$11,IF(ISNUMBER(SEARCH(SETTINGS!$K$12,D98)),SETTINGS!$L$12,IF(ISNUMBER(SEARCH(SETTINGS!$K$13,D98)),SETTINGS!$L$13,IF(ISNUMBER(SEARCH(SETTINGS!$K$14,D98)),SETTINGS!$L$14,IF(ISNUMBER(SEARCH(SETTINGS!$K$15,D98)),SETTINGS!$L$15,IF(ISNUMBER(SEARCH(SETTINGS!$K$16,D98)),SETTINGS!$L$16,IF(ISNUMBER(SEARCH(SETTINGS!$K$17,D98)),SETTINGS!$L$17,IF(ISNUMBER(SEARCH(SETTINGS!$K$18,D98)),SETTINGS!$L$18,"Miscellaneous"))))))))))))))))</f>
        <v/>
      </c>
      <c r="I98" s="44" t="str">
        <f t="shared" si="8"/>
        <v/>
      </c>
      <c r="J98" s="9"/>
      <c r="K98" s="9"/>
      <c r="L98" s="9"/>
      <c r="M98" s="9"/>
      <c r="N98" s="9"/>
      <c r="O98" s="9"/>
      <c r="P98" s="13"/>
      <c r="Q98" s="9"/>
      <c r="R98" s="9"/>
      <c r="S98" s="9"/>
      <c r="T98" s="11"/>
      <c r="U98" s="44" t="str">
        <f t="shared" si="9"/>
        <v/>
      </c>
      <c r="V98" s="44" t="str">
        <f t="shared" si="10"/>
        <v/>
      </c>
      <c r="W98" s="44" t="str">
        <f t="shared" si="11"/>
        <v/>
      </c>
      <c r="X98" s="44" t="str">
        <f t="shared" si="12"/>
        <v/>
      </c>
      <c r="Y98" s="44" t="str">
        <f t="shared" si="13"/>
        <v/>
      </c>
      <c r="Z98" s="44" t="str">
        <f t="shared" si="14"/>
        <v/>
      </c>
      <c r="AA98" s="50" t="str">
        <f t="shared" si="15"/>
        <v/>
      </c>
      <c r="AB98" s="50" t="str">
        <f>IF(OR(B98="",C98&lt;&gt;"Expense"),"",IF(E98&gt;IFERROR(AVERAGEIFS($E$8:$E$1007,$I$8:$I$1007,I98,$C$8:$C$1007,"Expense")*SETTINGS!$B$20,0),"Unusually High","Normal"))</f>
        <v/>
      </c>
      <c r="AC98" s="51"/>
      <c r="AD98" s="51"/>
      <c r="AE98" s="51"/>
      <c r="AF98" s="50" t="str">
        <f>IF(A98&lt;&gt;"Yes","No",IF(AND(AC98="Yes",SETTINGS!$B$16="No"),"No","Yes"))</f>
        <v>No</v>
      </c>
      <c r="AG98" s="50" t="str">
        <f>IF(A98&lt;&gt;"Yes","",IF(OR(B98="",D98="",E98&lt;=0,F98="",I98=""),"Check Required Fields",IF(AA98="Possible Duplicate","Possible Duplicate",IF(E98&gt;SETTINGS!$B$22,"Review Extreme Value","OK"))))</f>
        <v/>
      </c>
    </row>
    <row r="99" spans="1:33" ht="14.4">
      <c r="A99" s="9"/>
      <c r="B99" s="13"/>
      <c r="C99" s="9"/>
      <c r="D99" s="9"/>
      <c r="E99" s="11"/>
      <c r="F99" s="9"/>
      <c r="G99" s="9"/>
      <c r="H99" s="44" t="str">
        <f>IF(D99="","",IF(ISNUMBER(SEARCH(SETTINGS!$K$4,D99)),SETTINGS!$L$4,IF(ISNUMBER(SEARCH(SETTINGS!$K$5,D99)),SETTINGS!$L$5,IF(ISNUMBER(SEARCH(SETTINGS!$K$6,D99)),SETTINGS!$L$6,IF(ISNUMBER(SEARCH(SETTINGS!$K$7,D99)),SETTINGS!$L$7,IF(ISNUMBER(SEARCH(SETTINGS!$K$8,D99)),SETTINGS!$L$8,IF(ISNUMBER(SEARCH(SETTINGS!$K$9,D99)),SETTINGS!$L$9,IF(ISNUMBER(SEARCH(SETTINGS!$K$10,D99)),SETTINGS!$L$10,IF(ISNUMBER(SEARCH(SETTINGS!$K$11,D99)),SETTINGS!$L$11,IF(ISNUMBER(SEARCH(SETTINGS!$K$12,D99)),SETTINGS!$L$12,IF(ISNUMBER(SEARCH(SETTINGS!$K$13,D99)),SETTINGS!$L$13,IF(ISNUMBER(SEARCH(SETTINGS!$K$14,D99)),SETTINGS!$L$14,IF(ISNUMBER(SEARCH(SETTINGS!$K$15,D99)),SETTINGS!$L$15,IF(ISNUMBER(SEARCH(SETTINGS!$K$16,D99)),SETTINGS!$L$16,IF(ISNUMBER(SEARCH(SETTINGS!$K$17,D99)),SETTINGS!$L$17,IF(ISNUMBER(SEARCH(SETTINGS!$K$18,D99)),SETTINGS!$L$18,"Miscellaneous"))))))))))))))))</f>
        <v/>
      </c>
      <c r="I99" s="44" t="str">
        <f t="shared" si="8"/>
        <v/>
      </c>
      <c r="J99" s="9"/>
      <c r="K99" s="9"/>
      <c r="L99" s="9"/>
      <c r="M99" s="9"/>
      <c r="N99" s="9"/>
      <c r="O99" s="9"/>
      <c r="P99" s="13"/>
      <c r="Q99" s="9"/>
      <c r="R99" s="9"/>
      <c r="S99" s="9"/>
      <c r="T99" s="11"/>
      <c r="U99" s="44" t="str">
        <f t="shared" si="9"/>
        <v/>
      </c>
      <c r="V99" s="44" t="str">
        <f t="shared" si="10"/>
        <v/>
      </c>
      <c r="W99" s="44" t="str">
        <f t="shared" si="11"/>
        <v/>
      </c>
      <c r="X99" s="44" t="str">
        <f t="shared" si="12"/>
        <v/>
      </c>
      <c r="Y99" s="44" t="str">
        <f t="shared" si="13"/>
        <v/>
      </c>
      <c r="Z99" s="44" t="str">
        <f t="shared" si="14"/>
        <v/>
      </c>
      <c r="AA99" s="50" t="str">
        <f t="shared" si="15"/>
        <v/>
      </c>
      <c r="AB99" s="50" t="str">
        <f>IF(OR(B99="",C99&lt;&gt;"Expense"),"",IF(E99&gt;IFERROR(AVERAGEIFS($E$8:$E$1007,$I$8:$I$1007,I99,$C$8:$C$1007,"Expense")*SETTINGS!$B$20,0),"Unusually High","Normal"))</f>
        <v/>
      </c>
      <c r="AC99" s="51"/>
      <c r="AD99" s="51"/>
      <c r="AE99" s="51"/>
      <c r="AF99" s="50" t="str">
        <f>IF(A99&lt;&gt;"Yes","No",IF(AND(AC99="Yes",SETTINGS!$B$16="No"),"No","Yes"))</f>
        <v>No</v>
      </c>
      <c r="AG99" s="50" t="str">
        <f>IF(A99&lt;&gt;"Yes","",IF(OR(B99="",D99="",E99&lt;=0,F99="",I99=""),"Check Required Fields",IF(AA99="Possible Duplicate","Possible Duplicate",IF(E99&gt;SETTINGS!$B$22,"Review Extreme Value","OK"))))</f>
        <v/>
      </c>
    </row>
    <row r="100" spans="1:33" ht="14.4">
      <c r="A100" s="9"/>
      <c r="B100" s="13"/>
      <c r="C100" s="9"/>
      <c r="D100" s="9"/>
      <c r="E100" s="11"/>
      <c r="F100" s="9"/>
      <c r="G100" s="9"/>
      <c r="H100" s="44" t="str">
        <f>IF(D100="","",IF(ISNUMBER(SEARCH(SETTINGS!$K$4,D100)),SETTINGS!$L$4,IF(ISNUMBER(SEARCH(SETTINGS!$K$5,D100)),SETTINGS!$L$5,IF(ISNUMBER(SEARCH(SETTINGS!$K$6,D100)),SETTINGS!$L$6,IF(ISNUMBER(SEARCH(SETTINGS!$K$7,D100)),SETTINGS!$L$7,IF(ISNUMBER(SEARCH(SETTINGS!$K$8,D100)),SETTINGS!$L$8,IF(ISNUMBER(SEARCH(SETTINGS!$K$9,D100)),SETTINGS!$L$9,IF(ISNUMBER(SEARCH(SETTINGS!$K$10,D100)),SETTINGS!$L$10,IF(ISNUMBER(SEARCH(SETTINGS!$K$11,D100)),SETTINGS!$L$11,IF(ISNUMBER(SEARCH(SETTINGS!$K$12,D100)),SETTINGS!$L$12,IF(ISNUMBER(SEARCH(SETTINGS!$K$13,D100)),SETTINGS!$L$13,IF(ISNUMBER(SEARCH(SETTINGS!$K$14,D100)),SETTINGS!$L$14,IF(ISNUMBER(SEARCH(SETTINGS!$K$15,D100)),SETTINGS!$L$15,IF(ISNUMBER(SEARCH(SETTINGS!$K$16,D100)),SETTINGS!$L$16,IF(ISNUMBER(SEARCH(SETTINGS!$K$17,D100)),SETTINGS!$L$17,IF(ISNUMBER(SEARCH(SETTINGS!$K$18,D100)),SETTINGS!$L$18,"Miscellaneous"))))))))))))))))</f>
        <v/>
      </c>
      <c r="I100" s="44" t="str">
        <f t="shared" si="8"/>
        <v/>
      </c>
      <c r="J100" s="9"/>
      <c r="K100" s="9"/>
      <c r="L100" s="9"/>
      <c r="M100" s="9"/>
      <c r="N100" s="9"/>
      <c r="O100" s="9"/>
      <c r="P100" s="13"/>
      <c r="Q100" s="9"/>
      <c r="R100" s="9"/>
      <c r="S100" s="9"/>
      <c r="T100" s="11"/>
      <c r="U100" s="44" t="str">
        <f t="shared" si="9"/>
        <v/>
      </c>
      <c r="V100" s="44" t="str">
        <f t="shared" si="10"/>
        <v/>
      </c>
      <c r="W100" s="44" t="str">
        <f t="shared" si="11"/>
        <v/>
      </c>
      <c r="X100" s="44" t="str">
        <f t="shared" si="12"/>
        <v/>
      </c>
      <c r="Y100" s="44" t="str">
        <f t="shared" si="13"/>
        <v/>
      </c>
      <c r="Z100" s="44" t="str">
        <f t="shared" si="14"/>
        <v/>
      </c>
      <c r="AA100" s="50" t="str">
        <f t="shared" si="15"/>
        <v/>
      </c>
      <c r="AB100" s="50" t="str">
        <f>IF(OR(B100="",C100&lt;&gt;"Expense"),"",IF(E100&gt;IFERROR(AVERAGEIFS($E$8:$E$1007,$I$8:$I$1007,I100,$C$8:$C$1007,"Expense")*SETTINGS!$B$20,0),"Unusually High","Normal"))</f>
        <v/>
      </c>
      <c r="AC100" s="51"/>
      <c r="AD100" s="51"/>
      <c r="AE100" s="51"/>
      <c r="AF100" s="50" t="str">
        <f>IF(A100&lt;&gt;"Yes","No",IF(AND(AC100="Yes",SETTINGS!$B$16="No"),"No","Yes"))</f>
        <v>No</v>
      </c>
      <c r="AG100" s="50" t="str">
        <f>IF(A100&lt;&gt;"Yes","",IF(OR(B100="",D100="",E100&lt;=0,F100="",I100=""),"Check Required Fields",IF(AA100="Possible Duplicate","Possible Duplicate",IF(E100&gt;SETTINGS!$B$22,"Review Extreme Value","OK"))))</f>
        <v/>
      </c>
    </row>
    <row r="101" spans="1:33" ht="14.4">
      <c r="A101" s="9"/>
      <c r="B101" s="13"/>
      <c r="C101" s="9"/>
      <c r="D101" s="9"/>
      <c r="E101" s="11"/>
      <c r="F101" s="9"/>
      <c r="G101" s="9"/>
      <c r="H101" s="44" t="str">
        <f>IF(D101="","",IF(ISNUMBER(SEARCH(SETTINGS!$K$4,D101)),SETTINGS!$L$4,IF(ISNUMBER(SEARCH(SETTINGS!$K$5,D101)),SETTINGS!$L$5,IF(ISNUMBER(SEARCH(SETTINGS!$K$6,D101)),SETTINGS!$L$6,IF(ISNUMBER(SEARCH(SETTINGS!$K$7,D101)),SETTINGS!$L$7,IF(ISNUMBER(SEARCH(SETTINGS!$K$8,D101)),SETTINGS!$L$8,IF(ISNUMBER(SEARCH(SETTINGS!$K$9,D101)),SETTINGS!$L$9,IF(ISNUMBER(SEARCH(SETTINGS!$K$10,D101)),SETTINGS!$L$10,IF(ISNUMBER(SEARCH(SETTINGS!$K$11,D101)),SETTINGS!$L$11,IF(ISNUMBER(SEARCH(SETTINGS!$K$12,D101)),SETTINGS!$L$12,IF(ISNUMBER(SEARCH(SETTINGS!$K$13,D101)),SETTINGS!$L$13,IF(ISNUMBER(SEARCH(SETTINGS!$K$14,D101)),SETTINGS!$L$14,IF(ISNUMBER(SEARCH(SETTINGS!$K$15,D101)),SETTINGS!$L$15,IF(ISNUMBER(SEARCH(SETTINGS!$K$16,D101)),SETTINGS!$L$16,IF(ISNUMBER(SEARCH(SETTINGS!$K$17,D101)),SETTINGS!$L$17,IF(ISNUMBER(SEARCH(SETTINGS!$K$18,D101)),SETTINGS!$L$18,"Miscellaneous"))))))))))))))))</f>
        <v/>
      </c>
      <c r="I101" s="44" t="str">
        <f t="shared" si="8"/>
        <v/>
      </c>
      <c r="J101" s="9"/>
      <c r="K101" s="9"/>
      <c r="L101" s="9"/>
      <c r="M101" s="9"/>
      <c r="N101" s="9"/>
      <c r="O101" s="9"/>
      <c r="P101" s="13"/>
      <c r="Q101" s="9"/>
      <c r="R101" s="9"/>
      <c r="S101" s="9"/>
      <c r="T101" s="11"/>
      <c r="U101" s="44" t="str">
        <f t="shared" si="9"/>
        <v/>
      </c>
      <c r="V101" s="44" t="str">
        <f t="shared" si="10"/>
        <v/>
      </c>
      <c r="W101" s="44" t="str">
        <f t="shared" si="11"/>
        <v/>
      </c>
      <c r="X101" s="44" t="str">
        <f t="shared" si="12"/>
        <v/>
      </c>
      <c r="Y101" s="44" t="str">
        <f t="shared" si="13"/>
        <v/>
      </c>
      <c r="Z101" s="44" t="str">
        <f t="shared" si="14"/>
        <v/>
      </c>
      <c r="AA101" s="50" t="str">
        <f t="shared" si="15"/>
        <v/>
      </c>
      <c r="AB101" s="50" t="str">
        <f>IF(OR(B101="",C101&lt;&gt;"Expense"),"",IF(E101&gt;IFERROR(AVERAGEIFS($E$8:$E$1007,$I$8:$I$1007,I101,$C$8:$C$1007,"Expense")*SETTINGS!$B$20,0),"Unusually High","Normal"))</f>
        <v/>
      </c>
      <c r="AC101" s="51"/>
      <c r="AD101" s="51"/>
      <c r="AE101" s="51"/>
      <c r="AF101" s="50" t="str">
        <f>IF(A101&lt;&gt;"Yes","No",IF(AND(AC101="Yes",SETTINGS!$B$16="No"),"No","Yes"))</f>
        <v>No</v>
      </c>
      <c r="AG101" s="50" t="str">
        <f>IF(A101&lt;&gt;"Yes","",IF(OR(B101="",D101="",E101&lt;=0,F101="",I101=""),"Check Required Fields",IF(AA101="Possible Duplicate","Possible Duplicate",IF(E101&gt;SETTINGS!$B$22,"Review Extreme Value","OK"))))</f>
        <v/>
      </c>
    </row>
    <row r="102" spans="1:33" ht="14.4">
      <c r="A102" s="9"/>
      <c r="B102" s="13"/>
      <c r="C102" s="9"/>
      <c r="D102" s="9"/>
      <c r="E102" s="11"/>
      <c r="F102" s="9"/>
      <c r="G102" s="9"/>
      <c r="H102" s="44" t="str">
        <f>IF(D102="","",IF(ISNUMBER(SEARCH(SETTINGS!$K$4,D102)),SETTINGS!$L$4,IF(ISNUMBER(SEARCH(SETTINGS!$K$5,D102)),SETTINGS!$L$5,IF(ISNUMBER(SEARCH(SETTINGS!$K$6,D102)),SETTINGS!$L$6,IF(ISNUMBER(SEARCH(SETTINGS!$K$7,D102)),SETTINGS!$L$7,IF(ISNUMBER(SEARCH(SETTINGS!$K$8,D102)),SETTINGS!$L$8,IF(ISNUMBER(SEARCH(SETTINGS!$K$9,D102)),SETTINGS!$L$9,IF(ISNUMBER(SEARCH(SETTINGS!$K$10,D102)),SETTINGS!$L$10,IF(ISNUMBER(SEARCH(SETTINGS!$K$11,D102)),SETTINGS!$L$11,IF(ISNUMBER(SEARCH(SETTINGS!$K$12,D102)),SETTINGS!$L$12,IF(ISNUMBER(SEARCH(SETTINGS!$K$13,D102)),SETTINGS!$L$13,IF(ISNUMBER(SEARCH(SETTINGS!$K$14,D102)),SETTINGS!$L$14,IF(ISNUMBER(SEARCH(SETTINGS!$K$15,D102)),SETTINGS!$L$15,IF(ISNUMBER(SEARCH(SETTINGS!$K$16,D102)),SETTINGS!$L$16,IF(ISNUMBER(SEARCH(SETTINGS!$K$17,D102)),SETTINGS!$L$17,IF(ISNUMBER(SEARCH(SETTINGS!$K$18,D102)),SETTINGS!$L$18,"Miscellaneous"))))))))))))))))</f>
        <v/>
      </c>
      <c r="I102" s="44" t="str">
        <f t="shared" si="8"/>
        <v/>
      </c>
      <c r="J102" s="9"/>
      <c r="K102" s="9"/>
      <c r="L102" s="9"/>
      <c r="M102" s="9"/>
      <c r="N102" s="9"/>
      <c r="O102" s="9"/>
      <c r="P102" s="13"/>
      <c r="Q102" s="9"/>
      <c r="R102" s="9"/>
      <c r="S102" s="9"/>
      <c r="T102" s="11"/>
      <c r="U102" s="44" t="str">
        <f t="shared" si="9"/>
        <v/>
      </c>
      <c r="V102" s="44" t="str">
        <f t="shared" si="10"/>
        <v/>
      </c>
      <c r="W102" s="44" t="str">
        <f t="shared" si="11"/>
        <v/>
      </c>
      <c r="X102" s="44" t="str">
        <f t="shared" si="12"/>
        <v/>
      </c>
      <c r="Y102" s="44" t="str">
        <f t="shared" si="13"/>
        <v/>
      </c>
      <c r="Z102" s="44" t="str">
        <f t="shared" si="14"/>
        <v/>
      </c>
      <c r="AA102" s="50" t="str">
        <f t="shared" si="15"/>
        <v/>
      </c>
      <c r="AB102" s="50" t="str">
        <f>IF(OR(B102="",C102&lt;&gt;"Expense"),"",IF(E102&gt;IFERROR(AVERAGEIFS($E$8:$E$1007,$I$8:$I$1007,I102,$C$8:$C$1007,"Expense")*SETTINGS!$B$20,0),"Unusually High","Normal"))</f>
        <v/>
      </c>
      <c r="AC102" s="51"/>
      <c r="AD102" s="51"/>
      <c r="AE102" s="51"/>
      <c r="AF102" s="50" t="str">
        <f>IF(A102&lt;&gt;"Yes","No",IF(AND(AC102="Yes",SETTINGS!$B$16="No"),"No","Yes"))</f>
        <v>No</v>
      </c>
      <c r="AG102" s="50" t="str">
        <f>IF(A102&lt;&gt;"Yes","",IF(OR(B102="",D102="",E102&lt;=0,F102="",I102=""),"Check Required Fields",IF(AA102="Possible Duplicate","Possible Duplicate",IF(E102&gt;SETTINGS!$B$22,"Review Extreme Value","OK"))))</f>
        <v/>
      </c>
    </row>
    <row r="103" spans="1:33" ht="14.4">
      <c r="A103" s="9"/>
      <c r="B103" s="13"/>
      <c r="C103" s="9"/>
      <c r="D103" s="9"/>
      <c r="E103" s="11"/>
      <c r="F103" s="9"/>
      <c r="G103" s="9"/>
      <c r="H103" s="44" t="str">
        <f>IF(D103="","",IF(ISNUMBER(SEARCH(SETTINGS!$K$4,D103)),SETTINGS!$L$4,IF(ISNUMBER(SEARCH(SETTINGS!$K$5,D103)),SETTINGS!$L$5,IF(ISNUMBER(SEARCH(SETTINGS!$K$6,D103)),SETTINGS!$L$6,IF(ISNUMBER(SEARCH(SETTINGS!$K$7,D103)),SETTINGS!$L$7,IF(ISNUMBER(SEARCH(SETTINGS!$K$8,D103)),SETTINGS!$L$8,IF(ISNUMBER(SEARCH(SETTINGS!$K$9,D103)),SETTINGS!$L$9,IF(ISNUMBER(SEARCH(SETTINGS!$K$10,D103)),SETTINGS!$L$10,IF(ISNUMBER(SEARCH(SETTINGS!$K$11,D103)),SETTINGS!$L$11,IF(ISNUMBER(SEARCH(SETTINGS!$K$12,D103)),SETTINGS!$L$12,IF(ISNUMBER(SEARCH(SETTINGS!$K$13,D103)),SETTINGS!$L$13,IF(ISNUMBER(SEARCH(SETTINGS!$K$14,D103)),SETTINGS!$L$14,IF(ISNUMBER(SEARCH(SETTINGS!$K$15,D103)),SETTINGS!$L$15,IF(ISNUMBER(SEARCH(SETTINGS!$K$16,D103)),SETTINGS!$L$16,IF(ISNUMBER(SEARCH(SETTINGS!$K$17,D103)),SETTINGS!$L$17,IF(ISNUMBER(SEARCH(SETTINGS!$K$18,D103)),SETTINGS!$L$18,"Miscellaneous"))))))))))))))))</f>
        <v/>
      </c>
      <c r="I103" s="44" t="str">
        <f t="shared" si="8"/>
        <v/>
      </c>
      <c r="J103" s="9"/>
      <c r="K103" s="9"/>
      <c r="L103" s="9"/>
      <c r="M103" s="9"/>
      <c r="N103" s="9"/>
      <c r="O103" s="9"/>
      <c r="P103" s="13"/>
      <c r="Q103" s="9"/>
      <c r="R103" s="9"/>
      <c r="S103" s="9"/>
      <c r="T103" s="11"/>
      <c r="U103" s="44" t="str">
        <f t="shared" si="9"/>
        <v/>
      </c>
      <c r="V103" s="44" t="str">
        <f t="shared" si="10"/>
        <v/>
      </c>
      <c r="W103" s="44" t="str">
        <f t="shared" si="11"/>
        <v/>
      </c>
      <c r="X103" s="44" t="str">
        <f t="shared" si="12"/>
        <v/>
      </c>
      <c r="Y103" s="44" t="str">
        <f t="shared" si="13"/>
        <v/>
      </c>
      <c r="Z103" s="44" t="str">
        <f t="shared" si="14"/>
        <v/>
      </c>
      <c r="AA103" s="50" t="str">
        <f t="shared" si="15"/>
        <v/>
      </c>
      <c r="AB103" s="50" t="str">
        <f>IF(OR(B103="",C103&lt;&gt;"Expense"),"",IF(E103&gt;IFERROR(AVERAGEIFS($E$8:$E$1007,$I$8:$I$1007,I103,$C$8:$C$1007,"Expense")*SETTINGS!$B$20,0),"Unusually High","Normal"))</f>
        <v/>
      </c>
      <c r="AC103" s="51"/>
      <c r="AD103" s="51"/>
      <c r="AE103" s="51"/>
      <c r="AF103" s="50" t="str">
        <f>IF(A103&lt;&gt;"Yes","No",IF(AND(AC103="Yes",SETTINGS!$B$16="No"),"No","Yes"))</f>
        <v>No</v>
      </c>
      <c r="AG103" s="50" t="str">
        <f>IF(A103&lt;&gt;"Yes","",IF(OR(B103="",D103="",E103&lt;=0,F103="",I103=""),"Check Required Fields",IF(AA103="Possible Duplicate","Possible Duplicate",IF(E103&gt;SETTINGS!$B$22,"Review Extreme Value","OK"))))</f>
        <v/>
      </c>
    </row>
    <row r="104" spans="1:33" ht="14.4">
      <c r="A104" s="9"/>
      <c r="B104" s="13"/>
      <c r="C104" s="9"/>
      <c r="D104" s="9"/>
      <c r="E104" s="11"/>
      <c r="F104" s="9"/>
      <c r="G104" s="9"/>
      <c r="H104" s="44" t="str">
        <f>IF(D104="","",IF(ISNUMBER(SEARCH(SETTINGS!$K$4,D104)),SETTINGS!$L$4,IF(ISNUMBER(SEARCH(SETTINGS!$K$5,D104)),SETTINGS!$L$5,IF(ISNUMBER(SEARCH(SETTINGS!$K$6,D104)),SETTINGS!$L$6,IF(ISNUMBER(SEARCH(SETTINGS!$K$7,D104)),SETTINGS!$L$7,IF(ISNUMBER(SEARCH(SETTINGS!$K$8,D104)),SETTINGS!$L$8,IF(ISNUMBER(SEARCH(SETTINGS!$K$9,D104)),SETTINGS!$L$9,IF(ISNUMBER(SEARCH(SETTINGS!$K$10,D104)),SETTINGS!$L$10,IF(ISNUMBER(SEARCH(SETTINGS!$K$11,D104)),SETTINGS!$L$11,IF(ISNUMBER(SEARCH(SETTINGS!$K$12,D104)),SETTINGS!$L$12,IF(ISNUMBER(SEARCH(SETTINGS!$K$13,D104)),SETTINGS!$L$13,IF(ISNUMBER(SEARCH(SETTINGS!$K$14,D104)),SETTINGS!$L$14,IF(ISNUMBER(SEARCH(SETTINGS!$K$15,D104)),SETTINGS!$L$15,IF(ISNUMBER(SEARCH(SETTINGS!$K$16,D104)),SETTINGS!$L$16,IF(ISNUMBER(SEARCH(SETTINGS!$K$17,D104)),SETTINGS!$L$17,IF(ISNUMBER(SEARCH(SETTINGS!$K$18,D104)),SETTINGS!$L$18,"Miscellaneous"))))))))))))))))</f>
        <v/>
      </c>
      <c r="I104" s="44" t="str">
        <f t="shared" si="8"/>
        <v/>
      </c>
      <c r="J104" s="9"/>
      <c r="K104" s="9"/>
      <c r="L104" s="9"/>
      <c r="M104" s="9"/>
      <c r="N104" s="9"/>
      <c r="O104" s="9"/>
      <c r="P104" s="13"/>
      <c r="Q104" s="9"/>
      <c r="R104" s="9"/>
      <c r="S104" s="9"/>
      <c r="T104" s="11"/>
      <c r="U104" s="44" t="str">
        <f t="shared" si="9"/>
        <v/>
      </c>
      <c r="V104" s="44" t="str">
        <f t="shared" si="10"/>
        <v/>
      </c>
      <c r="W104" s="44" t="str">
        <f t="shared" si="11"/>
        <v/>
      </c>
      <c r="X104" s="44" t="str">
        <f t="shared" si="12"/>
        <v/>
      </c>
      <c r="Y104" s="44" t="str">
        <f t="shared" si="13"/>
        <v/>
      </c>
      <c r="Z104" s="44" t="str">
        <f t="shared" si="14"/>
        <v/>
      </c>
      <c r="AA104" s="50" t="str">
        <f t="shared" si="15"/>
        <v/>
      </c>
      <c r="AB104" s="50" t="str">
        <f>IF(OR(B104="",C104&lt;&gt;"Expense"),"",IF(E104&gt;IFERROR(AVERAGEIFS($E$8:$E$1007,$I$8:$I$1007,I104,$C$8:$C$1007,"Expense")*SETTINGS!$B$20,0),"Unusually High","Normal"))</f>
        <v/>
      </c>
      <c r="AC104" s="51"/>
      <c r="AD104" s="51"/>
      <c r="AE104" s="51"/>
      <c r="AF104" s="50" t="str">
        <f>IF(A104&lt;&gt;"Yes","No",IF(AND(AC104="Yes",SETTINGS!$B$16="No"),"No","Yes"))</f>
        <v>No</v>
      </c>
      <c r="AG104" s="50" t="str">
        <f>IF(A104&lt;&gt;"Yes","",IF(OR(B104="",D104="",E104&lt;=0,F104="",I104=""),"Check Required Fields",IF(AA104="Possible Duplicate","Possible Duplicate",IF(E104&gt;SETTINGS!$B$22,"Review Extreme Value","OK"))))</f>
        <v/>
      </c>
    </row>
    <row r="105" spans="1:33" ht="14.4">
      <c r="A105" s="9"/>
      <c r="B105" s="13"/>
      <c r="C105" s="9"/>
      <c r="D105" s="9"/>
      <c r="E105" s="11"/>
      <c r="F105" s="9"/>
      <c r="G105" s="9"/>
      <c r="H105" s="44" t="str">
        <f>IF(D105="","",IF(ISNUMBER(SEARCH(SETTINGS!$K$4,D105)),SETTINGS!$L$4,IF(ISNUMBER(SEARCH(SETTINGS!$K$5,D105)),SETTINGS!$L$5,IF(ISNUMBER(SEARCH(SETTINGS!$K$6,D105)),SETTINGS!$L$6,IF(ISNUMBER(SEARCH(SETTINGS!$K$7,D105)),SETTINGS!$L$7,IF(ISNUMBER(SEARCH(SETTINGS!$K$8,D105)),SETTINGS!$L$8,IF(ISNUMBER(SEARCH(SETTINGS!$K$9,D105)),SETTINGS!$L$9,IF(ISNUMBER(SEARCH(SETTINGS!$K$10,D105)),SETTINGS!$L$10,IF(ISNUMBER(SEARCH(SETTINGS!$K$11,D105)),SETTINGS!$L$11,IF(ISNUMBER(SEARCH(SETTINGS!$K$12,D105)),SETTINGS!$L$12,IF(ISNUMBER(SEARCH(SETTINGS!$K$13,D105)),SETTINGS!$L$13,IF(ISNUMBER(SEARCH(SETTINGS!$K$14,D105)),SETTINGS!$L$14,IF(ISNUMBER(SEARCH(SETTINGS!$K$15,D105)),SETTINGS!$L$15,IF(ISNUMBER(SEARCH(SETTINGS!$K$16,D105)),SETTINGS!$L$16,IF(ISNUMBER(SEARCH(SETTINGS!$K$17,D105)),SETTINGS!$L$17,IF(ISNUMBER(SEARCH(SETTINGS!$K$18,D105)),SETTINGS!$L$18,"Miscellaneous"))))))))))))))))</f>
        <v/>
      </c>
      <c r="I105" s="44" t="str">
        <f t="shared" si="8"/>
        <v/>
      </c>
      <c r="J105" s="9"/>
      <c r="K105" s="9"/>
      <c r="L105" s="9"/>
      <c r="M105" s="9"/>
      <c r="N105" s="9"/>
      <c r="O105" s="9"/>
      <c r="P105" s="13"/>
      <c r="Q105" s="9"/>
      <c r="R105" s="9"/>
      <c r="S105" s="9"/>
      <c r="T105" s="11"/>
      <c r="U105" s="44" t="str">
        <f t="shared" si="9"/>
        <v/>
      </c>
      <c r="V105" s="44" t="str">
        <f t="shared" si="10"/>
        <v/>
      </c>
      <c r="W105" s="44" t="str">
        <f t="shared" si="11"/>
        <v/>
      </c>
      <c r="X105" s="44" t="str">
        <f t="shared" si="12"/>
        <v/>
      </c>
      <c r="Y105" s="44" t="str">
        <f t="shared" si="13"/>
        <v/>
      </c>
      <c r="Z105" s="44" t="str">
        <f t="shared" si="14"/>
        <v/>
      </c>
      <c r="AA105" s="50" t="str">
        <f t="shared" si="15"/>
        <v/>
      </c>
      <c r="AB105" s="50" t="str">
        <f>IF(OR(B105="",C105&lt;&gt;"Expense"),"",IF(E105&gt;IFERROR(AVERAGEIFS($E$8:$E$1007,$I$8:$I$1007,I105,$C$8:$C$1007,"Expense")*SETTINGS!$B$20,0),"Unusually High","Normal"))</f>
        <v/>
      </c>
      <c r="AC105" s="51"/>
      <c r="AD105" s="51"/>
      <c r="AE105" s="51"/>
      <c r="AF105" s="50" t="str">
        <f>IF(A105&lt;&gt;"Yes","No",IF(AND(AC105="Yes",SETTINGS!$B$16="No"),"No","Yes"))</f>
        <v>No</v>
      </c>
      <c r="AG105" s="50" t="str">
        <f>IF(A105&lt;&gt;"Yes","",IF(OR(B105="",D105="",E105&lt;=0,F105="",I105=""),"Check Required Fields",IF(AA105="Possible Duplicate","Possible Duplicate",IF(E105&gt;SETTINGS!$B$22,"Review Extreme Value","OK"))))</f>
        <v/>
      </c>
    </row>
    <row r="106" spans="1:33" ht="14.4">
      <c r="A106" s="9"/>
      <c r="B106" s="13"/>
      <c r="C106" s="9"/>
      <c r="D106" s="9"/>
      <c r="E106" s="11"/>
      <c r="F106" s="9"/>
      <c r="G106" s="9"/>
      <c r="H106" s="44" t="str">
        <f>IF(D106="","",IF(ISNUMBER(SEARCH(SETTINGS!$K$4,D106)),SETTINGS!$L$4,IF(ISNUMBER(SEARCH(SETTINGS!$K$5,D106)),SETTINGS!$L$5,IF(ISNUMBER(SEARCH(SETTINGS!$K$6,D106)),SETTINGS!$L$6,IF(ISNUMBER(SEARCH(SETTINGS!$K$7,D106)),SETTINGS!$L$7,IF(ISNUMBER(SEARCH(SETTINGS!$K$8,D106)),SETTINGS!$L$8,IF(ISNUMBER(SEARCH(SETTINGS!$K$9,D106)),SETTINGS!$L$9,IF(ISNUMBER(SEARCH(SETTINGS!$K$10,D106)),SETTINGS!$L$10,IF(ISNUMBER(SEARCH(SETTINGS!$K$11,D106)),SETTINGS!$L$11,IF(ISNUMBER(SEARCH(SETTINGS!$K$12,D106)),SETTINGS!$L$12,IF(ISNUMBER(SEARCH(SETTINGS!$K$13,D106)),SETTINGS!$L$13,IF(ISNUMBER(SEARCH(SETTINGS!$K$14,D106)),SETTINGS!$L$14,IF(ISNUMBER(SEARCH(SETTINGS!$K$15,D106)),SETTINGS!$L$15,IF(ISNUMBER(SEARCH(SETTINGS!$K$16,D106)),SETTINGS!$L$16,IF(ISNUMBER(SEARCH(SETTINGS!$K$17,D106)),SETTINGS!$L$17,IF(ISNUMBER(SEARCH(SETTINGS!$K$18,D106)),SETTINGS!$L$18,"Miscellaneous"))))))))))))))))</f>
        <v/>
      </c>
      <c r="I106" s="44" t="str">
        <f t="shared" si="8"/>
        <v/>
      </c>
      <c r="J106" s="9"/>
      <c r="K106" s="9"/>
      <c r="L106" s="9"/>
      <c r="M106" s="9"/>
      <c r="N106" s="9"/>
      <c r="O106" s="9"/>
      <c r="P106" s="13"/>
      <c r="Q106" s="9"/>
      <c r="R106" s="9"/>
      <c r="S106" s="9"/>
      <c r="T106" s="11"/>
      <c r="U106" s="44" t="str">
        <f t="shared" si="9"/>
        <v/>
      </c>
      <c r="V106" s="44" t="str">
        <f t="shared" si="10"/>
        <v/>
      </c>
      <c r="W106" s="44" t="str">
        <f t="shared" si="11"/>
        <v/>
      </c>
      <c r="X106" s="44" t="str">
        <f t="shared" si="12"/>
        <v/>
      </c>
      <c r="Y106" s="44" t="str">
        <f t="shared" si="13"/>
        <v/>
      </c>
      <c r="Z106" s="44" t="str">
        <f t="shared" si="14"/>
        <v/>
      </c>
      <c r="AA106" s="50" t="str">
        <f t="shared" si="15"/>
        <v/>
      </c>
      <c r="AB106" s="50" t="str">
        <f>IF(OR(B106="",C106&lt;&gt;"Expense"),"",IF(E106&gt;IFERROR(AVERAGEIFS($E$8:$E$1007,$I$8:$I$1007,I106,$C$8:$C$1007,"Expense")*SETTINGS!$B$20,0),"Unusually High","Normal"))</f>
        <v/>
      </c>
      <c r="AC106" s="51"/>
      <c r="AD106" s="51"/>
      <c r="AE106" s="51"/>
      <c r="AF106" s="50" t="str">
        <f>IF(A106&lt;&gt;"Yes","No",IF(AND(AC106="Yes",SETTINGS!$B$16="No"),"No","Yes"))</f>
        <v>No</v>
      </c>
      <c r="AG106" s="50" t="str">
        <f>IF(A106&lt;&gt;"Yes","",IF(OR(B106="",D106="",E106&lt;=0,F106="",I106=""),"Check Required Fields",IF(AA106="Possible Duplicate","Possible Duplicate",IF(E106&gt;SETTINGS!$B$22,"Review Extreme Value","OK"))))</f>
        <v/>
      </c>
    </row>
    <row r="107" spans="1:33" ht="14.4">
      <c r="A107" s="9"/>
      <c r="B107" s="13"/>
      <c r="C107" s="9"/>
      <c r="D107" s="9"/>
      <c r="E107" s="11"/>
      <c r="F107" s="9"/>
      <c r="G107" s="9"/>
      <c r="H107" s="44" t="str">
        <f>IF(D107="","",IF(ISNUMBER(SEARCH(SETTINGS!$K$4,D107)),SETTINGS!$L$4,IF(ISNUMBER(SEARCH(SETTINGS!$K$5,D107)),SETTINGS!$L$5,IF(ISNUMBER(SEARCH(SETTINGS!$K$6,D107)),SETTINGS!$L$6,IF(ISNUMBER(SEARCH(SETTINGS!$K$7,D107)),SETTINGS!$L$7,IF(ISNUMBER(SEARCH(SETTINGS!$K$8,D107)),SETTINGS!$L$8,IF(ISNUMBER(SEARCH(SETTINGS!$K$9,D107)),SETTINGS!$L$9,IF(ISNUMBER(SEARCH(SETTINGS!$K$10,D107)),SETTINGS!$L$10,IF(ISNUMBER(SEARCH(SETTINGS!$K$11,D107)),SETTINGS!$L$11,IF(ISNUMBER(SEARCH(SETTINGS!$K$12,D107)),SETTINGS!$L$12,IF(ISNUMBER(SEARCH(SETTINGS!$K$13,D107)),SETTINGS!$L$13,IF(ISNUMBER(SEARCH(SETTINGS!$K$14,D107)),SETTINGS!$L$14,IF(ISNUMBER(SEARCH(SETTINGS!$K$15,D107)),SETTINGS!$L$15,IF(ISNUMBER(SEARCH(SETTINGS!$K$16,D107)),SETTINGS!$L$16,IF(ISNUMBER(SEARCH(SETTINGS!$K$17,D107)),SETTINGS!$L$17,IF(ISNUMBER(SEARCH(SETTINGS!$K$18,D107)),SETTINGS!$L$18,"Miscellaneous"))))))))))))))))</f>
        <v/>
      </c>
      <c r="I107" s="44" t="str">
        <f t="shared" si="8"/>
        <v/>
      </c>
      <c r="J107" s="9"/>
      <c r="K107" s="9"/>
      <c r="L107" s="9"/>
      <c r="M107" s="9"/>
      <c r="N107" s="9"/>
      <c r="O107" s="9"/>
      <c r="P107" s="13"/>
      <c r="Q107" s="9"/>
      <c r="R107" s="9"/>
      <c r="S107" s="9"/>
      <c r="T107" s="11"/>
      <c r="U107" s="44" t="str">
        <f t="shared" si="9"/>
        <v/>
      </c>
      <c r="V107" s="44" t="str">
        <f t="shared" si="10"/>
        <v/>
      </c>
      <c r="W107" s="44" t="str">
        <f t="shared" si="11"/>
        <v/>
      </c>
      <c r="X107" s="44" t="str">
        <f t="shared" si="12"/>
        <v/>
      </c>
      <c r="Y107" s="44" t="str">
        <f t="shared" si="13"/>
        <v/>
      </c>
      <c r="Z107" s="44" t="str">
        <f t="shared" si="14"/>
        <v/>
      </c>
      <c r="AA107" s="50" t="str">
        <f t="shared" si="15"/>
        <v/>
      </c>
      <c r="AB107" s="50" t="str">
        <f>IF(OR(B107="",C107&lt;&gt;"Expense"),"",IF(E107&gt;IFERROR(AVERAGEIFS($E$8:$E$1007,$I$8:$I$1007,I107,$C$8:$C$1007,"Expense")*SETTINGS!$B$20,0),"Unusually High","Normal"))</f>
        <v/>
      </c>
      <c r="AC107" s="51"/>
      <c r="AD107" s="51"/>
      <c r="AE107" s="51"/>
      <c r="AF107" s="50" t="str">
        <f>IF(A107&lt;&gt;"Yes","No",IF(AND(AC107="Yes",SETTINGS!$B$16="No"),"No","Yes"))</f>
        <v>No</v>
      </c>
      <c r="AG107" s="50" t="str">
        <f>IF(A107&lt;&gt;"Yes","",IF(OR(B107="",D107="",E107&lt;=0,F107="",I107=""),"Check Required Fields",IF(AA107="Possible Duplicate","Possible Duplicate",IF(E107&gt;SETTINGS!$B$22,"Review Extreme Value","OK"))))</f>
        <v/>
      </c>
    </row>
    <row r="108" spans="1:33" ht="14.4">
      <c r="A108" s="9"/>
      <c r="B108" s="13"/>
      <c r="C108" s="9"/>
      <c r="D108" s="9"/>
      <c r="E108" s="11"/>
      <c r="F108" s="9"/>
      <c r="G108" s="9"/>
      <c r="H108" s="44" t="str">
        <f>IF(D108="","",IF(ISNUMBER(SEARCH(SETTINGS!$K$4,D108)),SETTINGS!$L$4,IF(ISNUMBER(SEARCH(SETTINGS!$K$5,D108)),SETTINGS!$L$5,IF(ISNUMBER(SEARCH(SETTINGS!$K$6,D108)),SETTINGS!$L$6,IF(ISNUMBER(SEARCH(SETTINGS!$K$7,D108)),SETTINGS!$L$7,IF(ISNUMBER(SEARCH(SETTINGS!$K$8,D108)),SETTINGS!$L$8,IF(ISNUMBER(SEARCH(SETTINGS!$K$9,D108)),SETTINGS!$L$9,IF(ISNUMBER(SEARCH(SETTINGS!$K$10,D108)),SETTINGS!$L$10,IF(ISNUMBER(SEARCH(SETTINGS!$K$11,D108)),SETTINGS!$L$11,IF(ISNUMBER(SEARCH(SETTINGS!$K$12,D108)),SETTINGS!$L$12,IF(ISNUMBER(SEARCH(SETTINGS!$K$13,D108)),SETTINGS!$L$13,IF(ISNUMBER(SEARCH(SETTINGS!$K$14,D108)),SETTINGS!$L$14,IF(ISNUMBER(SEARCH(SETTINGS!$K$15,D108)),SETTINGS!$L$15,IF(ISNUMBER(SEARCH(SETTINGS!$K$16,D108)),SETTINGS!$L$16,IF(ISNUMBER(SEARCH(SETTINGS!$K$17,D108)),SETTINGS!$L$17,IF(ISNUMBER(SEARCH(SETTINGS!$K$18,D108)),SETTINGS!$L$18,"Miscellaneous"))))))))))))))))</f>
        <v/>
      </c>
      <c r="I108" s="44" t="str">
        <f t="shared" si="8"/>
        <v/>
      </c>
      <c r="J108" s="9"/>
      <c r="K108" s="9"/>
      <c r="L108" s="9"/>
      <c r="M108" s="9"/>
      <c r="N108" s="9"/>
      <c r="O108" s="9"/>
      <c r="P108" s="13"/>
      <c r="Q108" s="9"/>
      <c r="R108" s="9"/>
      <c r="S108" s="9"/>
      <c r="T108" s="11"/>
      <c r="U108" s="44" t="str">
        <f t="shared" si="9"/>
        <v/>
      </c>
      <c r="V108" s="44" t="str">
        <f t="shared" si="10"/>
        <v/>
      </c>
      <c r="W108" s="44" t="str">
        <f t="shared" si="11"/>
        <v/>
      </c>
      <c r="X108" s="44" t="str">
        <f t="shared" si="12"/>
        <v/>
      </c>
      <c r="Y108" s="44" t="str">
        <f t="shared" si="13"/>
        <v/>
      </c>
      <c r="Z108" s="44" t="str">
        <f t="shared" si="14"/>
        <v/>
      </c>
      <c r="AA108" s="50" t="str">
        <f t="shared" si="15"/>
        <v/>
      </c>
      <c r="AB108" s="50" t="str">
        <f>IF(OR(B108="",C108&lt;&gt;"Expense"),"",IF(E108&gt;IFERROR(AVERAGEIFS($E$8:$E$1007,$I$8:$I$1007,I108,$C$8:$C$1007,"Expense")*SETTINGS!$B$20,0),"Unusually High","Normal"))</f>
        <v/>
      </c>
      <c r="AC108" s="51"/>
      <c r="AD108" s="51"/>
      <c r="AE108" s="51"/>
      <c r="AF108" s="50" t="str">
        <f>IF(A108&lt;&gt;"Yes","No",IF(AND(AC108="Yes",SETTINGS!$B$16="No"),"No","Yes"))</f>
        <v>No</v>
      </c>
      <c r="AG108" s="50" t="str">
        <f>IF(A108&lt;&gt;"Yes","",IF(OR(B108="",D108="",E108&lt;=0,F108="",I108=""),"Check Required Fields",IF(AA108="Possible Duplicate","Possible Duplicate",IF(E108&gt;SETTINGS!$B$22,"Review Extreme Value","OK"))))</f>
        <v/>
      </c>
    </row>
    <row r="109" spans="1:33" ht="14.4">
      <c r="A109" s="9"/>
      <c r="B109" s="13"/>
      <c r="C109" s="9"/>
      <c r="D109" s="9"/>
      <c r="E109" s="11"/>
      <c r="F109" s="9"/>
      <c r="G109" s="9"/>
      <c r="H109" s="44" t="str">
        <f>IF(D109="","",IF(ISNUMBER(SEARCH(SETTINGS!$K$4,D109)),SETTINGS!$L$4,IF(ISNUMBER(SEARCH(SETTINGS!$K$5,D109)),SETTINGS!$L$5,IF(ISNUMBER(SEARCH(SETTINGS!$K$6,D109)),SETTINGS!$L$6,IF(ISNUMBER(SEARCH(SETTINGS!$K$7,D109)),SETTINGS!$L$7,IF(ISNUMBER(SEARCH(SETTINGS!$K$8,D109)),SETTINGS!$L$8,IF(ISNUMBER(SEARCH(SETTINGS!$K$9,D109)),SETTINGS!$L$9,IF(ISNUMBER(SEARCH(SETTINGS!$K$10,D109)),SETTINGS!$L$10,IF(ISNUMBER(SEARCH(SETTINGS!$K$11,D109)),SETTINGS!$L$11,IF(ISNUMBER(SEARCH(SETTINGS!$K$12,D109)),SETTINGS!$L$12,IF(ISNUMBER(SEARCH(SETTINGS!$K$13,D109)),SETTINGS!$L$13,IF(ISNUMBER(SEARCH(SETTINGS!$K$14,D109)),SETTINGS!$L$14,IF(ISNUMBER(SEARCH(SETTINGS!$K$15,D109)),SETTINGS!$L$15,IF(ISNUMBER(SEARCH(SETTINGS!$K$16,D109)),SETTINGS!$L$16,IF(ISNUMBER(SEARCH(SETTINGS!$K$17,D109)),SETTINGS!$L$17,IF(ISNUMBER(SEARCH(SETTINGS!$K$18,D109)),SETTINGS!$L$18,"Miscellaneous"))))))))))))))))</f>
        <v/>
      </c>
      <c r="I109" s="44" t="str">
        <f t="shared" si="8"/>
        <v/>
      </c>
      <c r="J109" s="9"/>
      <c r="K109" s="9"/>
      <c r="L109" s="9"/>
      <c r="M109" s="9"/>
      <c r="N109" s="9"/>
      <c r="O109" s="9"/>
      <c r="P109" s="13"/>
      <c r="Q109" s="9"/>
      <c r="R109" s="9"/>
      <c r="S109" s="9"/>
      <c r="T109" s="11"/>
      <c r="U109" s="44" t="str">
        <f t="shared" si="9"/>
        <v/>
      </c>
      <c r="V109" s="44" t="str">
        <f t="shared" si="10"/>
        <v/>
      </c>
      <c r="W109" s="44" t="str">
        <f t="shared" si="11"/>
        <v/>
      </c>
      <c r="X109" s="44" t="str">
        <f t="shared" si="12"/>
        <v/>
      </c>
      <c r="Y109" s="44" t="str">
        <f t="shared" si="13"/>
        <v/>
      </c>
      <c r="Z109" s="44" t="str">
        <f t="shared" si="14"/>
        <v/>
      </c>
      <c r="AA109" s="50" t="str">
        <f t="shared" si="15"/>
        <v/>
      </c>
      <c r="AB109" s="50" t="str">
        <f>IF(OR(B109="",C109&lt;&gt;"Expense"),"",IF(E109&gt;IFERROR(AVERAGEIFS($E$8:$E$1007,$I$8:$I$1007,I109,$C$8:$C$1007,"Expense")*SETTINGS!$B$20,0),"Unusually High","Normal"))</f>
        <v/>
      </c>
      <c r="AC109" s="51"/>
      <c r="AD109" s="51"/>
      <c r="AE109" s="51"/>
      <c r="AF109" s="50" t="str">
        <f>IF(A109&lt;&gt;"Yes","No",IF(AND(AC109="Yes",SETTINGS!$B$16="No"),"No","Yes"))</f>
        <v>No</v>
      </c>
      <c r="AG109" s="50" t="str">
        <f>IF(A109&lt;&gt;"Yes","",IF(OR(B109="",D109="",E109&lt;=0,F109="",I109=""),"Check Required Fields",IF(AA109="Possible Duplicate","Possible Duplicate",IF(E109&gt;SETTINGS!$B$22,"Review Extreme Value","OK"))))</f>
        <v/>
      </c>
    </row>
    <row r="110" spans="1:33" ht="14.4">
      <c r="A110" s="9"/>
      <c r="B110" s="13"/>
      <c r="C110" s="9"/>
      <c r="D110" s="9"/>
      <c r="E110" s="11"/>
      <c r="F110" s="9"/>
      <c r="G110" s="9"/>
      <c r="H110" s="44" t="str">
        <f>IF(D110="","",IF(ISNUMBER(SEARCH(SETTINGS!$K$4,D110)),SETTINGS!$L$4,IF(ISNUMBER(SEARCH(SETTINGS!$K$5,D110)),SETTINGS!$L$5,IF(ISNUMBER(SEARCH(SETTINGS!$K$6,D110)),SETTINGS!$L$6,IF(ISNUMBER(SEARCH(SETTINGS!$K$7,D110)),SETTINGS!$L$7,IF(ISNUMBER(SEARCH(SETTINGS!$K$8,D110)),SETTINGS!$L$8,IF(ISNUMBER(SEARCH(SETTINGS!$K$9,D110)),SETTINGS!$L$9,IF(ISNUMBER(SEARCH(SETTINGS!$K$10,D110)),SETTINGS!$L$10,IF(ISNUMBER(SEARCH(SETTINGS!$K$11,D110)),SETTINGS!$L$11,IF(ISNUMBER(SEARCH(SETTINGS!$K$12,D110)),SETTINGS!$L$12,IF(ISNUMBER(SEARCH(SETTINGS!$K$13,D110)),SETTINGS!$L$13,IF(ISNUMBER(SEARCH(SETTINGS!$K$14,D110)),SETTINGS!$L$14,IF(ISNUMBER(SEARCH(SETTINGS!$K$15,D110)),SETTINGS!$L$15,IF(ISNUMBER(SEARCH(SETTINGS!$K$16,D110)),SETTINGS!$L$16,IF(ISNUMBER(SEARCH(SETTINGS!$K$17,D110)),SETTINGS!$L$17,IF(ISNUMBER(SEARCH(SETTINGS!$K$18,D110)),SETTINGS!$L$18,"Miscellaneous"))))))))))))))))</f>
        <v/>
      </c>
      <c r="I110" s="44" t="str">
        <f t="shared" si="8"/>
        <v/>
      </c>
      <c r="J110" s="9"/>
      <c r="K110" s="9"/>
      <c r="L110" s="9"/>
      <c r="M110" s="9"/>
      <c r="N110" s="9"/>
      <c r="O110" s="9"/>
      <c r="P110" s="13"/>
      <c r="Q110" s="9"/>
      <c r="R110" s="9"/>
      <c r="S110" s="9"/>
      <c r="T110" s="11"/>
      <c r="U110" s="44" t="str">
        <f t="shared" si="9"/>
        <v/>
      </c>
      <c r="V110" s="44" t="str">
        <f t="shared" si="10"/>
        <v/>
      </c>
      <c r="W110" s="44" t="str">
        <f t="shared" si="11"/>
        <v/>
      </c>
      <c r="X110" s="44" t="str">
        <f t="shared" si="12"/>
        <v/>
      </c>
      <c r="Y110" s="44" t="str">
        <f t="shared" si="13"/>
        <v/>
      </c>
      <c r="Z110" s="44" t="str">
        <f t="shared" si="14"/>
        <v/>
      </c>
      <c r="AA110" s="50" t="str">
        <f t="shared" si="15"/>
        <v/>
      </c>
      <c r="AB110" s="50" t="str">
        <f>IF(OR(B110="",C110&lt;&gt;"Expense"),"",IF(E110&gt;IFERROR(AVERAGEIFS($E$8:$E$1007,$I$8:$I$1007,I110,$C$8:$C$1007,"Expense")*SETTINGS!$B$20,0),"Unusually High","Normal"))</f>
        <v/>
      </c>
      <c r="AC110" s="51"/>
      <c r="AD110" s="51"/>
      <c r="AE110" s="51"/>
      <c r="AF110" s="50" t="str">
        <f>IF(A110&lt;&gt;"Yes","No",IF(AND(AC110="Yes",SETTINGS!$B$16="No"),"No","Yes"))</f>
        <v>No</v>
      </c>
      <c r="AG110" s="50" t="str">
        <f>IF(A110&lt;&gt;"Yes","",IF(OR(B110="",D110="",E110&lt;=0,F110="",I110=""),"Check Required Fields",IF(AA110="Possible Duplicate","Possible Duplicate",IF(E110&gt;SETTINGS!$B$22,"Review Extreme Value","OK"))))</f>
        <v/>
      </c>
    </row>
    <row r="111" spans="1:33" ht="14.4">
      <c r="A111" s="9"/>
      <c r="B111" s="13"/>
      <c r="C111" s="9"/>
      <c r="D111" s="9"/>
      <c r="E111" s="11"/>
      <c r="F111" s="9"/>
      <c r="G111" s="9"/>
      <c r="H111" s="44" t="str">
        <f>IF(D111="","",IF(ISNUMBER(SEARCH(SETTINGS!$K$4,D111)),SETTINGS!$L$4,IF(ISNUMBER(SEARCH(SETTINGS!$K$5,D111)),SETTINGS!$L$5,IF(ISNUMBER(SEARCH(SETTINGS!$K$6,D111)),SETTINGS!$L$6,IF(ISNUMBER(SEARCH(SETTINGS!$K$7,D111)),SETTINGS!$L$7,IF(ISNUMBER(SEARCH(SETTINGS!$K$8,D111)),SETTINGS!$L$8,IF(ISNUMBER(SEARCH(SETTINGS!$K$9,D111)),SETTINGS!$L$9,IF(ISNUMBER(SEARCH(SETTINGS!$K$10,D111)),SETTINGS!$L$10,IF(ISNUMBER(SEARCH(SETTINGS!$K$11,D111)),SETTINGS!$L$11,IF(ISNUMBER(SEARCH(SETTINGS!$K$12,D111)),SETTINGS!$L$12,IF(ISNUMBER(SEARCH(SETTINGS!$K$13,D111)),SETTINGS!$L$13,IF(ISNUMBER(SEARCH(SETTINGS!$K$14,D111)),SETTINGS!$L$14,IF(ISNUMBER(SEARCH(SETTINGS!$K$15,D111)),SETTINGS!$L$15,IF(ISNUMBER(SEARCH(SETTINGS!$K$16,D111)),SETTINGS!$L$16,IF(ISNUMBER(SEARCH(SETTINGS!$K$17,D111)),SETTINGS!$L$17,IF(ISNUMBER(SEARCH(SETTINGS!$K$18,D111)),SETTINGS!$L$18,"Miscellaneous"))))))))))))))))</f>
        <v/>
      </c>
      <c r="I111" s="44" t="str">
        <f t="shared" si="8"/>
        <v/>
      </c>
      <c r="J111" s="9"/>
      <c r="K111" s="9"/>
      <c r="L111" s="9"/>
      <c r="M111" s="9"/>
      <c r="N111" s="9"/>
      <c r="O111" s="9"/>
      <c r="P111" s="13"/>
      <c r="Q111" s="9"/>
      <c r="R111" s="9"/>
      <c r="S111" s="9"/>
      <c r="T111" s="11"/>
      <c r="U111" s="44" t="str">
        <f t="shared" si="9"/>
        <v/>
      </c>
      <c r="V111" s="44" t="str">
        <f t="shared" si="10"/>
        <v/>
      </c>
      <c r="W111" s="44" t="str">
        <f t="shared" si="11"/>
        <v/>
      </c>
      <c r="X111" s="44" t="str">
        <f t="shared" si="12"/>
        <v/>
      </c>
      <c r="Y111" s="44" t="str">
        <f t="shared" si="13"/>
        <v/>
      </c>
      <c r="Z111" s="44" t="str">
        <f t="shared" si="14"/>
        <v/>
      </c>
      <c r="AA111" s="50" t="str">
        <f t="shared" si="15"/>
        <v/>
      </c>
      <c r="AB111" s="50" t="str">
        <f>IF(OR(B111="",C111&lt;&gt;"Expense"),"",IF(E111&gt;IFERROR(AVERAGEIFS($E$8:$E$1007,$I$8:$I$1007,I111,$C$8:$C$1007,"Expense")*SETTINGS!$B$20,0),"Unusually High","Normal"))</f>
        <v/>
      </c>
      <c r="AC111" s="51"/>
      <c r="AD111" s="51"/>
      <c r="AE111" s="51"/>
      <c r="AF111" s="50" t="str">
        <f>IF(A111&lt;&gt;"Yes","No",IF(AND(AC111="Yes",SETTINGS!$B$16="No"),"No","Yes"))</f>
        <v>No</v>
      </c>
      <c r="AG111" s="50" t="str">
        <f>IF(A111&lt;&gt;"Yes","",IF(OR(B111="",D111="",E111&lt;=0,F111="",I111=""),"Check Required Fields",IF(AA111="Possible Duplicate","Possible Duplicate",IF(E111&gt;SETTINGS!$B$22,"Review Extreme Value","OK"))))</f>
        <v/>
      </c>
    </row>
    <row r="112" spans="1:33" ht="14.4">
      <c r="A112" s="9"/>
      <c r="B112" s="13"/>
      <c r="C112" s="9"/>
      <c r="D112" s="9"/>
      <c r="E112" s="11"/>
      <c r="F112" s="9"/>
      <c r="G112" s="9"/>
      <c r="H112" s="44" t="str">
        <f>IF(D112="","",IF(ISNUMBER(SEARCH(SETTINGS!$K$4,D112)),SETTINGS!$L$4,IF(ISNUMBER(SEARCH(SETTINGS!$K$5,D112)),SETTINGS!$L$5,IF(ISNUMBER(SEARCH(SETTINGS!$K$6,D112)),SETTINGS!$L$6,IF(ISNUMBER(SEARCH(SETTINGS!$K$7,D112)),SETTINGS!$L$7,IF(ISNUMBER(SEARCH(SETTINGS!$K$8,D112)),SETTINGS!$L$8,IF(ISNUMBER(SEARCH(SETTINGS!$K$9,D112)),SETTINGS!$L$9,IF(ISNUMBER(SEARCH(SETTINGS!$K$10,D112)),SETTINGS!$L$10,IF(ISNUMBER(SEARCH(SETTINGS!$K$11,D112)),SETTINGS!$L$11,IF(ISNUMBER(SEARCH(SETTINGS!$K$12,D112)),SETTINGS!$L$12,IF(ISNUMBER(SEARCH(SETTINGS!$K$13,D112)),SETTINGS!$L$13,IF(ISNUMBER(SEARCH(SETTINGS!$K$14,D112)),SETTINGS!$L$14,IF(ISNUMBER(SEARCH(SETTINGS!$K$15,D112)),SETTINGS!$L$15,IF(ISNUMBER(SEARCH(SETTINGS!$K$16,D112)),SETTINGS!$L$16,IF(ISNUMBER(SEARCH(SETTINGS!$K$17,D112)),SETTINGS!$L$17,IF(ISNUMBER(SEARCH(SETTINGS!$K$18,D112)),SETTINGS!$L$18,"Miscellaneous"))))))))))))))))</f>
        <v/>
      </c>
      <c r="I112" s="44" t="str">
        <f t="shared" si="8"/>
        <v/>
      </c>
      <c r="J112" s="9"/>
      <c r="K112" s="9"/>
      <c r="L112" s="9"/>
      <c r="M112" s="9"/>
      <c r="N112" s="9"/>
      <c r="O112" s="9"/>
      <c r="P112" s="13"/>
      <c r="Q112" s="9"/>
      <c r="R112" s="9"/>
      <c r="S112" s="9"/>
      <c r="T112" s="11"/>
      <c r="U112" s="44" t="str">
        <f t="shared" si="9"/>
        <v/>
      </c>
      <c r="V112" s="44" t="str">
        <f t="shared" si="10"/>
        <v/>
      </c>
      <c r="W112" s="44" t="str">
        <f t="shared" si="11"/>
        <v/>
      </c>
      <c r="X112" s="44" t="str">
        <f t="shared" si="12"/>
        <v/>
      </c>
      <c r="Y112" s="44" t="str">
        <f t="shared" si="13"/>
        <v/>
      </c>
      <c r="Z112" s="44" t="str">
        <f t="shared" si="14"/>
        <v/>
      </c>
      <c r="AA112" s="50" t="str">
        <f t="shared" si="15"/>
        <v/>
      </c>
      <c r="AB112" s="50" t="str">
        <f>IF(OR(B112="",C112&lt;&gt;"Expense"),"",IF(E112&gt;IFERROR(AVERAGEIFS($E$8:$E$1007,$I$8:$I$1007,I112,$C$8:$C$1007,"Expense")*SETTINGS!$B$20,0),"Unusually High","Normal"))</f>
        <v/>
      </c>
      <c r="AC112" s="51"/>
      <c r="AD112" s="51"/>
      <c r="AE112" s="51"/>
      <c r="AF112" s="50" t="str">
        <f>IF(A112&lt;&gt;"Yes","No",IF(AND(AC112="Yes",SETTINGS!$B$16="No"),"No","Yes"))</f>
        <v>No</v>
      </c>
      <c r="AG112" s="50" t="str">
        <f>IF(A112&lt;&gt;"Yes","",IF(OR(B112="",D112="",E112&lt;=0,F112="",I112=""),"Check Required Fields",IF(AA112="Possible Duplicate","Possible Duplicate",IF(E112&gt;SETTINGS!$B$22,"Review Extreme Value","OK"))))</f>
        <v/>
      </c>
    </row>
    <row r="113" spans="1:33" ht="14.4">
      <c r="A113" s="9"/>
      <c r="B113" s="13"/>
      <c r="C113" s="9"/>
      <c r="D113" s="9"/>
      <c r="E113" s="11"/>
      <c r="F113" s="9"/>
      <c r="G113" s="9"/>
      <c r="H113" s="44" t="str">
        <f>IF(D113="","",IF(ISNUMBER(SEARCH(SETTINGS!$K$4,D113)),SETTINGS!$L$4,IF(ISNUMBER(SEARCH(SETTINGS!$K$5,D113)),SETTINGS!$L$5,IF(ISNUMBER(SEARCH(SETTINGS!$K$6,D113)),SETTINGS!$L$6,IF(ISNUMBER(SEARCH(SETTINGS!$K$7,D113)),SETTINGS!$L$7,IF(ISNUMBER(SEARCH(SETTINGS!$K$8,D113)),SETTINGS!$L$8,IF(ISNUMBER(SEARCH(SETTINGS!$K$9,D113)),SETTINGS!$L$9,IF(ISNUMBER(SEARCH(SETTINGS!$K$10,D113)),SETTINGS!$L$10,IF(ISNUMBER(SEARCH(SETTINGS!$K$11,D113)),SETTINGS!$L$11,IF(ISNUMBER(SEARCH(SETTINGS!$K$12,D113)),SETTINGS!$L$12,IF(ISNUMBER(SEARCH(SETTINGS!$K$13,D113)),SETTINGS!$L$13,IF(ISNUMBER(SEARCH(SETTINGS!$K$14,D113)),SETTINGS!$L$14,IF(ISNUMBER(SEARCH(SETTINGS!$K$15,D113)),SETTINGS!$L$15,IF(ISNUMBER(SEARCH(SETTINGS!$K$16,D113)),SETTINGS!$L$16,IF(ISNUMBER(SEARCH(SETTINGS!$K$17,D113)),SETTINGS!$L$17,IF(ISNUMBER(SEARCH(SETTINGS!$K$18,D113)),SETTINGS!$L$18,"Miscellaneous"))))))))))))))))</f>
        <v/>
      </c>
      <c r="I113" s="44" t="str">
        <f t="shared" si="8"/>
        <v/>
      </c>
      <c r="J113" s="9"/>
      <c r="K113" s="9"/>
      <c r="L113" s="9"/>
      <c r="M113" s="9"/>
      <c r="N113" s="9"/>
      <c r="O113" s="9"/>
      <c r="P113" s="13"/>
      <c r="Q113" s="9"/>
      <c r="R113" s="9"/>
      <c r="S113" s="9"/>
      <c r="T113" s="11"/>
      <c r="U113" s="44" t="str">
        <f t="shared" si="9"/>
        <v/>
      </c>
      <c r="V113" s="44" t="str">
        <f t="shared" si="10"/>
        <v/>
      </c>
      <c r="W113" s="44" t="str">
        <f t="shared" si="11"/>
        <v/>
      </c>
      <c r="X113" s="44" t="str">
        <f t="shared" si="12"/>
        <v/>
      </c>
      <c r="Y113" s="44" t="str">
        <f t="shared" si="13"/>
        <v/>
      </c>
      <c r="Z113" s="44" t="str">
        <f t="shared" si="14"/>
        <v/>
      </c>
      <c r="AA113" s="50" t="str">
        <f t="shared" si="15"/>
        <v/>
      </c>
      <c r="AB113" s="50" t="str">
        <f>IF(OR(B113="",C113&lt;&gt;"Expense"),"",IF(E113&gt;IFERROR(AVERAGEIFS($E$8:$E$1007,$I$8:$I$1007,I113,$C$8:$C$1007,"Expense")*SETTINGS!$B$20,0),"Unusually High","Normal"))</f>
        <v/>
      </c>
      <c r="AC113" s="51"/>
      <c r="AD113" s="51"/>
      <c r="AE113" s="51"/>
      <c r="AF113" s="50" t="str">
        <f>IF(A113&lt;&gt;"Yes","No",IF(AND(AC113="Yes",SETTINGS!$B$16="No"),"No","Yes"))</f>
        <v>No</v>
      </c>
      <c r="AG113" s="50" t="str">
        <f>IF(A113&lt;&gt;"Yes","",IF(OR(B113="",D113="",E113&lt;=0,F113="",I113=""),"Check Required Fields",IF(AA113="Possible Duplicate","Possible Duplicate",IF(E113&gt;SETTINGS!$B$22,"Review Extreme Value","OK"))))</f>
        <v/>
      </c>
    </row>
    <row r="114" spans="1:33" ht="14.4">
      <c r="A114" s="9"/>
      <c r="B114" s="13"/>
      <c r="C114" s="9"/>
      <c r="D114" s="9"/>
      <c r="E114" s="11"/>
      <c r="F114" s="9"/>
      <c r="G114" s="9"/>
      <c r="H114" s="44" t="str">
        <f>IF(D114="","",IF(ISNUMBER(SEARCH(SETTINGS!$K$4,D114)),SETTINGS!$L$4,IF(ISNUMBER(SEARCH(SETTINGS!$K$5,D114)),SETTINGS!$L$5,IF(ISNUMBER(SEARCH(SETTINGS!$K$6,D114)),SETTINGS!$L$6,IF(ISNUMBER(SEARCH(SETTINGS!$K$7,D114)),SETTINGS!$L$7,IF(ISNUMBER(SEARCH(SETTINGS!$K$8,D114)),SETTINGS!$L$8,IF(ISNUMBER(SEARCH(SETTINGS!$K$9,D114)),SETTINGS!$L$9,IF(ISNUMBER(SEARCH(SETTINGS!$K$10,D114)),SETTINGS!$L$10,IF(ISNUMBER(SEARCH(SETTINGS!$K$11,D114)),SETTINGS!$L$11,IF(ISNUMBER(SEARCH(SETTINGS!$K$12,D114)),SETTINGS!$L$12,IF(ISNUMBER(SEARCH(SETTINGS!$K$13,D114)),SETTINGS!$L$13,IF(ISNUMBER(SEARCH(SETTINGS!$K$14,D114)),SETTINGS!$L$14,IF(ISNUMBER(SEARCH(SETTINGS!$K$15,D114)),SETTINGS!$L$15,IF(ISNUMBER(SEARCH(SETTINGS!$K$16,D114)),SETTINGS!$L$16,IF(ISNUMBER(SEARCH(SETTINGS!$K$17,D114)),SETTINGS!$L$17,IF(ISNUMBER(SEARCH(SETTINGS!$K$18,D114)),SETTINGS!$L$18,"Miscellaneous"))))))))))))))))</f>
        <v/>
      </c>
      <c r="I114" s="44" t="str">
        <f t="shared" si="8"/>
        <v/>
      </c>
      <c r="J114" s="9"/>
      <c r="K114" s="9"/>
      <c r="L114" s="9"/>
      <c r="M114" s="9"/>
      <c r="N114" s="9"/>
      <c r="O114" s="9"/>
      <c r="P114" s="13"/>
      <c r="Q114" s="9"/>
      <c r="R114" s="9"/>
      <c r="S114" s="9"/>
      <c r="T114" s="11"/>
      <c r="U114" s="44" t="str">
        <f t="shared" si="9"/>
        <v/>
      </c>
      <c r="V114" s="44" t="str">
        <f t="shared" si="10"/>
        <v/>
      </c>
      <c r="W114" s="44" t="str">
        <f t="shared" si="11"/>
        <v/>
      </c>
      <c r="X114" s="44" t="str">
        <f t="shared" si="12"/>
        <v/>
      </c>
      <c r="Y114" s="44" t="str">
        <f t="shared" si="13"/>
        <v/>
      </c>
      <c r="Z114" s="44" t="str">
        <f t="shared" si="14"/>
        <v/>
      </c>
      <c r="AA114" s="50" t="str">
        <f t="shared" si="15"/>
        <v/>
      </c>
      <c r="AB114" s="50" t="str">
        <f>IF(OR(B114="",C114&lt;&gt;"Expense"),"",IF(E114&gt;IFERROR(AVERAGEIFS($E$8:$E$1007,$I$8:$I$1007,I114,$C$8:$C$1007,"Expense")*SETTINGS!$B$20,0),"Unusually High","Normal"))</f>
        <v/>
      </c>
      <c r="AC114" s="51"/>
      <c r="AD114" s="51"/>
      <c r="AE114" s="51"/>
      <c r="AF114" s="50" t="str">
        <f>IF(A114&lt;&gt;"Yes","No",IF(AND(AC114="Yes",SETTINGS!$B$16="No"),"No","Yes"))</f>
        <v>No</v>
      </c>
      <c r="AG114" s="50" t="str">
        <f>IF(A114&lt;&gt;"Yes","",IF(OR(B114="",D114="",E114&lt;=0,F114="",I114=""),"Check Required Fields",IF(AA114="Possible Duplicate","Possible Duplicate",IF(E114&gt;SETTINGS!$B$22,"Review Extreme Value","OK"))))</f>
        <v/>
      </c>
    </row>
    <row r="115" spans="1:33" ht="14.4">
      <c r="A115" s="9"/>
      <c r="B115" s="13"/>
      <c r="C115" s="9"/>
      <c r="D115" s="9"/>
      <c r="E115" s="11"/>
      <c r="F115" s="9"/>
      <c r="G115" s="9"/>
      <c r="H115" s="44" t="str">
        <f>IF(D115="","",IF(ISNUMBER(SEARCH(SETTINGS!$K$4,D115)),SETTINGS!$L$4,IF(ISNUMBER(SEARCH(SETTINGS!$K$5,D115)),SETTINGS!$L$5,IF(ISNUMBER(SEARCH(SETTINGS!$K$6,D115)),SETTINGS!$L$6,IF(ISNUMBER(SEARCH(SETTINGS!$K$7,D115)),SETTINGS!$L$7,IF(ISNUMBER(SEARCH(SETTINGS!$K$8,D115)),SETTINGS!$L$8,IF(ISNUMBER(SEARCH(SETTINGS!$K$9,D115)),SETTINGS!$L$9,IF(ISNUMBER(SEARCH(SETTINGS!$K$10,D115)),SETTINGS!$L$10,IF(ISNUMBER(SEARCH(SETTINGS!$K$11,D115)),SETTINGS!$L$11,IF(ISNUMBER(SEARCH(SETTINGS!$K$12,D115)),SETTINGS!$L$12,IF(ISNUMBER(SEARCH(SETTINGS!$K$13,D115)),SETTINGS!$L$13,IF(ISNUMBER(SEARCH(SETTINGS!$K$14,D115)),SETTINGS!$L$14,IF(ISNUMBER(SEARCH(SETTINGS!$K$15,D115)),SETTINGS!$L$15,IF(ISNUMBER(SEARCH(SETTINGS!$K$16,D115)),SETTINGS!$L$16,IF(ISNUMBER(SEARCH(SETTINGS!$K$17,D115)),SETTINGS!$L$17,IF(ISNUMBER(SEARCH(SETTINGS!$K$18,D115)),SETTINGS!$L$18,"Miscellaneous"))))))))))))))))</f>
        <v/>
      </c>
      <c r="I115" s="44" t="str">
        <f t="shared" si="8"/>
        <v/>
      </c>
      <c r="J115" s="9"/>
      <c r="K115" s="9"/>
      <c r="L115" s="9"/>
      <c r="M115" s="9"/>
      <c r="N115" s="9"/>
      <c r="O115" s="9"/>
      <c r="P115" s="13"/>
      <c r="Q115" s="9"/>
      <c r="R115" s="9"/>
      <c r="S115" s="9"/>
      <c r="T115" s="11"/>
      <c r="U115" s="44" t="str">
        <f t="shared" si="9"/>
        <v/>
      </c>
      <c r="V115" s="44" t="str">
        <f t="shared" si="10"/>
        <v/>
      </c>
      <c r="W115" s="44" t="str">
        <f t="shared" si="11"/>
        <v/>
      </c>
      <c r="X115" s="44" t="str">
        <f t="shared" si="12"/>
        <v/>
      </c>
      <c r="Y115" s="44" t="str">
        <f t="shared" si="13"/>
        <v/>
      </c>
      <c r="Z115" s="44" t="str">
        <f t="shared" si="14"/>
        <v/>
      </c>
      <c r="AA115" s="50" t="str">
        <f t="shared" si="15"/>
        <v/>
      </c>
      <c r="AB115" s="50" t="str">
        <f>IF(OR(B115="",C115&lt;&gt;"Expense"),"",IF(E115&gt;IFERROR(AVERAGEIFS($E$8:$E$1007,$I$8:$I$1007,I115,$C$8:$C$1007,"Expense")*SETTINGS!$B$20,0),"Unusually High","Normal"))</f>
        <v/>
      </c>
      <c r="AC115" s="51"/>
      <c r="AD115" s="51"/>
      <c r="AE115" s="51"/>
      <c r="AF115" s="50" t="str">
        <f>IF(A115&lt;&gt;"Yes","No",IF(AND(AC115="Yes",SETTINGS!$B$16="No"),"No","Yes"))</f>
        <v>No</v>
      </c>
      <c r="AG115" s="50" t="str">
        <f>IF(A115&lt;&gt;"Yes","",IF(OR(B115="",D115="",E115&lt;=0,F115="",I115=""),"Check Required Fields",IF(AA115="Possible Duplicate","Possible Duplicate",IF(E115&gt;SETTINGS!$B$22,"Review Extreme Value","OK"))))</f>
        <v/>
      </c>
    </row>
    <row r="116" spans="1:33" ht="14.4">
      <c r="A116" s="9"/>
      <c r="B116" s="13"/>
      <c r="C116" s="9"/>
      <c r="D116" s="9"/>
      <c r="E116" s="11"/>
      <c r="F116" s="9"/>
      <c r="G116" s="9"/>
      <c r="H116" s="44" t="str">
        <f>IF(D116="","",IF(ISNUMBER(SEARCH(SETTINGS!$K$4,D116)),SETTINGS!$L$4,IF(ISNUMBER(SEARCH(SETTINGS!$K$5,D116)),SETTINGS!$L$5,IF(ISNUMBER(SEARCH(SETTINGS!$K$6,D116)),SETTINGS!$L$6,IF(ISNUMBER(SEARCH(SETTINGS!$K$7,D116)),SETTINGS!$L$7,IF(ISNUMBER(SEARCH(SETTINGS!$K$8,D116)),SETTINGS!$L$8,IF(ISNUMBER(SEARCH(SETTINGS!$K$9,D116)),SETTINGS!$L$9,IF(ISNUMBER(SEARCH(SETTINGS!$K$10,D116)),SETTINGS!$L$10,IF(ISNUMBER(SEARCH(SETTINGS!$K$11,D116)),SETTINGS!$L$11,IF(ISNUMBER(SEARCH(SETTINGS!$K$12,D116)),SETTINGS!$L$12,IF(ISNUMBER(SEARCH(SETTINGS!$K$13,D116)),SETTINGS!$L$13,IF(ISNUMBER(SEARCH(SETTINGS!$K$14,D116)),SETTINGS!$L$14,IF(ISNUMBER(SEARCH(SETTINGS!$K$15,D116)),SETTINGS!$L$15,IF(ISNUMBER(SEARCH(SETTINGS!$K$16,D116)),SETTINGS!$L$16,IF(ISNUMBER(SEARCH(SETTINGS!$K$17,D116)),SETTINGS!$L$17,IF(ISNUMBER(SEARCH(SETTINGS!$K$18,D116)),SETTINGS!$L$18,"Miscellaneous"))))))))))))))))</f>
        <v/>
      </c>
      <c r="I116" s="44" t="str">
        <f t="shared" si="8"/>
        <v/>
      </c>
      <c r="J116" s="9"/>
      <c r="K116" s="9"/>
      <c r="L116" s="9"/>
      <c r="M116" s="9"/>
      <c r="N116" s="9"/>
      <c r="O116" s="9"/>
      <c r="P116" s="13"/>
      <c r="Q116" s="9"/>
      <c r="R116" s="9"/>
      <c r="S116" s="9"/>
      <c r="T116" s="11"/>
      <c r="U116" s="44" t="str">
        <f t="shared" si="9"/>
        <v/>
      </c>
      <c r="V116" s="44" t="str">
        <f t="shared" si="10"/>
        <v/>
      </c>
      <c r="W116" s="44" t="str">
        <f t="shared" si="11"/>
        <v/>
      </c>
      <c r="X116" s="44" t="str">
        <f t="shared" si="12"/>
        <v/>
      </c>
      <c r="Y116" s="44" t="str">
        <f t="shared" si="13"/>
        <v/>
      </c>
      <c r="Z116" s="44" t="str">
        <f t="shared" si="14"/>
        <v/>
      </c>
      <c r="AA116" s="50" t="str">
        <f t="shared" si="15"/>
        <v/>
      </c>
      <c r="AB116" s="50" t="str">
        <f>IF(OR(B116="",C116&lt;&gt;"Expense"),"",IF(E116&gt;IFERROR(AVERAGEIFS($E$8:$E$1007,$I$8:$I$1007,I116,$C$8:$C$1007,"Expense")*SETTINGS!$B$20,0),"Unusually High","Normal"))</f>
        <v/>
      </c>
      <c r="AC116" s="51"/>
      <c r="AD116" s="51"/>
      <c r="AE116" s="51"/>
      <c r="AF116" s="50" t="str">
        <f>IF(A116&lt;&gt;"Yes","No",IF(AND(AC116="Yes",SETTINGS!$B$16="No"),"No","Yes"))</f>
        <v>No</v>
      </c>
      <c r="AG116" s="50" t="str">
        <f>IF(A116&lt;&gt;"Yes","",IF(OR(B116="",D116="",E116&lt;=0,F116="",I116=""),"Check Required Fields",IF(AA116="Possible Duplicate","Possible Duplicate",IF(E116&gt;SETTINGS!$B$22,"Review Extreme Value","OK"))))</f>
        <v/>
      </c>
    </row>
    <row r="117" spans="1:33" ht="14.4">
      <c r="A117" s="9"/>
      <c r="B117" s="13"/>
      <c r="C117" s="9"/>
      <c r="D117" s="9"/>
      <c r="E117" s="11"/>
      <c r="F117" s="9"/>
      <c r="G117" s="9"/>
      <c r="H117" s="44" t="str">
        <f>IF(D117="","",IF(ISNUMBER(SEARCH(SETTINGS!$K$4,D117)),SETTINGS!$L$4,IF(ISNUMBER(SEARCH(SETTINGS!$K$5,D117)),SETTINGS!$L$5,IF(ISNUMBER(SEARCH(SETTINGS!$K$6,D117)),SETTINGS!$L$6,IF(ISNUMBER(SEARCH(SETTINGS!$K$7,D117)),SETTINGS!$L$7,IF(ISNUMBER(SEARCH(SETTINGS!$K$8,D117)),SETTINGS!$L$8,IF(ISNUMBER(SEARCH(SETTINGS!$K$9,D117)),SETTINGS!$L$9,IF(ISNUMBER(SEARCH(SETTINGS!$K$10,D117)),SETTINGS!$L$10,IF(ISNUMBER(SEARCH(SETTINGS!$K$11,D117)),SETTINGS!$L$11,IF(ISNUMBER(SEARCH(SETTINGS!$K$12,D117)),SETTINGS!$L$12,IF(ISNUMBER(SEARCH(SETTINGS!$K$13,D117)),SETTINGS!$L$13,IF(ISNUMBER(SEARCH(SETTINGS!$K$14,D117)),SETTINGS!$L$14,IF(ISNUMBER(SEARCH(SETTINGS!$K$15,D117)),SETTINGS!$L$15,IF(ISNUMBER(SEARCH(SETTINGS!$K$16,D117)),SETTINGS!$L$16,IF(ISNUMBER(SEARCH(SETTINGS!$K$17,D117)),SETTINGS!$L$17,IF(ISNUMBER(SEARCH(SETTINGS!$K$18,D117)),SETTINGS!$L$18,"Miscellaneous"))))))))))))))))</f>
        <v/>
      </c>
      <c r="I117" s="44" t="str">
        <f t="shared" si="8"/>
        <v/>
      </c>
      <c r="J117" s="9"/>
      <c r="K117" s="9"/>
      <c r="L117" s="9"/>
      <c r="M117" s="9"/>
      <c r="N117" s="9"/>
      <c r="O117" s="9"/>
      <c r="P117" s="13"/>
      <c r="Q117" s="9"/>
      <c r="R117" s="9"/>
      <c r="S117" s="9"/>
      <c r="T117" s="11"/>
      <c r="U117" s="44" t="str">
        <f t="shared" si="9"/>
        <v/>
      </c>
      <c r="V117" s="44" t="str">
        <f t="shared" si="10"/>
        <v/>
      </c>
      <c r="W117" s="44" t="str">
        <f t="shared" si="11"/>
        <v/>
      </c>
      <c r="X117" s="44" t="str">
        <f t="shared" si="12"/>
        <v/>
      </c>
      <c r="Y117" s="44" t="str">
        <f t="shared" si="13"/>
        <v/>
      </c>
      <c r="Z117" s="44" t="str">
        <f t="shared" si="14"/>
        <v/>
      </c>
      <c r="AA117" s="50" t="str">
        <f t="shared" si="15"/>
        <v/>
      </c>
      <c r="AB117" s="50" t="str">
        <f>IF(OR(B117="",C117&lt;&gt;"Expense"),"",IF(E117&gt;IFERROR(AVERAGEIFS($E$8:$E$1007,$I$8:$I$1007,I117,$C$8:$C$1007,"Expense")*SETTINGS!$B$20,0),"Unusually High","Normal"))</f>
        <v/>
      </c>
      <c r="AC117" s="51"/>
      <c r="AD117" s="51"/>
      <c r="AE117" s="51"/>
      <c r="AF117" s="50" t="str">
        <f>IF(A117&lt;&gt;"Yes","No",IF(AND(AC117="Yes",SETTINGS!$B$16="No"),"No","Yes"))</f>
        <v>No</v>
      </c>
      <c r="AG117" s="50" t="str">
        <f>IF(A117&lt;&gt;"Yes","",IF(OR(B117="",D117="",E117&lt;=0,F117="",I117=""),"Check Required Fields",IF(AA117="Possible Duplicate","Possible Duplicate",IF(E117&gt;SETTINGS!$B$22,"Review Extreme Value","OK"))))</f>
        <v/>
      </c>
    </row>
    <row r="118" spans="1:33" ht="14.4">
      <c r="A118" s="9"/>
      <c r="B118" s="13"/>
      <c r="C118" s="9"/>
      <c r="D118" s="9"/>
      <c r="E118" s="11"/>
      <c r="F118" s="9"/>
      <c r="G118" s="9"/>
      <c r="H118" s="44" t="str">
        <f>IF(D118="","",IF(ISNUMBER(SEARCH(SETTINGS!$K$4,D118)),SETTINGS!$L$4,IF(ISNUMBER(SEARCH(SETTINGS!$K$5,D118)),SETTINGS!$L$5,IF(ISNUMBER(SEARCH(SETTINGS!$K$6,D118)),SETTINGS!$L$6,IF(ISNUMBER(SEARCH(SETTINGS!$K$7,D118)),SETTINGS!$L$7,IF(ISNUMBER(SEARCH(SETTINGS!$K$8,D118)),SETTINGS!$L$8,IF(ISNUMBER(SEARCH(SETTINGS!$K$9,D118)),SETTINGS!$L$9,IF(ISNUMBER(SEARCH(SETTINGS!$K$10,D118)),SETTINGS!$L$10,IF(ISNUMBER(SEARCH(SETTINGS!$K$11,D118)),SETTINGS!$L$11,IF(ISNUMBER(SEARCH(SETTINGS!$K$12,D118)),SETTINGS!$L$12,IF(ISNUMBER(SEARCH(SETTINGS!$K$13,D118)),SETTINGS!$L$13,IF(ISNUMBER(SEARCH(SETTINGS!$K$14,D118)),SETTINGS!$L$14,IF(ISNUMBER(SEARCH(SETTINGS!$K$15,D118)),SETTINGS!$L$15,IF(ISNUMBER(SEARCH(SETTINGS!$K$16,D118)),SETTINGS!$L$16,IF(ISNUMBER(SEARCH(SETTINGS!$K$17,D118)),SETTINGS!$L$17,IF(ISNUMBER(SEARCH(SETTINGS!$K$18,D118)),SETTINGS!$L$18,"Miscellaneous"))))))))))))))))</f>
        <v/>
      </c>
      <c r="I118" s="44" t="str">
        <f t="shared" si="8"/>
        <v/>
      </c>
      <c r="J118" s="9"/>
      <c r="K118" s="9"/>
      <c r="L118" s="9"/>
      <c r="M118" s="9"/>
      <c r="N118" s="9"/>
      <c r="O118" s="9"/>
      <c r="P118" s="13"/>
      <c r="Q118" s="9"/>
      <c r="R118" s="9"/>
      <c r="S118" s="9"/>
      <c r="T118" s="11"/>
      <c r="U118" s="44" t="str">
        <f t="shared" si="9"/>
        <v/>
      </c>
      <c r="V118" s="44" t="str">
        <f t="shared" si="10"/>
        <v/>
      </c>
      <c r="W118" s="44" t="str">
        <f t="shared" si="11"/>
        <v/>
      </c>
      <c r="X118" s="44" t="str">
        <f t="shared" si="12"/>
        <v/>
      </c>
      <c r="Y118" s="44" t="str">
        <f t="shared" si="13"/>
        <v/>
      </c>
      <c r="Z118" s="44" t="str">
        <f t="shared" si="14"/>
        <v/>
      </c>
      <c r="AA118" s="50" t="str">
        <f t="shared" si="15"/>
        <v/>
      </c>
      <c r="AB118" s="50" t="str">
        <f>IF(OR(B118="",C118&lt;&gt;"Expense"),"",IF(E118&gt;IFERROR(AVERAGEIFS($E$8:$E$1007,$I$8:$I$1007,I118,$C$8:$C$1007,"Expense")*SETTINGS!$B$20,0),"Unusually High","Normal"))</f>
        <v/>
      </c>
      <c r="AC118" s="51"/>
      <c r="AD118" s="51"/>
      <c r="AE118" s="51"/>
      <c r="AF118" s="50" t="str">
        <f>IF(A118&lt;&gt;"Yes","No",IF(AND(AC118="Yes",SETTINGS!$B$16="No"),"No","Yes"))</f>
        <v>No</v>
      </c>
      <c r="AG118" s="50" t="str">
        <f>IF(A118&lt;&gt;"Yes","",IF(OR(B118="",D118="",E118&lt;=0,F118="",I118=""),"Check Required Fields",IF(AA118="Possible Duplicate","Possible Duplicate",IF(E118&gt;SETTINGS!$B$22,"Review Extreme Value","OK"))))</f>
        <v/>
      </c>
    </row>
    <row r="119" spans="1:33" ht="14.4">
      <c r="A119" s="9"/>
      <c r="B119" s="13"/>
      <c r="C119" s="9"/>
      <c r="D119" s="9"/>
      <c r="E119" s="11"/>
      <c r="F119" s="9"/>
      <c r="G119" s="9"/>
      <c r="H119" s="44" t="str">
        <f>IF(D119="","",IF(ISNUMBER(SEARCH(SETTINGS!$K$4,D119)),SETTINGS!$L$4,IF(ISNUMBER(SEARCH(SETTINGS!$K$5,D119)),SETTINGS!$L$5,IF(ISNUMBER(SEARCH(SETTINGS!$K$6,D119)),SETTINGS!$L$6,IF(ISNUMBER(SEARCH(SETTINGS!$K$7,D119)),SETTINGS!$L$7,IF(ISNUMBER(SEARCH(SETTINGS!$K$8,D119)),SETTINGS!$L$8,IF(ISNUMBER(SEARCH(SETTINGS!$K$9,D119)),SETTINGS!$L$9,IF(ISNUMBER(SEARCH(SETTINGS!$K$10,D119)),SETTINGS!$L$10,IF(ISNUMBER(SEARCH(SETTINGS!$K$11,D119)),SETTINGS!$L$11,IF(ISNUMBER(SEARCH(SETTINGS!$K$12,D119)),SETTINGS!$L$12,IF(ISNUMBER(SEARCH(SETTINGS!$K$13,D119)),SETTINGS!$L$13,IF(ISNUMBER(SEARCH(SETTINGS!$K$14,D119)),SETTINGS!$L$14,IF(ISNUMBER(SEARCH(SETTINGS!$K$15,D119)),SETTINGS!$L$15,IF(ISNUMBER(SEARCH(SETTINGS!$K$16,D119)),SETTINGS!$L$16,IF(ISNUMBER(SEARCH(SETTINGS!$K$17,D119)),SETTINGS!$L$17,IF(ISNUMBER(SEARCH(SETTINGS!$K$18,D119)),SETTINGS!$L$18,"Miscellaneous"))))))))))))))))</f>
        <v/>
      </c>
      <c r="I119" s="44" t="str">
        <f t="shared" si="8"/>
        <v/>
      </c>
      <c r="J119" s="9"/>
      <c r="K119" s="9"/>
      <c r="L119" s="9"/>
      <c r="M119" s="9"/>
      <c r="N119" s="9"/>
      <c r="O119" s="9"/>
      <c r="P119" s="13"/>
      <c r="Q119" s="9"/>
      <c r="R119" s="9"/>
      <c r="S119" s="9"/>
      <c r="T119" s="11"/>
      <c r="U119" s="44" t="str">
        <f t="shared" si="9"/>
        <v/>
      </c>
      <c r="V119" s="44" t="str">
        <f t="shared" si="10"/>
        <v/>
      </c>
      <c r="W119" s="44" t="str">
        <f t="shared" si="11"/>
        <v/>
      </c>
      <c r="X119" s="44" t="str">
        <f t="shared" si="12"/>
        <v/>
      </c>
      <c r="Y119" s="44" t="str">
        <f t="shared" si="13"/>
        <v/>
      </c>
      <c r="Z119" s="44" t="str">
        <f t="shared" si="14"/>
        <v/>
      </c>
      <c r="AA119" s="50" t="str">
        <f t="shared" si="15"/>
        <v/>
      </c>
      <c r="AB119" s="50" t="str">
        <f>IF(OR(B119="",C119&lt;&gt;"Expense"),"",IF(E119&gt;IFERROR(AVERAGEIFS($E$8:$E$1007,$I$8:$I$1007,I119,$C$8:$C$1007,"Expense")*SETTINGS!$B$20,0),"Unusually High","Normal"))</f>
        <v/>
      </c>
      <c r="AC119" s="51"/>
      <c r="AD119" s="51"/>
      <c r="AE119" s="51"/>
      <c r="AF119" s="50" t="str">
        <f>IF(A119&lt;&gt;"Yes","No",IF(AND(AC119="Yes",SETTINGS!$B$16="No"),"No","Yes"))</f>
        <v>No</v>
      </c>
      <c r="AG119" s="50" t="str">
        <f>IF(A119&lt;&gt;"Yes","",IF(OR(B119="",D119="",E119&lt;=0,F119="",I119=""),"Check Required Fields",IF(AA119="Possible Duplicate","Possible Duplicate",IF(E119&gt;SETTINGS!$B$22,"Review Extreme Value","OK"))))</f>
        <v/>
      </c>
    </row>
    <row r="120" spans="1:33" ht="14.4">
      <c r="A120" s="9"/>
      <c r="B120" s="13"/>
      <c r="C120" s="9"/>
      <c r="D120" s="9"/>
      <c r="E120" s="11"/>
      <c r="F120" s="9"/>
      <c r="G120" s="9"/>
      <c r="H120" s="44" t="str">
        <f>IF(D120="","",IF(ISNUMBER(SEARCH(SETTINGS!$K$4,D120)),SETTINGS!$L$4,IF(ISNUMBER(SEARCH(SETTINGS!$K$5,D120)),SETTINGS!$L$5,IF(ISNUMBER(SEARCH(SETTINGS!$K$6,D120)),SETTINGS!$L$6,IF(ISNUMBER(SEARCH(SETTINGS!$K$7,D120)),SETTINGS!$L$7,IF(ISNUMBER(SEARCH(SETTINGS!$K$8,D120)),SETTINGS!$L$8,IF(ISNUMBER(SEARCH(SETTINGS!$K$9,D120)),SETTINGS!$L$9,IF(ISNUMBER(SEARCH(SETTINGS!$K$10,D120)),SETTINGS!$L$10,IF(ISNUMBER(SEARCH(SETTINGS!$K$11,D120)),SETTINGS!$L$11,IF(ISNUMBER(SEARCH(SETTINGS!$K$12,D120)),SETTINGS!$L$12,IF(ISNUMBER(SEARCH(SETTINGS!$K$13,D120)),SETTINGS!$L$13,IF(ISNUMBER(SEARCH(SETTINGS!$K$14,D120)),SETTINGS!$L$14,IF(ISNUMBER(SEARCH(SETTINGS!$K$15,D120)),SETTINGS!$L$15,IF(ISNUMBER(SEARCH(SETTINGS!$K$16,D120)),SETTINGS!$L$16,IF(ISNUMBER(SEARCH(SETTINGS!$K$17,D120)),SETTINGS!$L$17,IF(ISNUMBER(SEARCH(SETTINGS!$K$18,D120)),SETTINGS!$L$18,"Miscellaneous"))))))))))))))))</f>
        <v/>
      </c>
      <c r="I120" s="44" t="str">
        <f t="shared" si="8"/>
        <v/>
      </c>
      <c r="J120" s="9"/>
      <c r="K120" s="9"/>
      <c r="L120" s="9"/>
      <c r="M120" s="9"/>
      <c r="N120" s="9"/>
      <c r="O120" s="9"/>
      <c r="P120" s="13"/>
      <c r="Q120" s="9"/>
      <c r="R120" s="9"/>
      <c r="S120" s="9"/>
      <c r="T120" s="11"/>
      <c r="U120" s="44" t="str">
        <f t="shared" si="9"/>
        <v/>
      </c>
      <c r="V120" s="44" t="str">
        <f t="shared" si="10"/>
        <v/>
      </c>
      <c r="W120" s="44" t="str">
        <f t="shared" si="11"/>
        <v/>
      </c>
      <c r="X120" s="44" t="str">
        <f t="shared" si="12"/>
        <v/>
      </c>
      <c r="Y120" s="44" t="str">
        <f t="shared" si="13"/>
        <v/>
      </c>
      <c r="Z120" s="44" t="str">
        <f t="shared" si="14"/>
        <v/>
      </c>
      <c r="AA120" s="50" t="str">
        <f t="shared" si="15"/>
        <v/>
      </c>
      <c r="AB120" s="50" t="str">
        <f>IF(OR(B120="",C120&lt;&gt;"Expense"),"",IF(E120&gt;IFERROR(AVERAGEIFS($E$8:$E$1007,$I$8:$I$1007,I120,$C$8:$C$1007,"Expense")*SETTINGS!$B$20,0),"Unusually High","Normal"))</f>
        <v/>
      </c>
      <c r="AC120" s="51"/>
      <c r="AD120" s="51"/>
      <c r="AE120" s="51"/>
      <c r="AF120" s="50" t="str">
        <f>IF(A120&lt;&gt;"Yes","No",IF(AND(AC120="Yes",SETTINGS!$B$16="No"),"No","Yes"))</f>
        <v>No</v>
      </c>
      <c r="AG120" s="50" t="str">
        <f>IF(A120&lt;&gt;"Yes","",IF(OR(B120="",D120="",E120&lt;=0,F120="",I120=""),"Check Required Fields",IF(AA120="Possible Duplicate","Possible Duplicate",IF(E120&gt;SETTINGS!$B$22,"Review Extreme Value","OK"))))</f>
        <v/>
      </c>
    </row>
    <row r="121" spans="1:33" ht="14.4">
      <c r="A121" s="9"/>
      <c r="B121" s="13"/>
      <c r="C121" s="9"/>
      <c r="D121" s="9"/>
      <c r="E121" s="11"/>
      <c r="F121" s="9"/>
      <c r="G121" s="9"/>
      <c r="H121" s="44" t="str">
        <f>IF(D121="","",IF(ISNUMBER(SEARCH(SETTINGS!$K$4,D121)),SETTINGS!$L$4,IF(ISNUMBER(SEARCH(SETTINGS!$K$5,D121)),SETTINGS!$L$5,IF(ISNUMBER(SEARCH(SETTINGS!$K$6,D121)),SETTINGS!$L$6,IF(ISNUMBER(SEARCH(SETTINGS!$K$7,D121)),SETTINGS!$L$7,IF(ISNUMBER(SEARCH(SETTINGS!$K$8,D121)),SETTINGS!$L$8,IF(ISNUMBER(SEARCH(SETTINGS!$K$9,D121)),SETTINGS!$L$9,IF(ISNUMBER(SEARCH(SETTINGS!$K$10,D121)),SETTINGS!$L$10,IF(ISNUMBER(SEARCH(SETTINGS!$K$11,D121)),SETTINGS!$L$11,IF(ISNUMBER(SEARCH(SETTINGS!$K$12,D121)),SETTINGS!$L$12,IF(ISNUMBER(SEARCH(SETTINGS!$K$13,D121)),SETTINGS!$L$13,IF(ISNUMBER(SEARCH(SETTINGS!$K$14,D121)),SETTINGS!$L$14,IF(ISNUMBER(SEARCH(SETTINGS!$K$15,D121)),SETTINGS!$L$15,IF(ISNUMBER(SEARCH(SETTINGS!$K$16,D121)),SETTINGS!$L$16,IF(ISNUMBER(SEARCH(SETTINGS!$K$17,D121)),SETTINGS!$L$17,IF(ISNUMBER(SEARCH(SETTINGS!$K$18,D121)),SETTINGS!$L$18,"Miscellaneous"))))))))))))))))</f>
        <v/>
      </c>
      <c r="I121" s="44" t="str">
        <f t="shared" si="8"/>
        <v/>
      </c>
      <c r="J121" s="9"/>
      <c r="K121" s="9"/>
      <c r="L121" s="9"/>
      <c r="M121" s="9"/>
      <c r="N121" s="9"/>
      <c r="O121" s="9"/>
      <c r="P121" s="13"/>
      <c r="Q121" s="9"/>
      <c r="R121" s="9"/>
      <c r="S121" s="9"/>
      <c r="T121" s="11"/>
      <c r="U121" s="44" t="str">
        <f t="shared" si="9"/>
        <v/>
      </c>
      <c r="V121" s="44" t="str">
        <f t="shared" si="10"/>
        <v/>
      </c>
      <c r="W121" s="44" t="str">
        <f t="shared" si="11"/>
        <v/>
      </c>
      <c r="X121" s="44" t="str">
        <f t="shared" si="12"/>
        <v/>
      </c>
      <c r="Y121" s="44" t="str">
        <f t="shared" si="13"/>
        <v/>
      </c>
      <c r="Z121" s="44" t="str">
        <f t="shared" si="14"/>
        <v/>
      </c>
      <c r="AA121" s="50" t="str">
        <f t="shared" si="15"/>
        <v/>
      </c>
      <c r="AB121" s="50" t="str">
        <f>IF(OR(B121="",C121&lt;&gt;"Expense"),"",IF(E121&gt;IFERROR(AVERAGEIFS($E$8:$E$1007,$I$8:$I$1007,I121,$C$8:$C$1007,"Expense")*SETTINGS!$B$20,0),"Unusually High","Normal"))</f>
        <v/>
      </c>
      <c r="AC121" s="51"/>
      <c r="AD121" s="51"/>
      <c r="AE121" s="51"/>
      <c r="AF121" s="50" t="str">
        <f>IF(A121&lt;&gt;"Yes","No",IF(AND(AC121="Yes",SETTINGS!$B$16="No"),"No","Yes"))</f>
        <v>No</v>
      </c>
      <c r="AG121" s="50" t="str">
        <f>IF(A121&lt;&gt;"Yes","",IF(OR(B121="",D121="",E121&lt;=0,F121="",I121=""),"Check Required Fields",IF(AA121="Possible Duplicate","Possible Duplicate",IF(E121&gt;SETTINGS!$B$22,"Review Extreme Value","OK"))))</f>
        <v/>
      </c>
    </row>
    <row r="122" spans="1:33" ht="14.4">
      <c r="A122" s="9"/>
      <c r="B122" s="13"/>
      <c r="C122" s="9"/>
      <c r="D122" s="9"/>
      <c r="E122" s="11"/>
      <c r="F122" s="9"/>
      <c r="G122" s="9"/>
      <c r="H122" s="44" t="str">
        <f>IF(D122="","",IF(ISNUMBER(SEARCH(SETTINGS!$K$4,D122)),SETTINGS!$L$4,IF(ISNUMBER(SEARCH(SETTINGS!$K$5,D122)),SETTINGS!$L$5,IF(ISNUMBER(SEARCH(SETTINGS!$K$6,D122)),SETTINGS!$L$6,IF(ISNUMBER(SEARCH(SETTINGS!$K$7,D122)),SETTINGS!$L$7,IF(ISNUMBER(SEARCH(SETTINGS!$K$8,D122)),SETTINGS!$L$8,IF(ISNUMBER(SEARCH(SETTINGS!$K$9,D122)),SETTINGS!$L$9,IF(ISNUMBER(SEARCH(SETTINGS!$K$10,D122)),SETTINGS!$L$10,IF(ISNUMBER(SEARCH(SETTINGS!$K$11,D122)),SETTINGS!$L$11,IF(ISNUMBER(SEARCH(SETTINGS!$K$12,D122)),SETTINGS!$L$12,IF(ISNUMBER(SEARCH(SETTINGS!$K$13,D122)),SETTINGS!$L$13,IF(ISNUMBER(SEARCH(SETTINGS!$K$14,D122)),SETTINGS!$L$14,IF(ISNUMBER(SEARCH(SETTINGS!$K$15,D122)),SETTINGS!$L$15,IF(ISNUMBER(SEARCH(SETTINGS!$K$16,D122)),SETTINGS!$L$16,IF(ISNUMBER(SEARCH(SETTINGS!$K$17,D122)),SETTINGS!$L$17,IF(ISNUMBER(SEARCH(SETTINGS!$K$18,D122)),SETTINGS!$L$18,"Miscellaneous"))))))))))))))))</f>
        <v/>
      </c>
      <c r="I122" s="44" t="str">
        <f t="shared" si="8"/>
        <v/>
      </c>
      <c r="J122" s="9"/>
      <c r="K122" s="9"/>
      <c r="L122" s="9"/>
      <c r="M122" s="9"/>
      <c r="N122" s="9"/>
      <c r="O122" s="9"/>
      <c r="P122" s="13"/>
      <c r="Q122" s="9"/>
      <c r="R122" s="9"/>
      <c r="S122" s="9"/>
      <c r="T122" s="11"/>
      <c r="U122" s="44" t="str">
        <f t="shared" si="9"/>
        <v/>
      </c>
      <c r="V122" s="44" t="str">
        <f t="shared" si="10"/>
        <v/>
      </c>
      <c r="W122" s="44" t="str">
        <f t="shared" si="11"/>
        <v/>
      </c>
      <c r="X122" s="44" t="str">
        <f t="shared" si="12"/>
        <v/>
      </c>
      <c r="Y122" s="44" t="str">
        <f t="shared" si="13"/>
        <v/>
      </c>
      <c r="Z122" s="44" t="str">
        <f t="shared" si="14"/>
        <v/>
      </c>
      <c r="AA122" s="50" t="str">
        <f t="shared" si="15"/>
        <v/>
      </c>
      <c r="AB122" s="50" t="str">
        <f>IF(OR(B122="",C122&lt;&gt;"Expense"),"",IF(E122&gt;IFERROR(AVERAGEIFS($E$8:$E$1007,$I$8:$I$1007,I122,$C$8:$C$1007,"Expense")*SETTINGS!$B$20,0),"Unusually High","Normal"))</f>
        <v/>
      </c>
      <c r="AC122" s="51"/>
      <c r="AD122" s="51"/>
      <c r="AE122" s="51"/>
      <c r="AF122" s="50" t="str">
        <f>IF(A122&lt;&gt;"Yes","No",IF(AND(AC122="Yes",SETTINGS!$B$16="No"),"No","Yes"))</f>
        <v>No</v>
      </c>
      <c r="AG122" s="50" t="str">
        <f>IF(A122&lt;&gt;"Yes","",IF(OR(B122="",D122="",E122&lt;=0,F122="",I122=""),"Check Required Fields",IF(AA122="Possible Duplicate","Possible Duplicate",IF(E122&gt;SETTINGS!$B$22,"Review Extreme Value","OK"))))</f>
        <v/>
      </c>
    </row>
    <row r="123" spans="1:33" ht="14.4">
      <c r="A123" s="9"/>
      <c r="B123" s="13"/>
      <c r="C123" s="9"/>
      <c r="D123" s="9"/>
      <c r="E123" s="11"/>
      <c r="F123" s="9"/>
      <c r="G123" s="9"/>
      <c r="H123" s="44" t="str">
        <f>IF(D123="","",IF(ISNUMBER(SEARCH(SETTINGS!$K$4,D123)),SETTINGS!$L$4,IF(ISNUMBER(SEARCH(SETTINGS!$K$5,D123)),SETTINGS!$L$5,IF(ISNUMBER(SEARCH(SETTINGS!$K$6,D123)),SETTINGS!$L$6,IF(ISNUMBER(SEARCH(SETTINGS!$K$7,D123)),SETTINGS!$L$7,IF(ISNUMBER(SEARCH(SETTINGS!$K$8,D123)),SETTINGS!$L$8,IF(ISNUMBER(SEARCH(SETTINGS!$K$9,D123)),SETTINGS!$L$9,IF(ISNUMBER(SEARCH(SETTINGS!$K$10,D123)),SETTINGS!$L$10,IF(ISNUMBER(SEARCH(SETTINGS!$K$11,D123)),SETTINGS!$L$11,IF(ISNUMBER(SEARCH(SETTINGS!$K$12,D123)),SETTINGS!$L$12,IF(ISNUMBER(SEARCH(SETTINGS!$K$13,D123)),SETTINGS!$L$13,IF(ISNUMBER(SEARCH(SETTINGS!$K$14,D123)),SETTINGS!$L$14,IF(ISNUMBER(SEARCH(SETTINGS!$K$15,D123)),SETTINGS!$L$15,IF(ISNUMBER(SEARCH(SETTINGS!$K$16,D123)),SETTINGS!$L$16,IF(ISNUMBER(SEARCH(SETTINGS!$K$17,D123)),SETTINGS!$L$17,IF(ISNUMBER(SEARCH(SETTINGS!$K$18,D123)),SETTINGS!$L$18,"Miscellaneous"))))))))))))))))</f>
        <v/>
      </c>
      <c r="I123" s="44" t="str">
        <f t="shared" si="8"/>
        <v/>
      </c>
      <c r="J123" s="9"/>
      <c r="K123" s="9"/>
      <c r="L123" s="9"/>
      <c r="M123" s="9"/>
      <c r="N123" s="9"/>
      <c r="O123" s="9"/>
      <c r="P123" s="13"/>
      <c r="Q123" s="9"/>
      <c r="R123" s="9"/>
      <c r="S123" s="9"/>
      <c r="T123" s="11"/>
      <c r="U123" s="44" t="str">
        <f t="shared" si="9"/>
        <v/>
      </c>
      <c r="V123" s="44" t="str">
        <f t="shared" si="10"/>
        <v/>
      </c>
      <c r="W123" s="44" t="str">
        <f t="shared" si="11"/>
        <v/>
      </c>
      <c r="X123" s="44" t="str">
        <f t="shared" si="12"/>
        <v/>
      </c>
      <c r="Y123" s="44" t="str">
        <f t="shared" si="13"/>
        <v/>
      </c>
      <c r="Z123" s="44" t="str">
        <f t="shared" si="14"/>
        <v/>
      </c>
      <c r="AA123" s="50" t="str">
        <f t="shared" si="15"/>
        <v/>
      </c>
      <c r="AB123" s="50" t="str">
        <f>IF(OR(B123="",C123&lt;&gt;"Expense"),"",IF(E123&gt;IFERROR(AVERAGEIFS($E$8:$E$1007,$I$8:$I$1007,I123,$C$8:$C$1007,"Expense")*SETTINGS!$B$20,0),"Unusually High","Normal"))</f>
        <v/>
      </c>
      <c r="AC123" s="51"/>
      <c r="AD123" s="51"/>
      <c r="AE123" s="51"/>
      <c r="AF123" s="50" t="str">
        <f>IF(A123&lt;&gt;"Yes","No",IF(AND(AC123="Yes",SETTINGS!$B$16="No"),"No","Yes"))</f>
        <v>No</v>
      </c>
      <c r="AG123" s="50" t="str">
        <f>IF(A123&lt;&gt;"Yes","",IF(OR(B123="",D123="",E123&lt;=0,F123="",I123=""),"Check Required Fields",IF(AA123="Possible Duplicate","Possible Duplicate",IF(E123&gt;SETTINGS!$B$22,"Review Extreme Value","OK"))))</f>
        <v/>
      </c>
    </row>
    <row r="124" spans="1:33" ht="14.4">
      <c r="A124" s="9"/>
      <c r="B124" s="13"/>
      <c r="C124" s="9"/>
      <c r="D124" s="9"/>
      <c r="E124" s="11"/>
      <c r="F124" s="9"/>
      <c r="G124" s="9"/>
      <c r="H124" s="44" t="str">
        <f>IF(D124="","",IF(ISNUMBER(SEARCH(SETTINGS!$K$4,D124)),SETTINGS!$L$4,IF(ISNUMBER(SEARCH(SETTINGS!$K$5,D124)),SETTINGS!$L$5,IF(ISNUMBER(SEARCH(SETTINGS!$K$6,D124)),SETTINGS!$L$6,IF(ISNUMBER(SEARCH(SETTINGS!$K$7,D124)),SETTINGS!$L$7,IF(ISNUMBER(SEARCH(SETTINGS!$K$8,D124)),SETTINGS!$L$8,IF(ISNUMBER(SEARCH(SETTINGS!$K$9,D124)),SETTINGS!$L$9,IF(ISNUMBER(SEARCH(SETTINGS!$K$10,D124)),SETTINGS!$L$10,IF(ISNUMBER(SEARCH(SETTINGS!$K$11,D124)),SETTINGS!$L$11,IF(ISNUMBER(SEARCH(SETTINGS!$K$12,D124)),SETTINGS!$L$12,IF(ISNUMBER(SEARCH(SETTINGS!$K$13,D124)),SETTINGS!$L$13,IF(ISNUMBER(SEARCH(SETTINGS!$K$14,D124)),SETTINGS!$L$14,IF(ISNUMBER(SEARCH(SETTINGS!$K$15,D124)),SETTINGS!$L$15,IF(ISNUMBER(SEARCH(SETTINGS!$K$16,D124)),SETTINGS!$L$16,IF(ISNUMBER(SEARCH(SETTINGS!$K$17,D124)),SETTINGS!$L$17,IF(ISNUMBER(SEARCH(SETTINGS!$K$18,D124)),SETTINGS!$L$18,"Miscellaneous"))))))))))))))))</f>
        <v/>
      </c>
      <c r="I124" s="44" t="str">
        <f t="shared" si="8"/>
        <v/>
      </c>
      <c r="J124" s="9"/>
      <c r="K124" s="9"/>
      <c r="L124" s="9"/>
      <c r="M124" s="9"/>
      <c r="N124" s="9"/>
      <c r="O124" s="9"/>
      <c r="P124" s="13"/>
      <c r="Q124" s="9"/>
      <c r="R124" s="9"/>
      <c r="S124" s="9"/>
      <c r="T124" s="11"/>
      <c r="U124" s="44" t="str">
        <f t="shared" si="9"/>
        <v/>
      </c>
      <c r="V124" s="44" t="str">
        <f t="shared" si="10"/>
        <v/>
      </c>
      <c r="W124" s="44" t="str">
        <f t="shared" si="11"/>
        <v/>
      </c>
      <c r="X124" s="44" t="str">
        <f t="shared" si="12"/>
        <v/>
      </c>
      <c r="Y124" s="44" t="str">
        <f t="shared" si="13"/>
        <v/>
      </c>
      <c r="Z124" s="44" t="str">
        <f t="shared" si="14"/>
        <v/>
      </c>
      <c r="AA124" s="50" t="str">
        <f t="shared" si="15"/>
        <v/>
      </c>
      <c r="AB124" s="50" t="str">
        <f>IF(OR(B124="",C124&lt;&gt;"Expense"),"",IF(E124&gt;IFERROR(AVERAGEIFS($E$8:$E$1007,$I$8:$I$1007,I124,$C$8:$C$1007,"Expense")*SETTINGS!$B$20,0),"Unusually High","Normal"))</f>
        <v/>
      </c>
      <c r="AC124" s="51"/>
      <c r="AD124" s="51"/>
      <c r="AE124" s="51"/>
      <c r="AF124" s="50" t="str">
        <f>IF(A124&lt;&gt;"Yes","No",IF(AND(AC124="Yes",SETTINGS!$B$16="No"),"No","Yes"))</f>
        <v>No</v>
      </c>
      <c r="AG124" s="50" t="str">
        <f>IF(A124&lt;&gt;"Yes","",IF(OR(B124="",D124="",E124&lt;=0,F124="",I124=""),"Check Required Fields",IF(AA124="Possible Duplicate","Possible Duplicate",IF(E124&gt;SETTINGS!$B$22,"Review Extreme Value","OK"))))</f>
        <v/>
      </c>
    </row>
    <row r="125" spans="1:33" ht="14.4">
      <c r="A125" s="9"/>
      <c r="B125" s="13"/>
      <c r="C125" s="9"/>
      <c r="D125" s="9"/>
      <c r="E125" s="11"/>
      <c r="F125" s="9"/>
      <c r="G125" s="9"/>
      <c r="H125" s="44" t="str">
        <f>IF(D125="","",IF(ISNUMBER(SEARCH(SETTINGS!$K$4,D125)),SETTINGS!$L$4,IF(ISNUMBER(SEARCH(SETTINGS!$K$5,D125)),SETTINGS!$L$5,IF(ISNUMBER(SEARCH(SETTINGS!$K$6,D125)),SETTINGS!$L$6,IF(ISNUMBER(SEARCH(SETTINGS!$K$7,D125)),SETTINGS!$L$7,IF(ISNUMBER(SEARCH(SETTINGS!$K$8,D125)),SETTINGS!$L$8,IF(ISNUMBER(SEARCH(SETTINGS!$K$9,D125)),SETTINGS!$L$9,IF(ISNUMBER(SEARCH(SETTINGS!$K$10,D125)),SETTINGS!$L$10,IF(ISNUMBER(SEARCH(SETTINGS!$K$11,D125)),SETTINGS!$L$11,IF(ISNUMBER(SEARCH(SETTINGS!$K$12,D125)),SETTINGS!$L$12,IF(ISNUMBER(SEARCH(SETTINGS!$K$13,D125)),SETTINGS!$L$13,IF(ISNUMBER(SEARCH(SETTINGS!$K$14,D125)),SETTINGS!$L$14,IF(ISNUMBER(SEARCH(SETTINGS!$K$15,D125)),SETTINGS!$L$15,IF(ISNUMBER(SEARCH(SETTINGS!$K$16,D125)),SETTINGS!$L$16,IF(ISNUMBER(SEARCH(SETTINGS!$K$17,D125)),SETTINGS!$L$17,IF(ISNUMBER(SEARCH(SETTINGS!$K$18,D125)),SETTINGS!$L$18,"Miscellaneous"))))))))))))))))</f>
        <v/>
      </c>
      <c r="I125" s="44" t="str">
        <f t="shared" si="8"/>
        <v/>
      </c>
      <c r="J125" s="9"/>
      <c r="K125" s="9"/>
      <c r="L125" s="9"/>
      <c r="M125" s="9"/>
      <c r="N125" s="9"/>
      <c r="O125" s="9"/>
      <c r="P125" s="13"/>
      <c r="Q125" s="9"/>
      <c r="R125" s="9"/>
      <c r="S125" s="9"/>
      <c r="T125" s="11"/>
      <c r="U125" s="44" t="str">
        <f t="shared" si="9"/>
        <v/>
      </c>
      <c r="V125" s="44" t="str">
        <f t="shared" si="10"/>
        <v/>
      </c>
      <c r="W125" s="44" t="str">
        <f t="shared" si="11"/>
        <v/>
      </c>
      <c r="X125" s="44" t="str">
        <f t="shared" si="12"/>
        <v/>
      </c>
      <c r="Y125" s="44" t="str">
        <f t="shared" si="13"/>
        <v/>
      </c>
      <c r="Z125" s="44" t="str">
        <f t="shared" si="14"/>
        <v/>
      </c>
      <c r="AA125" s="50" t="str">
        <f t="shared" si="15"/>
        <v/>
      </c>
      <c r="AB125" s="50" t="str">
        <f>IF(OR(B125="",C125&lt;&gt;"Expense"),"",IF(E125&gt;IFERROR(AVERAGEIFS($E$8:$E$1007,$I$8:$I$1007,I125,$C$8:$C$1007,"Expense")*SETTINGS!$B$20,0),"Unusually High","Normal"))</f>
        <v/>
      </c>
      <c r="AC125" s="51"/>
      <c r="AD125" s="51"/>
      <c r="AE125" s="51"/>
      <c r="AF125" s="50" t="str">
        <f>IF(A125&lt;&gt;"Yes","No",IF(AND(AC125="Yes",SETTINGS!$B$16="No"),"No","Yes"))</f>
        <v>No</v>
      </c>
      <c r="AG125" s="50" t="str">
        <f>IF(A125&lt;&gt;"Yes","",IF(OR(B125="",D125="",E125&lt;=0,F125="",I125=""),"Check Required Fields",IF(AA125="Possible Duplicate","Possible Duplicate",IF(E125&gt;SETTINGS!$B$22,"Review Extreme Value","OK"))))</f>
        <v/>
      </c>
    </row>
    <row r="126" spans="1:33" ht="14.4">
      <c r="A126" s="9"/>
      <c r="B126" s="13"/>
      <c r="C126" s="9"/>
      <c r="D126" s="9"/>
      <c r="E126" s="11"/>
      <c r="F126" s="9"/>
      <c r="G126" s="9"/>
      <c r="H126" s="44" t="str">
        <f>IF(D126="","",IF(ISNUMBER(SEARCH(SETTINGS!$K$4,D126)),SETTINGS!$L$4,IF(ISNUMBER(SEARCH(SETTINGS!$K$5,D126)),SETTINGS!$L$5,IF(ISNUMBER(SEARCH(SETTINGS!$K$6,D126)),SETTINGS!$L$6,IF(ISNUMBER(SEARCH(SETTINGS!$K$7,D126)),SETTINGS!$L$7,IF(ISNUMBER(SEARCH(SETTINGS!$K$8,D126)),SETTINGS!$L$8,IF(ISNUMBER(SEARCH(SETTINGS!$K$9,D126)),SETTINGS!$L$9,IF(ISNUMBER(SEARCH(SETTINGS!$K$10,D126)),SETTINGS!$L$10,IF(ISNUMBER(SEARCH(SETTINGS!$K$11,D126)),SETTINGS!$L$11,IF(ISNUMBER(SEARCH(SETTINGS!$K$12,D126)),SETTINGS!$L$12,IF(ISNUMBER(SEARCH(SETTINGS!$K$13,D126)),SETTINGS!$L$13,IF(ISNUMBER(SEARCH(SETTINGS!$K$14,D126)),SETTINGS!$L$14,IF(ISNUMBER(SEARCH(SETTINGS!$K$15,D126)),SETTINGS!$L$15,IF(ISNUMBER(SEARCH(SETTINGS!$K$16,D126)),SETTINGS!$L$16,IF(ISNUMBER(SEARCH(SETTINGS!$K$17,D126)),SETTINGS!$L$17,IF(ISNUMBER(SEARCH(SETTINGS!$K$18,D126)),SETTINGS!$L$18,"Miscellaneous"))))))))))))))))</f>
        <v/>
      </c>
      <c r="I126" s="44" t="str">
        <f t="shared" si="8"/>
        <v/>
      </c>
      <c r="J126" s="9"/>
      <c r="K126" s="9"/>
      <c r="L126" s="9"/>
      <c r="M126" s="9"/>
      <c r="N126" s="9"/>
      <c r="O126" s="9"/>
      <c r="P126" s="13"/>
      <c r="Q126" s="9"/>
      <c r="R126" s="9"/>
      <c r="S126" s="9"/>
      <c r="T126" s="11"/>
      <c r="U126" s="44" t="str">
        <f t="shared" si="9"/>
        <v/>
      </c>
      <c r="V126" s="44" t="str">
        <f t="shared" si="10"/>
        <v/>
      </c>
      <c r="W126" s="44" t="str">
        <f t="shared" si="11"/>
        <v/>
      </c>
      <c r="X126" s="44" t="str">
        <f t="shared" si="12"/>
        <v/>
      </c>
      <c r="Y126" s="44" t="str">
        <f t="shared" si="13"/>
        <v/>
      </c>
      <c r="Z126" s="44" t="str">
        <f t="shared" si="14"/>
        <v/>
      </c>
      <c r="AA126" s="50" t="str">
        <f t="shared" si="15"/>
        <v/>
      </c>
      <c r="AB126" s="50" t="str">
        <f>IF(OR(B126="",C126&lt;&gt;"Expense"),"",IF(E126&gt;IFERROR(AVERAGEIFS($E$8:$E$1007,$I$8:$I$1007,I126,$C$8:$C$1007,"Expense")*SETTINGS!$B$20,0),"Unusually High","Normal"))</f>
        <v/>
      </c>
      <c r="AC126" s="51"/>
      <c r="AD126" s="51"/>
      <c r="AE126" s="51"/>
      <c r="AF126" s="50" t="str">
        <f>IF(A126&lt;&gt;"Yes","No",IF(AND(AC126="Yes",SETTINGS!$B$16="No"),"No","Yes"))</f>
        <v>No</v>
      </c>
      <c r="AG126" s="50" t="str">
        <f>IF(A126&lt;&gt;"Yes","",IF(OR(B126="",D126="",E126&lt;=0,F126="",I126=""),"Check Required Fields",IF(AA126="Possible Duplicate","Possible Duplicate",IF(E126&gt;SETTINGS!$B$22,"Review Extreme Value","OK"))))</f>
        <v/>
      </c>
    </row>
    <row r="127" spans="1:33" ht="14.4">
      <c r="A127" s="9"/>
      <c r="B127" s="13"/>
      <c r="C127" s="9"/>
      <c r="D127" s="9"/>
      <c r="E127" s="11"/>
      <c r="F127" s="9"/>
      <c r="G127" s="9"/>
      <c r="H127" s="44" t="str">
        <f>IF(D127="","",IF(ISNUMBER(SEARCH(SETTINGS!$K$4,D127)),SETTINGS!$L$4,IF(ISNUMBER(SEARCH(SETTINGS!$K$5,D127)),SETTINGS!$L$5,IF(ISNUMBER(SEARCH(SETTINGS!$K$6,D127)),SETTINGS!$L$6,IF(ISNUMBER(SEARCH(SETTINGS!$K$7,D127)),SETTINGS!$L$7,IF(ISNUMBER(SEARCH(SETTINGS!$K$8,D127)),SETTINGS!$L$8,IF(ISNUMBER(SEARCH(SETTINGS!$K$9,D127)),SETTINGS!$L$9,IF(ISNUMBER(SEARCH(SETTINGS!$K$10,D127)),SETTINGS!$L$10,IF(ISNUMBER(SEARCH(SETTINGS!$K$11,D127)),SETTINGS!$L$11,IF(ISNUMBER(SEARCH(SETTINGS!$K$12,D127)),SETTINGS!$L$12,IF(ISNUMBER(SEARCH(SETTINGS!$K$13,D127)),SETTINGS!$L$13,IF(ISNUMBER(SEARCH(SETTINGS!$K$14,D127)),SETTINGS!$L$14,IF(ISNUMBER(SEARCH(SETTINGS!$K$15,D127)),SETTINGS!$L$15,IF(ISNUMBER(SEARCH(SETTINGS!$K$16,D127)),SETTINGS!$L$16,IF(ISNUMBER(SEARCH(SETTINGS!$K$17,D127)),SETTINGS!$L$17,IF(ISNUMBER(SEARCH(SETTINGS!$K$18,D127)),SETTINGS!$L$18,"Miscellaneous"))))))))))))))))</f>
        <v/>
      </c>
      <c r="I127" s="44" t="str">
        <f t="shared" si="8"/>
        <v/>
      </c>
      <c r="J127" s="9"/>
      <c r="K127" s="9"/>
      <c r="L127" s="9"/>
      <c r="M127" s="9"/>
      <c r="N127" s="9"/>
      <c r="O127" s="9"/>
      <c r="P127" s="13"/>
      <c r="Q127" s="9"/>
      <c r="R127" s="9"/>
      <c r="S127" s="9"/>
      <c r="T127" s="11"/>
      <c r="U127" s="44" t="str">
        <f t="shared" si="9"/>
        <v/>
      </c>
      <c r="V127" s="44" t="str">
        <f t="shared" si="10"/>
        <v/>
      </c>
      <c r="W127" s="44" t="str">
        <f t="shared" si="11"/>
        <v/>
      </c>
      <c r="X127" s="44" t="str">
        <f t="shared" si="12"/>
        <v/>
      </c>
      <c r="Y127" s="44" t="str">
        <f t="shared" si="13"/>
        <v/>
      </c>
      <c r="Z127" s="44" t="str">
        <f t="shared" si="14"/>
        <v/>
      </c>
      <c r="AA127" s="50" t="str">
        <f t="shared" si="15"/>
        <v/>
      </c>
      <c r="AB127" s="50" t="str">
        <f>IF(OR(B127="",C127&lt;&gt;"Expense"),"",IF(E127&gt;IFERROR(AVERAGEIFS($E$8:$E$1007,$I$8:$I$1007,I127,$C$8:$C$1007,"Expense")*SETTINGS!$B$20,0),"Unusually High","Normal"))</f>
        <v/>
      </c>
      <c r="AC127" s="51"/>
      <c r="AD127" s="51"/>
      <c r="AE127" s="51"/>
      <c r="AF127" s="50" t="str">
        <f>IF(A127&lt;&gt;"Yes","No",IF(AND(AC127="Yes",SETTINGS!$B$16="No"),"No","Yes"))</f>
        <v>No</v>
      </c>
      <c r="AG127" s="50" t="str">
        <f>IF(A127&lt;&gt;"Yes","",IF(OR(B127="",D127="",E127&lt;=0,F127="",I127=""),"Check Required Fields",IF(AA127="Possible Duplicate","Possible Duplicate",IF(E127&gt;SETTINGS!$B$22,"Review Extreme Value","OK"))))</f>
        <v/>
      </c>
    </row>
    <row r="128" spans="1:33" ht="14.4">
      <c r="A128" s="9"/>
      <c r="B128" s="13"/>
      <c r="C128" s="9"/>
      <c r="D128" s="9"/>
      <c r="E128" s="11"/>
      <c r="F128" s="9"/>
      <c r="G128" s="9"/>
      <c r="H128" s="44" t="str">
        <f>IF(D128="","",IF(ISNUMBER(SEARCH(SETTINGS!$K$4,D128)),SETTINGS!$L$4,IF(ISNUMBER(SEARCH(SETTINGS!$K$5,D128)),SETTINGS!$L$5,IF(ISNUMBER(SEARCH(SETTINGS!$K$6,D128)),SETTINGS!$L$6,IF(ISNUMBER(SEARCH(SETTINGS!$K$7,D128)),SETTINGS!$L$7,IF(ISNUMBER(SEARCH(SETTINGS!$K$8,D128)),SETTINGS!$L$8,IF(ISNUMBER(SEARCH(SETTINGS!$K$9,D128)),SETTINGS!$L$9,IF(ISNUMBER(SEARCH(SETTINGS!$K$10,D128)),SETTINGS!$L$10,IF(ISNUMBER(SEARCH(SETTINGS!$K$11,D128)),SETTINGS!$L$11,IF(ISNUMBER(SEARCH(SETTINGS!$K$12,D128)),SETTINGS!$L$12,IF(ISNUMBER(SEARCH(SETTINGS!$K$13,D128)),SETTINGS!$L$13,IF(ISNUMBER(SEARCH(SETTINGS!$K$14,D128)),SETTINGS!$L$14,IF(ISNUMBER(SEARCH(SETTINGS!$K$15,D128)),SETTINGS!$L$15,IF(ISNUMBER(SEARCH(SETTINGS!$K$16,D128)),SETTINGS!$L$16,IF(ISNUMBER(SEARCH(SETTINGS!$K$17,D128)),SETTINGS!$L$17,IF(ISNUMBER(SEARCH(SETTINGS!$K$18,D128)),SETTINGS!$L$18,"Miscellaneous"))))))))))))))))</f>
        <v/>
      </c>
      <c r="I128" s="44" t="str">
        <f t="shared" si="8"/>
        <v/>
      </c>
      <c r="J128" s="9"/>
      <c r="K128" s="9"/>
      <c r="L128" s="9"/>
      <c r="M128" s="9"/>
      <c r="N128" s="9"/>
      <c r="O128" s="9"/>
      <c r="P128" s="13"/>
      <c r="Q128" s="9"/>
      <c r="R128" s="9"/>
      <c r="S128" s="9"/>
      <c r="T128" s="11"/>
      <c r="U128" s="44" t="str">
        <f t="shared" si="9"/>
        <v/>
      </c>
      <c r="V128" s="44" t="str">
        <f t="shared" si="10"/>
        <v/>
      </c>
      <c r="W128" s="44" t="str">
        <f t="shared" si="11"/>
        <v/>
      </c>
      <c r="X128" s="44" t="str">
        <f t="shared" si="12"/>
        <v/>
      </c>
      <c r="Y128" s="44" t="str">
        <f t="shared" si="13"/>
        <v/>
      </c>
      <c r="Z128" s="44" t="str">
        <f t="shared" si="14"/>
        <v/>
      </c>
      <c r="AA128" s="50" t="str">
        <f t="shared" si="15"/>
        <v/>
      </c>
      <c r="AB128" s="50" t="str">
        <f>IF(OR(B128="",C128&lt;&gt;"Expense"),"",IF(E128&gt;IFERROR(AVERAGEIFS($E$8:$E$1007,$I$8:$I$1007,I128,$C$8:$C$1007,"Expense")*SETTINGS!$B$20,0),"Unusually High","Normal"))</f>
        <v/>
      </c>
      <c r="AC128" s="51"/>
      <c r="AD128" s="51"/>
      <c r="AE128" s="51"/>
      <c r="AF128" s="50" t="str">
        <f>IF(A128&lt;&gt;"Yes","No",IF(AND(AC128="Yes",SETTINGS!$B$16="No"),"No","Yes"))</f>
        <v>No</v>
      </c>
      <c r="AG128" s="50" t="str">
        <f>IF(A128&lt;&gt;"Yes","",IF(OR(B128="",D128="",E128&lt;=0,F128="",I128=""),"Check Required Fields",IF(AA128="Possible Duplicate","Possible Duplicate",IF(E128&gt;SETTINGS!$B$22,"Review Extreme Value","OK"))))</f>
        <v/>
      </c>
    </row>
    <row r="129" spans="1:33" ht="14.4">
      <c r="A129" s="9"/>
      <c r="B129" s="13"/>
      <c r="C129" s="9"/>
      <c r="D129" s="9"/>
      <c r="E129" s="11"/>
      <c r="F129" s="9"/>
      <c r="G129" s="9"/>
      <c r="H129" s="44" t="str">
        <f>IF(D129="","",IF(ISNUMBER(SEARCH(SETTINGS!$K$4,D129)),SETTINGS!$L$4,IF(ISNUMBER(SEARCH(SETTINGS!$K$5,D129)),SETTINGS!$L$5,IF(ISNUMBER(SEARCH(SETTINGS!$K$6,D129)),SETTINGS!$L$6,IF(ISNUMBER(SEARCH(SETTINGS!$K$7,D129)),SETTINGS!$L$7,IF(ISNUMBER(SEARCH(SETTINGS!$K$8,D129)),SETTINGS!$L$8,IF(ISNUMBER(SEARCH(SETTINGS!$K$9,D129)),SETTINGS!$L$9,IF(ISNUMBER(SEARCH(SETTINGS!$K$10,D129)),SETTINGS!$L$10,IF(ISNUMBER(SEARCH(SETTINGS!$K$11,D129)),SETTINGS!$L$11,IF(ISNUMBER(SEARCH(SETTINGS!$K$12,D129)),SETTINGS!$L$12,IF(ISNUMBER(SEARCH(SETTINGS!$K$13,D129)),SETTINGS!$L$13,IF(ISNUMBER(SEARCH(SETTINGS!$K$14,D129)),SETTINGS!$L$14,IF(ISNUMBER(SEARCH(SETTINGS!$K$15,D129)),SETTINGS!$L$15,IF(ISNUMBER(SEARCH(SETTINGS!$K$16,D129)),SETTINGS!$L$16,IF(ISNUMBER(SEARCH(SETTINGS!$K$17,D129)),SETTINGS!$L$17,IF(ISNUMBER(SEARCH(SETTINGS!$K$18,D129)),SETTINGS!$L$18,"Miscellaneous"))))))))))))))))</f>
        <v/>
      </c>
      <c r="I129" s="44" t="str">
        <f t="shared" si="8"/>
        <v/>
      </c>
      <c r="J129" s="9"/>
      <c r="K129" s="9"/>
      <c r="L129" s="9"/>
      <c r="M129" s="9"/>
      <c r="N129" s="9"/>
      <c r="O129" s="9"/>
      <c r="P129" s="13"/>
      <c r="Q129" s="9"/>
      <c r="R129" s="9"/>
      <c r="S129" s="9"/>
      <c r="T129" s="11"/>
      <c r="U129" s="44" t="str">
        <f t="shared" si="9"/>
        <v/>
      </c>
      <c r="V129" s="44" t="str">
        <f t="shared" si="10"/>
        <v/>
      </c>
      <c r="W129" s="44" t="str">
        <f t="shared" si="11"/>
        <v/>
      </c>
      <c r="X129" s="44" t="str">
        <f t="shared" si="12"/>
        <v/>
      </c>
      <c r="Y129" s="44" t="str">
        <f t="shared" si="13"/>
        <v/>
      </c>
      <c r="Z129" s="44" t="str">
        <f t="shared" si="14"/>
        <v/>
      </c>
      <c r="AA129" s="50" t="str">
        <f t="shared" si="15"/>
        <v/>
      </c>
      <c r="AB129" s="50" t="str">
        <f>IF(OR(B129="",C129&lt;&gt;"Expense"),"",IF(E129&gt;IFERROR(AVERAGEIFS($E$8:$E$1007,$I$8:$I$1007,I129,$C$8:$C$1007,"Expense")*SETTINGS!$B$20,0),"Unusually High","Normal"))</f>
        <v/>
      </c>
      <c r="AC129" s="51"/>
      <c r="AD129" s="51"/>
      <c r="AE129" s="51"/>
      <c r="AF129" s="50" t="str">
        <f>IF(A129&lt;&gt;"Yes","No",IF(AND(AC129="Yes",SETTINGS!$B$16="No"),"No","Yes"))</f>
        <v>No</v>
      </c>
      <c r="AG129" s="50" t="str">
        <f>IF(A129&lt;&gt;"Yes","",IF(OR(B129="",D129="",E129&lt;=0,F129="",I129=""),"Check Required Fields",IF(AA129="Possible Duplicate","Possible Duplicate",IF(E129&gt;SETTINGS!$B$22,"Review Extreme Value","OK"))))</f>
        <v/>
      </c>
    </row>
    <row r="130" spans="1:33" ht="14.4">
      <c r="A130" s="9"/>
      <c r="B130" s="13"/>
      <c r="C130" s="9"/>
      <c r="D130" s="9"/>
      <c r="E130" s="11"/>
      <c r="F130" s="9"/>
      <c r="G130" s="9"/>
      <c r="H130" s="44" t="str">
        <f>IF(D130="","",IF(ISNUMBER(SEARCH(SETTINGS!$K$4,D130)),SETTINGS!$L$4,IF(ISNUMBER(SEARCH(SETTINGS!$K$5,D130)),SETTINGS!$L$5,IF(ISNUMBER(SEARCH(SETTINGS!$K$6,D130)),SETTINGS!$L$6,IF(ISNUMBER(SEARCH(SETTINGS!$K$7,D130)),SETTINGS!$L$7,IF(ISNUMBER(SEARCH(SETTINGS!$K$8,D130)),SETTINGS!$L$8,IF(ISNUMBER(SEARCH(SETTINGS!$K$9,D130)),SETTINGS!$L$9,IF(ISNUMBER(SEARCH(SETTINGS!$K$10,D130)),SETTINGS!$L$10,IF(ISNUMBER(SEARCH(SETTINGS!$K$11,D130)),SETTINGS!$L$11,IF(ISNUMBER(SEARCH(SETTINGS!$K$12,D130)),SETTINGS!$L$12,IF(ISNUMBER(SEARCH(SETTINGS!$K$13,D130)),SETTINGS!$L$13,IF(ISNUMBER(SEARCH(SETTINGS!$K$14,D130)),SETTINGS!$L$14,IF(ISNUMBER(SEARCH(SETTINGS!$K$15,D130)),SETTINGS!$L$15,IF(ISNUMBER(SEARCH(SETTINGS!$K$16,D130)),SETTINGS!$L$16,IF(ISNUMBER(SEARCH(SETTINGS!$K$17,D130)),SETTINGS!$L$17,IF(ISNUMBER(SEARCH(SETTINGS!$K$18,D130)),SETTINGS!$L$18,"Miscellaneous"))))))))))))))))</f>
        <v/>
      </c>
      <c r="I130" s="44" t="str">
        <f t="shared" si="8"/>
        <v/>
      </c>
      <c r="J130" s="9"/>
      <c r="K130" s="9"/>
      <c r="L130" s="9"/>
      <c r="M130" s="9"/>
      <c r="N130" s="9"/>
      <c r="O130" s="9"/>
      <c r="P130" s="13"/>
      <c r="Q130" s="9"/>
      <c r="R130" s="9"/>
      <c r="S130" s="9"/>
      <c r="T130" s="11"/>
      <c r="U130" s="44" t="str">
        <f t="shared" si="9"/>
        <v/>
      </c>
      <c r="V130" s="44" t="str">
        <f t="shared" si="10"/>
        <v/>
      </c>
      <c r="W130" s="44" t="str">
        <f t="shared" si="11"/>
        <v/>
      </c>
      <c r="X130" s="44" t="str">
        <f t="shared" si="12"/>
        <v/>
      </c>
      <c r="Y130" s="44" t="str">
        <f t="shared" si="13"/>
        <v/>
      </c>
      <c r="Z130" s="44" t="str">
        <f t="shared" si="14"/>
        <v/>
      </c>
      <c r="AA130" s="50" t="str">
        <f t="shared" si="15"/>
        <v/>
      </c>
      <c r="AB130" s="50" t="str">
        <f>IF(OR(B130="",C130&lt;&gt;"Expense"),"",IF(E130&gt;IFERROR(AVERAGEIFS($E$8:$E$1007,$I$8:$I$1007,I130,$C$8:$C$1007,"Expense")*SETTINGS!$B$20,0),"Unusually High","Normal"))</f>
        <v/>
      </c>
      <c r="AC130" s="51"/>
      <c r="AD130" s="51"/>
      <c r="AE130" s="51"/>
      <c r="AF130" s="50" t="str">
        <f>IF(A130&lt;&gt;"Yes","No",IF(AND(AC130="Yes",SETTINGS!$B$16="No"),"No","Yes"))</f>
        <v>No</v>
      </c>
      <c r="AG130" s="50" t="str">
        <f>IF(A130&lt;&gt;"Yes","",IF(OR(B130="",D130="",E130&lt;=0,F130="",I130=""),"Check Required Fields",IF(AA130="Possible Duplicate","Possible Duplicate",IF(E130&gt;SETTINGS!$B$22,"Review Extreme Value","OK"))))</f>
        <v/>
      </c>
    </row>
    <row r="131" spans="1:33" ht="14.4">
      <c r="A131" s="9"/>
      <c r="B131" s="13"/>
      <c r="C131" s="9"/>
      <c r="D131" s="9"/>
      <c r="E131" s="11"/>
      <c r="F131" s="9"/>
      <c r="G131" s="9"/>
      <c r="H131" s="44" t="str">
        <f>IF(D131="","",IF(ISNUMBER(SEARCH(SETTINGS!$K$4,D131)),SETTINGS!$L$4,IF(ISNUMBER(SEARCH(SETTINGS!$K$5,D131)),SETTINGS!$L$5,IF(ISNUMBER(SEARCH(SETTINGS!$K$6,D131)),SETTINGS!$L$6,IF(ISNUMBER(SEARCH(SETTINGS!$K$7,D131)),SETTINGS!$L$7,IF(ISNUMBER(SEARCH(SETTINGS!$K$8,D131)),SETTINGS!$L$8,IF(ISNUMBER(SEARCH(SETTINGS!$K$9,D131)),SETTINGS!$L$9,IF(ISNUMBER(SEARCH(SETTINGS!$K$10,D131)),SETTINGS!$L$10,IF(ISNUMBER(SEARCH(SETTINGS!$K$11,D131)),SETTINGS!$L$11,IF(ISNUMBER(SEARCH(SETTINGS!$K$12,D131)),SETTINGS!$L$12,IF(ISNUMBER(SEARCH(SETTINGS!$K$13,D131)),SETTINGS!$L$13,IF(ISNUMBER(SEARCH(SETTINGS!$K$14,D131)),SETTINGS!$L$14,IF(ISNUMBER(SEARCH(SETTINGS!$K$15,D131)),SETTINGS!$L$15,IF(ISNUMBER(SEARCH(SETTINGS!$K$16,D131)),SETTINGS!$L$16,IF(ISNUMBER(SEARCH(SETTINGS!$K$17,D131)),SETTINGS!$L$17,IF(ISNUMBER(SEARCH(SETTINGS!$K$18,D131)),SETTINGS!$L$18,"Miscellaneous"))))))))))))))))</f>
        <v/>
      </c>
      <c r="I131" s="44" t="str">
        <f t="shared" si="8"/>
        <v/>
      </c>
      <c r="J131" s="9"/>
      <c r="K131" s="9"/>
      <c r="L131" s="9"/>
      <c r="M131" s="9"/>
      <c r="N131" s="9"/>
      <c r="O131" s="9"/>
      <c r="P131" s="13"/>
      <c r="Q131" s="9"/>
      <c r="R131" s="9"/>
      <c r="S131" s="9"/>
      <c r="T131" s="11"/>
      <c r="U131" s="44" t="str">
        <f t="shared" si="9"/>
        <v/>
      </c>
      <c r="V131" s="44" t="str">
        <f t="shared" si="10"/>
        <v/>
      </c>
      <c r="W131" s="44" t="str">
        <f t="shared" si="11"/>
        <v/>
      </c>
      <c r="X131" s="44" t="str">
        <f t="shared" si="12"/>
        <v/>
      </c>
      <c r="Y131" s="44" t="str">
        <f t="shared" si="13"/>
        <v/>
      </c>
      <c r="Z131" s="44" t="str">
        <f t="shared" si="14"/>
        <v/>
      </c>
      <c r="AA131" s="50" t="str">
        <f t="shared" si="15"/>
        <v/>
      </c>
      <c r="AB131" s="50" t="str">
        <f>IF(OR(B131="",C131&lt;&gt;"Expense"),"",IF(E131&gt;IFERROR(AVERAGEIFS($E$8:$E$1007,$I$8:$I$1007,I131,$C$8:$C$1007,"Expense")*SETTINGS!$B$20,0),"Unusually High","Normal"))</f>
        <v/>
      </c>
      <c r="AC131" s="51"/>
      <c r="AD131" s="51"/>
      <c r="AE131" s="51"/>
      <c r="AF131" s="50" t="str">
        <f>IF(A131&lt;&gt;"Yes","No",IF(AND(AC131="Yes",SETTINGS!$B$16="No"),"No","Yes"))</f>
        <v>No</v>
      </c>
      <c r="AG131" s="50" t="str">
        <f>IF(A131&lt;&gt;"Yes","",IF(OR(B131="",D131="",E131&lt;=0,F131="",I131=""),"Check Required Fields",IF(AA131="Possible Duplicate","Possible Duplicate",IF(E131&gt;SETTINGS!$B$22,"Review Extreme Value","OK"))))</f>
        <v/>
      </c>
    </row>
    <row r="132" spans="1:33" ht="14.4">
      <c r="A132" s="9"/>
      <c r="B132" s="13"/>
      <c r="C132" s="9"/>
      <c r="D132" s="9"/>
      <c r="E132" s="11"/>
      <c r="F132" s="9"/>
      <c r="G132" s="9"/>
      <c r="H132" s="44" t="str">
        <f>IF(D132="","",IF(ISNUMBER(SEARCH(SETTINGS!$K$4,D132)),SETTINGS!$L$4,IF(ISNUMBER(SEARCH(SETTINGS!$K$5,D132)),SETTINGS!$L$5,IF(ISNUMBER(SEARCH(SETTINGS!$K$6,D132)),SETTINGS!$L$6,IF(ISNUMBER(SEARCH(SETTINGS!$K$7,D132)),SETTINGS!$L$7,IF(ISNUMBER(SEARCH(SETTINGS!$K$8,D132)),SETTINGS!$L$8,IF(ISNUMBER(SEARCH(SETTINGS!$K$9,D132)),SETTINGS!$L$9,IF(ISNUMBER(SEARCH(SETTINGS!$K$10,D132)),SETTINGS!$L$10,IF(ISNUMBER(SEARCH(SETTINGS!$K$11,D132)),SETTINGS!$L$11,IF(ISNUMBER(SEARCH(SETTINGS!$K$12,D132)),SETTINGS!$L$12,IF(ISNUMBER(SEARCH(SETTINGS!$K$13,D132)),SETTINGS!$L$13,IF(ISNUMBER(SEARCH(SETTINGS!$K$14,D132)),SETTINGS!$L$14,IF(ISNUMBER(SEARCH(SETTINGS!$K$15,D132)),SETTINGS!$L$15,IF(ISNUMBER(SEARCH(SETTINGS!$K$16,D132)),SETTINGS!$L$16,IF(ISNUMBER(SEARCH(SETTINGS!$K$17,D132)),SETTINGS!$L$17,IF(ISNUMBER(SEARCH(SETTINGS!$K$18,D132)),SETTINGS!$L$18,"Miscellaneous"))))))))))))))))</f>
        <v/>
      </c>
      <c r="I132" s="44" t="str">
        <f t="shared" si="8"/>
        <v/>
      </c>
      <c r="J132" s="9"/>
      <c r="K132" s="9"/>
      <c r="L132" s="9"/>
      <c r="M132" s="9"/>
      <c r="N132" s="9"/>
      <c r="O132" s="9"/>
      <c r="P132" s="13"/>
      <c r="Q132" s="9"/>
      <c r="R132" s="9"/>
      <c r="S132" s="9"/>
      <c r="T132" s="11"/>
      <c r="U132" s="44" t="str">
        <f t="shared" si="9"/>
        <v/>
      </c>
      <c r="V132" s="44" t="str">
        <f t="shared" si="10"/>
        <v/>
      </c>
      <c r="W132" s="44" t="str">
        <f t="shared" si="11"/>
        <v/>
      </c>
      <c r="X132" s="44" t="str">
        <f t="shared" si="12"/>
        <v/>
      </c>
      <c r="Y132" s="44" t="str">
        <f t="shared" si="13"/>
        <v/>
      </c>
      <c r="Z132" s="44" t="str">
        <f t="shared" si="14"/>
        <v/>
      </c>
      <c r="AA132" s="50" t="str">
        <f t="shared" si="15"/>
        <v/>
      </c>
      <c r="AB132" s="50" t="str">
        <f>IF(OR(B132="",C132&lt;&gt;"Expense"),"",IF(E132&gt;IFERROR(AVERAGEIFS($E$8:$E$1007,$I$8:$I$1007,I132,$C$8:$C$1007,"Expense")*SETTINGS!$B$20,0),"Unusually High","Normal"))</f>
        <v/>
      </c>
      <c r="AC132" s="51"/>
      <c r="AD132" s="51"/>
      <c r="AE132" s="51"/>
      <c r="AF132" s="50" t="str">
        <f>IF(A132&lt;&gt;"Yes","No",IF(AND(AC132="Yes",SETTINGS!$B$16="No"),"No","Yes"))</f>
        <v>No</v>
      </c>
      <c r="AG132" s="50" t="str">
        <f>IF(A132&lt;&gt;"Yes","",IF(OR(B132="",D132="",E132&lt;=0,F132="",I132=""),"Check Required Fields",IF(AA132="Possible Duplicate","Possible Duplicate",IF(E132&gt;SETTINGS!$B$22,"Review Extreme Value","OK"))))</f>
        <v/>
      </c>
    </row>
    <row r="133" spans="1:33" ht="14.4">
      <c r="A133" s="9"/>
      <c r="B133" s="13"/>
      <c r="C133" s="9"/>
      <c r="D133" s="9"/>
      <c r="E133" s="11"/>
      <c r="F133" s="9"/>
      <c r="G133" s="9"/>
      <c r="H133" s="44" t="str">
        <f>IF(D133="","",IF(ISNUMBER(SEARCH(SETTINGS!$K$4,D133)),SETTINGS!$L$4,IF(ISNUMBER(SEARCH(SETTINGS!$K$5,D133)),SETTINGS!$L$5,IF(ISNUMBER(SEARCH(SETTINGS!$K$6,D133)),SETTINGS!$L$6,IF(ISNUMBER(SEARCH(SETTINGS!$K$7,D133)),SETTINGS!$L$7,IF(ISNUMBER(SEARCH(SETTINGS!$K$8,D133)),SETTINGS!$L$8,IF(ISNUMBER(SEARCH(SETTINGS!$K$9,D133)),SETTINGS!$L$9,IF(ISNUMBER(SEARCH(SETTINGS!$K$10,D133)),SETTINGS!$L$10,IF(ISNUMBER(SEARCH(SETTINGS!$K$11,D133)),SETTINGS!$L$11,IF(ISNUMBER(SEARCH(SETTINGS!$K$12,D133)),SETTINGS!$L$12,IF(ISNUMBER(SEARCH(SETTINGS!$K$13,D133)),SETTINGS!$L$13,IF(ISNUMBER(SEARCH(SETTINGS!$K$14,D133)),SETTINGS!$L$14,IF(ISNUMBER(SEARCH(SETTINGS!$K$15,D133)),SETTINGS!$L$15,IF(ISNUMBER(SEARCH(SETTINGS!$K$16,D133)),SETTINGS!$L$16,IF(ISNUMBER(SEARCH(SETTINGS!$K$17,D133)),SETTINGS!$L$17,IF(ISNUMBER(SEARCH(SETTINGS!$K$18,D133)),SETTINGS!$L$18,"Miscellaneous"))))))))))))))))</f>
        <v/>
      </c>
      <c r="I133" s="44" t="str">
        <f t="shared" si="8"/>
        <v/>
      </c>
      <c r="J133" s="9"/>
      <c r="K133" s="9"/>
      <c r="L133" s="9"/>
      <c r="M133" s="9"/>
      <c r="N133" s="9"/>
      <c r="O133" s="9"/>
      <c r="P133" s="13"/>
      <c r="Q133" s="9"/>
      <c r="R133" s="9"/>
      <c r="S133" s="9"/>
      <c r="T133" s="11"/>
      <c r="U133" s="44" t="str">
        <f t="shared" si="9"/>
        <v/>
      </c>
      <c r="V133" s="44" t="str">
        <f t="shared" si="10"/>
        <v/>
      </c>
      <c r="W133" s="44" t="str">
        <f t="shared" si="11"/>
        <v/>
      </c>
      <c r="X133" s="44" t="str">
        <f t="shared" si="12"/>
        <v/>
      </c>
      <c r="Y133" s="44" t="str">
        <f t="shared" si="13"/>
        <v/>
      </c>
      <c r="Z133" s="44" t="str">
        <f t="shared" si="14"/>
        <v/>
      </c>
      <c r="AA133" s="50" t="str">
        <f t="shared" si="15"/>
        <v/>
      </c>
      <c r="AB133" s="50" t="str">
        <f>IF(OR(B133="",C133&lt;&gt;"Expense"),"",IF(E133&gt;IFERROR(AVERAGEIFS($E$8:$E$1007,$I$8:$I$1007,I133,$C$8:$C$1007,"Expense")*SETTINGS!$B$20,0),"Unusually High","Normal"))</f>
        <v/>
      </c>
      <c r="AC133" s="51"/>
      <c r="AD133" s="51"/>
      <c r="AE133" s="51"/>
      <c r="AF133" s="50" t="str">
        <f>IF(A133&lt;&gt;"Yes","No",IF(AND(AC133="Yes",SETTINGS!$B$16="No"),"No","Yes"))</f>
        <v>No</v>
      </c>
      <c r="AG133" s="50" t="str">
        <f>IF(A133&lt;&gt;"Yes","",IF(OR(B133="",D133="",E133&lt;=0,F133="",I133=""),"Check Required Fields",IF(AA133="Possible Duplicate","Possible Duplicate",IF(E133&gt;SETTINGS!$B$22,"Review Extreme Value","OK"))))</f>
        <v/>
      </c>
    </row>
    <row r="134" spans="1:33" ht="14.4">
      <c r="A134" s="9"/>
      <c r="B134" s="13"/>
      <c r="C134" s="9"/>
      <c r="D134" s="9"/>
      <c r="E134" s="11"/>
      <c r="F134" s="9"/>
      <c r="G134" s="9"/>
      <c r="H134" s="44" t="str">
        <f>IF(D134="","",IF(ISNUMBER(SEARCH(SETTINGS!$K$4,D134)),SETTINGS!$L$4,IF(ISNUMBER(SEARCH(SETTINGS!$K$5,D134)),SETTINGS!$L$5,IF(ISNUMBER(SEARCH(SETTINGS!$K$6,D134)),SETTINGS!$L$6,IF(ISNUMBER(SEARCH(SETTINGS!$K$7,D134)),SETTINGS!$L$7,IF(ISNUMBER(SEARCH(SETTINGS!$K$8,D134)),SETTINGS!$L$8,IF(ISNUMBER(SEARCH(SETTINGS!$K$9,D134)),SETTINGS!$L$9,IF(ISNUMBER(SEARCH(SETTINGS!$K$10,D134)),SETTINGS!$L$10,IF(ISNUMBER(SEARCH(SETTINGS!$K$11,D134)),SETTINGS!$L$11,IF(ISNUMBER(SEARCH(SETTINGS!$K$12,D134)),SETTINGS!$L$12,IF(ISNUMBER(SEARCH(SETTINGS!$K$13,D134)),SETTINGS!$L$13,IF(ISNUMBER(SEARCH(SETTINGS!$K$14,D134)),SETTINGS!$L$14,IF(ISNUMBER(SEARCH(SETTINGS!$K$15,D134)),SETTINGS!$L$15,IF(ISNUMBER(SEARCH(SETTINGS!$K$16,D134)),SETTINGS!$L$16,IF(ISNUMBER(SEARCH(SETTINGS!$K$17,D134)),SETTINGS!$L$17,IF(ISNUMBER(SEARCH(SETTINGS!$K$18,D134)),SETTINGS!$L$18,"Miscellaneous"))))))))))))))))</f>
        <v/>
      </c>
      <c r="I134" s="44" t="str">
        <f t="shared" si="8"/>
        <v/>
      </c>
      <c r="J134" s="9"/>
      <c r="K134" s="9"/>
      <c r="L134" s="9"/>
      <c r="M134" s="9"/>
      <c r="N134" s="9"/>
      <c r="O134" s="9"/>
      <c r="P134" s="13"/>
      <c r="Q134" s="9"/>
      <c r="R134" s="9"/>
      <c r="S134" s="9"/>
      <c r="T134" s="11"/>
      <c r="U134" s="44" t="str">
        <f t="shared" si="9"/>
        <v/>
      </c>
      <c r="V134" s="44" t="str">
        <f t="shared" si="10"/>
        <v/>
      </c>
      <c r="W134" s="44" t="str">
        <f t="shared" si="11"/>
        <v/>
      </c>
      <c r="X134" s="44" t="str">
        <f t="shared" si="12"/>
        <v/>
      </c>
      <c r="Y134" s="44" t="str">
        <f t="shared" si="13"/>
        <v/>
      </c>
      <c r="Z134" s="44" t="str">
        <f t="shared" si="14"/>
        <v/>
      </c>
      <c r="AA134" s="50" t="str">
        <f t="shared" si="15"/>
        <v/>
      </c>
      <c r="AB134" s="50" t="str">
        <f>IF(OR(B134="",C134&lt;&gt;"Expense"),"",IF(E134&gt;IFERROR(AVERAGEIFS($E$8:$E$1007,$I$8:$I$1007,I134,$C$8:$C$1007,"Expense")*SETTINGS!$B$20,0),"Unusually High","Normal"))</f>
        <v/>
      </c>
      <c r="AC134" s="51"/>
      <c r="AD134" s="51"/>
      <c r="AE134" s="51"/>
      <c r="AF134" s="50" t="str">
        <f>IF(A134&lt;&gt;"Yes","No",IF(AND(AC134="Yes",SETTINGS!$B$16="No"),"No","Yes"))</f>
        <v>No</v>
      </c>
      <c r="AG134" s="50" t="str">
        <f>IF(A134&lt;&gt;"Yes","",IF(OR(B134="",D134="",E134&lt;=0,F134="",I134=""),"Check Required Fields",IF(AA134="Possible Duplicate","Possible Duplicate",IF(E134&gt;SETTINGS!$B$22,"Review Extreme Value","OK"))))</f>
        <v/>
      </c>
    </row>
    <row r="135" spans="1:33" ht="14.4">
      <c r="A135" s="9"/>
      <c r="B135" s="13"/>
      <c r="C135" s="9"/>
      <c r="D135" s="9"/>
      <c r="E135" s="11"/>
      <c r="F135" s="9"/>
      <c r="G135" s="9"/>
      <c r="H135" s="44" t="str">
        <f>IF(D135="","",IF(ISNUMBER(SEARCH(SETTINGS!$K$4,D135)),SETTINGS!$L$4,IF(ISNUMBER(SEARCH(SETTINGS!$K$5,D135)),SETTINGS!$L$5,IF(ISNUMBER(SEARCH(SETTINGS!$K$6,D135)),SETTINGS!$L$6,IF(ISNUMBER(SEARCH(SETTINGS!$K$7,D135)),SETTINGS!$L$7,IF(ISNUMBER(SEARCH(SETTINGS!$K$8,D135)),SETTINGS!$L$8,IF(ISNUMBER(SEARCH(SETTINGS!$K$9,D135)),SETTINGS!$L$9,IF(ISNUMBER(SEARCH(SETTINGS!$K$10,D135)),SETTINGS!$L$10,IF(ISNUMBER(SEARCH(SETTINGS!$K$11,D135)),SETTINGS!$L$11,IF(ISNUMBER(SEARCH(SETTINGS!$K$12,D135)),SETTINGS!$L$12,IF(ISNUMBER(SEARCH(SETTINGS!$K$13,D135)),SETTINGS!$L$13,IF(ISNUMBER(SEARCH(SETTINGS!$K$14,D135)),SETTINGS!$L$14,IF(ISNUMBER(SEARCH(SETTINGS!$K$15,D135)),SETTINGS!$L$15,IF(ISNUMBER(SEARCH(SETTINGS!$K$16,D135)),SETTINGS!$L$16,IF(ISNUMBER(SEARCH(SETTINGS!$K$17,D135)),SETTINGS!$L$17,IF(ISNUMBER(SEARCH(SETTINGS!$K$18,D135)),SETTINGS!$L$18,"Miscellaneous"))))))))))))))))</f>
        <v/>
      </c>
      <c r="I135" s="44" t="str">
        <f t="shared" si="8"/>
        <v/>
      </c>
      <c r="J135" s="9"/>
      <c r="K135" s="9"/>
      <c r="L135" s="9"/>
      <c r="M135" s="9"/>
      <c r="N135" s="9"/>
      <c r="O135" s="9"/>
      <c r="P135" s="13"/>
      <c r="Q135" s="9"/>
      <c r="R135" s="9"/>
      <c r="S135" s="9"/>
      <c r="T135" s="11"/>
      <c r="U135" s="44" t="str">
        <f t="shared" si="9"/>
        <v/>
      </c>
      <c r="V135" s="44" t="str">
        <f t="shared" si="10"/>
        <v/>
      </c>
      <c r="W135" s="44" t="str">
        <f t="shared" si="11"/>
        <v/>
      </c>
      <c r="X135" s="44" t="str">
        <f t="shared" si="12"/>
        <v/>
      </c>
      <c r="Y135" s="44" t="str">
        <f t="shared" si="13"/>
        <v/>
      </c>
      <c r="Z135" s="44" t="str">
        <f t="shared" si="14"/>
        <v/>
      </c>
      <c r="AA135" s="50" t="str">
        <f t="shared" si="15"/>
        <v/>
      </c>
      <c r="AB135" s="50" t="str">
        <f>IF(OR(B135="",C135&lt;&gt;"Expense"),"",IF(E135&gt;IFERROR(AVERAGEIFS($E$8:$E$1007,$I$8:$I$1007,I135,$C$8:$C$1007,"Expense")*SETTINGS!$B$20,0),"Unusually High","Normal"))</f>
        <v/>
      </c>
      <c r="AC135" s="51"/>
      <c r="AD135" s="51"/>
      <c r="AE135" s="51"/>
      <c r="AF135" s="50" t="str">
        <f>IF(A135&lt;&gt;"Yes","No",IF(AND(AC135="Yes",SETTINGS!$B$16="No"),"No","Yes"))</f>
        <v>No</v>
      </c>
      <c r="AG135" s="50" t="str">
        <f>IF(A135&lt;&gt;"Yes","",IF(OR(B135="",D135="",E135&lt;=0,F135="",I135=""),"Check Required Fields",IF(AA135="Possible Duplicate","Possible Duplicate",IF(E135&gt;SETTINGS!$B$22,"Review Extreme Value","OK"))))</f>
        <v/>
      </c>
    </row>
    <row r="136" spans="1:33" ht="14.4">
      <c r="A136" s="9"/>
      <c r="B136" s="13"/>
      <c r="C136" s="9"/>
      <c r="D136" s="9"/>
      <c r="E136" s="11"/>
      <c r="F136" s="9"/>
      <c r="G136" s="9"/>
      <c r="H136" s="44" t="str">
        <f>IF(D136="","",IF(ISNUMBER(SEARCH(SETTINGS!$K$4,D136)),SETTINGS!$L$4,IF(ISNUMBER(SEARCH(SETTINGS!$K$5,D136)),SETTINGS!$L$5,IF(ISNUMBER(SEARCH(SETTINGS!$K$6,D136)),SETTINGS!$L$6,IF(ISNUMBER(SEARCH(SETTINGS!$K$7,D136)),SETTINGS!$L$7,IF(ISNUMBER(SEARCH(SETTINGS!$K$8,D136)),SETTINGS!$L$8,IF(ISNUMBER(SEARCH(SETTINGS!$K$9,D136)),SETTINGS!$L$9,IF(ISNUMBER(SEARCH(SETTINGS!$K$10,D136)),SETTINGS!$L$10,IF(ISNUMBER(SEARCH(SETTINGS!$K$11,D136)),SETTINGS!$L$11,IF(ISNUMBER(SEARCH(SETTINGS!$K$12,D136)),SETTINGS!$L$12,IF(ISNUMBER(SEARCH(SETTINGS!$K$13,D136)),SETTINGS!$L$13,IF(ISNUMBER(SEARCH(SETTINGS!$K$14,D136)),SETTINGS!$L$14,IF(ISNUMBER(SEARCH(SETTINGS!$K$15,D136)),SETTINGS!$L$15,IF(ISNUMBER(SEARCH(SETTINGS!$K$16,D136)),SETTINGS!$L$16,IF(ISNUMBER(SEARCH(SETTINGS!$K$17,D136)),SETTINGS!$L$17,IF(ISNUMBER(SEARCH(SETTINGS!$K$18,D136)),SETTINGS!$L$18,"Miscellaneous"))))))))))))))))</f>
        <v/>
      </c>
      <c r="I136" s="44" t="str">
        <f t="shared" ref="I136:I199" si="16">IF(B136="","",IF(G136&lt;&gt;"",G136,H136))</f>
        <v/>
      </c>
      <c r="J136" s="9"/>
      <c r="K136" s="9"/>
      <c r="L136" s="9"/>
      <c r="M136" s="9"/>
      <c r="N136" s="9"/>
      <c r="O136" s="9"/>
      <c r="P136" s="13"/>
      <c r="Q136" s="9"/>
      <c r="R136" s="9"/>
      <c r="S136" s="9"/>
      <c r="T136" s="11"/>
      <c r="U136" s="44" t="str">
        <f t="shared" ref="U136:U199" si="17">IF(B136="","",IF(C136="Income","INC-",IF(C136="Expense","EXP-","TRX-"))&amp;TEXT(YEAR(B136),"0000")&amp;"-"&amp;TEXT(ROW()-7,"0000"))</f>
        <v/>
      </c>
      <c r="V136" s="44" t="str">
        <f t="shared" ref="V136:V199" si="18">IF(B136="","",TEXT(B136,"mmmm"))</f>
        <v/>
      </c>
      <c r="W136" s="44" t="str">
        <f t="shared" ref="W136:W199" si="19">IF(B136="","",MONTH(B136))</f>
        <v/>
      </c>
      <c r="X136" s="44" t="str">
        <f t="shared" ref="X136:X199" si="20">IF(B136="","",YEAR(B136))</f>
        <v/>
      </c>
      <c r="Y136" s="44" t="str">
        <f t="shared" ref="Y136:Y199" si="21">IF(B136="","",DAY(B136))</f>
        <v/>
      </c>
      <c r="Z136" s="44" t="str">
        <f t="shared" ref="Z136:Z199" si="22">IF(B136="","",IF(WEEKDAY(B136,2)&gt;5,"Weekend","Weekday"))</f>
        <v/>
      </c>
      <c r="AA136" s="50" t="str">
        <f t="shared" ref="AA136:AA199" si="23">IF(B136="","",IF(COUNTIFS($B$8:$B$1007,B136,$E$8:$E$1007,E136,$D$8:$D$1007,D136,$I$8:$I$1007,I136)&gt;1,"Possible Duplicate","OK"))</f>
        <v/>
      </c>
      <c r="AB136" s="50" t="str">
        <f>IF(OR(B136="",C136&lt;&gt;"Expense"),"",IF(E136&gt;IFERROR(AVERAGEIFS($E$8:$E$1007,$I$8:$I$1007,I136,$C$8:$C$1007,"Expense")*SETTINGS!$B$20,0),"Unusually High","Normal"))</f>
        <v/>
      </c>
      <c r="AC136" s="51"/>
      <c r="AD136" s="51"/>
      <c r="AE136" s="51"/>
      <c r="AF136" s="50" t="str">
        <f>IF(A136&lt;&gt;"Yes","No",IF(AND(AC136="Yes",SETTINGS!$B$16="No"),"No","Yes"))</f>
        <v>No</v>
      </c>
      <c r="AG136" s="50" t="str">
        <f>IF(A136&lt;&gt;"Yes","",IF(OR(B136="",D136="",E136&lt;=0,F136="",I136=""),"Check Required Fields",IF(AA136="Possible Duplicate","Possible Duplicate",IF(E136&gt;SETTINGS!$B$22,"Review Extreme Value","OK"))))</f>
        <v/>
      </c>
    </row>
    <row r="137" spans="1:33" ht="14.4">
      <c r="A137" s="9"/>
      <c r="B137" s="13"/>
      <c r="C137" s="9"/>
      <c r="D137" s="9"/>
      <c r="E137" s="11"/>
      <c r="F137" s="9"/>
      <c r="G137" s="9"/>
      <c r="H137" s="44" t="str">
        <f>IF(D137="","",IF(ISNUMBER(SEARCH(SETTINGS!$K$4,D137)),SETTINGS!$L$4,IF(ISNUMBER(SEARCH(SETTINGS!$K$5,D137)),SETTINGS!$L$5,IF(ISNUMBER(SEARCH(SETTINGS!$K$6,D137)),SETTINGS!$L$6,IF(ISNUMBER(SEARCH(SETTINGS!$K$7,D137)),SETTINGS!$L$7,IF(ISNUMBER(SEARCH(SETTINGS!$K$8,D137)),SETTINGS!$L$8,IF(ISNUMBER(SEARCH(SETTINGS!$K$9,D137)),SETTINGS!$L$9,IF(ISNUMBER(SEARCH(SETTINGS!$K$10,D137)),SETTINGS!$L$10,IF(ISNUMBER(SEARCH(SETTINGS!$K$11,D137)),SETTINGS!$L$11,IF(ISNUMBER(SEARCH(SETTINGS!$K$12,D137)),SETTINGS!$L$12,IF(ISNUMBER(SEARCH(SETTINGS!$K$13,D137)),SETTINGS!$L$13,IF(ISNUMBER(SEARCH(SETTINGS!$K$14,D137)),SETTINGS!$L$14,IF(ISNUMBER(SEARCH(SETTINGS!$K$15,D137)),SETTINGS!$L$15,IF(ISNUMBER(SEARCH(SETTINGS!$K$16,D137)),SETTINGS!$L$16,IF(ISNUMBER(SEARCH(SETTINGS!$K$17,D137)),SETTINGS!$L$17,IF(ISNUMBER(SEARCH(SETTINGS!$K$18,D137)),SETTINGS!$L$18,"Miscellaneous"))))))))))))))))</f>
        <v/>
      </c>
      <c r="I137" s="44" t="str">
        <f t="shared" si="16"/>
        <v/>
      </c>
      <c r="J137" s="9"/>
      <c r="K137" s="9"/>
      <c r="L137" s="9"/>
      <c r="M137" s="9"/>
      <c r="N137" s="9"/>
      <c r="O137" s="9"/>
      <c r="P137" s="13"/>
      <c r="Q137" s="9"/>
      <c r="R137" s="9"/>
      <c r="S137" s="9"/>
      <c r="T137" s="11"/>
      <c r="U137" s="44" t="str">
        <f t="shared" si="17"/>
        <v/>
      </c>
      <c r="V137" s="44" t="str">
        <f t="shared" si="18"/>
        <v/>
      </c>
      <c r="W137" s="44" t="str">
        <f t="shared" si="19"/>
        <v/>
      </c>
      <c r="X137" s="44" t="str">
        <f t="shared" si="20"/>
        <v/>
      </c>
      <c r="Y137" s="44" t="str">
        <f t="shared" si="21"/>
        <v/>
      </c>
      <c r="Z137" s="44" t="str">
        <f t="shared" si="22"/>
        <v/>
      </c>
      <c r="AA137" s="50" t="str">
        <f t="shared" si="23"/>
        <v/>
      </c>
      <c r="AB137" s="50" t="str">
        <f>IF(OR(B137="",C137&lt;&gt;"Expense"),"",IF(E137&gt;IFERROR(AVERAGEIFS($E$8:$E$1007,$I$8:$I$1007,I137,$C$8:$C$1007,"Expense")*SETTINGS!$B$20,0),"Unusually High","Normal"))</f>
        <v/>
      </c>
      <c r="AC137" s="51"/>
      <c r="AD137" s="51"/>
      <c r="AE137" s="51"/>
      <c r="AF137" s="50" t="str">
        <f>IF(A137&lt;&gt;"Yes","No",IF(AND(AC137="Yes",SETTINGS!$B$16="No"),"No","Yes"))</f>
        <v>No</v>
      </c>
      <c r="AG137" s="50" t="str">
        <f>IF(A137&lt;&gt;"Yes","",IF(OR(B137="",D137="",E137&lt;=0,F137="",I137=""),"Check Required Fields",IF(AA137="Possible Duplicate","Possible Duplicate",IF(E137&gt;SETTINGS!$B$22,"Review Extreme Value","OK"))))</f>
        <v/>
      </c>
    </row>
    <row r="138" spans="1:33" ht="14.4">
      <c r="A138" s="9"/>
      <c r="B138" s="13"/>
      <c r="C138" s="9"/>
      <c r="D138" s="9"/>
      <c r="E138" s="11"/>
      <c r="F138" s="9"/>
      <c r="G138" s="9"/>
      <c r="H138" s="44" t="str">
        <f>IF(D138="","",IF(ISNUMBER(SEARCH(SETTINGS!$K$4,D138)),SETTINGS!$L$4,IF(ISNUMBER(SEARCH(SETTINGS!$K$5,D138)),SETTINGS!$L$5,IF(ISNUMBER(SEARCH(SETTINGS!$K$6,D138)),SETTINGS!$L$6,IF(ISNUMBER(SEARCH(SETTINGS!$K$7,D138)),SETTINGS!$L$7,IF(ISNUMBER(SEARCH(SETTINGS!$K$8,D138)),SETTINGS!$L$8,IF(ISNUMBER(SEARCH(SETTINGS!$K$9,D138)),SETTINGS!$L$9,IF(ISNUMBER(SEARCH(SETTINGS!$K$10,D138)),SETTINGS!$L$10,IF(ISNUMBER(SEARCH(SETTINGS!$K$11,D138)),SETTINGS!$L$11,IF(ISNUMBER(SEARCH(SETTINGS!$K$12,D138)),SETTINGS!$L$12,IF(ISNUMBER(SEARCH(SETTINGS!$K$13,D138)),SETTINGS!$L$13,IF(ISNUMBER(SEARCH(SETTINGS!$K$14,D138)),SETTINGS!$L$14,IF(ISNUMBER(SEARCH(SETTINGS!$K$15,D138)),SETTINGS!$L$15,IF(ISNUMBER(SEARCH(SETTINGS!$K$16,D138)),SETTINGS!$L$16,IF(ISNUMBER(SEARCH(SETTINGS!$K$17,D138)),SETTINGS!$L$17,IF(ISNUMBER(SEARCH(SETTINGS!$K$18,D138)),SETTINGS!$L$18,"Miscellaneous"))))))))))))))))</f>
        <v/>
      </c>
      <c r="I138" s="44" t="str">
        <f t="shared" si="16"/>
        <v/>
      </c>
      <c r="J138" s="9"/>
      <c r="K138" s="9"/>
      <c r="L138" s="9"/>
      <c r="M138" s="9"/>
      <c r="N138" s="9"/>
      <c r="O138" s="9"/>
      <c r="P138" s="13"/>
      <c r="Q138" s="9"/>
      <c r="R138" s="9"/>
      <c r="S138" s="9"/>
      <c r="T138" s="11"/>
      <c r="U138" s="44" t="str">
        <f t="shared" si="17"/>
        <v/>
      </c>
      <c r="V138" s="44" t="str">
        <f t="shared" si="18"/>
        <v/>
      </c>
      <c r="W138" s="44" t="str">
        <f t="shared" si="19"/>
        <v/>
      </c>
      <c r="X138" s="44" t="str">
        <f t="shared" si="20"/>
        <v/>
      </c>
      <c r="Y138" s="44" t="str">
        <f t="shared" si="21"/>
        <v/>
      </c>
      <c r="Z138" s="44" t="str">
        <f t="shared" si="22"/>
        <v/>
      </c>
      <c r="AA138" s="50" t="str">
        <f t="shared" si="23"/>
        <v/>
      </c>
      <c r="AB138" s="50" t="str">
        <f>IF(OR(B138="",C138&lt;&gt;"Expense"),"",IF(E138&gt;IFERROR(AVERAGEIFS($E$8:$E$1007,$I$8:$I$1007,I138,$C$8:$C$1007,"Expense")*SETTINGS!$B$20,0),"Unusually High","Normal"))</f>
        <v/>
      </c>
      <c r="AC138" s="51"/>
      <c r="AD138" s="51"/>
      <c r="AE138" s="51"/>
      <c r="AF138" s="50" t="str">
        <f>IF(A138&lt;&gt;"Yes","No",IF(AND(AC138="Yes",SETTINGS!$B$16="No"),"No","Yes"))</f>
        <v>No</v>
      </c>
      <c r="AG138" s="50" t="str">
        <f>IF(A138&lt;&gt;"Yes","",IF(OR(B138="",D138="",E138&lt;=0,F138="",I138=""),"Check Required Fields",IF(AA138="Possible Duplicate","Possible Duplicate",IF(E138&gt;SETTINGS!$B$22,"Review Extreme Value","OK"))))</f>
        <v/>
      </c>
    </row>
    <row r="139" spans="1:33" ht="14.4">
      <c r="A139" s="9"/>
      <c r="B139" s="13"/>
      <c r="C139" s="9"/>
      <c r="D139" s="9"/>
      <c r="E139" s="11"/>
      <c r="F139" s="9"/>
      <c r="G139" s="9"/>
      <c r="H139" s="44" t="str">
        <f>IF(D139="","",IF(ISNUMBER(SEARCH(SETTINGS!$K$4,D139)),SETTINGS!$L$4,IF(ISNUMBER(SEARCH(SETTINGS!$K$5,D139)),SETTINGS!$L$5,IF(ISNUMBER(SEARCH(SETTINGS!$K$6,D139)),SETTINGS!$L$6,IF(ISNUMBER(SEARCH(SETTINGS!$K$7,D139)),SETTINGS!$L$7,IF(ISNUMBER(SEARCH(SETTINGS!$K$8,D139)),SETTINGS!$L$8,IF(ISNUMBER(SEARCH(SETTINGS!$K$9,D139)),SETTINGS!$L$9,IF(ISNUMBER(SEARCH(SETTINGS!$K$10,D139)),SETTINGS!$L$10,IF(ISNUMBER(SEARCH(SETTINGS!$K$11,D139)),SETTINGS!$L$11,IF(ISNUMBER(SEARCH(SETTINGS!$K$12,D139)),SETTINGS!$L$12,IF(ISNUMBER(SEARCH(SETTINGS!$K$13,D139)),SETTINGS!$L$13,IF(ISNUMBER(SEARCH(SETTINGS!$K$14,D139)),SETTINGS!$L$14,IF(ISNUMBER(SEARCH(SETTINGS!$K$15,D139)),SETTINGS!$L$15,IF(ISNUMBER(SEARCH(SETTINGS!$K$16,D139)),SETTINGS!$L$16,IF(ISNUMBER(SEARCH(SETTINGS!$K$17,D139)),SETTINGS!$L$17,IF(ISNUMBER(SEARCH(SETTINGS!$K$18,D139)),SETTINGS!$L$18,"Miscellaneous"))))))))))))))))</f>
        <v/>
      </c>
      <c r="I139" s="44" t="str">
        <f t="shared" si="16"/>
        <v/>
      </c>
      <c r="J139" s="9"/>
      <c r="K139" s="9"/>
      <c r="L139" s="9"/>
      <c r="M139" s="9"/>
      <c r="N139" s="9"/>
      <c r="O139" s="9"/>
      <c r="P139" s="13"/>
      <c r="Q139" s="9"/>
      <c r="R139" s="9"/>
      <c r="S139" s="9"/>
      <c r="T139" s="11"/>
      <c r="U139" s="44" t="str">
        <f t="shared" si="17"/>
        <v/>
      </c>
      <c r="V139" s="44" t="str">
        <f t="shared" si="18"/>
        <v/>
      </c>
      <c r="W139" s="44" t="str">
        <f t="shared" si="19"/>
        <v/>
      </c>
      <c r="X139" s="44" t="str">
        <f t="shared" si="20"/>
        <v/>
      </c>
      <c r="Y139" s="44" t="str">
        <f t="shared" si="21"/>
        <v/>
      </c>
      <c r="Z139" s="44" t="str">
        <f t="shared" si="22"/>
        <v/>
      </c>
      <c r="AA139" s="50" t="str">
        <f t="shared" si="23"/>
        <v/>
      </c>
      <c r="AB139" s="50" t="str">
        <f>IF(OR(B139="",C139&lt;&gt;"Expense"),"",IF(E139&gt;IFERROR(AVERAGEIFS($E$8:$E$1007,$I$8:$I$1007,I139,$C$8:$C$1007,"Expense")*SETTINGS!$B$20,0),"Unusually High","Normal"))</f>
        <v/>
      </c>
      <c r="AC139" s="51"/>
      <c r="AD139" s="51"/>
      <c r="AE139" s="51"/>
      <c r="AF139" s="50" t="str">
        <f>IF(A139&lt;&gt;"Yes","No",IF(AND(AC139="Yes",SETTINGS!$B$16="No"),"No","Yes"))</f>
        <v>No</v>
      </c>
      <c r="AG139" s="50" t="str">
        <f>IF(A139&lt;&gt;"Yes","",IF(OR(B139="",D139="",E139&lt;=0,F139="",I139=""),"Check Required Fields",IF(AA139="Possible Duplicate","Possible Duplicate",IF(E139&gt;SETTINGS!$B$22,"Review Extreme Value","OK"))))</f>
        <v/>
      </c>
    </row>
    <row r="140" spans="1:33" ht="14.4">
      <c r="A140" s="9"/>
      <c r="B140" s="13"/>
      <c r="C140" s="9"/>
      <c r="D140" s="9"/>
      <c r="E140" s="11"/>
      <c r="F140" s="9"/>
      <c r="G140" s="9"/>
      <c r="H140" s="44" t="str">
        <f>IF(D140="","",IF(ISNUMBER(SEARCH(SETTINGS!$K$4,D140)),SETTINGS!$L$4,IF(ISNUMBER(SEARCH(SETTINGS!$K$5,D140)),SETTINGS!$L$5,IF(ISNUMBER(SEARCH(SETTINGS!$K$6,D140)),SETTINGS!$L$6,IF(ISNUMBER(SEARCH(SETTINGS!$K$7,D140)),SETTINGS!$L$7,IF(ISNUMBER(SEARCH(SETTINGS!$K$8,D140)),SETTINGS!$L$8,IF(ISNUMBER(SEARCH(SETTINGS!$K$9,D140)),SETTINGS!$L$9,IF(ISNUMBER(SEARCH(SETTINGS!$K$10,D140)),SETTINGS!$L$10,IF(ISNUMBER(SEARCH(SETTINGS!$K$11,D140)),SETTINGS!$L$11,IF(ISNUMBER(SEARCH(SETTINGS!$K$12,D140)),SETTINGS!$L$12,IF(ISNUMBER(SEARCH(SETTINGS!$K$13,D140)),SETTINGS!$L$13,IF(ISNUMBER(SEARCH(SETTINGS!$K$14,D140)),SETTINGS!$L$14,IF(ISNUMBER(SEARCH(SETTINGS!$K$15,D140)),SETTINGS!$L$15,IF(ISNUMBER(SEARCH(SETTINGS!$K$16,D140)),SETTINGS!$L$16,IF(ISNUMBER(SEARCH(SETTINGS!$K$17,D140)),SETTINGS!$L$17,IF(ISNUMBER(SEARCH(SETTINGS!$K$18,D140)),SETTINGS!$L$18,"Miscellaneous"))))))))))))))))</f>
        <v/>
      </c>
      <c r="I140" s="44" t="str">
        <f t="shared" si="16"/>
        <v/>
      </c>
      <c r="J140" s="9"/>
      <c r="K140" s="9"/>
      <c r="L140" s="9"/>
      <c r="M140" s="9"/>
      <c r="N140" s="9"/>
      <c r="O140" s="9"/>
      <c r="P140" s="13"/>
      <c r="Q140" s="9"/>
      <c r="R140" s="9"/>
      <c r="S140" s="9"/>
      <c r="T140" s="11"/>
      <c r="U140" s="44" t="str">
        <f t="shared" si="17"/>
        <v/>
      </c>
      <c r="V140" s="44" t="str">
        <f t="shared" si="18"/>
        <v/>
      </c>
      <c r="W140" s="44" t="str">
        <f t="shared" si="19"/>
        <v/>
      </c>
      <c r="X140" s="44" t="str">
        <f t="shared" si="20"/>
        <v/>
      </c>
      <c r="Y140" s="44" t="str">
        <f t="shared" si="21"/>
        <v/>
      </c>
      <c r="Z140" s="44" t="str">
        <f t="shared" si="22"/>
        <v/>
      </c>
      <c r="AA140" s="50" t="str">
        <f t="shared" si="23"/>
        <v/>
      </c>
      <c r="AB140" s="50" t="str">
        <f>IF(OR(B140="",C140&lt;&gt;"Expense"),"",IF(E140&gt;IFERROR(AVERAGEIFS($E$8:$E$1007,$I$8:$I$1007,I140,$C$8:$C$1007,"Expense")*SETTINGS!$B$20,0),"Unusually High","Normal"))</f>
        <v/>
      </c>
      <c r="AC140" s="51"/>
      <c r="AD140" s="51"/>
      <c r="AE140" s="51"/>
      <c r="AF140" s="50" t="str">
        <f>IF(A140&lt;&gt;"Yes","No",IF(AND(AC140="Yes",SETTINGS!$B$16="No"),"No","Yes"))</f>
        <v>No</v>
      </c>
      <c r="AG140" s="50" t="str">
        <f>IF(A140&lt;&gt;"Yes","",IF(OR(B140="",D140="",E140&lt;=0,F140="",I140=""),"Check Required Fields",IF(AA140="Possible Duplicate","Possible Duplicate",IF(E140&gt;SETTINGS!$B$22,"Review Extreme Value","OK"))))</f>
        <v/>
      </c>
    </row>
    <row r="141" spans="1:33" ht="14.4">
      <c r="A141" s="9"/>
      <c r="B141" s="13"/>
      <c r="C141" s="9"/>
      <c r="D141" s="9"/>
      <c r="E141" s="11"/>
      <c r="F141" s="9"/>
      <c r="G141" s="9"/>
      <c r="H141" s="44" t="str">
        <f>IF(D141="","",IF(ISNUMBER(SEARCH(SETTINGS!$K$4,D141)),SETTINGS!$L$4,IF(ISNUMBER(SEARCH(SETTINGS!$K$5,D141)),SETTINGS!$L$5,IF(ISNUMBER(SEARCH(SETTINGS!$K$6,D141)),SETTINGS!$L$6,IF(ISNUMBER(SEARCH(SETTINGS!$K$7,D141)),SETTINGS!$L$7,IF(ISNUMBER(SEARCH(SETTINGS!$K$8,D141)),SETTINGS!$L$8,IF(ISNUMBER(SEARCH(SETTINGS!$K$9,D141)),SETTINGS!$L$9,IF(ISNUMBER(SEARCH(SETTINGS!$K$10,D141)),SETTINGS!$L$10,IF(ISNUMBER(SEARCH(SETTINGS!$K$11,D141)),SETTINGS!$L$11,IF(ISNUMBER(SEARCH(SETTINGS!$K$12,D141)),SETTINGS!$L$12,IF(ISNUMBER(SEARCH(SETTINGS!$K$13,D141)),SETTINGS!$L$13,IF(ISNUMBER(SEARCH(SETTINGS!$K$14,D141)),SETTINGS!$L$14,IF(ISNUMBER(SEARCH(SETTINGS!$K$15,D141)),SETTINGS!$L$15,IF(ISNUMBER(SEARCH(SETTINGS!$K$16,D141)),SETTINGS!$L$16,IF(ISNUMBER(SEARCH(SETTINGS!$K$17,D141)),SETTINGS!$L$17,IF(ISNUMBER(SEARCH(SETTINGS!$K$18,D141)),SETTINGS!$L$18,"Miscellaneous"))))))))))))))))</f>
        <v/>
      </c>
      <c r="I141" s="44" t="str">
        <f t="shared" si="16"/>
        <v/>
      </c>
      <c r="J141" s="9"/>
      <c r="K141" s="9"/>
      <c r="L141" s="9"/>
      <c r="M141" s="9"/>
      <c r="N141" s="9"/>
      <c r="O141" s="9"/>
      <c r="P141" s="13"/>
      <c r="Q141" s="9"/>
      <c r="R141" s="9"/>
      <c r="S141" s="9"/>
      <c r="T141" s="11"/>
      <c r="U141" s="44" t="str">
        <f t="shared" si="17"/>
        <v/>
      </c>
      <c r="V141" s="44" t="str">
        <f t="shared" si="18"/>
        <v/>
      </c>
      <c r="W141" s="44" t="str">
        <f t="shared" si="19"/>
        <v/>
      </c>
      <c r="X141" s="44" t="str">
        <f t="shared" si="20"/>
        <v/>
      </c>
      <c r="Y141" s="44" t="str">
        <f t="shared" si="21"/>
        <v/>
      </c>
      <c r="Z141" s="44" t="str">
        <f t="shared" si="22"/>
        <v/>
      </c>
      <c r="AA141" s="50" t="str">
        <f t="shared" si="23"/>
        <v/>
      </c>
      <c r="AB141" s="50" t="str">
        <f>IF(OR(B141="",C141&lt;&gt;"Expense"),"",IF(E141&gt;IFERROR(AVERAGEIFS($E$8:$E$1007,$I$8:$I$1007,I141,$C$8:$C$1007,"Expense")*SETTINGS!$B$20,0),"Unusually High","Normal"))</f>
        <v/>
      </c>
      <c r="AC141" s="51"/>
      <c r="AD141" s="51"/>
      <c r="AE141" s="51"/>
      <c r="AF141" s="50" t="str">
        <f>IF(A141&lt;&gt;"Yes","No",IF(AND(AC141="Yes",SETTINGS!$B$16="No"),"No","Yes"))</f>
        <v>No</v>
      </c>
      <c r="AG141" s="50" t="str">
        <f>IF(A141&lt;&gt;"Yes","",IF(OR(B141="",D141="",E141&lt;=0,F141="",I141=""),"Check Required Fields",IF(AA141="Possible Duplicate","Possible Duplicate",IF(E141&gt;SETTINGS!$B$22,"Review Extreme Value","OK"))))</f>
        <v/>
      </c>
    </row>
    <row r="142" spans="1:33" ht="14.4">
      <c r="A142" s="9"/>
      <c r="B142" s="13"/>
      <c r="C142" s="9"/>
      <c r="D142" s="9"/>
      <c r="E142" s="11"/>
      <c r="F142" s="9"/>
      <c r="G142" s="9"/>
      <c r="H142" s="44" t="str">
        <f>IF(D142="","",IF(ISNUMBER(SEARCH(SETTINGS!$K$4,D142)),SETTINGS!$L$4,IF(ISNUMBER(SEARCH(SETTINGS!$K$5,D142)),SETTINGS!$L$5,IF(ISNUMBER(SEARCH(SETTINGS!$K$6,D142)),SETTINGS!$L$6,IF(ISNUMBER(SEARCH(SETTINGS!$K$7,D142)),SETTINGS!$L$7,IF(ISNUMBER(SEARCH(SETTINGS!$K$8,D142)),SETTINGS!$L$8,IF(ISNUMBER(SEARCH(SETTINGS!$K$9,D142)),SETTINGS!$L$9,IF(ISNUMBER(SEARCH(SETTINGS!$K$10,D142)),SETTINGS!$L$10,IF(ISNUMBER(SEARCH(SETTINGS!$K$11,D142)),SETTINGS!$L$11,IF(ISNUMBER(SEARCH(SETTINGS!$K$12,D142)),SETTINGS!$L$12,IF(ISNUMBER(SEARCH(SETTINGS!$K$13,D142)),SETTINGS!$L$13,IF(ISNUMBER(SEARCH(SETTINGS!$K$14,D142)),SETTINGS!$L$14,IF(ISNUMBER(SEARCH(SETTINGS!$K$15,D142)),SETTINGS!$L$15,IF(ISNUMBER(SEARCH(SETTINGS!$K$16,D142)),SETTINGS!$L$16,IF(ISNUMBER(SEARCH(SETTINGS!$K$17,D142)),SETTINGS!$L$17,IF(ISNUMBER(SEARCH(SETTINGS!$K$18,D142)),SETTINGS!$L$18,"Miscellaneous"))))))))))))))))</f>
        <v/>
      </c>
      <c r="I142" s="44" t="str">
        <f t="shared" si="16"/>
        <v/>
      </c>
      <c r="J142" s="9"/>
      <c r="K142" s="9"/>
      <c r="L142" s="9"/>
      <c r="M142" s="9"/>
      <c r="N142" s="9"/>
      <c r="O142" s="9"/>
      <c r="P142" s="13"/>
      <c r="Q142" s="9"/>
      <c r="R142" s="9"/>
      <c r="S142" s="9"/>
      <c r="T142" s="11"/>
      <c r="U142" s="44" t="str">
        <f t="shared" si="17"/>
        <v/>
      </c>
      <c r="V142" s="44" t="str">
        <f t="shared" si="18"/>
        <v/>
      </c>
      <c r="W142" s="44" t="str">
        <f t="shared" si="19"/>
        <v/>
      </c>
      <c r="X142" s="44" t="str">
        <f t="shared" si="20"/>
        <v/>
      </c>
      <c r="Y142" s="44" t="str">
        <f t="shared" si="21"/>
        <v/>
      </c>
      <c r="Z142" s="44" t="str">
        <f t="shared" si="22"/>
        <v/>
      </c>
      <c r="AA142" s="50" t="str">
        <f t="shared" si="23"/>
        <v/>
      </c>
      <c r="AB142" s="50" t="str">
        <f>IF(OR(B142="",C142&lt;&gt;"Expense"),"",IF(E142&gt;IFERROR(AVERAGEIFS($E$8:$E$1007,$I$8:$I$1007,I142,$C$8:$C$1007,"Expense")*SETTINGS!$B$20,0),"Unusually High","Normal"))</f>
        <v/>
      </c>
      <c r="AC142" s="51"/>
      <c r="AD142" s="51"/>
      <c r="AE142" s="51"/>
      <c r="AF142" s="50" t="str">
        <f>IF(A142&lt;&gt;"Yes","No",IF(AND(AC142="Yes",SETTINGS!$B$16="No"),"No","Yes"))</f>
        <v>No</v>
      </c>
      <c r="AG142" s="50" t="str">
        <f>IF(A142&lt;&gt;"Yes","",IF(OR(B142="",D142="",E142&lt;=0,F142="",I142=""),"Check Required Fields",IF(AA142="Possible Duplicate","Possible Duplicate",IF(E142&gt;SETTINGS!$B$22,"Review Extreme Value","OK"))))</f>
        <v/>
      </c>
    </row>
    <row r="143" spans="1:33" ht="14.4">
      <c r="A143" s="9"/>
      <c r="B143" s="13"/>
      <c r="C143" s="9"/>
      <c r="D143" s="9"/>
      <c r="E143" s="11"/>
      <c r="F143" s="9"/>
      <c r="G143" s="9"/>
      <c r="H143" s="44" t="str">
        <f>IF(D143="","",IF(ISNUMBER(SEARCH(SETTINGS!$K$4,D143)),SETTINGS!$L$4,IF(ISNUMBER(SEARCH(SETTINGS!$K$5,D143)),SETTINGS!$L$5,IF(ISNUMBER(SEARCH(SETTINGS!$K$6,D143)),SETTINGS!$L$6,IF(ISNUMBER(SEARCH(SETTINGS!$K$7,D143)),SETTINGS!$L$7,IF(ISNUMBER(SEARCH(SETTINGS!$K$8,D143)),SETTINGS!$L$8,IF(ISNUMBER(SEARCH(SETTINGS!$K$9,D143)),SETTINGS!$L$9,IF(ISNUMBER(SEARCH(SETTINGS!$K$10,D143)),SETTINGS!$L$10,IF(ISNUMBER(SEARCH(SETTINGS!$K$11,D143)),SETTINGS!$L$11,IF(ISNUMBER(SEARCH(SETTINGS!$K$12,D143)),SETTINGS!$L$12,IF(ISNUMBER(SEARCH(SETTINGS!$K$13,D143)),SETTINGS!$L$13,IF(ISNUMBER(SEARCH(SETTINGS!$K$14,D143)),SETTINGS!$L$14,IF(ISNUMBER(SEARCH(SETTINGS!$K$15,D143)),SETTINGS!$L$15,IF(ISNUMBER(SEARCH(SETTINGS!$K$16,D143)),SETTINGS!$L$16,IF(ISNUMBER(SEARCH(SETTINGS!$K$17,D143)),SETTINGS!$L$17,IF(ISNUMBER(SEARCH(SETTINGS!$K$18,D143)),SETTINGS!$L$18,"Miscellaneous"))))))))))))))))</f>
        <v/>
      </c>
      <c r="I143" s="44" t="str">
        <f t="shared" si="16"/>
        <v/>
      </c>
      <c r="J143" s="9"/>
      <c r="K143" s="9"/>
      <c r="L143" s="9"/>
      <c r="M143" s="9"/>
      <c r="N143" s="9"/>
      <c r="O143" s="9"/>
      <c r="P143" s="13"/>
      <c r="Q143" s="9"/>
      <c r="R143" s="9"/>
      <c r="S143" s="9"/>
      <c r="T143" s="11"/>
      <c r="U143" s="44" t="str">
        <f t="shared" si="17"/>
        <v/>
      </c>
      <c r="V143" s="44" t="str">
        <f t="shared" si="18"/>
        <v/>
      </c>
      <c r="W143" s="44" t="str">
        <f t="shared" si="19"/>
        <v/>
      </c>
      <c r="X143" s="44" t="str">
        <f t="shared" si="20"/>
        <v/>
      </c>
      <c r="Y143" s="44" t="str">
        <f t="shared" si="21"/>
        <v/>
      </c>
      <c r="Z143" s="44" t="str">
        <f t="shared" si="22"/>
        <v/>
      </c>
      <c r="AA143" s="50" t="str">
        <f t="shared" si="23"/>
        <v/>
      </c>
      <c r="AB143" s="50" t="str">
        <f>IF(OR(B143="",C143&lt;&gt;"Expense"),"",IF(E143&gt;IFERROR(AVERAGEIFS($E$8:$E$1007,$I$8:$I$1007,I143,$C$8:$C$1007,"Expense")*SETTINGS!$B$20,0),"Unusually High","Normal"))</f>
        <v/>
      </c>
      <c r="AC143" s="51"/>
      <c r="AD143" s="51"/>
      <c r="AE143" s="51"/>
      <c r="AF143" s="50" t="str">
        <f>IF(A143&lt;&gt;"Yes","No",IF(AND(AC143="Yes",SETTINGS!$B$16="No"),"No","Yes"))</f>
        <v>No</v>
      </c>
      <c r="AG143" s="50" t="str">
        <f>IF(A143&lt;&gt;"Yes","",IF(OR(B143="",D143="",E143&lt;=0,F143="",I143=""),"Check Required Fields",IF(AA143="Possible Duplicate","Possible Duplicate",IF(E143&gt;SETTINGS!$B$22,"Review Extreme Value","OK"))))</f>
        <v/>
      </c>
    </row>
    <row r="144" spans="1:33" ht="14.4">
      <c r="A144" s="9"/>
      <c r="B144" s="13"/>
      <c r="C144" s="9"/>
      <c r="D144" s="9"/>
      <c r="E144" s="11"/>
      <c r="F144" s="9"/>
      <c r="G144" s="9"/>
      <c r="H144" s="44" t="str">
        <f>IF(D144="","",IF(ISNUMBER(SEARCH(SETTINGS!$K$4,D144)),SETTINGS!$L$4,IF(ISNUMBER(SEARCH(SETTINGS!$K$5,D144)),SETTINGS!$L$5,IF(ISNUMBER(SEARCH(SETTINGS!$K$6,D144)),SETTINGS!$L$6,IF(ISNUMBER(SEARCH(SETTINGS!$K$7,D144)),SETTINGS!$L$7,IF(ISNUMBER(SEARCH(SETTINGS!$K$8,D144)),SETTINGS!$L$8,IF(ISNUMBER(SEARCH(SETTINGS!$K$9,D144)),SETTINGS!$L$9,IF(ISNUMBER(SEARCH(SETTINGS!$K$10,D144)),SETTINGS!$L$10,IF(ISNUMBER(SEARCH(SETTINGS!$K$11,D144)),SETTINGS!$L$11,IF(ISNUMBER(SEARCH(SETTINGS!$K$12,D144)),SETTINGS!$L$12,IF(ISNUMBER(SEARCH(SETTINGS!$K$13,D144)),SETTINGS!$L$13,IF(ISNUMBER(SEARCH(SETTINGS!$K$14,D144)),SETTINGS!$L$14,IF(ISNUMBER(SEARCH(SETTINGS!$K$15,D144)),SETTINGS!$L$15,IF(ISNUMBER(SEARCH(SETTINGS!$K$16,D144)),SETTINGS!$L$16,IF(ISNUMBER(SEARCH(SETTINGS!$K$17,D144)),SETTINGS!$L$17,IF(ISNUMBER(SEARCH(SETTINGS!$K$18,D144)),SETTINGS!$L$18,"Miscellaneous"))))))))))))))))</f>
        <v/>
      </c>
      <c r="I144" s="44" t="str">
        <f t="shared" si="16"/>
        <v/>
      </c>
      <c r="J144" s="9"/>
      <c r="K144" s="9"/>
      <c r="L144" s="9"/>
      <c r="M144" s="9"/>
      <c r="N144" s="9"/>
      <c r="O144" s="9"/>
      <c r="P144" s="13"/>
      <c r="Q144" s="9"/>
      <c r="R144" s="9"/>
      <c r="S144" s="9"/>
      <c r="T144" s="11"/>
      <c r="U144" s="44" t="str">
        <f t="shared" si="17"/>
        <v/>
      </c>
      <c r="V144" s="44" t="str">
        <f t="shared" si="18"/>
        <v/>
      </c>
      <c r="W144" s="44" t="str">
        <f t="shared" si="19"/>
        <v/>
      </c>
      <c r="X144" s="44" t="str">
        <f t="shared" si="20"/>
        <v/>
      </c>
      <c r="Y144" s="44" t="str">
        <f t="shared" si="21"/>
        <v/>
      </c>
      <c r="Z144" s="44" t="str">
        <f t="shared" si="22"/>
        <v/>
      </c>
      <c r="AA144" s="50" t="str">
        <f t="shared" si="23"/>
        <v/>
      </c>
      <c r="AB144" s="50" t="str">
        <f>IF(OR(B144="",C144&lt;&gt;"Expense"),"",IF(E144&gt;IFERROR(AVERAGEIFS($E$8:$E$1007,$I$8:$I$1007,I144,$C$8:$C$1007,"Expense")*SETTINGS!$B$20,0),"Unusually High","Normal"))</f>
        <v/>
      </c>
      <c r="AC144" s="51"/>
      <c r="AD144" s="51"/>
      <c r="AE144" s="51"/>
      <c r="AF144" s="50" t="str">
        <f>IF(A144&lt;&gt;"Yes","No",IF(AND(AC144="Yes",SETTINGS!$B$16="No"),"No","Yes"))</f>
        <v>No</v>
      </c>
      <c r="AG144" s="50" t="str">
        <f>IF(A144&lt;&gt;"Yes","",IF(OR(B144="",D144="",E144&lt;=0,F144="",I144=""),"Check Required Fields",IF(AA144="Possible Duplicate","Possible Duplicate",IF(E144&gt;SETTINGS!$B$22,"Review Extreme Value","OK"))))</f>
        <v/>
      </c>
    </row>
    <row r="145" spans="1:33" ht="14.4">
      <c r="A145" s="9"/>
      <c r="B145" s="13"/>
      <c r="C145" s="9"/>
      <c r="D145" s="9"/>
      <c r="E145" s="11"/>
      <c r="F145" s="9"/>
      <c r="G145" s="9"/>
      <c r="H145" s="44" t="str">
        <f>IF(D145="","",IF(ISNUMBER(SEARCH(SETTINGS!$K$4,D145)),SETTINGS!$L$4,IF(ISNUMBER(SEARCH(SETTINGS!$K$5,D145)),SETTINGS!$L$5,IF(ISNUMBER(SEARCH(SETTINGS!$K$6,D145)),SETTINGS!$L$6,IF(ISNUMBER(SEARCH(SETTINGS!$K$7,D145)),SETTINGS!$L$7,IF(ISNUMBER(SEARCH(SETTINGS!$K$8,D145)),SETTINGS!$L$8,IF(ISNUMBER(SEARCH(SETTINGS!$K$9,D145)),SETTINGS!$L$9,IF(ISNUMBER(SEARCH(SETTINGS!$K$10,D145)),SETTINGS!$L$10,IF(ISNUMBER(SEARCH(SETTINGS!$K$11,D145)),SETTINGS!$L$11,IF(ISNUMBER(SEARCH(SETTINGS!$K$12,D145)),SETTINGS!$L$12,IF(ISNUMBER(SEARCH(SETTINGS!$K$13,D145)),SETTINGS!$L$13,IF(ISNUMBER(SEARCH(SETTINGS!$K$14,D145)),SETTINGS!$L$14,IF(ISNUMBER(SEARCH(SETTINGS!$K$15,D145)),SETTINGS!$L$15,IF(ISNUMBER(SEARCH(SETTINGS!$K$16,D145)),SETTINGS!$L$16,IF(ISNUMBER(SEARCH(SETTINGS!$K$17,D145)),SETTINGS!$L$17,IF(ISNUMBER(SEARCH(SETTINGS!$K$18,D145)),SETTINGS!$L$18,"Miscellaneous"))))))))))))))))</f>
        <v/>
      </c>
      <c r="I145" s="44" t="str">
        <f t="shared" si="16"/>
        <v/>
      </c>
      <c r="J145" s="9"/>
      <c r="K145" s="9"/>
      <c r="L145" s="9"/>
      <c r="M145" s="9"/>
      <c r="N145" s="9"/>
      <c r="O145" s="9"/>
      <c r="P145" s="13"/>
      <c r="Q145" s="9"/>
      <c r="R145" s="9"/>
      <c r="S145" s="9"/>
      <c r="T145" s="11"/>
      <c r="U145" s="44" t="str">
        <f t="shared" si="17"/>
        <v/>
      </c>
      <c r="V145" s="44" t="str">
        <f t="shared" si="18"/>
        <v/>
      </c>
      <c r="W145" s="44" t="str">
        <f t="shared" si="19"/>
        <v/>
      </c>
      <c r="X145" s="44" t="str">
        <f t="shared" si="20"/>
        <v/>
      </c>
      <c r="Y145" s="44" t="str">
        <f t="shared" si="21"/>
        <v/>
      </c>
      <c r="Z145" s="44" t="str">
        <f t="shared" si="22"/>
        <v/>
      </c>
      <c r="AA145" s="50" t="str">
        <f t="shared" si="23"/>
        <v/>
      </c>
      <c r="AB145" s="50" t="str">
        <f>IF(OR(B145="",C145&lt;&gt;"Expense"),"",IF(E145&gt;IFERROR(AVERAGEIFS($E$8:$E$1007,$I$8:$I$1007,I145,$C$8:$C$1007,"Expense")*SETTINGS!$B$20,0),"Unusually High","Normal"))</f>
        <v/>
      </c>
      <c r="AC145" s="51"/>
      <c r="AD145" s="51"/>
      <c r="AE145" s="51"/>
      <c r="AF145" s="50" t="str">
        <f>IF(A145&lt;&gt;"Yes","No",IF(AND(AC145="Yes",SETTINGS!$B$16="No"),"No","Yes"))</f>
        <v>No</v>
      </c>
      <c r="AG145" s="50" t="str">
        <f>IF(A145&lt;&gt;"Yes","",IF(OR(B145="",D145="",E145&lt;=0,F145="",I145=""),"Check Required Fields",IF(AA145="Possible Duplicate","Possible Duplicate",IF(E145&gt;SETTINGS!$B$22,"Review Extreme Value","OK"))))</f>
        <v/>
      </c>
    </row>
    <row r="146" spans="1:33" ht="14.4">
      <c r="A146" s="9"/>
      <c r="B146" s="13"/>
      <c r="C146" s="9"/>
      <c r="D146" s="9"/>
      <c r="E146" s="11"/>
      <c r="F146" s="9"/>
      <c r="G146" s="9"/>
      <c r="H146" s="44" t="str">
        <f>IF(D146="","",IF(ISNUMBER(SEARCH(SETTINGS!$K$4,D146)),SETTINGS!$L$4,IF(ISNUMBER(SEARCH(SETTINGS!$K$5,D146)),SETTINGS!$L$5,IF(ISNUMBER(SEARCH(SETTINGS!$K$6,D146)),SETTINGS!$L$6,IF(ISNUMBER(SEARCH(SETTINGS!$K$7,D146)),SETTINGS!$L$7,IF(ISNUMBER(SEARCH(SETTINGS!$K$8,D146)),SETTINGS!$L$8,IF(ISNUMBER(SEARCH(SETTINGS!$K$9,D146)),SETTINGS!$L$9,IF(ISNUMBER(SEARCH(SETTINGS!$K$10,D146)),SETTINGS!$L$10,IF(ISNUMBER(SEARCH(SETTINGS!$K$11,D146)),SETTINGS!$L$11,IF(ISNUMBER(SEARCH(SETTINGS!$K$12,D146)),SETTINGS!$L$12,IF(ISNUMBER(SEARCH(SETTINGS!$K$13,D146)),SETTINGS!$L$13,IF(ISNUMBER(SEARCH(SETTINGS!$K$14,D146)),SETTINGS!$L$14,IF(ISNUMBER(SEARCH(SETTINGS!$K$15,D146)),SETTINGS!$L$15,IF(ISNUMBER(SEARCH(SETTINGS!$K$16,D146)),SETTINGS!$L$16,IF(ISNUMBER(SEARCH(SETTINGS!$K$17,D146)),SETTINGS!$L$17,IF(ISNUMBER(SEARCH(SETTINGS!$K$18,D146)),SETTINGS!$L$18,"Miscellaneous"))))))))))))))))</f>
        <v/>
      </c>
      <c r="I146" s="44" t="str">
        <f t="shared" si="16"/>
        <v/>
      </c>
      <c r="J146" s="9"/>
      <c r="K146" s="9"/>
      <c r="L146" s="9"/>
      <c r="M146" s="9"/>
      <c r="N146" s="9"/>
      <c r="O146" s="9"/>
      <c r="P146" s="13"/>
      <c r="Q146" s="9"/>
      <c r="R146" s="9"/>
      <c r="S146" s="9"/>
      <c r="T146" s="11"/>
      <c r="U146" s="44" t="str">
        <f t="shared" si="17"/>
        <v/>
      </c>
      <c r="V146" s="44" t="str">
        <f t="shared" si="18"/>
        <v/>
      </c>
      <c r="W146" s="44" t="str">
        <f t="shared" si="19"/>
        <v/>
      </c>
      <c r="X146" s="44" t="str">
        <f t="shared" si="20"/>
        <v/>
      </c>
      <c r="Y146" s="44" t="str">
        <f t="shared" si="21"/>
        <v/>
      </c>
      <c r="Z146" s="44" t="str">
        <f t="shared" si="22"/>
        <v/>
      </c>
      <c r="AA146" s="50" t="str">
        <f t="shared" si="23"/>
        <v/>
      </c>
      <c r="AB146" s="50" t="str">
        <f>IF(OR(B146="",C146&lt;&gt;"Expense"),"",IF(E146&gt;IFERROR(AVERAGEIFS($E$8:$E$1007,$I$8:$I$1007,I146,$C$8:$C$1007,"Expense")*SETTINGS!$B$20,0),"Unusually High","Normal"))</f>
        <v/>
      </c>
      <c r="AC146" s="51"/>
      <c r="AD146" s="51"/>
      <c r="AE146" s="51"/>
      <c r="AF146" s="50" t="str">
        <f>IF(A146&lt;&gt;"Yes","No",IF(AND(AC146="Yes",SETTINGS!$B$16="No"),"No","Yes"))</f>
        <v>No</v>
      </c>
      <c r="AG146" s="50" t="str">
        <f>IF(A146&lt;&gt;"Yes","",IF(OR(B146="",D146="",E146&lt;=0,F146="",I146=""),"Check Required Fields",IF(AA146="Possible Duplicate","Possible Duplicate",IF(E146&gt;SETTINGS!$B$22,"Review Extreme Value","OK"))))</f>
        <v/>
      </c>
    </row>
    <row r="147" spans="1:33" ht="14.4">
      <c r="A147" s="9"/>
      <c r="B147" s="13"/>
      <c r="C147" s="9"/>
      <c r="D147" s="9"/>
      <c r="E147" s="11"/>
      <c r="F147" s="9"/>
      <c r="G147" s="9"/>
      <c r="H147" s="44" t="str">
        <f>IF(D147="","",IF(ISNUMBER(SEARCH(SETTINGS!$K$4,D147)),SETTINGS!$L$4,IF(ISNUMBER(SEARCH(SETTINGS!$K$5,D147)),SETTINGS!$L$5,IF(ISNUMBER(SEARCH(SETTINGS!$K$6,D147)),SETTINGS!$L$6,IF(ISNUMBER(SEARCH(SETTINGS!$K$7,D147)),SETTINGS!$L$7,IF(ISNUMBER(SEARCH(SETTINGS!$K$8,D147)),SETTINGS!$L$8,IF(ISNUMBER(SEARCH(SETTINGS!$K$9,D147)),SETTINGS!$L$9,IF(ISNUMBER(SEARCH(SETTINGS!$K$10,D147)),SETTINGS!$L$10,IF(ISNUMBER(SEARCH(SETTINGS!$K$11,D147)),SETTINGS!$L$11,IF(ISNUMBER(SEARCH(SETTINGS!$K$12,D147)),SETTINGS!$L$12,IF(ISNUMBER(SEARCH(SETTINGS!$K$13,D147)),SETTINGS!$L$13,IF(ISNUMBER(SEARCH(SETTINGS!$K$14,D147)),SETTINGS!$L$14,IF(ISNUMBER(SEARCH(SETTINGS!$K$15,D147)),SETTINGS!$L$15,IF(ISNUMBER(SEARCH(SETTINGS!$K$16,D147)),SETTINGS!$L$16,IF(ISNUMBER(SEARCH(SETTINGS!$K$17,D147)),SETTINGS!$L$17,IF(ISNUMBER(SEARCH(SETTINGS!$K$18,D147)),SETTINGS!$L$18,"Miscellaneous"))))))))))))))))</f>
        <v/>
      </c>
      <c r="I147" s="44" t="str">
        <f t="shared" si="16"/>
        <v/>
      </c>
      <c r="J147" s="9"/>
      <c r="K147" s="9"/>
      <c r="L147" s="9"/>
      <c r="M147" s="9"/>
      <c r="N147" s="9"/>
      <c r="O147" s="9"/>
      <c r="P147" s="13"/>
      <c r="Q147" s="9"/>
      <c r="R147" s="9"/>
      <c r="S147" s="9"/>
      <c r="T147" s="11"/>
      <c r="U147" s="44" t="str">
        <f t="shared" si="17"/>
        <v/>
      </c>
      <c r="V147" s="44" t="str">
        <f t="shared" si="18"/>
        <v/>
      </c>
      <c r="W147" s="44" t="str">
        <f t="shared" si="19"/>
        <v/>
      </c>
      <c r="X147" s="44" t="str">
        <f t="shared" si="20"/>
        <v/>
      </c>
      <c r="Y147" s="44" t="str">
        <f t="shared" si="21"/>
        <v/>
      </c>
      <c r="Z147" s="44" t="str">
        <f t="shared" si="22"/>
        <v/>
      </c>
      <c r="AA147" s="50" t="str">
        <f t="shared" si="23"/>
        <v/>
      </c>
      <c r="AB147" s="50" t="str">
        <f>IF(OR(B147="",C147&lt;&gt;"Expense"),"",IF(E147&gt;IFERROR(AVERAGEIFS($E$8:$E$1007,$I$8:$I$1007,I147,$C$8:$C$1007,"Expense")*SETTINGS!$B$20,0),"Unusually High","Normal"))</f>
        <v/>
      </c>
      <c r="AC147" s="51"/>
      <c r="AD147" s="51"/>
      <c r="AE147" s="51"/>
      <c r="AF147" s="50" t="str">
        <f>IF(A147&lt;&gt;"Yes","No",IF(AND(AC147="Yes",SETTINGS!$B$16="No"),"No","Yes"))</f>
        <v>No</v>
      </c>
      <c r="AG147" s="50" t="str">
        <f>IF(A147&lt;&gt;"Yes","",IF(OR(B147="",D147="",E147&lt;=0,F147="",I147=""),"Check Required Fields",IF(AA147="Possible Duplicate","Possible Duplicate",IF(E147&gt;SETTINGS!$B$22,"Review Extreme Value","OK"))))</f>
        <v/>
      </c>
    </row>
    <row r="148" spans="1:33" ht="14.4">
      <c r="A148" s="9"/>
      <c r="B148" s="13"/>
      <c r="C148" s="9"/>
      <c r="D148" s="9"/>
      <c r="E148" s="11"/>
      <c r="F148" s="9"/>
      <c r="G148" s="9"/>
      <c r="H148" s="44" t="str">
        <f>IF(D148="","",IF(ISNUMBER(SEARCH(SETTINGS!$K$4,D148)),SETTINGS!$L$4,IF(ISNUMBER(SEARCH(SETTINGS!$K$5,D148)),SETTINGS!$L$5,IF(ISNUMBER(SEARCH(SETTINGS!$K$6,D148)),SETTINGS!$L$6,IF(ISNUMBER(SEARCH(SETTINGS!$K$7,D148)),SETTINGS!$L$7,IF(ISNUMBER(SEARCH(SETTINGS!$K$8,D148)),SETTINGS!$L$8,IF(ISNUMBER(SEARCH(SETTINGS!$K$9,D148)),SETTINGS!$L$9,IF(ISNUMBER(SEARCH(SETTINGS!$K$10,D148)),SETTINGS!$L$10,IF(ISNUMBER(SEARCH(SETTINGS!$K$11,D148)),SETTINGS!$L$11,IF(ISNUMBER(SEARCH(SETTINGS!$K$12,D148)),SETTINGS!$L$12,IF(ISNUMBER(SEARCH(SETTINGS!$K$13,D148)),SETTINGS!$L$13,IF(ISNUMBER(SEARCH(SETTINGS!$K$14,D148)),SETTINGS!$L$14,IF(ISNUMBER(SEARCH(SETTINGS!$K$15,D148)),SETTINGS!$L$15,IF(ISNUMBER(SEARCH(SETTINGS!$K$16,D148)),SETTINGS!$L$16,IF(ISNUMBER(SEARCH(SETTINGS!$K$17,D148)),SETTINGS!$L$17,IF(ISNUMBER(SEARCH(SETTINGS!$K$18,D148)),SETTINGS!$L$18,"Miscellaneous"))))))))))))))))</f>
        <v/>
      </c>
      <c r="I148" s="44" t="str">
        <f t="shared" si="16"/>
        <v/>
      </c>
      <c r="J148" s="9"/>
      <c r="K148" s="9"/>
      <c r="L148" s="9"/>
      <c r="M148" s="9"/>
      <c r="N148" s="9"/>
      <c r="O148" s="9"/>
      <c r="P148" s="13"/>
      <c r="Q148" s="9"/>
      <c r="R148" s="9"/>
      <c r="S148" s="9"/>
      <c r="T148" s="11"/>
      <c r="U148" s="44" t="str">
        <f t="shared" si="17"/>
        <v/>
      </c>
      <c r="V148" s="44" t="str">
        <f t="shared" si="18"/>
        <v/>
      </c>
      <c r="W148" s="44" t="str">
        <f t="shared" si="19"/>
        <v/>
      </c>
      <c r="X148" s="44" t="str">
        <f t="shared" si="20"/>
        <v/>
      </c>
      <c r="Y148" s="44" t="str">
        <f t="shared" si="21"/>
        <v/>
      </c>
      <c r="Z148" s="44" t="str">
        <f t="shared" si="22"/>
        <v/>
      </c>
      <c r="AA148" s="50" t="str">
        <f t="shared" si="23"/>
        <v/>
      </c>
      <c r="AB148" s="50" t="str">
        <f>IF(OR(B148="",C148&lt;&gt;"Expense"),"",IF(E148&gt;IFERROR(AVERAGEIFS($E$8:$E$1007,$I$8:$I$1007,I148,$C$8:$C$1007,"Expense")*SETTINGS!$B$20,0),"Unusually High","Normal"))</f>
        <v/>
      </c>
      <c r="AC148" s="51"/>
      <c r="AD148" s="51"/>
      <c r="AE148" s="51"/>
      <c r="AF148" s="50" t="str">
        <f>IF(A148&lt;&gt;"Yes","No",IF(AND(AC148="Yes",SETTINGS!$B$16="No"),"No","Yes"))</f>
        <v>No</v>
      </c>
      <c r="AG148" s="50" t="str">
        <f>IF(A148&lt;&gt;"Yes","",IF(OR(B148="",D148="",E148&lt;=0,F148="",I148=""),"Check Required Fields",IF(AA148="Possible Duplicate","Possible Duplicate",IF(E148&gt;SETTINGS!$B$22,"Review Extreme Value","OK"))))</f>
        <v/>
      </c>
    </row>
    <row r="149" spans="1:33" ht="14.4">
      <c r="A149" s="9"/>
      <c r="B149" s="13"/>
      <c r="C149" s="9"/>
      <c r="D149" s="9"/>
      <c r="E149" s="11"/>
      <c r="F149" s="9"/>
      <c r="G149" s="9"/>
      <c r="H149" s="44" t="str">
        <f>IF(D149="","",IF(ISNUMBER(SEARCH(SETTINGS!$K$4,D149)),SETTINGS!$L$4,IF(ISNUMBER(SEARCH(SETTINGS!$K$5,D149)),SETTINGS!$L$5,IF(ISNUMBER(SEARCH(SETTINGS!$K$6,D149)),SETTINGS!$L$6,IF(ISNUMBER(SEARCH(SETTINGS!$K$7,D149)),SETTINGS!$L$7,IF(ISNUMBER(SEARCH(SETTINGS!$K$8,D149)),SETTINGS!$L$8,IF(ISNUMBER(SEARCH(SETTINGS!$K$9,D149)),SETTINGS!$L$9,IF(ISNUMBER(SEARCH(SETTINGS!$K$10,D149)),SETTINGS!$L$10,IF(ISNUMBER(SEARCH(SETTINGS!$K$11,D149)),SETTINGS!$L$11,IF(ISNUMBER(SEARCH(SETTINGS!$K$12,D149)),SETTINGS!$L$12,IF(ISNUMBER(SEARCH(SETTINGS!$K$13,D149)),SETTINGS!$L$13,IF(ISNUMBER(SEARCH(SETTINGS!$K$14,D149)),SETTINGS!$L$14,IF(ISNUMBER(SEARCH(SETTINGS!$K$15,D149)),SETTINGS!$L$15,IF(ISNUMBER(SEARCH(SETTINGS!$K$16,D149)),SETTINGS!$L$16,IF(ISNUMBER(SEARCH(SETTINGS!$K$17,D149)),SETTINGS!$L$17,IF(ISNUMBER(SEARCH(SETTINGS!$K$18,D149)),SETTINGS!$L$18,"Miscellaneous"))))))))))))))))</f>
        <v/>
      </c>
      <c r="I149" s="44" t="str">
        <f t="shared" si="16"/>
        <v/>
      </c>
      <c r="J149" s="9"/>
      <c r="K149" s="9"/>
      <c r="L149" s="9"/>
      <c r="M149" s="9"/>
      <c r="N149" s="9"/>
      <c r="O149" s="9"/>
      <c r="P149" s="13"/>
      <c r="Q149" s="9"/>
      <c r="R149" s="9"/>
      <c r="S149" s="9"/>
      <c r="T149" s="11"/>
      <c r="U149" s="44" t="str">
        <f t="shared" si="17"/>
        <v/>
      </c>
      <c r="V149" s="44" t="str">
        <f t="shared" si="18"/>
        <v/>
      </c>
      <c r="W149" s="44" t="str">
        <f t="shared" si="19"/>
        <v/>
      </c>
      <c r="X149" s="44" t="str">
        <f t="shared" si="20"/>
        <v/>
      </c>
      <c r="Y149" s="44" t="str">
        <f t="shared" si="21"/>
        <v/>
      </c>
      <c r="Z149" s="44" t="str">
        <f t="shared" si="22"/>
        <v/>
      </c>
      <c r="AA149" s="50" t="str">
        <f t="shared" si="23"/>
        <v/>
      </c>
      <c r="AB149" s="50" t="str">
        <f>IF(OR(B149="",C149&lt;&gt;"Expense"),"",IF(E149&gt;IFERROR(AVERAGEIFS($E$8:$E$1007,$I$8:$I$1007,I149,$C$8:$C$1007,"Expense")*SETTINGS!$B$20,0),"Unusually High","Normal"))</f>
        <v/>
      </c>
      <c r="AC149" s="51"/>
      <c r="AD149" s="51"/>
      <c r="AE149" s="51"/>
      <c r="AF149" s="50" t="str">
        <f>IF(A149&lt;&gt;"Yes","No",IF(AND(AC149="Yes",SETTINGS!$B$16="No"),"No","Yes"))</f>
        <v>No</v>
      </c>
      <c r="AG149" s="50" t="str">
        <f>IF(A149&lt;&gt;"Yes","",IF(OR(B149="",D149="",E149&lt;=0,F149="",I149=""),"Check Required Fields",IF(AA149="Possible Duplicate","Possible Duplicate",IF(E149&gt;SETTINGS!$B$22,"Review Extreme Value","OK"))))</f>
        <v/>
      </c>
    </row>
    <row r="150" spans="1:33" ht="14.4">
      <c r="A150" s="9"/>
      <c r="B150" s="13"/>
      <c r="C150" s="9"/>
      <c r="D150" s="9"/>
      <c r="E150" s="11"/>
      <c r="F150" s="9"/>
      <c r="G150" s="9"/>
      <c r="H150" s="44" t="str">
        <f>IF(D150="","",IF(ISNUMBER(SEARCH(SETTINGS!$K$4,D150)),SETTINGS!$L$4,IF(ISNUMBER(SEARCH(SETTINGS!$K$5,D150)),SETTINGS!$L$5,IF(ISNUMBER(SEARCH(SETTINGS!$K$6,D150)),SETTINGS!$L$6,IF(ISNUMBER(SEARCH(SETTINGS!$K$7,D150)),SETTINGS!$L$7,IF(ISNUMBER(SEARCH(SETTINGS!$K$8,D150)),SETTINGS!$L$8,IF(ISNUMBER(SEARCH(SETTINGS!$K$9,D150)),SETTINGS!$L$9,IF(ISNUMBER(SEARCH(SETTINGS!$K$10,D150)),SETTINGS!$L$10,IF(ISNUMBER(SEARCH(SETTINGS!$K$11,D150)),SETTINGS!$L$11,IF(ISNUMBER(SEARCH(SETTINGS!$K$12,D150)),SETTINGS!$L$12,IF(ISNUMBER(SEARCH(SETTINGS!$K$13,D150)),SETTINGS!$L$13,IF(ISNUMBER(SEARCH(SETTINGS!$K$14,D150)),SETTINGS!$L$14,IF(ISNUMBER(SEARCH(SETTINGS!$K$15,D150)),SETTINGS!$L$15,IF(ISNUMBER(SEARCH(SETTINGS!$K$16,D150)),SETTINGS!$L$16,IF(ISNUMBER(SEARCH(SETTINGS!$K$17,D150)),SETTINGS!$L$17,IF(ISNUMBER(SEARCH(SETTINGS!$K$18,D150)),SETTINGS!$L$18,"Miscellaneous"))))))))))))))))</f>
        <v/>
      </c>
      <c r="I150" s="44" t="str">
        <f t="shared" si="16"/>
        <v/>
      </c>
      <c r="J150" s="9"/>
      <c r="K150" s="9"/>
      <c r="L150" s="9"/>
      <c r="M150" s="9"/>
      <c r="N150" s="9"/>
      <c r="O150" s="9"/>
      <c r="P150" s="13"/>
      <c r="Q150" s="9"/>
      <c r="R150" s="9"/>
      <c r="S150" s="9"/>
      <c r="T150" s="11"/>
      <c r="U150" s="44" t="str">
        <f t="shared" si="17"/>
        <v/>
      </c>
      <c r="V150" s="44" t="str">
        <f t="shared" si="18"/>
        <v/>
      </c>
      <c r="W150" s="44" t="str">
        <f t="shared" si="19"/>
        <v/>
      </c>
      <c r="X150" s="44" t="str">
        <f t="shared" si="20"/>
        <v/>
      </c>
      <c r="Y150" s="44" t="str">
        <f t="shared" si="21"/>
        <v/>
      </c>
      <c r="Z150" s="44" t="str">
        <f t="shared" si="22"/>
        <v/>
      </c>
      <c r="AA150" s="50" t="str">
        <f t="shared" si="23"/>
        <v/>
      </c>
      <c r="AB150" s="50" t="str">
        <f>IF(OR(B150="",C150&lt;&gt;"Expense"),"",IF(E150&gt;IFERROR(AVERAGEIFS($E$8:$E$1007,$I$8:$I$1007,I150,$C$8:$C$1007,"Expense")*SETTINGS!$B$20,0),"Unusually High","Normal"))</f>
        <v/>
      </c>
      <c r="AC150" s="51"/>
      <c r="AD150" s="51"/>
      <c r="AE150" s="51"/>
      <c r="AF150" s="50" t="str">
        <f>IF(A150&lt;&gt;"Yes","No",IF(AND(AC150="Yes",SETTINGS!$B$16="No"),"No","Yes"))</f>
        <v>No</v>
      </c>
      <c r="AG150" s="50" t="str">
        <f>IF(A150&lt;&gt;"Yes","",IF(OR(B150="",D150="",E150&lt;=0,F150="",I150=""),"Check Required Fields",IF(AA150="Possible Duplicate","Possible Duplicate",IF(E150&gt;SETTINGS!$B$22,"Review Extreme Value","OK"))))</f>
        <v/>
      </c>
    </row>
    <row r="151" spans="1:33" ht="14.4">
      <c r="A151" s="9"/>
      <c r="B151" s="13"/>
      <c r="C151" s="9"/>
      <c r="D151" s="9"/>
      <c r="E151" s="11"/>
      <c r="F151" s="9"/>
      <c r="G151" s="9"/>
      <c r="H151" s="44" t="str">
        <f>IF(D151="","",IF(ISNUMBER(SEARCH(SETTINGS!$K$4,D151)),SETTINGS!$L$4,IF(ISNUMBER(SEARCH(SETTINGS!$K$5,D151)),SETTINGS!$L$5,IF(ISNUMBER(SEARCH(SETTINGS!$K$6,D151)),SETTINGS!$L$6,IF(ISNUMBER(SEARCH(SETTINGS!$K$7,D151)),SETTINGS!$L$7,IF(ISNUMBER(SEARCH(SETTINGS!$K$8,D151)),SETTINGS!$L$8,IF(ISNUMBER(SEARCH(SETTINGS!$K$9,D151)),SETTINGS!$L$9,IF(ISNUMBER(SEARCH(SETTINGS!$K$10,D151)),SETTINGS!$L$10,IF(ISNUMBER(SEARCH(SETTINGS!$K$11,D151)),SETTINGS!$L$11,IF(ISNUMBER(SEARCH(SETTINGS!$K$12,D151)),SETTINGS!$L$12,IF(ISNUMBER(SEARCH(SETTINGS!$K$13,D151)),SETTINGS!$L$13,IF(ISNUMBER(SEARCH(SETTINGS!$K$14,D151)),SETTINGS!$L$14,IF(ISNUMBER(SEARCH(SETTINGS!$K$15,D151)),SETTINGS!$L$15,IF(ISNUMBER(SEARCH(SETTINGS!$K$16,D151)),SETTINGS!$L$16,IF(ISNUMBER(SEARCH(SETTINGS!$K$17,D151)),SETTINGS!$L$17,IF(ISNUMBER(SEARCH(SETTINGS!$K$18,D151)),SETTINGS!$L$18,"Miscellaneous"))))))))))))))))</f>
        <v/>
      </c>
      <c r="I151" s="44" t="str">
        <f t="shared" si="16"/>
        <v/>
      </c>
      <c r="J151" s="9"/>
      <c r="K151" s="9"/>
      <c r="L151" s="9"/>
      <c r="M151" s="9"/>
      <c r="N151" s="9"/>
      <c r="O151" s="9"/>
      <c r="P151" s="13"/>
      <c r="Q151" s="9"/>
      <c r="R151" s="9"/>
      <c r="S151" s="9"/>
      <c r="T151" s="11"/>
      <c r="U151" s="44" t="str">
        <f t="shared" si="17"/>
        <v/>
      </c>
      <c r="V151" s="44" t="str">
        <f t="shared" si="18"/>
        <v/>
      </c>
      <c r="W151" s="44" t="str">
        <f t="shared" si="19"/>
        <v/>
      </c>
      <c r="X151" s="44" t="str">
        <f t="shared" si="20"/>
        <v/>
      </c>
      <c r="Y151" s="44" t="str">
        <f t="shared" si="21"/>
        <v/>
      </c>
      <c r="Z151" s="44" t="str">
        <f t="shared" si="22"/>
        <v/>
      </c>
      <c r="AA151" s="50" t="str">
        <f t="shared" si="23"/>
        <v/>
      </c>
      <c r="AB151" s="50" t="str">
        <f>IF(OR(B151="",C151&lt;&gt;"Expense"),"",IF(E151&gt;IFERROR(AVERAGEIFS($E$8:$E$1007,$I$8:$I$1007,I151,$C$8:$C$1007,"Expense")*SETTINGS!$B$20,0),"Unusually High","Normal"))</f>
        <v/>
      </c>
      <c r="AC151" s="51"/>
      <c r="AD151" s="51"/>
      <c r="AE151" s="51"/>
      <c r="AF151" s="50" t="str">
        <f>IF(A151&lt;&gt;"Yes","No",IF(AND(AC151="Yes",SETTINGS!$B$16="No"),"No","Yes"))</f>
        <v>No</v>
      </c>
      <c r="AG151" s="50" t="str">
        <f>IF(A151&lt;&gt;"Yes","",IF(OR(B151="",D151="",E151&lt;=0,F151="",I151=""),"Check Required Fields",IF(AA151="Possible Duplicate","Possible Duplicate",IF(E151&gt;SETTINGS!$B$22,"Review Extreme Value","OK"))))</f>
        <v/>
      </c>
    </row>
    <row r="152" spans="1:33" ht="14.4">
      <c r="A152" s="9"/>
      <c r="B152" s="13"/>
      <c r="C152" s="9"/>
      <c r="D152" s="9"/>
      <c r="E152" s="11"/>
      <c r="F152" s="9"/>
      <c r="G152" s="9"/>
      <c r="H152" s="44" t="str">
        <f>IF(D152="","",IF(ISNUMBER(SEARCH(SETTINGS!$K$4,D152)),SETTINGS!$L$4,IF(ISNUMBER(SEARCH(SETTINGS!$K$5,D152)),SETTINGS!$L$5,IF(ISNUMBER(SEARCH(SETTINGS!$K$6,D152)),SETTINGS!$L$6,IF(ISNUMBER(SEARCH(SETTINGS!$K$7,D152)),SETTINGS!$L$7,IF(ISNUMBER(SEARCH(SETTINGS!$K$8,D152)),SETTINGS!$L$8,IF(ISNUMBER(SEARCH(SETTINGS!$K$9,D152)),SETTINGS!$L$9,IF(ISNUMBER(SEARCH(SETTINGS!$K$10,D152)),SETTINGS!$L$10,IF(ISNUMBER(SEARCH(SETTINGS!$K$11,D152)),SETTINGS!$L$11,IF(ISNUMBER(SEARCH(SETTINGS!$K$12,D152)),SETTINGS!$L$12,IF(ISNUMBER(SEARCH(SETTINGS!$K$13,D152)),SETTINGS!$L$13,IF(ISNUMBER(SEARCH(SETTINGS!$K$14,D152)),SETTINGS!$L$14,IF(ISNUMBER(SEARCH(SETTINGS!$K$15,D152)),SETTINGS!$L$15,IF(ISNUMBER(SEARCH(SETTINGS!$K$16,D152)),SETTINGS!$L$16,IF(ISNUMBER(SEARCH(SETTINGS!$K$17,D152)),SETTINGS!$L$17,IF(ISNUMBER(SEARCH(SETTINGS!$K$18,D152)),SETTINGS!$L$18,"Miscellaneous"))))))))))))))))</f>
        <v/>
      </c>
      <c r="I152" s="44" t="str">
        <f t="shared" si="16"/>
        <v/>
      </c>
      <c r="J152" s="9"/>
      <c r="K152" s="9"/>
      <c r="L152" s="9"/>
      <c r="M152" s="9"/>
      <c r="N152" s="9"/>
      <c r="O152" s="9"/>
      <c r="P152" s="13"/>
      <c r="Q152" s="9"/>
      <c r="R152" s="9"/>
      <c r="S152" s="9"/>
      <c r="T152" s="11"/>
      <c r="U152" s="44" t="str">
        <f t="shared" si="17"/>
        <v/>
      </c>
      <c r="V152" s="44" t="str">
        <f t="shared" si="18"/>
        <v/>
      </c>
      <c r="W152" s="44" t="str">
        <f t="shared" si="19"/>
        <v/>
      </c>
      <c r="X152" s="44" t="str">
        <f t="shared" si="20"/>
        <v/>
      </c>
      <c r="Y152" s="44" t="str">
        <f t="shared" si="21"/>
        <v/>
      </c>
      <c r="Z152" s="44" t="str">
        <f t="shared" si="22"/>
        <v/>
      </c>
      <c r="AA152" s="50" t="str">
        <f t="shared" si="23"/>
        <v/>
      </c>
      <c r="AB152" s="50" t="str">
        <f>IF(OR(B152="",C152&lt;&gt;"Expense"),"",IF(E152&gt;IFERROR(AVERAGEIFS($E$8:$E$1007,$I$8:$I$1007,I152,$C$8:$C$1007,"Expense")*SETTINGS!$B$20,0),"Unusually High","Normal"))</f>
        <v/>
      </c>
      <c r="AC152" s="51"/>
      <c r="AD152" s="51"/>
      <c r="AE152" s="51"/>
      <c r="AF152" s="50" t="str">
        <f>IF(A152&lt;&gt;"Yes","No",IF(AND(AC152="Yes",SETTINGS!$B$16="No"),"No","Yes"))</f>
        <v>No</v>
      </c>
      <c r="AG152" s="50" t="str">
        <f>IF(A152&lt;&gt;"Yes","",IF(OR(B152="",D152="",E152&lt;=0,F152="",I152=""),"Check Required Fields",IF(AA152="Possible Duplicate","Possible Duplicate",IF(E152&gt;SETTINGS!$B$22,"Review Extreme Value","OK"))))</f>
        <v/>
      </c>
    </row>
    <row r="153" spans="1:33" ht="14.4">
      <c r="A153" s="9"/>
      <c r="B153" s="13"/>
      <c r="C153" s="9"/>
      <c r="D153" s="9"/>
      <c r="E153" s="11"/>
      <c r="F153" s="9"/>
      <c r="G153" s="9"/>
      <c r="H153" s="44" t="str">
        <f>IF(D153="","",IF(ISNUMBER(SEARCH(SETTINGS!$K$4,D153)),SETTINGS!$L$4,IF(ISNUMBER(SEARCH(SETTINGS!$K$5,D153)),SETTINGS!$L$5,IF(ISNUMBER(SEARCH(SETTINGS!$K$6,D153)),SETTINGS!$L$6,IF(ISNUMBER(SEARCH(SETTINGS!$K$7,D153)),SETTINGS!$L$7,IF(ISNUMBER(SEARCH(SETTINGS!$K$8,D153)),SETTINGS!$L$8,IF(ISNUMBER(SEARCH(SETTINGS!$K$9,D153)),SETTINGS!$L$9,IF(ISNUMBER(SEARCH(SETTINGS!$K$10,D153)),SETTINGS!$L$10,IF(ISNUMBER(SEARCH(SETTINGS!$K$11,D153)),SETTINGS!$L$11,IF(ISNUMBER(SEARCH(SETTINGS!$K$12,D153)),SETTINGS!$L$12,IF(ISNUMBER(SEARCH(SETTINGS!$K$13,D153)),SETTINGS!$L$13,IF(ISNUMBER(SEARCH(SETTINGS!$K$14,D153)),SETTINGS!$L$14,IF(ISNUMBER(SEARCH(SETTINGS!$K$15,D153)),SETTINGS!$L$15,IF(ISNUMBER(SEARCH(SETTINGS!$K$16,D153)),SETTINGS!$L$16,IF(ISNUMBER(SEARCH(SETTINGS!$K$17,D153)),SETTINGS!$L$17,IF(ISNUMBER(SEARCH(SETTINGS!$K$18,D153)),SETTINGS!$L$18,"Miscellaneous"))))))))))))))))</f>
        <v/>
      </c>
      <c r="I153" s="44" t="str">
        <f t="shared" si="16"/>
        <v/>
      </c>
      <c r="J153" s="9"/>
      <c r="K153" s="9"/>
      <c r="L153" s="9"/>
      <c r="M153" s="9"/>
      <c r="N153" s="9"/>
      <c r="O153" s="9"/>
      <c r="P153" s="13"/>
      <c r="Q153" s="9"/>
      <c r="R153" s="9"/>
      <c r="S153" s="9"/>
      <c r="T153" s="11"/>
      <c r="U153" s="44" t="str">
        <f t="shared" si="17"/>
        <v/>
      </c>
      <c r="V153" s="44" t="str">
        <f t="shared" si="18"/>
        <v/>
      </c>
      <c r="W153" s="44" t="str">
        <f t="shared" si="19"/>
        <v/>
      </c>
      <c r="X153" s="44" t="str">
        <f t="shared" si="20"/>
        <v/>
      </c>
      <c r="Y153" s="44" t="str">
        <f t="shared" si="21"/>
        <v/>
      </c>
      <c r="Z153" s="44" t="str">
        <f t="shared" si="22"/>
        <v/>
      </c>
      <c r="AA153" s="50" t="str">
        <f t="shared" si="23"/>
        <v/>
      </c>
      <c r="AB153" s="50" t="str">
        <f>IF(OR(B153="",C153&lt;&gt;"Expense"),"",IF(E153&gt;IFERROR(AVERAGEIFS($E$8:$E$1007,$I$8:$I$1007,I153,$C$8:$C$1007,"Expense")*SETTINGS!$B$20,0),"Unusually High","Normal"))</f>
        <v/>
      </c>
      <c r="AC153" s="51"/>
      <c r="AD153" s="51"/>
      <c r="AE153" s="51"/>
      <c r="AF153" s="50" t="str">
        <f>IF(A153&lt;&gt;"Yes","No",IF(AND(AC153="Yes",SETTINGS!$B$16="No"),"No","Yes"))</f>
        <v>No</v>
      </c>
      <c r="AG153" s="50" t="str">
        <f>IF(A153&lt;&gt;"Yes","",IF(OR(B153="",D153="",E153&lt;=0,F153="",I153=""),"Check Required Fields",IF(AA153="Possible Duplicate","Possible Duplicate",IF(E153&gt;SETTINGS!$B$22,"Review Extreme Value","OK"))))</f>
        <v/>
      </c>
    </row>
    <row r="154" spans="1:33" ht="14.4">
      <c r="A154" s="9"/>
      <c r="B154" s="13"/>
      <c r="C154" s="9"/>
      <c r="D154" s="9"/>
      <c r="E154" s="11"/>
      <c r="F154" s="9"/>
      <c r="G154" s="9"/>
      <c r="H154" s="44" t="str">
        <f>IF(D154="","",IF(ISNUMBER(SEARCH(SETTINGS!$K$4,D154)),SETTINGS!$L$4,IF(ISNUMBER(SEARCH(SETTINGS!$K$5,D154)),SETTINGS!$L$5,IF(ISNUMBER(SEARCH(SETTINGS!$K$6,D154)),SETTINGS!$L$6,IF(ISNUMBER(SEARCH(SETTINGS!$K$7,D154)),SETTINGS!$L$7,IF(ISNUMBER(SEARCH(SETTINGS!$K$8,D154)),SETTINGS!$L$8,IF(ISNUMBER(SEARCH(SETTINGS!$K$9,D154)),SETTINGS!$L$9,IF(ISNUMBER(SEARCH(SETTINGS!$K$10,D154)),SETTINGS!$L$10,IF(ISNUMBER(SEARCH(SETTINGS!$K$11,D154)),SETTINGS!$L$11,IF(ISNUMBER(SEARCH(SETTINGS!$K$12,D154)),SETTINGS!$L$12,IF(ISNUMBER(SEARCH(SETTINGS!$K$13,D154)),SETTINGS!$L$13,IF(ISNUMBER(SEARCH(SETTINGS!$K$14,D154)),SETTINGS!$L$14,IF(ISNUMBER(SEARCH(SETTINGS!$K$15,D154)),SETTINGS!$L$15,IF(ISNUMBER(SEARCH(SETTINGS!$K$16,D154)),SETTINGS!$L$16,IF(ISNUMBER(SEARCH(SETTINGS!$K$17,D154)),SETTINGS!$L$17,IF(ISNUMBER(SEARCH(SETTINGS!$K$18,D154)),SETTINGS!$L$18,"Miscellaneous"))))))))))))))))</f>
        <v/>
      </c>
      <c r="I154" s="44" t="str">
        <f t="shared" si="16"/>
        <v/>
      </c>
      <c r="J154" s="9"/>
      <c r="K154" s="9"/>
      <c r="L154" s="9"/>
      <c r="M154" s="9"/>
      <c r="N154" s="9"/>
      <c r="O154" s="9"/>
      <c r="P154" s="13"/>
      <c r="Q154" s="9"/>
      <c r="R154" s="9"/>
      <c r="S154" s="9"/>
      <c r="T154" s="11"/>
      <c r="U154" s="44" t="str">
        <f t="shared" si="17"/>
        <v/>
      </c>
      <c r="V154" s="44" t="str">
        <f t="shared" si="18"/>
        <v/>
      </c>
      <c r="W154" s="44" t="str">
        <f t="shared" si="19"/>
        <v/>
      </c>
      <c r="X154" s="44" t="str">
        <f t="shared" si="20"/>
        <v/>
      </c>
      <c r="Y154" s="44" t="str">
        <f t="shared" si="21"/>
        <v/>
      </c>
      <c r="Z154" s="44" t="str">
        <f t="shared" si="22"/>
        <v/>
      </c>
      <c r="AA154" s="50" t="str">
        <f t="shared" si="23"/>
        <v/>
      </c>
      <c r="AB154" s="50" t="str">
        <f>IF(OR(B154="",C154&lt;&gt;"Expense"),"",IF(E154&gt;IFERROR(AVERAGEIFS($E$8:$E$1007,$I$8:$I$1007,I154,$C$8:$C$1007,"Expense")*SETTINGS!$B$20,0),"Unusually High","Normal"))</f>
        <v/>
      </c>
      <c r="AC154" s="51"/>
      <c r="AD154" s="51"/>
      <c r="AE154" s="51"/>
      <c r="AF154" s="50" t="str">
        <f>IF(A154&lt;&gt;"Yes","No",IF(AND(AC154="Yes",SETTINGS!$B$16="No"),"No","Yes"))</f>
        <v>No</v>
      </c>
      <c r="AG154" s="50" t="str">
        <f>IF(A154&lt;&gt;"Yes","",IF(OR(B154="",D154="",E154&lt;=0,F154="",I154=""),"Check Required Fields",IF(AA154="Possible Duplicate","Possible Duplicate",IF(E154&gt;SETTINGS!$B$22,"Review Extreme Value","OK"))))</f>
        <v/>
      </c>
    </row>
    <row r="155" spans="1:33" ht="14.4">
      <c r="A155" s="9"/>
      <c r="B155" s="13"/>
      <c r="C155" s="9"/>
      <c r="D155" s="9"/>
      <c r="E155" s="11"/>
      <c r="F155" s="9"/>
      <c r="G155" s="9"/>
      <c r="H155" s="44" t="str">
        <f>IF(D155="","",IF(ISNUMBER(SEARCH(SETTINGS!$K$4,D155)),SETTINGS!$L$4,IF(ISNUMBER(SEARCH(SETTINGS!$K$5,D155)),SETTINGS!$L$5,IF(ISNUMBER(SEARCH(SETTINGS!$K$6,D155)),SETTINGS!$L$6,IF(ISNUMBER(SEARCH(SETTINGS!$K$7,D155)),SETTINGS!$L$7,IF(ISNUMBER(SEARCH(SETTINGS!$K$8,D155)),SETTINGS!$L$8,IF(ISNUMBER(SEARCH(SETTINGS!$K$9,D155)),SETTINGS!$L$9,IF(ISNUMBER(SEARCH(SETTINGS!$K$10,D155)),SETTINGS!$L$10,IF(ISNUMBER(SEARCH(SETTINGS!$K$11,D155)),SETTINGS!$L$11,IF(ISNUMBER(SEARCH(SETTINGS!$K$12,D155)),SETTINGS!$L$12,IF(ISNUMBER(SEARCH(SETTINGS!$K$13,D155)),SETTINGS!$L$13,IF(ISNUMBER(SEARCH(SETTINGS!$K$14,D155)),SETTINGS!$L$14,IF(ISNUMBER(SEARCH(SETTINGS!$K$15,D155)),SETTINGS!$L$15,IF(ISNUMBER(SEARCH(SETTINGS!$K$16,D155)),SETTINGS!$L$16,IF(ISNUMBER(SEARCH(SETTINGS!$K$17,D155)),SETTINGS!$L$17,IF(ISNUMBER(SEARCH(SETTINGS!$K$18,D155)),SETTINGS!$L$18,"Miscellaneous"))))))))))))))))</f>
        <v/>
      </c>
      <c r="I155" s="44" t="str">
        <f t="shared" si="16"/>
        <v/>
      </c>
      <c r="J155" s="9"/>
      <c r="K155" s="9"/>
      <c r="L155" s="9"/>
      <c r="M155" s="9"/>
      <c r="N155" s="9"/>
      <c r="O155" s="9"/>
      <c r="P155" s="13"/>
      <c r="Q155" s="9"/>
      <c r="R155" s="9"/>
      <c r="S155" s="9"/>
      <c r="T155" s="11"/>
      <c r="U155" s="44" t="str">
        <f t="shared" si="17"/>
        <v/>
      </c>
      <c r="V155" s="44" t="str">
        <f t="shared" si="18"/>
        <v/>
      </c>
      <c r="W155" s="44" t="str">
        <f t="shared" si="19"/>
        <v/>
      </c>
      <c r="X155" s="44" t="str">
        <f t="shared" si="20"/>
        <v/>
      </c>
      <c r="Y155" s="44" t="str">
        <f t="shared" si="21"/>
        <v/>
      </c>
      <c r="Z155" s="44" t="str">
        <f t="shared" si="22"/>
        <v/>
      </c>
      <c r="AA155" s="50" t="str">
        <f t="shared" si="23"/>
        <v/>
      </c>
      <c r="AB155" s="50" t="str">
        <f>IF(OR(B155="",C155&lt;&gt;"Expense"),"",IF(E155&gt;IFERROR(AVERAGEIFS($E$8:$E$1007,$I$8:$I$1007,I155,$C$8:$C$1007,"Expense")*SETTINGS!$B$20,0),"Unusually High","Normal"))</f>
        <v/>
      </c>
      <c r="AC155" s="51"/>
      <c r="AD155" s="51"/>
      <c r="AE155" s="51"/>
      <c r="AF155" s="50" t="str">
        <f>IF(A155&lt;&gt;"Yes","No",IF(AND(AC155="Yes",SETTINGS!$B$16="No"),"No","Yes"))</f>
        <v>No</v>
      </c>
      <c r="AG155" s="50" t="str">
        <f>IF(A155&lt;&gt;"Yes","",IF(OR(B155="",D155="",E155&lt;=0,F155="",I155=""),"Check Required Fields",IF(AA155="Possible Duplicate","Possible Duplicate",IF(E155&gt;SETTINGS!$B$22,"Review Extreme Value","OK"))))</f>
        <v/>
      </c>
    </row>
    <row r="156" spans="1:33" ht="14.4">
      <c r="A156" s="9"/>
      <c r="B156" s="13"/>
      <c r="C156" s="9"/>
      <c r="D156" s="9"/>
      <c r="E156" s="11"/>
      <c r="F156" s="9"/>
      <c r="G156" s="9"/>
      <c r="H156" s="44" t="str">
        <f>IF(D156="","",IF(ISNUMBER(SEARCH(SETTINGS!$K$4,D156)),SETTINGS!$L$4,IF(ISNUMBER(SEARCH(SETTINGS!$K$5,D156)),SETTINGS!$L$5,IF(ISNUMBER(SEARCH(SETTINGS!$K$6,D156)),SETTINGS!$L$6,IF(ISNUMBER(SEARCH(SETTINGS!$K$7,D156)),SETTINGS!$L$7,IF(ISNUMBER(SEARCH(SETTINGS!$K$8,D156)),SETTINGS!$L$8,IF(ISNUMBER(SEARCH(SETTINGS!$K$9,D156)),SETTINGS!$L$9,IF(ISNUMBER(SEARCH(SETTINGS!$K$10,D156)),SETTINGS!$L$10,IF(ISNUMBER(SEARCH(SETTINGS!$K$11,D156)),SETTINGS!$L$11,IF(ISNUMBER(SEARCH(SETTINGS!$K$12,D156)),SETTINGS!$L$12,IF(ISNUMBER(SEARCH(SETTINGS!$K$13,D156)),SETTINGS!$L$13,IF(ISNUMBER(SEARCH(SETTINGS!$K$14,D156)),SETTINGS!$L$14,IF(ISNUMBER(SEARCH(SETTINGS!$K$15,D156)),SETTINGS!$L$15,IF(ISNUMBER(SEARCH(SETTINGS!$K$16,D156)),SETTINGS!$L$16,IF(ISNUMBER(SEARCH(SETTINGS!$K$17,D156)),SETTINGS!$L$17,IF(ISNUMBER(SEARCH(SETTINGS!$K$18,D156)),SETTINGS!$L$18,"Miscellaneous"))))))))))))))))</f>
        <v/>
      </c>
      <c r="I156" s="44" t="str">
        <f t="shared" si="16"/>
        <v/>
      </c>
      <c r="J156" s="9"/>
      <c r="K156" s="9"/>
      <c r="L156" s="9"/>
      <c r="M156" s="9"/>
      <c r="N156" s="9"/>
      <c r="O156" s="9"/>
      <c r="P156" s="13"/>
      <c r="Q156" s="9"/>
      <c r="R156" s="9"/>
      <c r="S156" s="9"/>
      <c r="T156" s="11"/>
      <c r="U156" s="44" t="str">
        <f t="shared" si="17"/>
        <v/>
      </c>
      <c r="V156" s="44" t="str">
        <f t="shared" si="18"/>
        <v/>
      </c>
      <c r="W156" s="44" t="str">
        <f t="shared" si="19"/>
        <v/>
      </c>
      <c r="X156" s="44" t="str">
        <f t="shared" si="20"/>
        <v/>
      </c>
      <c r="Y156" s="44" t="str">
        <f t="shared" si="21"/>
        <v/>
      </c>
      <c r="Z156" s="44" t="str">
        <f t="shared" si="22"/>
        <v/>
      </c>
      <c r="AA156" s="50" t="str">
        <f t="shared" si="23"/>
        <v/>
      </c>
      <c r="AB156" s="50" t="str">
        <f>IF(OR(B156="",C156&lt;&gt;"Expense"),"",IF(E156&gt;IFERROR(AVERAGEIFS($E$8:$E$1007,$I$8:$I$1007,I156,$C$8:$C$1007,"Expense")*SETTINGS!$B$20,0),"Unusually High","Normal"))</f>
        <v/>
      </c>
      <c r="AC156" s="51"/>
      <c r="AD156" s="51"/>
      <c r="AE156" s="51"/>
      <c r="AF156" s="50" t="str">
        <f>IF(A156&lt;&gt;"Yes","No",IF(AND(AC156="Yes",SETTINGS!$B$16="No"),"No","Yes"))</f>
        <v>No</v>
      </c>
      <c r="AG156" s="50" t="str">
        <f>IF(A156&lt;&gt;"Yes","",IF(OR(B156="",D156="",E156&lt;=0,F156="",I156=""),"Check Required Fields",IF(AA156="Possible Duplicate","Possible Duplicate",IF(E156&gt;SETTINGS!$B$22,"Review Extreme Value","OK"))))</f>
        <v/>
      </c>
    </row>
    <row r="157" spans="1:33" ht="14.4">
      <c r="A157" s="9"/>
      <c r="B157" s="13"/>
      <c r="C157" s="9"/>
      <c r="D157" s="9"/>
      <c r="E157" s="11"/>
      <c r="F157" s="9"/>
      <c r="G157" s="9"/>
      <c r="H157" s="44" t="str">
        <f>IF(D157="","",IF(ISNUMBER(SEARCH(SETTINGS!$K$4,D157)),SETTINGS!$L$4,IF(ISNUMBER(SEARCH(SETTINGS!$K$5,D157)),SETTINGS!$L$5,IF(ISNUMBER(SEARCH(SETTINGS!$K$6,D157)),SETTINGS!$L$6,IF(ISNUMBER(SEARCH(SETTINGS!$K$7,D157)),SETTINGS!$L$7,IF(ISNUMBER(SEARCH(SETTINGS!$K$8,D157)),SETTINGS!$L$8,IF(ISNUMBER(SEARCH(SETTINGS!$K$9,D157)),SETTINGS!$L$9,IF(ISNUMBER(SEARCH(SETTINGS!$K$10,D157)),SETTINGS!$L$10,IF(ISNUMBER(SEARCH(SETTINGS!$K$11,D157)),SETTINGS!$L$11,IF(ISNUMBER(SEARCH(SETTINGS!$K$12,D157)),SETTINGS!$L$12,IF(ISNUMBER(SEARCH(SETTINGS!$K$13,D157)),SETTINGS!$L$13,IF(ISNUMBER(SEARCH(SETTINGS!$K$14,D157)),SETTINGS!$L$14,IF(ISNUMBER(SEARCH(SETTINGS!$K$15,D157)),SETTINGS!$L$15,IF(ISNUMBER(SEARCH(SETTINGS!$K$16,D157)),SETTINGS!$L$16,IF(ISNUMBER(SEARCH(SETTINGS!$K$17,D157)),SETTINGS!$L$17,IF(ISNUMBER(SEARCH(SETTINGS!$K$18,D157)),SETTINGS!$L$18,"Miscellaneous"))))))))))))))))</f>
        <v/>
      </c>
      <c r="I157" s="44" t="str">
        <f t="shared" si="16"/>
        <v/>
      </c>
      <c r="J157" s="9"/>
      <c r="K157" s="9"/>
      <c r="L157" s="9"/>
      <c r="M157" s="9"/>
      <c r="N157" s="9"/>
      <c r="O157" s="9"/>
      <c r="P157" s="13"/>
      <c r="Q157" s="9"/>
      <c r="R157" s="9"/>
      <c r="S157" s="9"/>
      <c r="T157" s="11"/>
      <c r="U157" s="44" t="str">
        <f t="shared" si="17"/>
        <v/>
      </c>
      <c r="V157" s="44" t="str">
        <f t="shared" si="18"/>
        <v/>
      </c>
      <c r="W157" s="44" t="str">
        <f t="shared" si="19"/>
        <v/>
      </c>
      <c r="X157" s="44" t="str">
        <f t="shared" si="20"/>
        <v/>
      </c>
      <c r="Y157" s="44" t="str">
        <f t="shared" si="21"/>
        <v/>
      </c>
      <c r="Z157" s="44" t="str">
        <f t="shared" si="22"/>
        <v/>
      </c>
      <c r="AA157" s="50" t="str">
        <f t="shared" si="23"/>
        <v/>
      </c>
      <c r="AB157" s="50" t="str">
        <f>IF(OR(B157="",C157&lt;&gt;"Expense"),"",IF(E157&gt;IFERROR(AVERAGEIFS($E$8:$E$1007,$I$8:$I$1007,I157,$C$8:$C$1007,"Expense")*SETTINGS!$B$20,0),"Unusually High","Normal"))</f>
        <v/>
      </c>
      <c r="AC157" s="51"/>
      <c r="AD157" s="51"/>
      <c r="AE157" s="51"/>
      <c r="AF157" s="50" t="str">
        <f>IF(A157&lt;&gt;"Yes","No",IF(AND(AC157="Yes",SETTINGS!$B$16="No"),"No","Yes"))</f>
        <v>No</v>
      </c>
      <c r="AG157" s="50" t="str">
        <f>IF(A157&lt;&gt;"Yes","",IF(OR(B157="",D157="",E157&lt;=0,F157="",I157=""),"Check Required Fields",IF(AA157="Possible Duplicate","Possible Duplicate",IF(E157&gt;SETTINGS!$B$22,"Review Extreme Value","OK"))))</f>
        <v/>
      </c>
    </row>
    <row r="158" spans="1:33" ht="14.4">
      <c r="A158" s="9"/>
      <c r="B158" s="13"/>
      <c r="C158" s="9"/>
      <c r="D158" s="9"/>
      <c r="E158" s="11"/>
      <c r="F158" s="9"/>
      <c r="G158" s="9"/>
      <c r="H158" s="44" t="str">
        <f>IF(D158="","",IF(ISNUMBER(SEARCH(SETTINGS!$K$4,D158)),SETTINGS!$L$4,IF(ISNUMBER(SEARCH(SETTINGS!$K$5,D158)),SETTINGS!$L$5,IF(ISNUMBER(SEARCH(SETTINGS!$K$6,D158)),SETTINGS!$L$6,IF(ISNUMBER(SEARCH(SETTINGS!$K$7,D158)),SETTINGS!$L$7,IF(ISNUMBER(SEARCH(SETTINGS!$K$8,D158)),SETTINGS!$L$8,IF(ISNUMBER(SEARCH(SETTINGS!$K$9,D158)),SETTINGS!$L$9,IF(ISNUMBER(SEARCH(SETTINGS!$K$10,D158)),SETTINGS!$L$10,IF(ISNUMBER(SEARCH(SETTINGS!$K$11,D158)),SETTINGS!$L$11,IF(ISNUMBER(SEARCH(SETTINGS!$K$12,D158)),SETTINGS!$L$12,IF(ISNUMBER(SEARCH(SETTINGS!$K$13,D158)),SETTINGS!$L$13,IF(ISNUMBER(SEARCH(SETTINGS!$K$14,D158)),SETTINGS!$L$14,IF(ISNUMBER(SEARCH(SETTINGS!$K$15,D158)),SETTINGS!$L$15,IF(ISNUMBER(SEARCH(SETTINGS!$K$16,D158)),SETTINGS!$L$16,IF(ISNUMBER(SEARCH(SETTINGS!$K$17,D158)),SETTINGS!$L$17,IF(ISNUMBER(SEARCH(SETTINGS!$K$18,D158)),SETTINGS!$L$18,"Miscellaneous"))))))))))))))))</f>
        <v/>
      </c>
      <c r="I158" s="44" t="str">
        <f t="shared" si="16"/>
        <v/>
      </c>
      <c r="J158" s="9"/>
      <c r="K158" s="9"/>
      <c r="L158" s="9"/>
      <c r="M158" s="9"/>
      <c r="N158" s="9"/>
      <c r="O158" s="9"/>
      <c r="P158" s="13"/>
      <c r="Q158" s="9"/>
      <c r="R158" s="9"/>
      <c r="S158" s="9"/>
      <c r="T158" s="11"/>
      <c r="U158" s="44" t="str">
        <f t="shared" si="17"/>
        <v/>
      </c>
      <c r="V158" s="44" t="str">
        <f t="shared" si="18"/>
        <v/>
      </c>
      <c r="W158" s="44" t="str">
        <f t="shared" si="19"/>
        <v/>
      </c>
      <c r="X158" s="44" t="str">
        <f t="shared" si="20"/>
        <v/>
      </c>
      <c r="Y158" s="44" t="str">
        <f t="shared" si="21"/>
        <v/>
      </c>
      <c r="Z158" s="44" t="str">
        <f t="shared" si="22"/>
        <v/>
      </c>
      <c r="AA158" s="50" t="str">
        <f t="shared" si="23"/>
        <v/>
      </c>
      <c r="AB158" s="50" t="str">
        <f>IF(OR(B158="",C158&lt;&gt;"Expense"),"",IF(E158&gt;IFERROR(AVERAGEIFS($E$8:$E$1007,$I$8:$I$1007,I158,$C$8:$C$1007,"Expense")*SETTINGS!$B$20,0),"Unusually High","Normal"))</f>
        <v/>
      </c>
      <c r="AC158" s="51"/>
      <c r="AD158" s="51"/>
      <c r="AE158" s="51"/>
      <c r="AF158" s="50" t="str">
        <f>IF(A158&lt;&gt;"Yes","No",IF(AND(AC158="Yes",SETTINGS!$B$16="No"),"No","Yes"))</f>
        <v>No</v>
      </c>
      <c r="AG158" s="50" t="str">
        <f>IF(A158&lt;&gt;"Yes","",IF(OR(B158="",D158="",E158&lt;=0,F158="",I158=""),"Check Required Fields",IF(AA158="Possible Duplicate","Possible Duplicate",IF(E158&gt;SETTINGS!$B$22,"Review Extreme Value","OK"))))</f>
        <v/>
      </c>
    </row>
    <row r="159" spans="1:33" ht="14.4">
      <c r="A159" s="9"/>
      <c r="B159" s="13"/>
      <c r="C159" s="9"/>
      <c r="D159" s="9"/>
      <c r="E159" s="11"/>
      <c r="F159" s="9"/>
      <c r="G159" s="9"/>
      <c r="H159" s="44" t="str">
        <f>IF(D159="","",IF(ISNUMBER(SEARCH(SETTINGS!$K$4,D159)),SETTINGS!$L$4,IF(ISNUMBER(SEARCH(SETTINGS!$K$5,D159)),SETTINGS!$L$5,IF(ISNUMBER(SEARCH(SETTINGS!$K$6,D159)),SETTINGS!$L$6,IF(ISNUMBER(SEARCH(SETTINGS!$K$7,D159)),SETTINGS!$L$7,IF(ISNUMBER(SEARCH(SETTINGS!$K$8,D159)),SETTINGS!$L$8,IF(ISNUMBER(SEARCH(SETTINGS!$K$9,D159)),SETTINGS!$L$9,IF(ISNUMBER(SEARCH(SETTINGS!$K$10,D159)),SETTINGS!$L$10,IF(ISNUMBER(SEARCH(SETTINGS!$K$11,D159)),SETTINGS!$L$11,IF(ISNUMBER(SEARCH(SETTINGS!$K$12,D159)),SETTINGS!$L$12,IF(ISNUMBER(SEARCH(SETTINGS!$K$13,D159)),SETTINGS!$L$13,IF(ISNUMBER(SEARCH(SETTINGS!$K$14,D159)),SETTINGS!$L$14,IF(ISNUMBER(SEARCH(SETTINGS!$K$15,D159)),SETTINGS!$L$15,IF(ISNUMBER(SEARCH(SETTINGS!$K$16,D159)),SETTINGS!$L$16,IF(ISNUMBER(SEARCH(SETTINGS!$K$17,D159)),SETTINGS!$L$17,IF(ISNUMBER(SEARCH(SETTINGS!$K$18,D159)),SETTINGS!$L$18,"Miscellaneous"))))))))))))))))</f>
        <v/>
      </c>
      <c r="I159" s="44" t="str">
        <f t="shared" si="16"/>
        <v/>
      </c>
      <c r="J159" s="9"/>
      <c r="K159" s="9"/>
      <c r="L159" s="9"/>
      <c r="M159" s="9"/>
      <c r="N159" s="9"/>
      <c r="O159" s="9"/>
      <c r="P159" s="13"/>
      <c r="Q159" s="9"/>
      <c r="R159" s="9"/>
      <c r="S159" s="9"/>
      <c r="T159" s="11"/>
      <c r="U159" s="44" t="str">
        <f t="shared" si="17"/>
        <v/>
      </c>
      <c r="V159" s="44" t="str">
        <f t="shared" si="18"/>
        <v/>
      </c>
      <c r="W159" s="44" t="str">
        <f t="shared" si="19"/>
        <v/>
      </c>
      <c r="X159" s="44" t="str">
        <f t="shared" si="20"/>
        <v/>
      </c>
      <c r="Y159" s="44" t="str">
        <f t="shared" si="21"/>
        <v/>
      </c>
      <c r="Z159" s="44" t="str">
        <f t="shared" si="22"/>
        <v/>
      </c>
      <c r="AA159" s="50" t="str">
        <f t="shared" si="23"/>
        <v/>
      </c>
      <c r="AB159" s="50" t="str">
        <f>IF(OR(B159="",C159&lt;&gt;"Expense"),"",IF(E159&gt;IFERROR(AVERAGEIFS($E$8:$E$1007,$I$8:$I$1007,I159,$C$8:$C$1007,"Expense")*SETTINGS!$B$20,0),"Unusually High","Normal"))</f>
        <v/>
      </c>
      <c r="AC159" s="51"/>
      <c r="AD159" s="51"/>
      <c r="AE159" s="51"/>
      <c r="AF159" s="50" t="str">
        <f>IF(A159&lt;&gt;"Yes","No",IF(AND(AC159="Yes",SETTINGS!$B$16="No"),"No","Yes"))</f>
        <v>No</v>
      </c>
      <c r="AG159" s="50" t="str">
        <f>IF(A159&lt;&gt;"Yes","",IF(OR(B159="",D159="",E159&lt;=0,F159="",I159=""),"Check Required Fields",IF(AA159="Possible Duplicate","Possible Duplicate",IF(E159&gt;SETTINGS!$B$22,"Review Extreme Value","OK"))))</f>
        <v/>
      </c>
    </row>
    <row r="160" spans="1:33" ht="14.4">
      <c r="A160" s="9"/>
      <c r="B160" s="13"/>
      <c r="C160" s="9"/>
      <c r="D160" s="9"/>
      <c r="E160" s="11"/>
      <c r="F160" s="9"/>
      <c r="G160" s="9"/>
      <c r="H160" s="44" t="str">
        <f>IF(D160="","",IF(ISNUMBER(SEARCH(SETTINGS!$K$4,D160)),SETTINGS!$L$4,IF(ISNUMBER(SEARCH(SETTINGS!$K$5,D160)),SETTINGS!$L$5,IF(ISNUMBER(SEARCH(SETTINGS!$K$6,D160)),SETTINGS!$L$6,IF(ISNUMBER(SEARCH(SETTINGS!$K$7,D160)),SETTINGS!$L$7,IF(ISNUMBER(SEARCH(SETTINGS!$K$8,D160)),SETTINGS!$L$8,IF(ISNUMBER(SEARCH(SETTINGS!$K$9,D160)),SETTINGS!$L$9,IF(ISNUMBER(SEARCH(SETTINGS!$K$10,D160)),SETTINGS!$L$10,IF(ISNUMBER(SEARCH(SETTINGS!$K$11,D160)),SETTINGS!$L$11,IF(ISNUMBER(SEARCH(SETTINGS!$K$12,D160)),SETTINGS!$L$12,IF(ISNUMBER(SEARCH(SETTINGS!$K$13,D160)),SETTINGS!$L$13,IF(ISNUMBER(SEARCH(SETTINGS!$K$14,D160)),SETTINGS!$L$14,IF(ISNUMBER(SEARCH(SETTINGS!$K$15,D160)),SETTINGS!$L$15,IF(ISNUMBER(SEARCH(SETTINGS!$K$16,D160)),SETTINGS!$L$16,IF(ISNUMBER(SEARCH(SETTINGS!$K$17,D160)),SETTINGS!$L$17,IF(ISNUMBER(SEARCH(SETTINGS!$K$18,D160)),SETTINGS!$L$18,"Miscellaneous"))))))))))))))))</f>
        <v/>
      </c>
      <c r="I160" s="44" t="str">
        <f t="shared" si="16"/>
        <v/>
      </c>
      <c r="J160" s="9"/>
      <c r="K160" s="9"/>
      <c r="L160" s="9"/>
      <c r="M160" s="9"/>
      <c r="N160" s="9"/>
      <c r="O160" s="9"/>
      <c r="P160" s="13"/>
      <c r="Q160" s="9"/>
      <c r="R160" s="9"/>
      <c r="S160" s="9"/>
      <c r="T160" s="11"/>
      <c r="U160" s="44" t="str">
        <f t="shared" si="17"/>
        <v/>
      </c>
      <c r="V160" s="44" t="str">
        <f t="shared" si="18"/>
        <v/>
      </c>
      <c r="W160" s="44" t="str">
        <f t="shared" si="19"/>
        <v/>
      </c>
      <c r="X160" s="44" t="str">
        <f t="shared" si="20"/>
        <v/>
      </c>
      <c r="Y160" s="44" t="str">
        <f t="shared" si="21"/>
        <v/>
      </c>
      <c r="Z160" s="44" t="str">
        <f t="shared" si="22"/>
        <v/>
      </c>
      <c r="AA160" s="50" t="str">
        <f t="shared" si="23"/>
        <v/>
      </c>
      <c r="AB160" s="50" t="str">
        <f>IF(OR(B160="",C160&lt;&gt;"Expense"),"",IF(E160&gt;IFERROR(AVERAGEIFS($E$8:$E$1007,$I$8:$I$1007,I160,$C$8:$C$1007,"Expense")*SETTINGS!$B$20,0),"Unusually High","Normal"))</f>
        <v/>
      </c>
      <c r="AC160" s="51"/>
      <c r="AD160" s="51"/>
      <c r="AE160" s="51"/>
      <c r="AF160" s="50" t="str">
        <f>IF(A160&lt;&gt;"Yes","No",IF(AND(AC160="Yes",SETTINGS!$B$16="No"),"No","Yes"))</f>
        <v>No</v>
      </c>
      <c r="AG160" s="50" t="str">
        <f>IF(A160&lt;&gt;"Yes","",IF(OR(B160="",D160="",E160&lt;=0,F160="",I160=""),"Check Required Fields",IF(AA160="Possible Duplicate","Possible Duplicate",IF(E160&gt;SETTINGS!$B$22,"Review Extreme Value","OK"))))</f>
        <v/>
      </c>
    </row>
    <row r="161" spans="1:33" ht="14.4">
      <c r="A161" s="9"/>
      <c r="B161" s="13"/>
      <c r="C161" s="9"/>
      <c r="D161" s="9"/>
      <c r="E161" s="11"/>
      <c r="F161" s="9"/>
      <c r="G161" s="9"/>
      <c r="H161" s="44" t="str">
        <f>IF(D161="","",IF(ISNUMBER(SEARCH(SETTINGS!$K$4,D161)),SETTINGS!$L$4,IF(ISNUMBER(SEARCH(SETTINGS!$K$5,D161)),SETTINGS!$L$5,IF(ISNUMBER(SEARCH(SETTINGS!$K$6,D161)),SETTINGS!$L$6,IF(ISNUMBER(SEARCH(SETTINGS!$K$7,D161)),SETTINGS!$L$7,IF(ISNUMBER(SEARCH(SETTINGS!$K$8,D161)),SETTINGS!$L$8,IF(ISNUMBER(SEARCH(SETTINGS!$K$9,D161)),SETTINGS!$L$9,IF(ISNUMBER(SEARCH(SETTINGS!$K$10,D161)),SETTINGS!$L$10,IF(ISNUMBER(SEARCH(SETTINGS!$K$11,D161)),SETTINGS!$L$11,IF(ISNUMBER(SEARCH(SETTINGS!$K$12,D161)),SETTINGS!$L$12,IF(ISNUMBER(SEARCH(SETTINGS!$K$13,D161)),SETTINGS!$L$13,IF(ISNUMBER(SEARCH(SETTINGS!$K$14,D161)),SETTINGS!$L$14,IF(ISNUMBER(SEARCH(SETTINGS!$K$15,D161)),SETTINGS!$L$15,IF(ISNUMBER(SEARCH(SETTINGS!$K$16,D161)),SETTINGS!$L$16,IF(ISNUMBER(SEARCH(SETTINGS!$K$17,D161)),SETTINGS!$L$17,IF(ISNUMBER(SEARCH(SETTINGS!$K$18,D161)),SETTINGS!$L$18,"Miscellaneous"))))))))))))))))</f>
        <v/>
      </c>
      <c r="I161" s="44" t="str">
        <f t="shared" si="16"/>
        <v/>
      </c>
      <c r="J161" s="9"/>
      <c r="K161" s="9"/>
      <c r="L161" s="9"/>
      <c r="M161" s="9"/>
      <c r="N161" s="9"/>
      <c r="O161" s="9"/>
      <c r="P161" s="13"/>
      <c r="Q161" s="9"/>
      <c r="R161" s="9"/>
      <c r="S161" s="9"/>
      <c r="T161" s="11"/>
      <c r="U161" s="44" t="str">
        <f t="shared" si="17"/>
        <v/>
      </c>
      <c r="V161" s="44" t="str">
        <f t="shared" si="18"/>
        <v/>
      </c>
      <c r="W161" s="44" t="str">
        <f t="shared" si="19"/>
        <v/>
      </c>
      <c r="X161" s="44" t="str">
        <f t="shared" si="20"/>
        <v/>
      </c>
      <c r="Y161" s="44" t="str">
        <f t="shared" si="21"/>
        <v/>
      </c>
      <c r="Z161" s="44" t="str">
        <f t="shared" si="22"/>
        <v/>
      </c>
      <c r="AA161" s="50" t="str">
        <f t="shared" si="23"/>
        <v/>
      </c>
      <c r="AB161" s="50" t="str">
        <f>IF(OR(B161="",C161&lt;&gt;"Expense"),"",IF(E161&gt;IFERROR(AVERAGEIFS($E$8:$E$1007,$I$8:$I$1007,I161,$C$8:$C$1007,"Expense")*SETTINGS!$B$20,0),"Unusually High","Normal"))</f>
        <v/>
      </c>
      <c r="AC161" s="51"/>
      <c r="AD161" s="51"/>
      <c r="AE161" s="51"/>
      <c r="AF161" s="50" t="str">
        <f>IF(A161&lt;&gt;"Yes","No",IF(AND(AC161="Yes",SETTINGS!$B$16="No"),"No","Yes"))</f>
        <v>No</v>
      </c>
      <c r="AG161" s="50" t="str">
        <f>IF(A161&lt;&gt;"Yes","",IF(OR(B161="",D161="",E161&lt;=0,F161="",I161=""),"Check Required Fields",IF(AA161="Possible Duplicate","Possible Duplicate",IF(E161&gt;SETTINGS!$B$22,"Review Extreme Value","OK"))))</f>
        <v/>
      </c>
    </row>
    <row r="162" spans="1:33" ht="14.4">
      <c r="A162" s="9"/>
      <c r="B162" s="13"/>
      <c r="C162" s="9"/>
      <c r="D162" s="9"/>
      <c r="E162" s="11"/>
      <c r="F162" s="9"/>
      <c r="G162" s="9"/>
      <c r="H162" s="44" t="str">
        <f>IF(D162="","",IF(ISNUMBER(SEARCH(SETTINGS!$K$4,D162)),SETTINGS!$L$4,IF(ISNUMBER(SEARCH(SETTINGS!$K$5,D162)),SETTINGS!$L$5,IF(ISNUMBER(SEARCH(SETTINGS!$K$6,D162)),SETTINGS!$L$6,IF(ISNUMBER(SEARCH(SETTINGS!$K$7,D162)),SETTINGS!$L$7,IF(ISNUMBER(SEARCH(SETTINGS!$K$8,D162)),SETTINGS!$L$8,IF(ISNUMBER(SEARCH(SETTINGS!$K$9,D162)),SETTINGS!$L$9,IF(ISNUMBER(SEARCH(SETTINGS!$K$10,D162)),SETTINGS!$L$10,IF(ISNUMBER(SEARCH(SETTINGS!$K$11,D162)),SETTINGS!$L$11,IF(ISNUMBER(SEARCH(SETTINGS!$K$12,D162)),SETTINGS!$L$12,IF(ISNUMBER(SEARCH(SETTINGS!$K$13,D162)),SETTINGS!$L$13,IF(ISNUMBER(SEARCH(SETTINGS!$K$14,D162)),SETTINGS!$L$14,IF(ISNUMBER(SEARCH(SETTINGS!$K$15,D162)),SETTINGS!$L$15,IF(ISNUMBER(SEARCH(SETTINGS!$K$16,D162)),SETTINGS!$L$16,IF(ISNUMBER(SEARCH(SETTINGS!$K$17,D162)),SETTINGS!$L$17,IF(ISNUMBER(SEARCH(SETTINGS!$K$18,D162)),SETTINGS!$L$18,"Miscellaneous"))))))))))))))))</f>
        <v/>
      </c>
      <c r="I162" s="44" t="str">
        <f t="shared" si="16"/>
        <v/>
      </c>
      <c r="J162" s="9"/>
      <c r="K162" s="9"/>
      <c r="L162" s="9"/>
      <c r="M162" s="9"/>
      <c r="N162" s="9"/>
      <c r="O162" s="9"/>
      <c r="P162" s="13"/>
      <c r="Q162" s="9"/>
      <c r="R162" s="9"/>
      <c r="S162" s="9"/>
      <c r="T162" s="11"/>
      <c r="U162" s="44" t="str">
        <f t="shared" si="17"/>
        <v/>
      </c>
      <c r="V162" s="44" t="str">
        <f t="shared" si="18"/>
        <v/>
      </c>
      <c r="W162" s="44" t="str">
        <f t="shared" si="19"/>
        <v/>
      </c>
      <c r="X162" s="44" t="str">
        <f t="shared" si="20"/>
        <v/>
      </c>
      <c r="Y162" s="44" t="str">
        <f t="shared" si="21"/>
        <v/>
      </c>
      <c r="Z162" s="44" t="str">
        <f t="shared" si="22"/>
        <v/>
      </c>
      <c r="AA162" s="50" t="str">
        <f t="shared" si="23"/>
        <v/>
      </c>
      <c r="AB162" s="50" t="str">
        <f>IF(OR(B162="",C162&lt;&gt;"Expense"),"",IF(E162&gt;IFERROR(AVERAGEIFS($E$8:$E$1007,$I$8:$I$1007,I162,$C$8:$C$1007,"Expense")*SETTINGS!$B$20,0),"Unusually High","Normal"))</f>
        <v/>
      </c>
      <c r="AC162" s="51"/>
      <c r="AD162" s="51"/>
      <c r="AE162" s="51"/>
      <c r="AF162" s="50" t="str">
        <f>IF(A162&lt;&gt;"Yes","No",IF(AND(AC162="Yes",SETTINGS!$B$16="No"),"No","Yes"))</f>
        <v>No</v>
      </c>
      <c r="AG162" s="50" t="str">
        <f>IF(A162&lt;&gt;"Yes","",IF(OR(B162="",D162="",E162&lt;=0,F162="",I162=""),"Check Required Fields",IF(AA162="Possible Duplicate","Possible Duplicate",IF(E162&gt;SETTINGS!$B$22,"Review Extreme Value","OK"))))</f>
        <v/>
      </c>
    </row>
    <row r="163" spans="1:33" ht="14.4">
      <c r="A163" s="9"/>
      <c r="B163" s="13"/>
      <c r="C163" s="9"/>
      <c r="D163" s="9"/>
      <c r="E163" s="11"/>
      <c r="F163" s="9"/>
      <c r="G163" s="9"/>
      <c r="H163" s="44" t="str">
        <f>IF(D163="","",IF(ISNUMBER(SEARCH(SETTINGS!$K$4,D163)),SETTINGS!$L$4,IF(ISNUMBER(SEARCH(SETTINGS!$K$5,D163)),SETTINGS!$L$5,IF(ISNUMBER(SEARCH(SETTINGS!$K$6,D163)),SETTINGS!$L$6,IF(ISNUMBER(SEARCH(SETTINGS!$K$7,D163)),SETTINGS!$L$7,IF(ISNUMBER(SEARCH(SETTINGS!$K$8,D163)),SETTINGS!$L$8,IF(ISNUMBER(SEARCH(SETTINGS!$K$9,D163)),SETTINGS!$L$9,IF(ISNUMBER(SEARCH(SETTINGS!$K$10,D163)),SETTINGS!$L$10,IF(ISNUMBER(SEARCH(SETTINGS!$K$11,D163)),SETTINGS!$L$11,IF(ISNUMBER(SEARCH(SETTINGS!$K$12,D163)),SETTINGS!$L$12,IF(ISNUMBER(SEARCH(SETTINGS!$K$13,D163)),SETTINGS!$L$13,IF(ISNUMBER(SEARCH(SETTINGS!$K$14,D163)),SETTINGS!$L$14,IF(ISNUMBER(SEARCH(SETTINGS!$K$15,D163)),SETTINGS!$L$15,IF(ISNUMBER(SEARCH(SETTINGS!$K$16,D163)),SETTINGS!$L$16,IF(ISNUMBER(SEARCH(SETTINGS!$K$17,D163)),SETTINGS!$L$17,IF(ISNUMBER(SEARCH(SETTINGS!$K$18,D163)),SETTINGS!$L$18,"Miscellaneous"))))))))))))))))</f>
        <v/>
      </c>
      <c r="I163" s="44" t="str">
        <f t="shared" si="16"/>
        <v/>
      </c>
      <c r="J163" s="9"/>
      <c r="K163" s="9"/>
      <c r="L163" s="9"/>
      <c r="M163" s="9"/>
      <c r="N163" s="9"/>
      <c r="O163" s="9"/>
      <c r="P163" s="13"/>
      <c r="Q163" s="9"/>
      <c r="R163" s="9"/>
      <c r="S163" s="9"/>
      <c r="T163" s="11"/>
      <c r="U163" s="44" t="str">
        <f t="shared" si="17"/>
        <v/>
      </c>
      <c r="V163" s="44" t="str">
        <f t="shared" si="18"/>
        <v/>
      </c>
      <c r="W163" s="44" t="str">
        <f t="shared" si="19"/>
        <v/>
      </c>
      <c r="X163" s="44" t="str">
        <f t="shared" si="20"/>
        <v/>
      </c>
      <c r="Y163" s="44" t="str">
        <f t="shared" si="21"/>
        <v/>
      </c>
      <c r="Z163" s="44" t="str">
        <f t="shared" si="22"/>
        <v/>
      </c>
      <c r="AA163" s="50" t="str">
        <f t="shared" si="23"/>
        <v/>
      </c>
      <c r="AB163" s="50" t="str">
        <f>IF(OR(B163="",C163&lt;&gt;"Expense"),"",IF(E163&gt;IFERROR(AVERAGEIFS($E$8:$E$1007,$I$8:$I$1007,I163,$C$8:$C$1007,"Expense")*SETTINGS!$B$20,0),"Unusually High","Normal"))</f>
        <v/>
      </c>
      <c r="AC163" s="51"/>
      <c r="AD163" s="51"/>
      <c r="AE163" s="51"/>
      <c r="AF163" s="50" t="str">
        <f>IF(A163&lt;&gt;"Yes","No",IF(AND(AC163="Yes",SETTINGS!$B$16="No"),"No","Yes"))</f>
        <v>No</v>
      </c>
      <c r="AG163" s="50" t="str">
        <f>IF(A163&lt;&gt;"Yes","",IF(OR(B163="",D163="",E163&lt;=0,F163="",I163=""),"Check Required Fields",IF(AA163="Possible Duplicate","Possible Duplicate",IF(E163&gt;SETTINGS!$B$22,"Review Extreme Value","OK"))))</f>
        <v/>
      </c>
    </row>
    <row r="164" spans="1:33" ht="14.4">
      <c r="A164" s="9"/>
      <c r="B164" s="13"/>
      <c r="C164" s="9"/>
      <c r="D164" s="9"/>
      <c r="E164" s="11"/>
      <c r="F164" s="9"/>
      <c r="G164" s="9"/>
      <c r="H164" s="44" t="str">
        <f>IF(D164="","",IF(ISNUMBER(SEARCH(SETTINGS!$K$4,D164)),SETTINGS!$L$4,IF(ISNUMBER(SEARCH(SETTINGS!$K$5,D164)),SETTINGS!$L$5,IF(ISNUMBER(SEARCH(SETTINGS!$K$6,D164)),SETTINGS!$L$6,IF(ISNUMBER(SEARCH(SETTINGS!$K$7,D164)),SETTINGS!$L$7,IF(ISNUMBER(SEARCH(SETTINGS!$K$8,D164)),SETTINGS!$L$8,IF(ISNUMBER(SEARCH(SETTINGS!$K$9,D164)),SETTINGS!$L$9,IF(ISNUMBER(SEARCH(SETTINGS!$K$10,D164)),SETTINGS!$L$10,IF(ISNUMBER(SEARCH(SETTINGS!$K$11,D164)),SETTINGS!$L$11,IF(ISNUMBER(SEARCH(SETTINGS!$K$12,D164)),SETTINGS!$L$12,IF(ISNUMBER(SEARCH(SETTINGS!$K$13,D164)),SETTINGS!$L$13,IF(ISNUMBER(SEARCH(SETTINGS!$K$14,D164)),SETTINGS!$L$14,IF(ISNUMBER(SEARCH(SETTINGS!$K$15,D164)),SETTINGS!$L$15,IF(ISNUMBER(SEARCH(SETTINGS!$K$16,D164)),SETTINGS!$L$16,IF(ISNUMBER(SEARCH(SETTINGS!$K$17,D164)),SETTINGS!$L$17,IF(ISNUMBER(SEARCH(SETTINGS!$K$18,D164)),SETTINGS!$L$18,"Miscellaneous"))))))))))))))))</f>
        <v/>
      </c>
      <c r="I164" s="44" t="str">
        <f t="shared" si="16"/>
        <v/>
      </c>
      <c r="J164" s="9"/>
      <c r="K164" s="9"/>
      <c r="L164" s="9"/>
      <c r="M164" s="9"/>
      <c r="N164" s="9"/>
      <c r="O164" s="9"/>
      <c r="P164" s="13"/>
      <c r="Q164" s="9"/>
      <c r="R164" s="9"/>
      <c r="S164" s="9"/>
      <c r="T164" s="11"/>
      <c r="U164" s="44" t="str">
        <f t="shared" si="17"/>
        <v/>
      </c>
      <c r="V164" s="44" t="str">
        <f t="shared" si="18"/>
        <v/>
      </c>
      <c r="W164" s="44" t="str">
        <f t="shared" si="19"/>
        <v/>
      </c>
      <c r="X164" s="44" t="str">
        <f t="shared" si="20"/>
        <v/>
      </c>
      <c r="Y164" s="44" t="str">
        <f t="shared" si="21"/>
        <v/>
      </c>
      <c r="Z164" s="44" t="str">
        <f t="shared" si="22"/>
        <v/>
      </c>
      <c r="AA164" s="50" t="str">
        <f t="shared" si="23"/>
        <v/>
      </c>
      <c r="AB164" s="50" t="str">
        <f>IF(OR(B164="",C164&lt;&gt;"Expense"),"",IF(E164&gt;IFERROR(AVERAGEIFS($E$8:$E$1007,$I$8:$I$1007,I164,$C$8:$C$1007,"Expense")*SETTINGS!$B$20,0),"Unusually High","Normal"))</f>
        <v/>
      </c>
      <c r="AC164" s="51"/>
      <c r="AD164" s="51"/>
      <c r="AE164" s="51"/>
      <c r="AF164" s="50" t="str">
        <f>IF(A164&lt;&gt;"Yes","No",IF(AND(AC164="Yes",SETTINGS!$B$16="No"),"No","Yes"))</f>
        <v>No</v>
      </c>
      <c r="AG164" s="50" t="str">
        <f>IF(A164&lt;&gt;"Yes","",IF(OR(B164="",D164="",E164&lt;=0,F164="",I164=""),"Check Required Fields",IF(AA164="Possible Duplicate","Possible Duplicate",IF(E164&gt;SETTINGS!$B$22,"Review Extreme Value","OK"))))</f>
        <v/>
      </c>
    </row>
    <row r="165" spans="1:33" ht="14.4">
      <c r="A165" s="9"/>
      <c r="B165" s="13"/>
      <c r="C165" s="9"/>
      <c r="D165" s="9"/>
      <c r="E165" s="11"/>
      <c r="F165" s="9"/>
      <c r="G165" s="9"/>
      <c r="H165" s="44" t="str">
        <f>IF(D165="","",IF(ISNUMBER(SEARCH(SETTINGS!$K$4,D165)),SETTINGS!$L$4,IF(ISNUMBER(SEARCH(SETTINGS!$K$5,D165)),SETTINGS!$L$5,IF(ISNUMBER(SEARCH(SETTINGS!$K$6,D165)),SETTINGS!$L$6,IF(ISNUMBER(SEARCH(SETTINGS!$K$7,D165)),SETTINGS!$L$7,IF(ISNUMBER(SEARCH(SETTINGS!$K$8,D165)),SETTINGS!$L$8,IF(ISNUMBER(SEARCH(SETTINGS!$K$9,D165)),SETTINGS!$L$9,IF(ISNUMBER(SEARCH(SETTINGS!$K$10,D165)),SETTINGS!$L$10,IF(ISNUMBER(SEARCH(SETTINGS!$K$11,D165)),SETTINGS!$L$11,IF(ISNUMBER(SEARCH(SETTINGS!$K$12,D165)),SETTINGS!$L$12,IF(ISNUMBER(SEARCH(SETTINGS!$K$13,D165)),SETTINGS!$L$13,IF(ISNUMBER(SEARCH(SETTINGS!$K$14,D165)),SETTINGS!$L$14,IF(ISNUMBER(SEARCH(SETTINGS!$K$15,D165)),SETTINGS!$L$15,IF(ISNUMBER(SEARCH(SETTINGS!$K$16,D165)),SETTINGS!$L$16,IF(ISNUMBER(SEARCH(SETTINGS!$K$17,D165)),SETTINGS!$L$17,IF(ISNUMBER(SEARCH(SETTINGS!$K$18,D165)),SETTINGS!$L$18,"Miscellaneous"))))))))))))))))</f>
        <v/>
      </c>
      <c r="I165" s="44" t="str">
        <f t="shared" si="16"/>
        <v/>
      </c>
      <c r="J165" s="9"/>
      <c r="K165" s="9"/>
      <c r="L165" s="9"/>
      <c r="M165" s="9"/>
      <c r="N165" s="9"/>
      <c r="O165" s="9"/>
      <c r="P165" s="13"/>
      <c r="Q165" s="9"/>
      <c r="R165" s="9"/>
      <c r="S165" s="9"/>
      <c r="T165" s="11"/>
      <c r="U165" s="44" t="str">
        <f t="shared" si="17"/>
        <v/>
      </c>
      <c r="V165" s="44" t="str">
        <f t="shared" si="18"/>
        <v/>
      </c>
      <c r="W165" s="44" t="str">
        <f t="shared" si="19"/>
        <v/>
      </c>
      <c r="X165" s="44" t="str">
        <f t="shared" si="20"/>
        <v/>
      </c>
      <c r="Y165" s="44" t="str">
        <f t="shared" si="21"/>
        <v/>
      </c>
      <c r="Z165" s="44" t="str">
        <f t="shared" si="22"/>
        <v/>
      </c>
      <c r="AA165" s="50" t="str">
        <f t="shared" si="23"/>
        <v/>
      </c>
      <c r="AB165" s="50" t="str">
        <f>IF(OR(B165="",C165&lt;&gt;"Expense"),"",IF(E165&gt;IFERROR(AVERAGEIFS($E$8:$E$1007,$I$8:$I$1007,I165,$C$8:$C$1007,"Expense")*SETTINGS!$B$20,0),"Unusually High","Normal"))</f>
        <v/>
      </c>
      <c r="AC165" s="51"/>
      <c r="AD165" s="51"/>
      <c r="AE165" s="51"/>
      <c r="AF165" s="50" t="str">
        <f>IF(A165&lt;&gt;"Yes","No",IF(AND(AC165="Yes",SETTINGS!$B$16="No"),"No","Yes"))</f>
        <v>No</v>
      </c>
      <c r="AG165" s="50" t="str">
        <f>IF(A165&lt;&gt;"Yes","",IF(OR(B165="",D165="",E165&lt;=0,F165="",I165=""),"Check Required Fields",IF(AA165="Possible Duplicate","Possible Duplicate",IF(E165&gt;SETTINGS!$B$22,"Review Extreme Value","OK"))))</f>
        <v/>
      </c>
    </row>
    <row r="166" spans="1:33" ht="14.4">
      <c r="A166" s="9"/>
      <c r="B166" s="13"/>
      <c r="C166" s="9"/>
      <c r="D166" s="9"/>
      <c r="E166" s="11"/>
      <c r="F166" s="9"/>
      <c r="G166" s="9"/>
      <c r="H166" s="44" t="str">
        <f>IF(D166="","",IF(ISNUMBER(SEARCH(SETTINGS!$K$4,D166)),SETTINGS!$L$4,IF(ISNUMBER(SEARCH(SETTINGS!$K$5,D166)),SETTINGS!$L$5,IF(ISNUMBER(SEARCH(SETTINGS!$K$6,D166)),SETTINGS!$L$6,IF(ISNUMBER(SEARCH(SETTINGS!$K$7,D166)),SETTINGS!$L$7,IF(ISNUMBER(SEARCH(SETTINGS!$K$8,D166)),SETTINGS!$L$8,IF(ISNUMBER(SEARCH(SETTINGS!$K$9,D166)),SETTINGS!$L$9,IF(ISNUMBER(SEARCH(SETTINGS!$K$10,D166)),SETTINGS!$L$10,IF(ISNUMBER(SEARCH(SETTINGS!$K$11,D166)),SETTINGS!$L$11,IF(ISNUMBER(SEARCH(SETTINGS!$K$12,D166)),SETTINGS!$L$12,IF(ISNUMBER(SEARCH(SETTINGS!$K$13,D166)),SETTINGS!$L$13,IF(ISNUMBER(SEARCH(SETTINGS!$K$14,D166)),SETTINGS!$L$14,IF(ISNUMBER(SEARCH(SETTINGS!$K$15,D166)),SETTINGS!$L$15,IF(ISNUMBER(SEARCH(SETTINGS!$K$16,D166)),SETTINGS!$L$16,IF(ISNUMBER(SEARCH(SETTINGS!$K$17,D166)),SETTINGS!$L$17,IF(ISNUMBER(SEARCH(SETTINGS!$K$18,D166)),SETTINGS!$L$18,"Miscellaneous"))))))))))))))))</f>
        <v/>
      </c>
      <c r="I166" s="44" t="str">
        <f t="shared" si="16"/>
        <v/>
      </c>
      <c r="J166" s="9"/>
      <c r="K166" s="9"/>
      <c r="L166" s="9"/>
      <c r="M166" s="9"/>
      <c r="N166" s="9"/>
      <c r="O166" s="9"/>
      <c r="P166" s="13"/>
      <c r="Q166" s="9"/>
      <c r="R166" s="9"/>
      <c r="S166" s="9"/>
      <c r="T166" s="11"/>
      <c r="U166" s="44" t="str">
        <f t="shared" si="17"/>
        <v/>
      </c>
      <c r="V166" s="44" t="str">
        <f t="shared" si="18"/>
        <v/>
      </c>
      <c r="W166" s="44" t="str">
        <f t="shared" si="19"/>
        <v/>
      </c>
      <c r="X166" s="44" t="str">
        <f t="shared" si="20"/>
        <v/>
      </c>
      <c r="Y166" s="44" t="str">
        <f t="shared" si="21"/>
        <v/>
      </c>
      <c r="Z166" s="44" t="str">
        <f t="shared" si="22"/>
        <v/>
      </c>
      <c r="AA166" s="50" t="str">
        <f t="shared" si="23"/>
        <v/>
      </c>
      <c r="AB166" s="50" t="str">
        <f>IF(OR(B166="",C166&lt;&gt;"Expense"),"",IF(E166&gt;IFERROR(AVERAGEIFS($E$8:$E$1007,$I$8:$I$1007,I166,$C$8:$C$1007,"Expense")*SETTINGS!$B$20,0),"Unusually High","Normal"))</f>
        <v/>
      </c>
      <c r="AC166" s="51"/>
      <c r="AD166" s="51"/>
      <c r="AE166" s="51"/>
      <c r="AF166" s="50" t="str">
        <f>IF(A166&lt;&gt;"Yes","No",IF(AND(AC166="Yes",SETTINGS!$B$16="No"),"No","Yes"))</f>
        <v>No</v>
      </c>
      <c r="AG166" s="50" t="str">
        <f>IF(A166&lt;&gt;"Yes","",IF(OR(B166="",D166="",E166&lt;=0,F166="",I166=""),"Check Required Fields",IF(AA166="Possible Duplicate","Possible Duplicate",IF(E166&gt;SETTINGS!$B$22,"Review Extreme Value","OK"))))</f>
        <v/>
      </c>
    </row>
    <row r="167" spans="1:33" ht="14.4">
      <c r="A167" s="9"/>
      <c r="B167" s="13"/>
      <c r="C167" s="9"/>
      <c r="D167" s="9"/>
      <c r="E167" s="11"/>
      <c r="F167" s="9"/>
      <c r="G167" s="9"/>
      <c r="H167" s="44" t="str">
        <f>IF(D167="","",IF(ISNUMBER(SEARCH(SETTINGS!$K$4,D167)),SETTINGS!$L$4,IF(ISNUMBER(SEARCH(SETTINGS!$K$5,D167)),SETTINGS!$L$5,IF(ISNUMBER(SEARCH(SETTINGS!$K$6,D167)),SETTINGS!$L$6,IF(ISNUMBER(SEARCH(SETTINGS!$K$7,D167)),SETTINGS!$L$7,IF(ISNUMBER(SEARCH(SETTINGS!$K$8,D167)),SETTINGS!$L$8,IF(ISNUMBER(SEARCH(SETTINGS!$K$9,D167)),SETTINGS!$L$9,IF(ISNUMBER(SEARCH(SETTINGS!$K$10,D167)),SETTINGS!$L$10,IF(ISNUMBER(SEARCH(SETTINGS!$K$11,D167)),SETTINGS!$L$11,IF(ISNUMBER(SEARCH(SETTINGS!$K$12,D167)),SETTINGS!$L$12,IF(ISNUMBER(SEARCH(SETTINGS!$K$13,D167)),SETTINGS!$L$13,IF(ISNUMBER(SEARCH(SETTINGS!$K$14,D167)),SETTINGS!$L$14,IF(ISNUMBER(SEARCH(SETTINGS!$K$15,D167)),SETTINGS!$L$15,IF(ISNUMBER(SEARCH(SETTINGS!$K$16,D167)),SETTINGS!$L$16,IF(ISNUMBER(SEARCH(SETTINGS!$K$17,D167)),SETTINGS!$L$17,IF(ISNUMBER(SEARCH(SETTINGS!$K$18,D167)),SETTINGS!$L$18,"Miscellaneous"))))))))))))))))</f>
        <v/>
      </c>
      <c r="I167" s="44" t="str">
        <f t="shared" si="16"/>
        <v/>
      </c>
      <c r="J167" s="9"/>
      <c r="K167" s="9"/>
      <c r="L167" s="9"/>
      <c r="M167" s="9"/>
      <c r="N167" s="9"/>
      <c r="O167" s="9"/>
      <c r="P167" s="13"/>
      <c r="Q167" s="9"/>
      <c r="R167" s="9"/>
      <c r="S167" s="9"/>
      <c r="T167" s="11"/>
      <c r="U167" s="44" t="str">
        <f t="shared" si="17"/>
        <v/>
      </c>
      <c r="V167" s="44" t="str">
        <f t="shared" si="18"/>
        <v/>
      </c>
      <c r="W167" s="44" t="str">
        <f t="shared" si="19"/>
        <v/>
      </c>
      <c r="X167" s="44" t="str">
        <f t="shared" si="20"/>
        <v/>
      </c>
      <c r="Y167" s="44" t="str">
        <f t="shared" si="21"/>
        <v/>
      </c>
      <c r="Z167" s="44" t="str">
        <f t="shared" si="22"/>
        <v/>
      </c>
      <c r="AA167" s="50" t="str">
        <f t="shared" si="23"/>
        <v/>
      </c>
      <c r="AB167" s="50" t="str">
        <f>IF(OR(B167="",C167&lt;&gt;"Expense"),"",IF(E167&gt;IFERROR(AVERAGEIFS($E$8:$E$1007,$I$8:$I$1007,I167,$C$8:$C$1007,"Expense")*SETTINGS!$B$20,0),"Unusually High","Normal"))</f>
        <v/>
      </c>
      <c r="AC167" s="51"/>
      <c r="AD167" s="51"/>
      <c r="AE167" s="51"/>
      <c r="AF167" s="50" t="str">
        <f>IF(A167&lt;&gt;"Yes","No",IF(AND(AC167="Yes",SETTINGS!$B$16="No"),"No","Yes"))</f>
        <v>No</v>
      </c>
      <c r="AG167" s="50" t="str">
        <f>IF(A167&lt;&gt;"Yes","",IF(OR(B167="",D167="",E167&lt;=0,F167="",I167=""),"Check Required Fields",IF(AA167="Possible Duplicate","Possible Duplicate",IF(E167&gt;SETTINGS!$B$22,"Review Extreme Value","OK"))))</f>
        <v/>
      </c>
    </row>
    <row r="168" spans="1:33" ht="14.4">
      <c r="A168" s="9"/>
      <c r="B168" s="13"/>
      <c r="C168" s="9"/>
      <c r="D168" s="9"/>
      <c r="E168" s="11"/>
      <c r="F168" s="9"/>
      <c r="G168" s="9"/>
      <c r="H168" s="44" t="str">
        <f>IF(D168="","",IF(ISNUMBER(SEARCH(SETTINGS!$K$4,D168)),SETTINGS!$L$4,IF(ISNUMBER(SEARCH(SETTINGS!$K$5,D168)),SETTINGS!$L$5,IF(ISNUMBER(SEARCH(SETTINGS!$K$6,D168)),SETTINGS!$L$6,IF(ISNUMBER(SEARCH(SETTINGS!$K$7,D168)),SETTINGS!$L$7,IF(ISNUMBER(SEARCH(SETTINGS!$K$8,D168)),SETTINGS!$L$8,IF(ISNUMBER(SEARCH(SETTINGS!$K$9,D168)),SETTINGS!$L$9,IF(ISNUMBER(SEARCH(SETTINGS!$K$10,D168)),SETTINGS!$L$10,IF(ISNUMBER(SEARCH(SETTINGS!$K$11,D168)),SETTINGS!$L$11,IF(ISNUMBER(SEARCH(SETTINGS!$K$12,D168)),SETTINGS!$L$12,IF(ISNUMBER(SEARCH(SETTINGS!$K$13,D168)),SETTINGS!$L$13,IF(ISNUMBER(SEARCH(SETTINGS!$K$14,D168)),SETTINGS!$L$14,IF(ISNUMBER(SEARCH(SETTINGS!$K$15,D168)),SETTINGS!$L$15,IF(ISNUMBER(SEARCH(SETTINGS!$K$16,D168)),SETTINGS!$L$16,IF(ISNUMBER(SEARCH(SETTINGS!$K$17,D168)),SETTINGS!$L$17,IF(ISNUMBER(SEARCH(SETTINGS!$K$18,D168)),SETTINGS!$L$18,"Miscellaneous"))))))))))))))))</f>
        <v/>
      </c>
      <c r="I168" s="44" t="str">
        <f t="shared" si="16"/>
        <v/>
      </c>
      <c r="J168" s="9"/>
      <c r="K168" s="9"/>
      <c r="L168" s="9"/>
      <c r="M168" s="9"/>
      <c r="N168" s="9"/>
      <c r="O168" s="9"/>
      <c r="P168" s="13"/>
      <c r="Q168" s="9"/>
      <c r="R168" s="9"/>
      <c r="S168" s="9"/>
      <c r="T168" s="11"/>
      <c r="U168" s="44" t="str">
        <f t="shared" si="17"/>
        <v/>
      </c>
      <c r="V168" s="44" t="str">
        <f t="shared" si="18"/>
        <v/>
      </c>
      <c r="W168" s="44" t="str">
        <f t="shared" si="19"/>
        <v/>
      </c>
      <c r="X168" s="44" t="str">
        <f t="shared" si="20"/>
        <v/>
      </c>
      <c r="Y168" s="44" t="str">
        <f t="shared" si="21"/>
        <v/>
      </c>
      <c r="Z168" s="44" t="str">
        <f t="shared" si="22"/>
        <v/>
      </c>
      <c r="AA168" s="50" t="str">
        <f t="shared" si="23"/>
        <v/>
      </c>
      <c r="AB168" s="50" t="str">
        <f>IF(OR(B168="",C168&lt;&gt;"Expense"),"",IF(E168&gt;IFERROR(AVERAGEIFS($E$8:$E$1007,$I$8:$I$1007,I168,$C$8:$C$1007,"Expense")*SETTINGS!$B$20,0),"Unusually High","Normal"))</f>
        <v/>
      </c>
      <c r="AC168" s="51"/>
      <c r="AD168" s="51"/>
      <c r="AE168" s="51"/>
      <c r="AF168" s="50" t="str">
        <f>IF(A168&lt;&gt;"Yes","No",IF(AND(AC168="Yes",SETTINGS!$B$16="No"),"No","Yes"))</f>
        <v>No</v>
      </c>
      <c r="AG168" s="50" t="str">
        <f>IF(A168&lt;&gt;"Yes","",IF(OR(B168="",D168="",E168&lt;=0,F168="",I168=""),"Check Required Fields",IF(AA168="Possible Duplicate","Possible Duplicate",IF(E168&gt;SETTINGS!$B$22,"Review Extreme Value","OK"))))</f>
        <v/>
      </c>
    </row>
    <row r="169" spans="1:33" ht="14.4">
      <c r="A169" s="9"/>
      <c r="B169" s="13"/>
      <c r="C169" s="9"/>
      <c r="D169" s="9"/>
      <c r="E169" s="11"/>
      <c r="F169" s="9"/>
      <c r="G169" s="9"/>
      <c r="H169" s="44" t="str">
        <f>IF(D169="","",IF(ISNUMBER(SEARCH(SETTINGS!$K$4,D169)),SETTINGS!$L$4,IF(ISNUMBER(SEARCH(SETTINGS!$K$5,D169)),SETTINGS!$L$5,IF(ISNUMBER(SEARCH(SETTINGS!$K$6,D169)),SETTINGS!$L$6,IF(ISNUMBER(SEARCH(SETTINGS!$K$7,D169)),SETTINGS!$L$7,IF(ISNUMBER(SEARCH(SETTINGS!$K$8,D169)),SETTINGS!$L$8,IF(ISNUMBER(SEARCH(SETTINGS!$K$9,D169)),SETTINGS!$L$9,IF(ISNUMBER(SEARCH(SETTINGS!$K$10,D169)),SETTINGS!$L$10,IF(ISNUMBER(SEARCH(SETTINGS!$K$11,D169)),SETTINGS!$L$11,IF(ISNUMBER(SEARCH(SETTINGS!$K$12,D169)),SETTINGS!$L$12,IF(ISNUMBER(SEARCH(SETTINGS!$K$13,D169)),SETTINGS!$L$13,IF(ISNUMBER(SEARCH(SETTINGS!$K$14,D169)),SETTINGS!$L$14,IF(ISNUMBER(SEARCH(SETTINGS!$K$15,D169)),SETTINGS!$L$15,IF(ISNUMBER(SEARCH(SETTINGS!$K$16,D169)),SETTINGS!$L$16,IF(ISNUMBER(SEARCH(SETTINGS!$K$17,D169)),SETTINGS!$L$17,IF(ISNUMBER(SEARCH(SETTINGS!$K$18,D169)),SETTINGS!$L$18,"Miscellaneous"))))))))))))))))</f>
        <v/>
      </c>
      <c r="I169" s="44" t="str">
        <f t="shared" si="16"/>
        <v/>
      </c>
      <c r="J169" s="9"/>
      <c r="K169" s="9"/>
      <c r="L169" s="9"/>
      <c r="M169" s="9"/>
      <c r="N169" s="9"/>
      <c r="O169" s="9"/>
      <c r="P169" s="13"/>
      <c r="Q169" s="9"/>
      <c r="R169" s="9"/>
      <c r="S169" s="9"/>
      <c r="T169" s="11"/>
      <c r="U169" s="44" t="str">
        <f t="shared" si="17"/>
        <v/>
      </c>
      <c r="V169" s="44" t="str">
        <f t="shared" si="18"/>
        <v/>
      </c>
      <c r="W169" s="44" t="str">
        <f t="shared" si="19"/>
        <v/>
      </c>
      <c r="X169" s="44" t="str">
        <f t="shared" si="20"/>
        <v/>
      </c>
      <c r="Y169" s="44" t="str">
        <f t="shared" si="21"/>
        <v/>
      </c>
      <c r="Z169" s="44" t="str">
        <f t="shared" si="22"/>
        <v/>
      </c>
      <c r="AA169" s="50" t="str">
        <f t="shared" si="23"/>
        <v/>
      </c>
      <c r="AB169" s="50" t="str">
        <f>IF(OR(B169="",C169&lt;&gt;"Expense"),"",IF(E169&gt;IFERROR(AVERAGEIFS($E$8:$E$1007,$I$8:$I$1007,I169,$C$8:$C$1007,"Expense")*SETTINGS!$B$20,0),"Unusually High","Normal"))</f>
        <v/>
      </c>
      <c r="AC169" s="51"/>
      <c r="AD169" s="51"/>
      <c r="AE169" s="51"/>
      <c r="AF169" s="50" t="str">
        <f>IF(A169&lt;&gt;"Yes","No",IF(AND(AC169="Yes",SETTINGS!$B$16="No"),"No","Yes"))</f>
        <v>No</v>
      </c>
      <c r="AG169" s="50" t="str">
        <f>IF(A169&lt;&gt;"Yes","",IF(OR(B169="",D169="",E169&lt;=0,F169="",I169=""),"Check Required Fields",IF(AA169="Possible Duplicate","Possible Duplicate",IF(E169&gt;SETTINGS!$B$22,"Review Extreme Value","OK"))))</f>
        <v/>
      </c>
    </row>
    <row r="170" spans="1:33" ht="14.4">
      <c r="A170" s="9"/>
      <c r="B170" s="13"/>
      <c r="C170" s="9"/>
      <c r="D170" s="9"/>
      <c r="E170" s="11"/>
      <c r="F170" s="9"/>
      <c r="G170" s="9"/>
      <c r="H170" s="44" t="str">
        <f>IF(D170="","",IF(ISNUMBER(SEARCH(SETTINGS!$K$4,D170)),SETTINGS!$L$4,IF(ISNUMBER(SEARCH(SETTINGS!$K$5,D170)),SETTINGS!$L$5,IF(ISNUMBER(SEARCH(SETTINGS!$K$6,D170)),SETTINGS!$L$6,IF(ISNUMBER(SEARCH(SETTINGS!$K$7,D170)),SETTINGS!$L$7,IF(ISNUMBER(SEARCH(SETTINGS!$K$8,D170)),SETTINGS!$L$8,IF(ISNUMBER(SEARCH(SETTINGS!$K$9,D170)),SETTINGS!$L$9,IF(ISNUMBER(SEARCH(SETTINGS!$K$10,D170)),SETTINGS!$L$10,IF(ISNUMBER(SEARCH(SETTINGS!$K$11,D170)),SETTINGS!$L$11,IF(ISNUMBER(SEARCH(SETTINGS!$K$12,D170)),SETTINGS!$L$12,IF(ISNUMBER(SEARCH(SETTINGS!$K$13,D170)),SETTINGS!$L$13,IF(ISNUMBER(SEARCH(SETTINGS!$K$14,D170)),SETTINGS!$L$14,IF(ISNUMBER(SEARCH(SETTINGS!$K$15,D170)),SETTINGS!$L$15,IF(ISNUMBER(SEARCH(SETTINGS!$K$16,D170)),SETTINGS!$L$16,IF(ISNUMBER(SEARCH(SETTINGS!$K$17,D170)),SETTINGS!$L$17,IF(ISNUMBER(SEARCH(SETTINGS!$K$18,D170)),SETTINGS!$L$18,"Miscellaneous"))))))))))))))))</f>
        <v/>
      </c>
      <c r="I170" s="44" t="str">
        <f t="shared" si="16"/>
        <v/>
      </c>
      <c r="J170" s="9"/>
      <c r="K170" s="9"/>
      <c r="L170" s="9"/>
      <c r="M170" s="9"/>
      <c r="N170" s="9"/>
      <c r="O170" s="9"/>
      <c r="P170" s="13"/>
      <c r="Q170" s="9"/>
      <c r="R170" s="9"/>
      <c r="S170" s="9"/>
      <c r="T170" s="11"/>
      <c r="U170" s="44" t="str">
        <f t="shared" si="17"/>
        <v/>
      </c>
      <c r="V170" s="44" t="str">
        <f t="shared" si="18"/>
        <v/>
      </c>
      <c r="W170" s="44" t="str">
        <f t="shared" si="19"/>
        <v/>
      </c>
      <c r="X170" s="44" t="str">
        <f t="shared" si="20"/>
        <v/>
      </c>
      <c r="Y170" s="44" t="str">
        <f t="shared" si="21"/>
        <v/>
      </c>
      <c r="Z170" s="44" t="str">
        <f t="shared" si="22"/>
        <v/>
      </c>
      <c r="AA170" s="50" t="str">
        <f t="shared" si="23"/>
        <v/>
      </c>
      <c r="AB170" s="50" t="str">
        <f>IF(OR(B170="",C170&lt;&gt;"Expense"),"",IF(E170&gt;IFERROR(AVERAGEIFS($E$8:$E$1007,$I$8:$I$1007,I170,$C$8:$C$1007,"Expense")*SETTINGS!$B$20,0),"Unusually High","Normal"))</f>
        <v/>
      </c>
      <c r="AC170" s="51"/>
      <c r="AD170" s="51"/>
      <c r="AE170" s="51"/>
      <c r="AF170" s="50" t="str">
        <f>IF(A170&lt;&gt;"Yes","No",IF(AND(AC170="Yes",SETTINGS!$B$16="No"),"No","Yes"))</f>
        <v>No</v>
      </c>
      <c r="AG170" s="50" t="str">
        <f>IF(A170&lt;&gt;"Yes","",IF(OR(B170="",D170="",E170&lt;=0,F170="",I170=""),"Check Required Fields",IF(AA170="Possible Duplicate","Possible Duplicate",IF(E170&gt;SETTINGS!$B$22,"Review Extreme Value","OK"))))</f>
        <v/>
      </c>
    </row>
    <row r="171" spans="1:33" ht="14.4">
      <c r="A171" s="9"/>
      <c r="B171" s="13"/>
      <c r="C171" s="9"/>
      <c r="D171" s="9"/>
      <c r="E171" s="11"/>
      <c r="F171" s="9"/>
      <c r="G171" s="9"/>
      <c r="H171" s="44" t="str">
        <f>IF(D171="","",IF(ISNUMBER(SEARCH(SETTINGS!$K$4,D171)),SETTINGS!$L$4,IF(ISNUMBER(SEARCH(SETTINGS!$K$5,D171)),SETTINGS!$L$5,IF(ISNUMBER(SEARCH(SETTINGS!$K$6,D171)),SETTINGS!$L$6,IF(ISNUMBER(SEARCH(SETTINGS!$K$7,D171)),SETTINGS!$L$7,IF(ISNUMBER(SEARCH(SETTINGS!$K$8,D171)),SETTINGS!$L$8,IF(ISNUMBER(SEARCH(SETTINGS!$K$9,D171)),SETTINGS!$L$9,IF(ISNUMBER(SEARCH(SETTINGS!$K$10,D171)),SETTINGS!$L$10,IF(ISNUMBER(SEARCH(SETTINGS!$K$11,D171)),SETTINGS!$L$11,IF(ISNUMBER(SEARCH(SETTINGS!$K$12,D171)),SETTINGS!$L$12,IF(ISNUMBER(SEARCH(SETTINGS!$K$13,D171)),SETTINGS!$L$13,IF(ISNUMBER(SEARCH(SETTINGS!$K$14,D171)),SETTINGS!$L$14,IF(ISNUMBER(SEARCH(SETTINGS!$K$15,D171)),SETTINGS!$L$15,IF(ISNUMBER(SEARCH(SETTINGS!$K$16,D171)),SETTINGS!$L$16,IF(ISNUMBER(SEARCH(SETTINGS!$K$17,D171)),SETTINGS!$L$17,IF(ISNUMBER(SEARCH(SETTINGS!$K$18,D171)),SETTINGS!$L$18,"Miscellaneous"))))))))))))))))</f>
        <v/>
      </c>
      <c r="I171" s="44" t="str">
        <f t="shared" si="16"/>
        <v/>
      </c>
      <c r="J171" s="9"/>
      <c r="K171" s="9"/>
      <c r="L171" s="9"/>
      <c r="M171" s="9"/>
      <c r="N171" s="9"/>
      <c r="O171" s="9"/>
      <c r="P171" s="13"/>
      <c r="Q171" s="9"/>
      <c r="R171" s="9"/>
      <c r="S171" s="9"/>
      <c r="T171" s="11"/>
      <c r="U171" s="44" t="str">
        <f t="shared" si="17"/>
        <v/>
      </c>
      <c r="V171" s="44" t="str">
        <f t="shared" si="18"/>
        <v/>
      </c>
      <c r="W171" s="44" t="str">
        <f t="shared" si="19"/>
        <v/>
      </c>
      <c r="X171" s="44" t="str">
        <f t="shared" si="20"/>
        <v/>
      </c>
      <c r="Y171" s="44" t="str">
        <f t="shared" si="21"/>
        <v/>
      </c>
      <c r="Z171" s="44" t="str">
        <f t="shared" si="22"/>
        <v/>
      </c>
      <c r="AA171" s="50" t="str">
        <f t="shared" si="23"/>
        <v/>
      </c>
      <c r="AB171" s="50" t="str">
        <f>IF(OR(B171="",C171&lt;&gt;"Expense"),"",IF(E171&gt;IFERROR(AVERAGEIFS($E$8:$E$1007,$I$8:$I$1007,I171,$C$8:$C$1007,"Expense")*SETTINGS!$B$20,0),"Unusually High","Normal"))</f>
        <v/>
      </c>
      <c r="AC171" s="51"/>
      <c r="AD171" s="51"/>
      <c r="AE171" s="51"/>
      <c r="AF171" s="50" t="str">
        <f>IF(A171&lt;&gt;"Yes","No",IF(AND(AC171="Yes",SETTINGS!$B$16="No"),"No","Yes"))</f>
        <v>No</v>
      </c>
      <c r="AG171" s="50" t="str">
        <f>IF(A171&lt;&gt;"Yes","",IF(OR(B171="",D171="",E171&lt;=0,F171="",I171=""),"Check Required Fields",IF(AA171="Possible Duplicate","Possible Duplicate",IF(E171&gt;SETTINGS!$B$22,"Review Extreme Value","OK"))))</f>
        <v/>
      </c>
    </row>
    <row r="172" spans="1:33" ht="14.4">
      <c r="A172" s="9"/>
      <c r="B172" s="13"/>
      <c r="C172" s="9"/>
      <c r="D172" s="9"/>
      <c r="E172" s="11"/>
      <c r="F172" s="9"/>
      <c r="G172" s="9"/>
      <c r="H172" s="44" t="str">
        <f>IF(D172="","",IF(ISNUMBER(SEARCH(SETTINGS!$K$4,D172)),SETTINGS!$L$4,IF(ISNUMBER(SEARCH(SETTINGS!$K$5,D172)),SETTINGS!$L$5,IF(ISNUMBER(SEARCH(SETTINGS!$K$6,D172)),SETTINGS!$L$6,IF(ISNUMBER(SEARCH(SETTINGS!$K$7,D172)),SETTINGS!$L$7,IF(ISNUMBER(SEARCH(SETTINGS!$K$8,D172)),SETTINGS!$L$8,IF(ISNUMBER(SEARCH(SETTINGS!$K$9,D172)),SETTINGS!$L$9,IF(ISNUMBER(SEARCH(SETTINGS!$K$10,D172)),SETTINGS!$L$10,IF(ISNUMBER(SEARCH(SETTINGS!$K$11,D172)),SETTINGS!$L$11,IF(ISNUMBER(SEARCH(SETTINGS!$K$12,D172)),SETTINGS!$L$12,IF(ISNUMBER(SEARCH(SETTINGS!$K$13,D172)),SETTINGS!$L$13,IF(ISNUMBER(SEARCH(SETTINGS!$K$14,D172)),SETTINGS!$L$14,IF(ISNUMBER(SEARCH(SETTINGS!$K$15,D172)),SETTINGS!$L$15,IF(ISNUMBER(SEARCH(SETTINGS!$K$16,D172)),SETTINGS!$L$16,IF(ISNUMBER(SEARCH(SETTINGS!$K$17,D172)),SETTINGS!$L$17,IF(ISNUMBER(SEARCH(SETTINGS!$K$18,D172)),SETTINGS!$L$18,"Miscellaneous"))))))))))))))))</f>
        <v/>
      </c>
      <c r="I172" s="44" t="str">
        <f t="shared" si="16"/>
        <v/>
      </c>
      <c r="J172" s="9"/>
      <c r="K172" s="9"/>
      <c r="L172" s="9"/>
      <c r="M172" s="9"/>
      <c r="N172" s="9"/>
      <c r="O172" s="9"/>
      <c r="P172" s="13"/>
      <c r="Q172" s="9"/>
      <c r="R172" s="9"/>
      <c r="S172" s="9"/>
      <c r="T172" s="11"/>
      <c r="U172" s="44" t="str">
        <f t="shared" si="17"/>
        <v/>
      </c>
      <c r="V172" s="44" t="str">
        <f t="shared" si="18"/>
        <v/>
      </c>
      <c r="W172" s="44" t="str">
        <f t="shared" si="19"/>
        <v/>
      </c>
      <c r="X172" s="44" t="str">
        <f t="shared" si="20"/>
        <v/>
      </c>
      <c r="Y172" s="44" t="str">
        <f t="shared" si="21"/>
        <v/>
      </c>
      <c r="Z172" s="44" t="str">
        <f t="shared" si="22"/>
        <v/>
      </c>
      <c r="AA172" s="50" t="str">
        <f t="shared" si="23"/>
        <v/>
      </c>
      <c r="AB172" s="50" t="str">
        <f>IF(OR(B172="",C172&lt;&gt;"Expense"),"",IF(E172&gt;IFERROR(AVERAGEIFS($E$8:$E$1007,$I$8:$I$1007,I172,$C$8:$C$1007,"Expense")*SETTINGS!$B$20,0),"Unusually High","Normal"))</f>
        <v/>
      </c>
      <c r="AC172" s="51"/>
      <c r="AD172" s="51"/>
      <c r="AE172" s="51"/>
      <c r="AF172" s="50" t="str">
        <f>IF(A172&lt;&gt;"Yes","No",IF(AND(AC172="Yes",SETTINGS!$B$16="No"),"No","Yes"))</f>
        <v>No</v>
      </c>
      <c r="AG172" s="50" t="str">
        <f>IF(A172&lt;&gt;"Yes","",IF(OR(B172="",D172="",E172&lt;=0,F172="",I172=""),"Check Required Fields",IF(AA172="Possible Duplicate","Possible Duplicate",IF(E172&gt;SETTINGS!$B$22,"Review Extreme Value","OK"))))</f>
        <v/>
      </c>
    </row>
    <row r="173" spans="1:33" ht="14.4">
      <c r="A173" s="9"/>
      <c r="B173" s="13"/>
      <c r="C173" s="9"/>
      <c r="D173" s="9"/>
      <c r="E173" s="11"/>
      <c r="F173" s="9"/>
      <c r="G173" s="9"/>
      <c r="H173" s="44" t="str">
        <f>IF(D173="","",IF(ISNUMBER(SEARCH(SETTINGS!$K$4,D173)),SETTINGS!$L$4,IF(ISNUMBER(SEARCH(SETTINGS!$K$5,D173)),SETTINGS!$L$5,IF(ISNUMBER(SEARCH(SETTINGS!$K$6,D173)),SETTINGS!$L$6,IF(ISNUMBER(SEARCH(SETTINGS!$K$7,D173)),SETTINGS!$L$7,IF(ISNUMBER(SEARCH(SETTINGS!$K$8,D173)),SETTINGS!$L$8,IF(ISNUMBER(SEARCH(SETTINGS!$K$9,D173)),SETTINGS!$L$9,IF(ISNUMBER(SEARCH(SETTINGS!$K$10,D173)),SETTINGS!$L$10,IF(ISNUMBER(SEARCH(SETTINGS!$K$11,D173)),SETTINGS!$L$11,IF(ISNUMBER(SEARCH(SETTINGS!$K$12,D173)),SETTINGS!$L$12,IF(ISNUMBER(SEARCH(SETTINGS!$K$13,D173)),SETTINGS!$L$13,IF(ISNUMBER(SEARCH(SETTINGS!$K$14,D173)),SETTINGS!$L$14,IF(ISNUMBER(SEARCH(SETTINGS!$K$15,D173)),SETTINGS!$L$15,IF(ISNUMBER(SEARCH(SETTINGS!$K$16,D173)),SETTINGS!$L$16,IF(ISNUMBER(SEARCH(SETTINGS!$K$17,D173)),SETTINGS!$L$17,IF(ISNUMBER(SEARCH(SETTINGS!$K$18,D173)),SETTINGS!$L$18,"Miscellaneous"))))))))))))))))</f>
        <v/>
      </c>
      <c r="I173" s="44" t="str">
        <f t="shared" si="16"/>
        <v/>
      </c>
      <c r="J173" s="9"/>
      <c r="K173" s="9"/>
      <c r="L173" s="9"/>
      <c r="M173" s="9"/>
      <c r="N173" s="9"/>
      <c r="O173" s="9"/>
      <c r="P173" s="13"/>
      <c r="Q173" s="9"/>
      <c r="R173" s="9"/>
      <c r="S173" s="9"/>
      <c r="T173" s="11"/>
      <c r="U173" s="44" t="str">
        <f t="shared" si="17"/>
        <v/>
      </c>
      <c r="V173" s="44" t="str">
        <f t="shared" si="18"/>
        <v/>
      </c>
      <c r="W173" s="44" t="str">
        <f t="shared" si="19"/>
        <v/>
      </c>
      <c r="X173" s="44" t="str">
        <f t="shared" si="20"/>
        <v/>
      </c>
      <c r="Y173" s="44" t="str">
        <f t="shared" si="21"/>
        <v/>
      </c>
      <c r="Z173" s="44" t="str">
        <f t="shared" si="22"/>
        <v/>
      </c>
      <c r="AA173" s="50" t="str">
        <f t="shared" si="23"/>
        <v/>
      </c>
      <c r="AB173" s="50" t="str">
        <f>IF(OR(B173="",C173&lt;&gt;"Expense"),"",IF(E173&gt;IFERROR(AVERAGEIFS($E$8:$E$1007,$I$8:$I$1007,I173,$C$8:$C$1007,"Expense")*SETTINGS!$B$20,0),"Unusually High","Normal"))</f>
        <v/>
      </c>
      <c r="AC173" s="51"/>
      <c r="AD173" s="51"/>
      <c r="AE173" s="51"/>
      <c r="AF173" s="50" t="str">
        <f>IF(A173&lt;&gt;"Yes","No",IF(AND(AC173="Yes",SETTINGS!$B$16="No"),"No","Yes"))</f>
        <v>No</v>
      </c>
      <c r="AG173" s="50" t="str">
        <f>IF(A173&lt;&gt;"Yes","",IF(OR(B173="",D173="",E173&lt;=0,F173="",I173=""),"Check Required Fields",IF(AA173="Possible Duplicate","Possible Duplicate",IF(E173&gt;SETTINGS!$B$22,"Review Extreme Value","OK"))))</f>
        <v/>
      </c>
    </row>
    <row r="174" spans="1:33" ht="14.4">
      <c r="A174" s="9"/>
      <c r="B174" s="13"/>
      <c r="C174" s="9"/>
      <c r="D174" s="9"/>
      <c r="E174" s="11"/>
      <c r="F174" s="9"/>
      <c r="G174" s="9"/>
      <c r="H174" s="44" t="str">
        <f>IF(D174="","",IF(ISNUMBER(SEARCH(SETTINGS!$K$4,D174)),SETTINGS!$L$4,IF(ISNUMBER(SEARCH(SETTINGS!$K$5,D174)),SETTINGS!$L$5,IF(ISNUMBER(SEARCH(SETTINGS!$K$6,D174)),SETTINGS!$L$6,IF(ISNUMBER(SEARCH(SETTINGS!$K$7,D174)),SETTINGS!$L$7,IF(ISNUMBER(SEARCH(SETTINGS!$K$8,D174)),SETTINGS!$L$8,IF(ISNUMBER(SEARCH(SETTINGS!$K$9,D174)),SETTINGS!$L$9,IF(ISNUMBER(SEARCH(SETTINGS!$K$10,D174)),SETTINGS!$L$10,IF(ISNUMBER(SEARCH(SETTINGS!$K$11,D174)),SETTINGS!$L$11,IF(ISNUMBER(SEARCH(SETTINGS!$K$12,D174)),SETTINGS!$L$12,IF(ISNUMBER(SEARCH(SETTINGS!$K$13,D174)),SETTINGS!$L$13,IF(ISNUMBER(SEARCH(SETTINGS!$K$14,D174)),SETTINGS!$L$14,IF(ISNUMBER(SEARCH(SETTINGS!$K$15,D174)),SETTINGS!$L$15,IF(ISNUMBER(SEARCH(SETTINGS!$K$16,D174)),SETTINGS!$L$16,IF(ISNUMBER(SEARCH(SETTINGS!$K$17,D174)),SETTINGS!$L$17,IF(ISNUMBER(SEARCH(SETTINGS!$K$18,D174)),SETTINGS!$L$18,"Miscellaneous"))))))))))))))))</f>
        <v/>
      </c>
      <c r="I174" s="44" t="str">
        <f t="shared" si="16"/>
        <v/>
      </c>
      <c r="J174" s="9"/>
      <c r="K174" s="9"/>
      <c r="L174" s="9"/>
      <c r="M174" s="9"/>
      <c r="N174" s="9"/>
      <c r="O174" s="9"/>
      <c r="P174" s="13"/>
      <c r="Q174" s="9"/>
      <c r="R174" s="9"/>
      <c r="S174" s="9"/>
      <c r="T174" s="11"/>
      <c r="U174" s="44" t="str">
        <f t="shared" si="17"/>
        <v/>
      </c>
      <c r="V174" s="44" t="str">
        <f t="shared" si="18"/>
        <v/>
      </c>
      <c r="W174" s="44" t="str">
        <f t="shared" si="19"/>
        <v/>
      </c>
      <c r="X174" s="44" t="str">
        <f t="shared" si="20"/>
        <v/>
      </c>
      <c r="Y174" s="44" t="str">
        <f t="shared" si="21"/>
        <v/>
      </c>
      <c r="Z174" s="44" t="str">
        <f t="shared" si="22"/>
        <v/>
      </c>
      <c r="AA174" s="50" t="str">
        <f t="shared" si="23"/>
        <v/>
      </c>
      <c r="AB174" s="50" t="str">
        <f>IF(OR(B174="",C174&lt;&gt;"Expense"),"",IF(E174&gt;IFERROR(AVERAGEIFS($E$8:$E$1007,$I$8:$I$1007,I174,$C$8:$C$1007,"Expense")*SETTINGS!$B$20,0),"Unusually High","Normal"))</f>
        <v/>
      </c>
      <c r="AC174" s="51"/>
      <c r="AD174" s="51"/>
      <c r="AE174" s="51"/>
      <c r="AF174" s="50" t="str">
        <f>IF(A174&lt;&gt;"Yes","No",IF(AND(AC174="Yes",SETTINGS!$B$16="No"),"No","Yes"))</f>
        <v>No</v>
      </c>
      <c r="AG174" s="50" t="str">
        <f>IF(A174&lt;&gt;"Yes","",IF(OR(B174="",D174="",E174&lt;=0,F174="",I174=""),"Check Required Fields",IF(AA174="Possible Duplicate","Possible Duplicate",IF(E174&gt;SETTINGS!$B$22,"Review Extreme Value","OK"))))</f>
        <v/>
      </c>
    </row>
    <row r="175" spans="1:33" ht="14.4">
      <c r="A175" s="9"/>
      <c r="B175" s="13"/>
      <c r="C175" s="9"/>
      <c r="D175" s="9"/>
      <c r="E175" s="11"/>
      <c r="F175" s="9"/>
      <c r="G175" s="9"/>
      <c r="H175" s="44" t="str">
        <f>IF(D175="","",IF(ISNUMBER(SEARCH(SETTINGS!$K$4,D175)),SETTINGS!$L$4,IF(ISNUMBER(SEARCH(SETTINGS!$K$5,D175)),SETTINGS!$L$5,IF(ISNUMBER(SEARCH(SETTINGS!$K$6,D175)),SETTINGS!$L$6,IF(ISNUMBER(SEARCH(SETTINGS!$K$7,D175)),SETTINGS!$L$7,IF(ISNUMBER(SEARCH(SETTINGS!$K$8,D175)),SETTINGS!$L$8,IF(ISNUMBER(SEARCH(SETTINGS!$K$9,D175)),SETTINGS!$L$9,IF(ISNUMBER(SEARCH(SETTINGS!$K$10,D175)),SETTINGS!$L$10,IF(ISNUMBER(SEARCH(SETTINGS!$K$11,D175)),SETTINGS!$L$11,IF(ISNUMBER(SEARCH(SETTINGS!$K$12,D175)),SETTINGS!$L$12,IF(ISNUMBER(SEARCH(SETTINGS!$K$13,D175)),SETTINGS!$L$13,IF(ISNUMBER(SEARCH(SETTINGS!$K$14,D175)),SETTINGS!$L$14,IF(ISNUMBER(SEARCH(SETTINGS!$K$15,D175)),SETTINGS!$L$15,IF(ISNUMBER(SEARCH(SETTINGS!$K$16,D175)),SETTINGS!$L$16,IF(ISNUMBER(SEARCH(SETTINGS!$K$17,D175)),SETTINGS!$L$17,IF(ISNUMBER(SEARCH(SETTINGS!$K$18,D175)),SETTINGS!$L$18,"Miscellaneous"))))))))))))))))</f>
        <v/>
      </c>
      <c r="I175" s="44" t="str">
        <f t="shared" si="16"/>
        <v/>
      </c>
      <c r="J175" s="9"/>
      <c r="K175" s="9"/>
      <c r="L175" s="9"/>
      <c r="M175" s="9"/>
      <c r="N175" s="9"/>
      <c r="O175" s="9"/>
      <c r="P175" s="13"/>
      <c r="Q175" s="9"/>
      <c r="R175" s="9"/>
      <c r="S175" s="9"/>
      <c r="T175" s="11"/>
      <c r="U175" s="44" t="str">
        <f t="shared" si="17"/>
        <v/>
      </c>
      <c r="V175" s="44" t="str">
        <f t="shared" si="18"/>
        <v/>
      </c>
      <c r="W175" s="44" t="str">
        <f t="shared" si="19"/>
        <v/>
      </c>
      <c r="X175" s="44" t="str">
        <f t="shared" si="20"/>
        <v/>
      </c>
      <c r="Y175" s="44" t="str">
        <f t="shared" si="21"/>
        <v/>
      </c>
      <c r="Z175" s="44" t="str">
        <f t="shared" si="22"/>
        <v/>
      </c>
      <c r="AA175" s="50" t="str">
        <f t="shared" si="23"/>
        <v/>
      </c>
      <c r="AB175" s="50" t="str">
        <f>IF(OR(B175="",C175&lt;&gt;"Expense"),"",IF(E175&gt;IFERROR(AVERAGEIFS($E$8:$E$1007,$I$8:$I$1007,I175,$C$8:$C$1007,"Expense")*SETTINGS!$B$20,0),"Unusually High","Normal"))</f>
        <v/>
      </c>
      <c r="AC175" s="51"/>
      <c r="AD175" s="51"/>
      <c r="AE175" s="51"/>
      <c r="AF175" s="50" t="str">
        <f>IF(A175&lt;&gt;"Yes","No",IF(AND(AC175="Yes",SETTINGS!$B$16="No"),"No","Yes"))</f>
        <v>No</v>
      </c>
      <c r="AG175" s="50" t="str">
        <f>IF(A175&lt;&gt;"Yes","",IF(OR(B175="",D175="",E175&lt;=0,F175="",I175=""),"Check Required Fields",IF(AA175="Possible Duplicate","Possible Duplicate",IF(E175&gt;SETTINGS!$B$22,"Review Extreme Value","OK"))))</f>
        <v/>
      </c>
    </row>
    <row r="176" spans="1:33" ht="14.4">
      <c r="A176" s="9"/>
      <c r="B176" s="13"/>
      <c r="C176" s="9"/>
      <c r="D176" s="9"/>
      <c r="E176" s="11"/>
      <c r="F176" s="9"/>
      <c r="G176" s="9"/>
      <c r="H176" s="44" t="str">
        <f>IF(D176="","",IF(ISNUMBER(SEARCH(SETTINGS!$K$4,D176)),SETTINGS!$L$4,IF(ISNUMBER(SEARCH(SETTINGS!$K$5,D176)),SETTINGS!$L$5,IF(ISNUMBER(SEARCH(SETTINGS!$K$6,D176)),SETTINGS!$L$6,IF(ISNUMBER(SEARCH(SETTINGS!$K$7,D176)),SETTINGS!$L$7,IF(ISNUMBER(SEARCH(SETTINGS!$K$8,D176)),SETTINGS!$L$8,IF(ISNUMBER(SEARCH(SETTINGS!$K$9,D176)),SETTINGS!$L$9,IF(ISNUMBER(SEARCH(SETTINGS!$K$10,D176)),SETTINGS!$L$10,IF(ISNUMBER(SEARCH(SETTINGS!$K$11,D176)),SETTINGS!$L$11,IF(ISNUMBER(SEARCH(SETTINGS!$K$12,D176)),SETTINGS!$L$12,IF(ISNUMBER(SEARCH(SETTINGS!$K$13,D176)),SETTINGS!$L$13,IF(ISNUMBER(SEARCH(SETTINGS!$K$14,D176)),SETTINGS!$L$14,IF(ISNUMBER(SEARCH(SETTINGS!$K$15,D176)),SETTINGS!$L$15,IF(ISNUMBER(SEARCH(SETTINGS!$K$16,D176)),SETTINGS!$L$16,IF(ISNUMBER(SEARCH(SETTINGS!$K$17,D176)),SETTINGS!$L$17,IF(ISNUMBER(SEARCH(SETTINGS!$K$18,D176)),SETTINGS!$L$18,"Miscellaneous"))))))))))))))))</f>
        <v/>
      </c>
      <c r="I176" s="44" t="str">
        <f t="shared" si="16"/>
        <v/>
      </c>
      <c r="J176" s="9"/>
      <c r="K176" s="9"/>
      <c r="L176" s="9"/>
      <c r="M176" s="9"/>
      <c r="N176" s="9"/>
      <c r="O176" s="9"/>
      <c r="P176" s="13"/>
      <c r="Q176" s="9"/>
      <c r="R176" s="9"/>
      <c r="S176" s="9"/>
      <c r="T176" s="11"/>
      <c r="U176" s="44" t="str">
        <f t="shared" si="17"/>
        <v/>
      </c>
      <c r="V176" s="44" t="str">
        <f t="shared" si="18"/>
        <v/>
      </c>
      <c r="W176" s="44" t="str">
        <f t="shared" si="19"/>
        <v/>
      </c>
      <c r="X176" s="44" t="str">
        <f t="shared" si="20"/>
        <v/>
      </c>
      <c r="Y176" s="44" t="str">
        <f t="shared" si="21"/>
        <v/>
      </c>
      <c r="Z176" s="44" t="str">
        <f t="shared" si="22"/>
        <v/>
      </c>
      <c r="AA176" s="50" t="str">
        <f t="shared" si="23"/>
        <v/>
      </c>
      <c r="AB176" s="50" t="str">
        <f>IF(OR(B176="",C176&lt;&gt;"Expense"),"",IF(E176&gt;IFERROR(AVERAGEIFS($E$8:$E$1007,$I$8:$I$1007,I176,$C$8:$C$1007,"Expense")*SETTINGS!$B$20,0),"Unusually High","Normal"))</f>
        <v/>
      </c>
      <c r="AC176" s="51"/>
      <c r="AD176" s="51"/>
      <c r="AE176" s="51"/>
      <c r="AF176" s="50" t="str">
        <f>IF(A176&lt;&gt;"Yes","No",IF(AND(AC176="Yes",SETTINGS!$B$16="No"),"No","Yes"))</f>
        <v>No</v>
      </c>
      <c r="AG176" s="50" t="str">
        <f>IF(A176&lt;&gt;"Yes","",IF(OR(B176="",D176="",E176&lt;=0,F176="",I176=""),"Check Required Fields",IF(AA176="Possible Duplicate","Possible Duplicate",IF(E176&gt;SETTINGS!$B$22,"Review Extreme Value","OK"))))</f>
        <v/>
      </c>
    </row>
    <row r="177" spans="1:33" ht="14.4">
      <c r="A177" s="9"/>
      <c r="B177" s="13"/>
      <c r="C177" s="9"/>
      <c r="D177" s="9"/>
      <c r="E177" s="11"/>
      <c r="F177" s="9"/>
      <c r="G177" s="9"/>
      <c r="H177" s="44" t="str">
        <f>IF(D177="","",IF(ISNUMBER(SEARCH(SETTINGS!$K$4,D177)),SETTINGS!$L$4,IF(ISNUMBER(SEARCH(SETTINGS!$K$5,D177)),SETTINGS!$L$5,IF(ISNUMBER(SEARCH(SETTINGS!$K$6,D177)),SETTINGS!$L$6,IF(ISNUMBER(SEARCH(SETTINGS!$K$7,D177)),SETTINGS!$L$7,IF(ISNUMBER(SEARCH(SETTINGS!$K$8,D177)),SETTINGS!$L$8,IF(ISNUMBER(SEARCH(SETTINGS!$K$9,D177)),SETTINGS!$L$9,IF(ISNUMBER(SEARCH(SETTINGS!$K$10,D177)),SETTINGS!$L$10,IF(ISNUMBER(SEARCH(SETTINGS!$K$11,D177)),SETTINGS!$L$11,IF(ISNUMBER(SEARCH(SETTINGS!$K$12,D177)),SETTINGS!$L$12,IF(ISNUMBER(SEARCH(SETTINGS!$K$13,D177)),SETTINGS!$L$13,IF(ISNUMBER(SEARCH(SETTINGS!$K$14,D177)),SETTINGS!$L$14,IF(ISNUMBER(SEARCH(SETTINGS!$K$15,D177)),SETTINGS!$L$15,IF(ISNUMBER(SEARCH(SETTINGS!$K$16,D177)),SETTINGS!$L$16,IF(ISNUMBER(SEARCH(SETTINGS!$K$17,D177)),SETTINGS!$L$17,IF(ISNUMBER(SEARCH(SETTINGS!$K$18,D177)),SETTINGS!$L$18,"Miscellaneous"))))))))))))))))</f>
        <v/>
      </c>
      <c r="I177" s="44" t="str">
        <f t="shared" si="16"/>
        <v/>
      </c>
      <c r="J177" s="9"/>
      <c r="K177" s="9"/>
      <c r="L177" s="9"/>
      <c r="M177" s="9"/>
      <c r="N177" s="9"/>
      <c r="O177" s="9"/>
      <c r="P177" s="13"/>
      <c r="Q177" s="9"/>
      <c r="R177" s="9"/>
      <c r="S177" s="9"/>
      <c r="T177" s="11"/>
      <c r="U177" s="44" t="str">
        <f t="shared" si="17"/>
        <v/>
      </c>
      <c r="V177" s="44" t="str">
        <f t="shared" si="18"/>
        <v/>
      </c>
      <c r="W177" s="44" t="str">
        <f t="shared" si="19"/>
        <v/>
      </c>
      <c r="X177" s="44" t="str">
        <f t="shared" si="20"/>
        <v/>
      </c>
      <c r="Y177" s="44" t="str">
        <f t="shared" si="21"/>
        <v/>
      </c>
      <c r="Z177" s="44" t="str">
        <f t="shared" si="22"/>
        <v/>
      </c>
      <c r="AA177" s="50" t="str">
        <f t="shared" si="23"/>
        <v/>
      </c>
      <c r="AB177" s="50" t="str">
        <f>IF(OR(B177="",C177&lt;&gt;"Expense"),"",IF(E177&gt;IFERROR(AVERAGEIFS($E$8:$E$1007,$I$8:$I$1007,I177,$C$8:$C$1007,"Expense")*SETTINGS!$B$20,0),"Unusually High","Normal"))</f>
        <v/>
      </c>
      <c r="AC177" s="51"/>
      <c r="AD177" s="51"/>
      <c r="AE177" s="51"/>
      <c r="AF177" s="50" t="str">
        <f>IF(A177&lt;&gt;"Yes","No",IF(AND(AC177="Yes",SETTINGS!$B$16="No"),"No","Yes"))</f>
        <v>No</v>
      </c>
      <c r="AG177" s="50" t="str">
        <f>IF(A177&lt;&gt;"Yes","",IF(OR(B177="",D177="",E177&lt;=0,F177="",I177=""),"Check Required Fields",IF(AA177="Possible Duplicate","Possible Duplicate",IF(E177&gt;SETTINGS!$B$22,"Review Extreme Value","OK"))))</f>
        <v/>
      </c>
    </row>
    <row r="178" spans="1:33" ht="14.4">
      <c r="A178" s="9"/>
      <c r="B178" s="13"/>
      <c r="C178" s="9"/>
      <c r="D178" s="9"/>
      <c r="E178" s="11"/>
      <c r="F178" s="9"/>
      <c r="G178" s="9"/>
      <c r="H178" s="44" t="str">
        <f>IF(D178="","",IF(ISNUMBER(SEARCH(SETTINGS!$K$4,D178)),SETTINGS!$L$4,IF(ISNUMBER(SEARCH(SETTINGS!$K$5,D178)),SETTINGS!$L$5,IF(ISNUMBER(SEARCH(SETTINGS!$K$6,D178)),SETTINGS!$L$6,IF(ISNUMBER(SEARCH(SETTINGS!$K$7,D178)),SETTINGS!$L$7,IF(ISNUMBER(SEARCH(SETTINGS!$K$8,D178)),SETTINGS!$L$8,IF(ISNUMBER(SEARCH(SETTINGS!$K$9,D178)),SETTINGS!$L$9,IF(ISNUMBER(SEARCH(SETTINGS!$K$10,D178)),SETTINGS!$L$10,IF(ISNUMBER(SEARCH(SETTINGS!$K$11,D178)),SETTINGS!$L$11,IF(ISNUMBER(SEARCH(SETTINGS!$K$12,D178)),SETTINGS!$L$12,IF(ISNUMBER(SEARCH(SETTINGS!$K$13,D178)),SETTINGS!$L$13,IF(ISNUMBER(SEARCH(SETTINGS!$K$14,D178)),SETTINGS!$L$14,IF(ISNUMBER(SEARCH(SETTINGS!$K$15,D178)),SETTINGS!$L$15,IF(ISNUMBER(SEARCH(SETTINGS!$K$16,D178)),SETTINGS!$L$16,IF(ISNUMBER(SEARCH(SETTINGS!$K$17,D178)),SETTINGS!$L$17,IF(ISNUMBER(SEARCH(SETTINGS!$K$18,D178)),SETTINGS!$L$18,"Miscellaneous"))))))))))))))))</f>
        <v/>
      </c>
      <c r="I178" s="44" t="str">
        <f t="shared" si="16"/>
        <v/>
      </c>
      <c r="J178" s="9"/>
      <c r="K178" s="9"/>
      <c r="L178" s="9"/>
      <c r="M178" s="9"/>
      <c r="N178" s="9"/>
      <c r="O178" s="9"/>
      <c r="P178" s="13"/>
      <c r="Q178" s="9"/>
      <c r="R178" s="9"/>
      <c r="S178" s="9"/>
      <c r="T178" s="11"/>
      <c r="U178" s="44" t="str">
        <f t="shared" si="17"/>
        <v/>
      </c>
      <c r="V178" s="44" t="str">
        <f t="shared" si="18"/>
        <v/>
      </c>
      <c r="W178" s="44" t="str">
        <f t="shared" si="19"/>
        <v/>
      </c>
      <c r="X178" s="44" t="str">
        <f t="shared" si="20"/>
        <v/>
      </c>
      <c r="Y178" s="44" t="str">
        <f t="shared" si="21"/>
        <v/>
      </c>
      <c r="Z178" s="44" t="str">
        <f t="shared" si="22"/>
        <v/>
      </c>
      <c r="AA178" s="50" t="str">
        <f t="shared" si="23"/>
        <v/>
      </c>
      <c r="AB178" s="50" t="str">
        <f>IF(OR(B178="",C178&lt;&gt;"Expense"),"",IF(E178&gt;IFERROR(AVERAGEIFS($E$8:$E$1007,$I$8:$I$1007,I178,$C$8:$C$1007,"Expense")*SETTINGS!$B$20,0),"Unusually High","Normal"))</f>
        <v/>
      </c>
      <c r="AC178" s="51"/>
      <c r="AD178" s="51"/>
      <c r="AE178" s="51"/>
      <c r="AF178" s="50" t="str">
        <f>IF(A178&lt;&gt;"Yes","No",IF(AND(AC178="Yes",SETTINGS!$B$16="No"),"No","Yes"))</f>
        <v>No</v>
      </c>
      <c r="AG178" s="50" t="str">
        <f>IF(A178&lt;&gt;"Yes","",IF(OR(B178="",D178="",E178&lt;=0,F178="",I178=""),"Check Required Fields",IF(AA178="Possible Duplicate","Possible Duplicate",IF(E178&gt;SETTINGS!$B$22,"Review Extreme Value","OK"))))</f>
        <v/>
      </c>
    </row>
    <row r="179" spans="1:33" ht="14.4">
      <c r="A179" s="9"/>
      <c r="B179" s="13"/>
      <c r="C179" s="9"/>
      <c r="D179" s="9"/>
      <c r="E179" s="11"/>
      <c r="F179" s="9"/>
      <c r="G179" s="9"/>
      <c r="H179" s="44" t="str">
        <f>IF(D179="","",IF(ISNUMBER(SEARCH(SETTINGS!$K$4,D179)),SETTINGS!$L$4,IF(ISNUMBER(SEARCH(SETTINGS!$K$5,D179)),SETTINGS!$L$5,IF(ISNUMBER(SEARCH(SETTINGS!$K$6,D179)),SETTINGS!$L$6,IF(ISNUMBER(SEARCH(SETTINGS!$K$7,D179)),SETTINGS!$L$7,IF(ISNUMBER(SEARCH(SETTINGS!$K$8,D179)),SETTINGS!$L$8,IF(ISNUMBER(SEARCH(SETTINGS!$K$9,D179)),SETTINGS!$L$9,IF(ISNUMBER(SEARCH(SETTINGS!$K$10,D179)),SETTINGS!$L$10,IF(ISNUMBER(SEARCH(SETTINGS!$K$11,D179)),SETTINGS!$L$11,IF(ISNUMBER(SEARCH(SETTINGS!$K$12,D179)),SETTINGS!$L$12,IF(ISNUMBER(SEARCH(SETTINGS!$K$13,D179)),SETTINGS!$L$13,IF(ISNUMBER(SEARCH(SETTINGS!$K$14,D179)),SETTINGS!$L$14,IF(ISNUMBER(SEARCH(SETTINGS!$K$15,D179)),SETTINGS!$L$15,IF(ISNUMBER(SEARCH(SETTINGS!$K$16,D179)),SETTINGS!$L$16,IF(ISNUMBER(SEARCH(SETTINGS!$K$17,D179)),SETTINGS!$L$17,IF(ISNUMBER(SEARCH(SETTINGS!$K$18,D179)),SETTINGS!$L$18,"Miscellaneous"))))))))))))))))</f>
        <v/>
      </c>
      <c r="I179" s="44" t="str">
        <f t="shared" si="16"/>
        <v/>
      </c>
      <c r="J179" s="9"/>
      <c r="K179" s="9"/>
      <c r="L179" s="9"/>
      <c r="M179" s="9"/>
      <c r="N179" s="9"/>
      <c r="O179" s="9"/>
      <c r="P179" s="13"/>
      <c r="Q179" s="9"/>
      <c r="R179" s="9"/>
      <c r="S179" s="9"/>
      <c r="T179" s="11"/>
      <c r="U179" s="44" t="str">
        <f t="shared" si="17"/>
        <v/>
      </c>
      <c r="V179" s="44" t="str">
        <f t="shared" si="18"/>
        <v/>
      </c>
      <c r="W179" s="44" t="str">
        <f t="shared" si="19"/>
        <v/>
      </c>
      <c r="X179" s="44" t="str">
        <f t="shared" si="20"/>
        <v/>
      </c>
      <c r="Y179" s="44" t="str">
        <f t="shared" si="21"/>
        <v/>
      </c>
      <c r="Z179" s="44" t="str">
        <f t="shared" si="22"/>
        <v/>
      </c>
      <c r="AA179" s="50" t="str">
        <f t="shared" si="23"/>
        <v/>
      </c>
      <c r="AB179" s="50" t="str">
        <f>IF(OR(B179="",C179&lt;&gt;"Expense"),"",IF(E179&gt;IFERROR(AVERAGEIFS($E$8:$E$1007,$I$8:$I$1007,I179,$C$8:$C$1007,"Expense")*SETTINGS!$B$20,0),"Unusually High","Normal"))</f>
        <v/>
      </c>
      <c r="AC179" s="51"/>
      <c r="AD179" s="51"/>
      <c r="AE179" s="51"/>
      <c r="AF179" s="50" t="str">
        <f>IF(A179&lt;&gt;"Yes","No",IF(AND(AC179="Yes",SETTINGS!$B$16="No"),"No","Yes"))</f>
        <v>No</v>
      </c>
      <c r="AG179" s="50" t="str">
        <f>IF(A179&lt;&gt;"Yes","",IF(OR(B179="",D179="",E179&lt;=0,F179="",I179=""),"Check Required Fields",IF(AA179="Possible Duplicate","Possible Duplicate",IF(E179&gt;SETTINGS!$B$22,"Review Extreme Value","OK"))))</f>
        <v/>
      </c>
    </row>
    <row r="180" spans="1:33" ht="14.4">
      <c r="A180" s="9"/>
      <c r="B180" s="13"/>
      <c r="C180" s="9"/>
      <c r="D180" s="9"/>
      <c r="E180" s="11"/>
      <c r="F180" s="9"/>
      <c r="G180" s="9"/>
      <c r="H180" s="44" t="str">
        <f>IF(D180="","",IF(ISNUMBER(SEARCH(SETTINGS!$K$4,D180)),SETTINGS!$L$4,IF(ISNUMBER(SEARCH(SETTINGS!$K$5,D180)),SETTINGS!$L$5,IF(ISNUMBER(SEARCH(SETTINGS!$K$6,D180)),SETTINGS!$L$6,IF(ISNUMBER(SEARCH(SETTINGS!$K$7,D180)),SETTINGS!$L$7,IF(ISNUMBER(SEARCH(SETTINGS!$K$8,D180)),SETTINGS!$L$8,IF(ISNUMBER(SEARCH(SETTINGS!$K$9,D180)),SETTINGS!$L$9,IF(ISNUMBER(SEARCH(SETTINGS!$K$10,D180)),SETTINGS!$L$10,IF(ISNUMBER(SEARCH(SETTINGS!$K$11,D180)),SETTINGS!$L$11,IF(ISNUMBER(SEARCH(SETTINGS!$K$12,D180)),SETTINGS!$L$12,IF(ISNUMBER(SEARCH(SETTINGS!$K$13,D180)),SETTINGS!$L$13,IF(ISNUMBER(SEARCH(SETTINGS!$K$14,D180)),SETTINGS!$L$14,IF(ISNUMBER(SEARCH(SETTINGS!$K$15,D180)),SETTINGS!$L$15,IF(ISNUMBER(SEARCH(SETTINGS!$K$16,D180)),SETTINGS!$L$16,IF(ISNUMBER(SEARCH(SETTINGS!$K$17,D180)),SETTINGS!$L$17,IF(ISNUMBER(SEARCH(SETTINGS!$K$18,D180)),SETTINGS!$L$18,"Miscellaneous"))))))))))))))))</f>
        <v/>
      </c>
      <c r="I180" s="44" t="str">
        <f t="shared" si="16"/>
        <v/>
      </c>
      <c r="J180" s="9"/>
      <c r="K180" s="9"/>
      <c r="L180" s="9"/>
      <c r="M180" s="9"/>
      <c r="N180" s="9"/>
      <c r="O180" s="9"/>
      <c r="P180" s="13"/>
      <c r="Q180" s="9"/>
      <c r="R180" s="9"/>
      <c r="S180" s="9"/>
      <c r="T180" s="11"/>
      <c r="U180" s="44" t="str">
        <f t="shared" si="17"/>
        <v/>
      </c>
      <c r="V180" s="44" t="str">
        <f t="shared" si="18"/>
        <v/>
      </c>
      <c r="W180" s="44" t="str">
        <f t="shared" si="19"/>
        <v/>
      </c>
      <c r="X180" s="44" t="str">
        <f t="shared" si="20"/>
        <v/>
      </c>
      <c r="Y180" s="44" t="str">
        <f t="shared" si="21"/>
        <v/>
      </c>
      <c r="Z180" s="44" t="str">
        <f t="shared" si="22"/>
        <v/>
      </c>
      <c r="AA180" s="50" t="str">
        <f t="shared" si="23"/>
        <v/>
      </c>
      <c r="AB180" s="50" t="str">
        <f>IF(OR(B180="",C180&lt;&gt;"Expense"),"",IF(E180&gt;IFERROR(AVERAGEIFS($E$8:$E$1007,$I$8:$I$1007,I180,$C$8:$C$1007,"Expense")*SETTINGS!$B$20,0),"Unusually High","Normal"))</f>
        <v/>
      </c>
      <c r="AC180" s="51"/>
      <c r="AD180" s="51"/>
      <c r="AE180" s="51"/>
      <c r="AF180" s="50" t="str">
        <f>IF(A180&lt;&gt;"Yes","No",IF(AND(AC180="Yes",SETTINGS!$B$16="No"),"No","Yes"))</f>
        <v>No</v>
      </c>
      <c r="AG180" s="50" t="str">
        <f>IF(A180&lt;&gt;"Yes","",IF(OR(B180="",D180="",E180&lt;=0,F180="",I180=""),"Check Required Fields",IF(AA180="Possible Duplicate","Possible Duplicate",IF(E180&gt;SETTINGS!$B$22,"Review Extreme Value","OK"))))</f>
        <v/>
      </c>
    </row>
    <row r="181" spans="1:33" ht="14.4">
      <c r="A181" s="9"/>
      <c r="B181" s="13"/>
      <c r="C181" s="9"/>
      <c r="D181" s="9"/>
      <c r="E181" s="11"/>
      <c r="F181" s="9"/>
      <c r="G181" s="9"/>
      <c r="H181" s="44" t="str">
        <f>IF(D181="","",IF(ISNUMBER(SEARCH(SETTINGS!$K$4,D181)),SETTINGS!$L$4,IF(ISNUMBER(SEARCH(SETTINGS!$K$5,D181)),SETTINGS!$L$5,IF(ISNUMBER(SEARCH(SETTINGS!$K$6,D181)),SETTINGS!$L$6,IF(ISNUMBER(SEARCH(SETTINGS!$K$7,D181)),SETTINGS!$L$7,IF(ISNUMBER(SEARCH(SETTINGS!$K$8,D181)),SETTINGS!$L$8,IF(ISNUMBER(SEARCH(SETTINGS!$K$9,D181)),SETTINGS!$L$9,IF(ISNUMBER(SEARCH(SETTINGS!$K$10,D181)),SETTINGS!$L$10,IF(ISNUMBER(SEARCH(SETTINGS!$K$11,D181)),SETTINGS!$L$11,IF(ISNUMBER(SEARCH(SETTINGS!$K$12,D181)),SETTINGS!$L$12,IF(ISNUMBER(SEARCH(SETTINGS!$K$13,D181)),SETTINGS!$L$13,IF(ISNUMBER(SEARCH(SETTINGS!$K$14,D181)),SETTINGS!$L$14,IF(ISNUMBER(SEARCH(SETTINGS!$K$15,D181)),SETTINGS!$L$15,IF(ISNUMBER(SEARCH(SETTINGS!$K$16,D181)),SETTINGS!$L$16,IF(ISNUMBER(SEARCH(SETTINGS!$K$17,D181)),SETTINGS!$L$17,IF(ISNUMBER(SEARCH(SETTINGS!$K$18,D181)),SETTINGS!$L$18,"Miscellaneous"))))))))))))))))</f>
        <v/>
      </c>
      <c r="I181" s="44" t="str">
        <f t="shared" si="16"/>
        <v/>
      </c>
      <c r="J181" s="9"/>
      <c r="K181" s="9"/>
      <c r="L181" s="9"/>
      <c r="M181" s="9"/>
      <c r="N181" s="9"/>
      <c r="O181" s="9"/>
      <c r="P181" s="13"/>
      <c r="Q181" s="9"/>
      <c r="R181" s="9"/>
      <c r="S181" s="9"/>
      <c r="T181" s="11"/>
      <c r="U181" s="44" t="str">
        <f t="shared" si="17"/>
        <v/>
      </c>
      <c r="V181" s="44" t="str">
        <f t="shared" si="18"/>
        <v/>
      </c>
      <c r="W181" s="44" t="str">
        <f t="shared" si="19"/>
        <v/>
      </c>
      <c r="X181" s="44" t="str">
        <f t="shared" si="20"/>
        <v/>
      </c>
      <c r="Y181" s="44" t="str">
        <f t="shared" si="21"/>
        <v/>
      </c>
      <c r="Z181" s="44" t="str">
        <f t="shared" si="22"/>
        <v/>
      </c>
      <c r="AA181" s="50" t="str">
        <f t="shared" si="23"/>
        <v/>
      </c>
      <c r="AB181" s="50" t="str">
        <f>IF(OR(B181="",C181&lt;&gt;"Expense"),"",IF(E181&gt;IFERROR(AVERAGEIFS($E$8:$E$1007,$I$8:$I$1007,I181,$C$8:$C$1007,"Expense")*SETTINGS!$B$20,0),"Unusually High","Normal"))</f>
        <v/>
      </c>
      <c r="AC181" s="51"/>
      <c r="AD181" s="51"/>
      <c r="AE181" s="51"/>
      <c r="AF181" s="50" t="str">
        <f>IF(A181&lt;&gt;"Yes","No",IF(AND(AC181="Yes",SETTINGS!$B$16="No"),"No","Yes"))</f>
        <v>No</v>
      </c>
      <c r="AG181" s="50" t="str">
        <f>IF(A181&lt;&gt;"Yes","",IF(OR(B181="",D181="",E181&lt;=0,F181="",I181=""),"Check Required Fields",IF(AA181="Possible Duplicate","Possible Duplicate",IF(E181&gt;SETTINGS!$B$22,"Review Extreme Value","OK"))))</f>
        <v/>
      </c>
    </row>
    <row r="182" spans="1:33" ht="14.4">
      <c r="A182" s="9"/>
      <c r="B182" s="13"/>
      <c r="C182" s="9"/>
      <c r="D182" s="9"/>
      <c r="E182" s="11"/>
      <c r="F182" s="9"/>
      <c r="G182" s="9"/>
      <c r="H182" s="44" t="str">
        <f>IF(D182="","",IF(ISNUMBER(SEARCH(SETTINGS!$K$4,D182)),SETTINGS!$L$4,IF(ISNUMBER(SEARCH(SETTINGS!$K$5,D182)),SETTINGS!$L$5,IF(ISNUMBER(SEARCH(SETTINGS!$K$6,D182)),SETTINGS!$L$6,IF(ISNUMBER(SEARCH(SETTINGS!$K$7,D182)),SETTINGS!$L$7,IF(ISNUMBER(SEARCH(SETTINGS!$K$8,D182)),SETTINGS!$L$8,IF(ISNUMBER(SEARCH(SETTINGS!$K$9,D182)),SETTINGS!$L$9,IF(ISNUMBER(SEARCH(SETTINGS!$K$10,D182)),SETTINGS!$L$10,IF(ISNUMBER(SEARCH(SETTINGS!$K$11,D182)),SETTINGS!$L$11,IF(ISNUMBER(SEARCH(SETTINGS!$K$12,D182)),SETTINGS!$L$12,IF(ISNUMBER(SEARCH(SETTINGS!$K$13,D182)),SETTINGS!$L$13,IF(ISNUMBER(SEARCH(SETTINGS!$K$14,D182)),SETTINGS!$L$14,IF(ISNUMBER(SEARCH(SETTINGS!$K$15,D182)),SETTINGS!$L$15,IF(ISNUMBER(SEARCH(SETTINGS!$K$16,D182)),SETTINGS!$L$16,IF(ISNUMBER(SEARCH(SETTINGS!$K$17,D182)),SETTINGS!$L$17,IF(ISNUMBER(SEARCH(SETTINGS!$K$18,D182)),SETTINGS!$L$18,"Miscellaneous"))))))))))))))))</f>
        <v/>
      </c>
      <c r="I182" s="44" t="str">
        <f t="shared" si="16"/>
        <v/>
      </c>
      <c r="J182" s="9"/>
      <c r="K182" s="9"/>
      <c r="L182" s="9"/>
      <c r="M182" s="9"/>
      <c r="N182" s="9"/>
      <c r="O182" s="9"/>
      <c r="P182" s="13"/>
      <c r="Q182" s="9"/>
      <c r="R182" s="9"/>
      <c r="S182" s="9"/>
      <c r="T182" s="11"/>
      <c r="U182" s="44" t="str">
        <f t="shared" si="17"/>
        <v/>
      </c>
      <c r="V182" s="44" t="str">
        <f t="shared" si="18"/>
        <v/>
      </c>
      <c r="W182" s="44" t="str">
        <f t="shared" si="19"/>
        <v/>
      </c>
      <c r="X182" s="44" t="str">
        <f t="shared" si="20"/>
        <v/>
      </c>
      <c r="Y182" s="44" t="str">
        <f t="shared" si="21"/>
        <v/>
      </c>
      <c r="Z182" s="44" t="str">
        <f t="shared" si="22"/>
        <v/>
      </c>
      <c r="AA182" s="50" t="str">
        <f t="shared" si="23"/>
        <v/>
      </c>
      <c r="AB182" s="50" t="str">
        <f>IF(OR(B182="",C182&lt;&gt;"Expense"),"",IF(E182&gt;IFERROR(AVERAGEIFS($E$8:$E$1007,$I$8:$I$1007,I182,$C$8:$C$1007,"Expense")*SETTINGS!$B$20,0),"Unusually High","Normal"))</f>
        <v/>
      </c>
      <c r="AC182" s="51"/>
      <c r="AD182" s="51"/>
      <c r="AE182" s="51"/>
      <c r="AF182" s="50" t="str">
        <f>IF(A182&lt;&gt;"Yes","No",IF(AND(AC182="Yes",SETTINGS!$B$16="No"),"No","Yes"))</f>
        <v>No</v>
      </c>
      <c r="AG182" s="50" t="str">
        <f>IF(A182&lt;&gt;"Yes","",IF(OR(B182="",D182="",E182&lt;=0,F182="",I182=""),"Check Required Fields",IF(AA182="Possible Duplicate","Possible Duplicate",IF(E182&gt;SETTINGS!$B$22,"Review Extreme Value","OK"))))</f>
        <v/>
      </c>
    </row>
    <row r="183" spans="1:33" ht="14.4">
      <c r="A183" s="9"/>
      <c r="B183" s="13"/>
      <c r="C183" s="9"/>
      <c r="D183" s="9"/>
      <c r="E183" s="11"/>
      <c r="F183" s="9"/>
      <c r="G183" s="9"/>
      <c r="H183" s="44" t="str">
        <f>IF(D183="","",IF(ISNUMBER(SEARCH(SETTINGS!$K$4,D183)),SETTINGS!$L$4,IF(ISNUMBER(SEARCH(SETTINGS!$K$5,D183)),SETTINGS!$L$5,IF(ISNUMBER(SEARCH(SETTINGS!$K$6,D183)),SETTINGS!$L$6,IF(ISNUMBER(SEARCH(SETTINGS!$K$7,D183)),SETTINGS!$L$7,IF(ISNUMBER(SEARCH(SETTINGS!$K$8,D183)),SETTINGS!$L$8,IF(ISNUMBER(SEARCH(SETTINGS!$K$9,D183)),SETTINGS!$L$9,IF(ISNUMBER(SEARCH(SETTINGS!$K$10,D183)),SETTINGS!$L$10,IF(ISNUMBER(SEARCH(SETTINGS!$K$11,D183)),SETTINGS!$L$11,IF(ISNUMBER(SEARCH(SETTINGS!$K$12,D183)),SETTINGS!$L$12,IF(ISNUMBER(SEARCH(SETTINGS!$K$13,D183)),SETTINGS!$L$13,IF(ISNUMBER(SEARCH(SETTINGS!$K$14,D183)),SETTINGS!$L$14,IF(ISNUMBER(SEARCH(SETTINGS!$K$15,D183)),SETTINGS!$L$15,IF(ISNUMBER(SEARCH(SETTINGS!$K$16,D183)),SETTINGS!$L$16,IF(ISNUMBER(SEARCH(SETTINGS!$K$17,D183)),SETTINGS!$L$17,IF(ISNUMBER(SEARCH(SETTINGS!$K$18,D183)),SETTINGS!$L$18,"Miscellaneous"))))))))))))))))</f>
        <v/>
      </c>
      <c r="I183" s="44" t="str">
        <f t="shared" si="16"/>
        <v/>
      </c>
      <c r="J183" s="9"/>
      <c r="K183" s="9"/>
      <c r="L183" s="9"/>
      <c r="M183" s="9"/>
      <c r="N183" s="9"/>
      <c r="O183" s="9"/>
      <c r="P183" s="13"/>
      <c r="Q183" s="9"/>
      <c r="R183" s="9"/>
      <c r="S183" s="9"/>
      <c r="T183" s="11"/>
      <c r="U183" s="44" t="str">
        <f t="shared" si="17"/>
        <v/>
      </c>
      <c r="V183" s="44" t="str">
        <f t="shared" si="18"/>
        <v/>
      </c>
      <c r="W183" s="44" t="str">
        <f t="shared" si="19"/>
        <v/>
      </c>
      <c r="X183" s="44" t="str">
        <f t="shared" si="20"/>
        <v/>
      </c>
      <c r="Y183" s="44" t="str">
        <f t="shared" si="21"/>
        <v/>
      </c>
      <c r="Z183" s="44" t="str">
        <f t="shared" si="22"/>
        <v/>
      </c>
      <c r="AA183" s="50" t="str">
        <f t="shared" si="23"/>
        <v/>
      </c>
      <c r="AB183" s="50" t="str">
        <f>IF(OR(B183="",C183&lt;&gt;"Expense"),"",IF(E183&gt;IFERROR(AVERAGEIFS($E$8:$E$1007,$I$8:$I$1007,I183,$C$8:$C$1007,"Expense")*SETTINGS!$B$20,0),"Unusually High","Normal"))</f>
        <v/>
      </c>
      <c r="AC183" s="51"/>
      <c r="AD183" s="51"/>
      <c r="AE183" s="51"/>
      <c r="AF183" s="50" t="str">
        <f>IF(A183&lt;&gt;"Yes","No",IF(AND(AC183="Yes",SETTINGS!$B$16="No"),"No","Yes"))</f>
        <v>No</v>
      </c>
      <c r="AG183" s="50" t="str">
        <f>IF(A183&lt;&gt;"Yes","",IF(OR(B183="",D183="",E183&lt;=0,F183="",I183=""),"Check Required Fields",IF(AA183="Possible Duplicate","Possible Duplicate",IF(E183&gt;SETTINGS!$B$22,"Review Extreme Value","OK"))))</f>
        <v/>
      </c>
    </row>
    <row r="184" spans="1:33" ht="14.4">
      <c r="A184" s="9"/>
      <c r="B184" s="13"/>
      <c r="C184" s="9"/>
      <c r="D184" s="9"/>
      <c r="E184" s="11"/>
      <c r="F184" s="9"/>
      <c r="G184" s="9"/>
      <c r="H184" s="44" t="str">
        <f>IF(D184="","",IF(ISNUMBER(SEARCH(SETTINGS!$K$4,D184)),SETTINGS!$L$4,IF(ISNUMBER(SEARCH(SETTINGS!$K$5,D184)),SETTINGS!$L$5,IF(ISNUMBER(SEARCH(SETTINGS!$K$6,D184)),SETTINGS!$L$6,IF(ISNUMBER(SEARCH(SETTINGS!$K$7,D184)),SETTINGS!$L$7,IF(ISNUMBER(SEARCH(SETTINGS!$K$8,D184)),SETTINGS!$L$8,IF(ISNUMBER(SEARCH(SETTINGS!$K$9,D184)),SETTINGS!$L$9,IF(ISNUMBER(SEARCH(SETTINGS!$K$10,D184)),SETTINGS!$L$10,IF(ISNUMBER(SEARCH(SETTINGS!$K$11,D184)),SETTINGS!$L$11,IF(ISNUMBER(SEARCH(SETTINGS!$K$12,D184)),SETTINGS!$L$12,IF(ISNUMBER(SEARCH(SETTINGS!$K$13,D184)),SETTINGS!$L$13,IF(ISNUMBER(SEARCH(SETTINGS!$K$14,D184)),SETTINGS!$L$14,IF(ISNUMBER(SEARCH(SETTINGS!$K$15,D184)),SETTINGS!$L$15,IF(ISNUMBER(SEARCH(SETTINGS!$K$16,D184)),SETTINGS!$L$16,IF(ISNUMBER(SEARCH(SETTINGS!$K$17,D184)),SETTINGS!$L$17,IF(ISNUMBER(SEARCH(SETTINGS!$K$18,D184)),SETTINGS!$L$18,"Miscellaneous"))))))))))))))))</f>
        <v/>
      </c>
      <c r="I184" s="44" t="str">
        <f t="shared" si="16"/>
        <v/>
      </c>
      <c r="J184" s="9"/>
      <c r="K184" s="9"/>
      <c r="L184" s="9"/>
      <c r="M184" s="9"/>
      <c r="N184" s="9"/>
      <c r="O184" s="9"/>
      <c r="P184" s="13"/>
      <c r="Q184" s="9"/>
      <c r="R184" s="9"/>
      <c r="S184" s="9"/>
      <c r="T184" s="11"/>
      <c r="U184" s="44" t="str">
        <f t="shared" si="17"/>
        <v/>
      </c>
      <c r="V184" s="44" t="str">
        <f t="shared" si="18"/>
        <v/>
      </c>
      <c r="W184" s="44" t="str">
        <f t="shared" si="19"/>
        <v/>
      </c>
      <c r="X184" s="44" t="str">
        <f t="shared" si="20"/>
        <v/>
      </c>
      <c r="Y184" s="44" t="str">
        <f t="shared" si="21"/>
        <v/>
      </c>
      <c r="Z184" s="44" t="str">
        <f t="shared" si="22"/>
        <v/>
      </c>
      <c r="AA184" s="50" t="str">
        <f t="shared" si="23"/>
        <v/>
      </c>
      <c r="AB184" s="50" t="str">
        <f>IF(OR(B184="",C184&lt;&gt;"Expense"),"",IF(E184&gt;IFERROR(AVERAGEIFS($E$8:$E$1007,$I$8:$I$1007,I184,$C$8:$C$1007,"Expense")*SETTINGS!$B$20,0),"Unusually High","Normal"))</f>
        <v/>
      </c>
      <c r="AC184" s="51"/>
      <c r="AD184" s="51"/>
      <c r="AE184" s="51"/>
      <c r="AF184" s="50" t="str">
        <f>IF(A184&lt;&gt;"Yes","No",IF(AND(AC184="Yes",SETTINGS!$B$16="No"),"No","Yes"))</f>
        <v>No</v>
      </c>
      <c r="AG184" s="50" t="str">
        <f>IF(A184&lt;&gt;"Yes","",IF(OR(B184="",D184="",E184&lt;=0,F184="",I184=""),"Check Required Fields",IF(AA184="Possible Duplicate","Possible Duplicate",IF(E184&gt;SETTINGS!$B$22,"Review Extreme Value","OK"))))</f>
        <v/>
      </c>
    </row>
    <row r="185" spans="1:33" ht="14.4">
      <c r="A185" s="9"/>
      <c r="B185" s="13"/>
      <c r="C185" s="9"/>
      <c r="D185" s="9"/>
      <c r="E185" s="11"/>
      <c r="F185" s="9"/>
      <c r="G185" s="9"/>
      <c r="H185" s="44" t="str">
        <f>IF(D185="","",IF(ISNUMBER(SEARCH(SETTINGS!$K$4,D185)),SETTINGS!$L$4,IF(ISNUMBER(SEARCH(SETTINGS!$K$5,D185)),SETTINGS!$L$5,IF(ISNUMBER(SEARCH(SETTINGS!$K$6,D185)),SETTINGS!$L$6,IF(ISNUMBER(SEARCH(SETTINGS!$K$7,D185)),SETTINGS!$L$7,IF(ISNUMBER(SEARCH(SETTINGS!$K$8,D185)),SETTINGS!$L$8,IF(ISNUMBER(SEARCH(SETTINGS!$K$9,D185)),SETTINGS!$L$9,IF(ISNUMBER(SEARCH(SETTINGS!$K$10,D185)),SETTINGS!$L$10,IF(ISNUMBER(SEARCH(SETTINGS!$K$11,D185)),SETTINGS!$L$11,IF(ISNUMBER(SEARCH(SETTINGS!$K$12,D185)),SETTINGS!$L$12,IF(ISNUMBER(SEARCH(SETTINGS!$K$13,D185)),SETTINGS!$L$13,IF(ISNUMBER(SEARCH(SETTINGS!$K$14,D185)),SETTINGS!$L$14,IF(ISNUMBER(SEARCH(SETTINGS!$K$15,D185)),SETTINGS!$L$15,IF(ISNUMBER(SEARCH(SETTINGS!$K$16,D185)),SETTINGS!$L$16,IF(ISNUMBER(SEARCH(SETTINGS!$K$17,D185)),SETTINGS!$L$17,IF(ISNUMBER(SEARCH(SETTINGS!$K$18,D185)),SETTINGS!$L$18,"Miscellaneous"))))))))))))))))</f>
        <v/>
      </c>
      <c r="I185" s="44" t="str">
        <f t="shared" si="16"/>
        <v/>
      </c>
      <c r="J185" s="9"/>
      <c r="K185" s="9"/>
      <c r="L185" s="9"/>
      <c r="M185" s="9"/>
      <c r="N185" s="9"/>
      <c r="O185" s="9"/>
      <c r="P185" s="13"/>
      <c r="Q185" s="9"/>
      <c r="R185" s="9"/>
      <c r="S185" s="9"/>
      <c r="T185" s="11"/>
      <c r="U185" s="44" t="str">
        <f t="shared" si="17"/>
        <v/>
      </c>
      <c r="V185" s="44" t="str">
        <f t="shared" si="18"/>
        <v/>
      </c>
      <c r="W185" s="44" t="str">
        <f t="shared" si="19"/>
        <v/>
      </c>
      <c r="X185" s="44" t="str">
        <f t="shared" si="20"/>
        <v/>
      </c>
      <c r="Y185" s="44" t="str">
        <f t="shared" si="21"/>
        <v/>
      </c>
      <c r="Z185" s="44" t="str">
        <f t="shared" si="22"/>
        <v/>
      </c>
      <c r="AA185" s="50" t="str">
        <f t="shared" si="23"/>
        <v/>
      </c>
      <c r="AB185" s="50" t="str">
        <f>IF(OR(B185="",C185&lt;&gt;"Expense"),"",IF(E185&gt;IFERROR(AVERAGEIFS($E$8:$E$1007,$I$8:$I$1007,I185,$C$8:$C$1007,"Expense")*SETTINGS!$B$20,0),"Unusually High","Normal"))</f>
        <v/>
      </c>
      <c r="AC185" s="51"/>
      <c r="AD185" s="51"/>
      <c r="AE185" s="51"/>
      <c r="AF185" s="50" t="str">
        <f>IF(A185&lt;&gt;"Yes","No",IF(AND(AC185="Yes",SETTINGS!$B$16="No"),"No","Yes"))</f>
        <v>No</v>
      </c>
      <c r="AG185" s="50" t="str">
        <f>IF(A185&lt;&gt;"Yes","",IF(OR(B185="",D185="",E185&lt;=0,F185="",I185=""),"Check Required Fields",IF(AA185="Possible Duplicate","Possible Duplicate",IF(E185&gt;SETTINGS!$B$22,"Review Extreme Value","OK"))))</f>
        <v/>
      </c>
    </row>
    <row r="186" spans="1:33" ht="14.4">
      <c r="A186" s="9"/>
      <c r="B186" s="13"/>
      <c r="C186" s="9"/>
      <c r="D186" s="9"/>
      <c r="E186" s="11"/>
      <c r="F186" s="9"/>
      <c r="G186" s="9"/>
      <c r="H186" s="44" t="str">
        <f>IF(D186="","",IF(ISNUMBER(SEARCH(SETTINGS!$K$4,D186)),SETTINGS!$L$4,IF(ISNUMBER(SEARCH(SETTINGS!$K$5,D186)),SETTINGS!$L$5,IF(ISNUMBER(SEARCH(SETTINGS!$K$6,D186)),SETTINGS!$L$6,IF(ISNUMBER(SEARCH(SETTINGS!$K$7,D186)),SETTINGS!$L$7,IF(ISNUMBER(SEARCH(SETTINGS!$K$8,D186)),SETTINGS!$L$8,IF(ISNUMBER(SEARCH(SETTINGS!$K$9,D186)),SETTINGS!$L$9,IF(ISNUMBER(SEARCH(SETTINGS!$K$10,D186)),SETTINGS!$L$10,IF(ISNUMBER(SEARCH(SETTINGS!$K$11,D186)),SETTINGS!$L$11,IF(ISNUMBER(SEARCH(SETTINGS!$K$12,D186)),SETTINGS!$L$12,IF(ISNUMBER(SEARCH(SETTINGS!$K$13,D186)),SETTINGS!$L$13,IF(ISNUMBER(SEARCH(SETTINGS!$K$14,D186)),SETTINGS!$L$14,IF(ISNUMBER(SEARCH(SETTINGS!$K$15,D186)),SETTINGS!$L$15,IF(ISNUMBER(SEARCH(SETTINGS!$K$16,D186)),SETTINGS!$L$16,IF(ISNUMBER(SEARCH(SETTINGS!$K$17,D186)),SETTINGS!$L$17,IF(ISNUMBER(SEARCH(SETTINGS!$K$18,D186)),SETTINGS!$L$18,"Miscellaneous"))))))))))))))))</f>
        <v/>
      </c>
      <c r="I186" s="44" t="str">
        <f t="shared" si="16"/>
        <v/>
      </c>
      <c r="J186" s="9"/>
      <c r="K186" s="9"/>
      <c r="L186" s="9"/>
      <c r="M186" s="9"/>
      <c r="N186" s="9"/>
      <c r="O186" s="9"/>
      <c r="P186" s="13"/>
      <c r="Q186" s="9"/>
      <c r="R186" s="9"/>
      <c r="S186" s="9"/>
      <c r="T186" s="11"/>
      <c r="U186" s="44" t="str">
        <f t="shared" si="17"/>
        <v/>
      </c>
      <c r="V186" s="44" t="str">
        <f t="shared" si="18"/>
        <v/>
      </c>
      <c r="W186" s="44" t="str">
        <f t="shared" si="19"/>
        <v/>
      </c>
      <c r="X186" s="44" t="str">
        <f t="shared" si="20"/>
        <v/>
      </c>
      <c r="Y186" s="44" t="str">
        <f t="shared" si="21"/>
        <v/>
      </c>
      <c r="Z186" s="44" t="str">
        <f t="shared" si="22"/>
        <v/>
      </c>
      <c r="AA186" s="50" t="str">
        <f t="shared" si="23"/>
        <v/>
      </c>
      <c r="AB186" s="50" t="str">
        <f>IF(OR(B186="",C186&lt;&gt;"Expense"),"",IF(E186&gt;IFERROR(AVERAGEIFS($E$8:$E$1007,$I$8:$I$1007,I186,$C$8:$C$1007,"Expense")*SETTINGS!$B$20,0),"Unusually High","Normal"))</f>
        <v/>
      </c>
      <c r="AC186" s="51"/>
      <c r="AD186" s="51"/>
      <c r="AE186" s="51"/>
      <c r="AF186" s="50" t="str">
        <f>IF(A186&lt;&gt;"Yes","No",IF(AND(AC186="Yes",SETTINGS!$B$16="No"),"No","Yes"))</f>
        <v>No</v>
      </c>
      <c r="AG186" s="50" t="str">
        <f>IF(A186&lt;&gt;"Yes","",IF(OR(B186="",D186="",E186&lt;=0,F186="",I186=""),"Check Required Fields",IF(AA186="Possible Duplicate","Possible Duplicate",IF(E186&gt;SETTINGS!$B$22,"Review Extreme Value","OK"))))</f>
        <v/>
      </c>
    </row>
    <row r="187" spans="1:33" ht="14.4">
      <c r="A187" s="9"/>
      <c r="B187" s="13"/>
      <c r="C187" s="9"/>
      <c r="D187" s="9"/>
      <c r="E187" s="11"/>
      <c r="F187" s="9"/>
      <c r="G187" s="9"/>
      <c r="H187" s="44" t="str">
        <f>IF(D187="","",IF(ISNUMBER(SEARCH(SETTINGS!$K$4,D187)),SETTINGS!$L$4,IF(ISNUMBER(SEARCH(SETTINGS!$K$5,D187)),SETTINGS!$L$5,IF(ISNUMBER(SEARCH(SETTINGS!$K$6,D187)),SETTINGS!$L$6,IF(ISNUMBER(SEARCH(SETTINGS!$K$7,D187)),SETTINGS!$L$7,IF(ISNUMBER(SEARCH(SETTINGS!$K$8,D187)),SETTINGS!$L$8,IF(ISNUMBER(SEARCH(SETTINGS!$K$9,D187)),SETTINGS!$L$9,IF(ISNUMBER(SEARCH(SETTINGS!$K$10,D187)),SETTINGS!$L$10,IF(ISNUMBER(SEARCH(SETTINGS!$K$11,D187)),SETTINGS!$L$11,IF(ISNUMBER(SEARCH(SETTINGS!$K$12,D187)),SETTINGS!$L$12,IF(ISNUMBER(SEARCH(SETTINGS!$K$13,D187)),SETTINGS!$L$13,IF(ISNUMBER(SEARCH(SETTINGS!$K$14,D187)),SETTINGS!$L$14,IF(ISNUMBER(SEARCH(SETTINGS!$K$15,D187)),SETTINGS!$L$15,IF(ISNUMBER(SEARCH(SETTINGS!$K$16,D187)),SETTINGS!$L$16,IF(ISNUMBER(SEARCH(SETTINGS!$K$17,D187)),SETTINGS!$L$17,IF(ISNUMBER(SEARCH(SETTINGS!$K$18,D187)),SETTINGS!$L$18,"Miscellaneous"))))))))))))))))</f>
        <v/>
      </c>
      <c r="I187" s="44" t="str">
        <f t="shared" si="16"/>
        <v/>
      </c>
      <c r="J187" s="9"/>
      <c r="K187" s="9"/>
      <c r="L187" s="9"/>
      <c r="M187" s="9"/>
      <c r="N187" s="9"/>
      <c r="O187" s="9"/>
      <c r="P187" s="13"/>
      <c r="Q187" s="9"/>
      <c r="R187" s="9"/>
      <c r="S187" s="9"/>
      <c r="T187" s="11"/>
      <c r="U187" s="44" t="str">
        <f t="shared" si="17"/>
        <v/>
      </c>
      <c r="V187" s="44" t="str">
        <f t="shared" si="18"/>
        <v/>
      </c>
      <c r="W187" s="44" t="str">
        <f t="shared" si="19"/>
        <v/>
      </c>
      <c r="X187" s="44" t="str">
        <f t="shared" si="20"/>
        <v/>
      </c>
      <c r="Y187" s="44" t="str">
        <f t="shared" si="21"/>
        <v/>
      </c>
      <c r="Z187" s="44" t="str">
        <f t="shared" si="22"/>
        <v/>
      </c>
      <c r="AA187" s="50" t="str">
        <f t="shared" si="23"/>
        <v/>
      </c>
      <c r="AB187" s="50" t="str">
        <f>IF(OR(B187="",C187&lt;&gt;"Expense"),"",IF(E187&gt;IFERROR(AVERAGEIFS($E$8:$E$1007,$I$8:$I$1007,I187,$C$8:$C$1007,"Expense")*SETTINGS!$B$20,0),"Unusually High","Normal"))</f>
        <v/>
      </c>
      <c r="AC187" s="51"/>
      <c r="AD187" s="51"/>
      <c r="AE187" s="51"/>
      <c r="AF187" s="50" t="str">
        <f>IF(A187&lt;&gt;"Yes","No",IF(AND(AC187="Yes",SETTINGS!$B$16="No"),"No","Yes"))</f>
        <v>No</v>
      </c>
      <c r="AG187" s="50" t="str">
        <f>IF(A187&lt;&gt;"Yes","",IF(OR(B187="",D187="",E187&lt;=0,F187="",I187=""),"Check Required Fields",IF(AA187="Possible Duplicate","Possible Duplicate",IF(E187&gt;SETTINGS!$B$22,"Review Extreme Value","OK"))))</f>
        <v/>
      </c>
    </row>
    <row r="188" spans="1:33" ht="14.4">
      <c r="A188" s="9"/>
      <c r="B188" s="13"/>
      <c r="C188" s="9"/>
      <c r="D188" s="9"/>
      <c r="E188" s="11"/>
      <c r="F188" s="9"/>
      <c r="G188" s="9"/>
      <c r="H188" s="44" t="str">
        <f>IF(D188="","",IF(ISNUMBER(SEARCH(SETTINGS!$K$4,D188)),SETTINGS!$L$4,IF(ISNUMBER(SEARCH(SETTINGS!$K$5,D188)),SETTINGS!$L$5,IF(ISNUMBER(SEARCH(SETTINGS!$K$6,D188)),SETTINGS!$L$6,IF(ISNUMBER(SEARCH(SETTINGS!$K$7,D188)),SETTINGS!$L$7,IF(ISNUMBER(SEARCH(SETTINGS!$K$8,D188)),SETTINGS!$L$8,IF(ISNUMBER(SEARCH(SETTINGS!$K$9,D188)),SETTINGS!$L$9,IF(ISNUMBER(SEARCH(SETTINGS!$K$10,D188)),SETTINGS!$L$10,IF(ISNUMBER(SEARCH(SETTINGS!$K$11,D188)),SETTINGS!$L$11,IF(ISNUMBER(SEARCH(SETTINGS!$K$12,D188)),SETTINGS!$L$12,IF(ISNUMBER(SEARCH(SETTINGS!$K$13,D188)),SETTINGS!$L$13,IF(ISNUMBER(SEARCH(SETTINGS!$K$14,D188)),SETTINGS!$L$14,IF(ISNUMBER(SEARCH(SETTINGS!$K$15,D188)),SETTINGS!$L$15,IF(ISNUMBER(SEARCH(SETTINGS!$K$16,D188)),SETTINGS!$L$16,IF(ISNUMBER(SEARCH(SETTINGS!$K$17,D188)),SETTINGS!$L$17,IF(ISNUMBER(SEARCH(SETTINGS!$K$18,D188)),SETTINGS!$L$18,"Miscellaneous"))))))))))))))))</f>
        <v/>
      </c>
      <c r="I188" s="44" t="str">
        <f t="shared" si="16"/>
        <v/>
      </c>
      <c r="J188" s="9"/>
      <c r="K188" s="9"/>
      <c r="L188" s="9"/>
      <c r="M188" s="9"/>
      <c r="N188" s="9"/>
      <c r="O188" s="9"/>
      <c r="P188" s="13"/>
      <c r="Q188" s="9"/>
      <c r="R188" s="9"/>
      <c r="S188" s="9"/>
      <c r="T188" s="11"/>
      <c r="U188" s="44" t="str">
        <f t="shared" si="17"/>
        <v/>
      </c>
      <c r="V188" s="44" t="str">
        <f t="shared" si="18"/>
        <v/>
      </c>
      <c r="W188" s="44" t="str">
        <f t="shared" si="19"/>
        <v/>
      </c>
      <c r="X188" s="44" t="str">
        <f t="shared" si="20"/>
        <v/>
      </c>
      <c r="Y188" s="44" t="str">
        <f t="shared" si="21"/>
        <v/>
      </c>
      <c r="Z188" s="44" t="str">
        <f t="shared" si="22"/>
        <v/>
      </c>
      <c r="AA188" s="50" t="str">
        <f t="shared" si="23"/>
        <v/>
      </c>
      <c r="AB188" s="50" t="str">
        <f>IF(OR(B188="",C188&lt;&gt;"Expense"),"",IF(E188&gt;IFERROR(AVERAGEIFS($E$8:$E$1007,$I$8:$I$1007,I188,$C$8:$C$1007,"Expense")*SETTINGS!$B$20,0),"Unusually High","Normal"))</f>
        <v/>
      </c>
      <c r="AC188" s="51"/>
      <c r="AD188" s="51"/>
      <c r="AE188" s="51"/>
      <c r="AF188" s="50" t="str">
        <f>IF(A188&lt;&gt;"Yes","No",IF(AND(AC188="Yes",SETTINGS!$B$16="No"),"No","Yes"))</f>
        <v>No</v>
      </c>
      <c r="AG188" s="50" t="str">
        <f>IF(A188&lt;&gt;"Yes","",IF(OR(B188="",D188="",E188&lt;=0,F188="",I188=""),"Check Required Fields",IF(AA188="Possible Duplicate","Possible Duplicate",IF(E188&gt;SETTINGS!$B$22,"Review Extreme Value","OK"))))</f>
        <v/>
      </c>
    </row>
    <row r="189" spans="1:33" ht="14.4">
      <c r="A189" s="9"/>
      <c r="B189" s="13"/>
      <c r="C189" s="9"/>
      <c r="D189" s="9"/>
      <c r="E189" s="11"/>
      <c r="F189" s="9"/>
      <c r="G189" s="9"/>
      <c r="H189" s="44" t="str">
        <f>IF(D189="","",IF(ISNUMBER(SEARCH(SETTINGS!$K$4,D189)),SETTINGS!$L$4,IF(ISNUMBER(SEARCH(SETTINGS!$K$5,D189)),SETTINGS!$L$5,IF(ISNUMBER(SEARCH(SETTINGS!$K$6,D189)),SETTINGS!$L$6,IF(ISNUMBER(SEARCH(SETTINGS!$K$7,D189)),SETTINGS!$L$7,IF(ISNUMBER(SEARCH(SETTINGS!$K$8,D189)),SETTINGS!$L$8,IF(ISNUMBER(SEARCH(SETTINGS!$K$9,D189)),SETTINGS!$L$9,IF(ISNUMBER(SEARCH(SETTINGS!$K$10,D189)),SETTINGS!$L$10,IF(ISNUMBER(SEARCH(SETTINGS!$K$11,D189)),SETTINGS!$L$11,IF(ISNUMBER(SEARCH(SETTINGS!$K$12,D189)),SETTINGS!$L$12,IF(ISNUMBER(SEARCH(SETTINGS!$K$13,D189)),SETTINGS!$L$13,IF(ISNUMBER(SEARCH(SETTINGS!$K$14,D189)),SETTINGS!$L$14,IF(ISNUMBER(SEARCH(SETTINGS!$K$15,D189)),SETTINGS!$L$15,IF(ISNUMBER(SEARCH(SETTINGS!$K$16,D189)),SETTINGS!$L$16,IF(ISNUMBER(SEARCH(SETTINGS!$K$17,D189)),SETTINGS!$L$17,IF(ISNUMBER(SEARCH(SETTINGS!$K$18,D189)),SETTINGS!$L$18,"Miscellaneous"))))))))))))))))</f>
        <v/>
      </c>
      <c r="I189" s="44" t="str">
        <f t="shared" si="16"/>
        <v/>
      </c>
      <c r="J189" s="9"/>
      <c r="K189" s="9"/>
      <c r="L189" s="9"/>
      <c r="M189" s="9"/>
      <c r="N189" s="9"/>
      <c r="O189" s="9"/>
      <c r="P189" s="13"/>
      <c r="Q189" s="9"/>
      <c r="R189" s="9"/>
      <c r="S189" s="9"/>
      <c r="T189" s="11"/>
      <c r="U189" s="44" t="str">
        <f t="shared" si="17"/>
        <v/>
      </c>
      <c r="V189" s="44" t="str">
        <f t="shared" si="18"/>
        <v/>
      </c>
      <c r="W189" s="44" t="str">
        <f t="shared" si="19"/>
        <v/>
      </c>
      <c r="X189" s="44" t="str">
        <f t="shared" si="20"/>
        <v/>
      </c>
      <c r="Y189" s="44" t="str">
        <f t="shared" si="21"/>
        <v/>
      </c>
      <c r="Z189" s="44" t="str">
        <f t="shared" si="22"/>
        <v/>
      </c>
      <c r="AA189" s="50" t="str">
        <f t="shared" si="23"/>
        <v/>
      </c>
      <c r="AB189" s="50" t="str">
        <f>IF(OR(B189="",C189&lt;&gt;"Expense"),"",IF(E189&gt;IFERROR(AVERAGEIFS($E$8:$E$1007,$I$8:$I$1007,I189,$C$8:$C$1007,"Expense")*SETTINGS!$B$20,0),"Unusually High","Normal"))</f>
        <v/>
      </c>
      <c r="AC189" s="51"/>
      <c r="AD189" s="51"/>
      <c r="AE189" s="51"/>
      <c r="AF189" s="50" t="str">
        <f>IF(A189&lt;&gt;"Yes","No",IF(AND(AC189="Yes",SETTINGS!$B$16="No"),"No","Yes"))</f>
        <v>No</v>
      </c>
      <c r="AG189" s="50" t="str">
        <f>IF(A189&lt;&gt;"Yes","",IF(OR(B189="",D189="",E189&lt;=0,F189="",I189=""),"Check Required Fields",IF(AA189="Possible Duplicate","Possible Duplicate",IF(E189&gt;SETTINGS!$B$22,"Review Extreme Value","OK"))))</f>
        <v/>
      </c>
    </row>
    <row r="190" spans="1:33" ht="14.4">
      <c r="A190" s="9"/>
      <c r="B190" s="13"/>
      <c r="C190" s="9"/>
      <c r="D190" s="9"/>
      <c r="E190" s="11"/>
      <c r="F190" s="9"/>
      <c r="G190" s="9"/>
      <c r="H190" s="44" t="str">
        <f>IF(D190="","",IF(ISNUMBER(SEARCH(SETTINGS!$K$4,D190)),SETTINGS!$L$4,IF(ISNUMBER(SEARCH(SETTINGS!$K$5,D190)),SETTINGS!$L$5,IF(ISNUMBER(SEARCH(SETTINGS!$K$6,D190)),SETTINGS!$L$6,IF(ISNUMBER(SEARCH(SETTINGS!$K$7,D190)),SETTINGS!$L$7,IF(ISNUMBER(SEARCH(SETTINGS!$K$8,D190)),SETTINGS!$L$8,IF(ISNUMBER(SEARCH(SETTINGS!$K$9,D190)),SETTINGS!$L$9,IF(ISNUMBER(SEARCH(SETTINGS!$K$10,D190)),SETTINGS!$L$10,IF(ISNUMBER(SEARCH(SETTINGS!$K$11,D190)),SETTINGS!$L$11,IF(ISNUMBER(SEARCH(SETTINGS!$K$12,D190)),SETTINGS!$L$12,IF(ISNUMBER(SEARCH(SETTINGS!$K$13,D190)),SETTINGS!$L$13,IF(ISNUMBER(SEARCH(SETTINGS!$K$14,D190)),SETTINGS!$L$14,IF(ISNUMBER(SEARCH(SETTINGS!$K$15,D190)),SETTINGS!$L$15,IF(ISNUMBER(SEARCH(SETTINGS!$K$16,D190)),SETTINGS!$L$16,IF(ISNUMBER(SEARCH(SETTINGS!$K$17,D190)),SETTINGS!$L$17,IF(ISNUMBER(SEARCH(SETTINGS!$K$18,D190)),SETTINGS!$L$18,"Miscellaneous"))))))))))))))))</f>
        <v/>
      </c>
      <c r="I190" s="44" t="str">
        <f t="shared" si="16"/>
        <v/>
      </c>
      <c r="J190" s="9"/>
      <c r="K190" s="9"/>
      <c r="L190" s="9"/>
      <c r="M190" s="9"/>
      <c r="N190" s="9"/>
      <c r="O190" s="9"/>
      <c r="P190" s="13"/>
      <c r="Q190" s="9"/>
      <c r="R190" s="9"/>
      <c r="S190" s="9"/>
      <c r="T190" s="11"/>
      <c r="U190" s="44" t="str">
        <f t="shared" si="17"/>
        <v/>
      </c>
      <c r="V190" s="44" t="str">
        <f t="shared" si="18"/>
        <v/>
      </c>
      <c r="W190" s="44" t="str">
        <f t="shared" si="19"/>
        <v/>
      </c>
      <c r="X190" s="44" t="str">
        <f t="shared" si="20"/>
        <v/>
      </c>
      <c r="Y190" s="44" t="str">
        <f t="shared" si="21"/>
        <v/>
      </c>
      <c r="Z190" s="44" t="str">
        <f t="shared" si="22"/>
        <v/>
      </c>
      <c r="AA190" s="50" t="str">
        <f t="shared" si="23"/>
        <v/>
      </c>
      <c r="AB190" s="50" t="str">
        <f>IF(OR(B190="",C190&lt;&gt;"Expense"),"",IF(E190&gt;IFERROR(AVERAGEIFS($E$8:$E$1007,$I$8:$I$1007,I190,$C$8:$C$1007,"Expense")*SETTINGS!$B$20,0),"Unusually High","Normal"))</f>
        <v/>
      </c>
      <c r="AC190" s="51"/>
      <c r="AD190" s="51"/>
      <c r="AE190" s="51"/>
      <c r="AF190" s="50" t="str">
        <f>IF(A190&lt;&gt;"Yes","No",IF(AND(AC190="Yes",SETTINGS!$B$16="No"),"No","Yes"))</f>
        <v>No</v>
      </c>
      <c r="AG190" s="50" t="str">
        <f>IF(A190&lt;&gt;"Yes","",IF(OR(B190="",D190="",E190&lt;=0,F190="",I190=""),"Check Required Fields",IF(AA190="Possible Duplicate","Possible Duplicate",IF(E190&gt;SETTINGS!$B$22,"Review Extreme Value","OK"))))</f>
        <v/>
      </c>
    </row>
    <row r="191" spans="1:33" ht="14.4">
      <c r="A191" s="9"/>
      <c r="B191" s="13"/>
      <c r="C191" s="9"/>
      <c r="D191" s="9"/>
      <c r="E191" s="11"/>
      <c r="F191" s="9"/>
      <c r="G191" s="9"/>
      <c r="H191" s="44" t="str">
        <f>IF(D191="","",IF(ISNUMBER(SEARCH(SETTINGS!$K$4,D191)),SETTINGS!$L$4,IF(ISNUMBER(SEARCH(SETTINGS!$K$5,D191)),SETTINGS!$L$5,IF(ISNUMBER(SEARCH(SETTINGS!$K$6,D191)),SETTINGS!$L$6,IF(ISNUMBER(SEARCH(SETTINGS!$K$7,D191)),SETTINGS!$L$7,IF(ISNUMBER(SEARCH(SETTINGS!$K$8,D191)),SETTINGS!$L$8,IF(ISNUMBER(SEARCH(SETTINGS!$K$9,D191)),SETTINGS!$L$9,IF(ISNUMBER(SEARCH(SETTINGS!$K$10,D191)),SETTINGS!$L$10,IF(ISNUMBER(SEARCH(SETTINGS!$K$11,D191)),SETTINGS!$L$11,IF(ISNUMBER(SEARCH(SETTINGS!$K$12,D191)),SETTINGS!$L$12,IF(ISNUMBER(SEARCH(SETTINGS!$K$13,D191)),SETTINGS!$L$13,IF(ISNUMBER(SEARCH(SETTINGS!$K$14,D191)),SETTINGS!$L$14,IF(ISNUMBER(SEARCH(SETTINGS!$K$15,D191)),SETTINGS!$L$15,IF(ISNUMBER(SEARCH(SETTINGS!$K$16,D191)),SETTINGS!$L$16,IF(ISNUMBER(SEARCH(SETTINGS!$K$17,D191)),SETTINGS!$L$17,IF(ISNUMBER(SEARCH(SETTINGS!$K$18,D191)),SETTINGS!$L$18,"Miscellaneous"))))))))))))))))</f>
        <v/>
      </c>
      <c r="I191" s="44" t="str">
        <f t="shared" si="16"/>
        <v/>
      </c>
      <c r="J191" s="9"/>
      <c r="K191" s="9"/>
      <c r="L191" s="9"/>
      <c r="M191" s="9"/>
      <c r="N191" s="9"/>
      <c r="O191" s="9"/>
      <c r="P191" s="13"/>
      <c r="Q191" s="9"/>
      <c r="R191" s="9"/>
      <c r="S191" s="9"/>
      <c r="T191" s="11"/>
      <c r="U191" s="44" t="str">
        <f t="shared" si="17"/>
        <v/>
      </c>
      <c r="V191" s="44" t="str">
        <f t="shared" si="18"/>
        <v/>
      </c>
      <c r="W191" s="44" t="str">
        <f t="shared" si="19"/>
        <v/>
      </c>
      <c r="X191" s="44" t="str">
        <f t="shared" si="20"/>
        <v/>
      </c>
      <c r="Y191" s="44" t="str">
        <f t="shared" si="21"/>
        <v/>
      </c>
      <c r="Z191" s="44" t="str">
        <f t="shared" si="22"/>
        <v/>
      </c>
      <c r="AA191" s="50" t="str">
        <f t="shared" si="23"/>
        <v/>
      </c>
      <c r="AB191" s="50" t="str">
        <f>IF(OR(B191="",C191&lt;&gt;"Expense"),"",IF(E191&gt;IFERROR(AVERAGEIFS($E$8:$E$1007,$I$8:$I$1007,I191,$C$8:$C$1007,"Expense")*SETTINGS!$B$20,0),"Unusually High","Normal"))</f>
        <v/>
      </c>
      <c r="AC191" s="51"/>
      <c r="AD191" s="51"/>
      <c r="AE191" s="51"/>
      <c r="AF191" s="50" t="str">
        <f>IF(A191&lt;&gt;"Yes","No",IF(AND(AC191="Yes",SETTINGS!$B$16="No"),"No","Yes"))</f>
        <v>No</v>
      </c>
      <c r="AG191" s="50" t="str">
        <f>IF(A191&lt;&gt;"Yes","",IF(OR(B191="",D191="",E191&lt;=0,F191="",I191=""),"Check Required Fields",IF(AA191="Possible Duplicate","Possible Duplicate",IF(E191&gt;SETTINGS!$B$22,"Review Extreme Value","OK"))))</f>
        <v/>
      </c>
    </row>
    <row r="192" spans="1:33" ht="14.4">
      <c r="A192" s="9"/>
      <c r="B192" s="13"/>
      <c r="C192" s="9"/>
      <c r="D192" s="9"/>
      <c r="E192" s="11"/>
      <c r="F192" s="9"/>
      <c r="G192" s="9"/>
      <c r="H192" s="44" t="str">
        <f>IF(D192="","",IF(ISNUMBER(SEARCH(SETTINGS!$K$4,D192)),SETTINGS!$L$4,IF(ISNUMBER(SEARCH(SETTINGS!$K$5,D192)),SETTINGS!$L$5,IF(ISNUMBER(SEARCH(SETTINGS!$K$6,D192)),SETTINGS!$L$6,IF(ISNUMBER(SEARCH(SETTINGS!$K$7,D192)),SETTINGS!$L$7,IF(ISNUMBER(SEARCH(SETTINGS!$K$8,D192)),SETTINGS!$L$8,IF(ISNUMBER(SEARCH(SETTINGS!$K$9,D192)),SETTINGS!$L$9,IF(ISNUMBER(SEARCH(SETTINGS!$K$10,D192)),SETTINGS!$L$10,IF(ISNUMBER(SEARCH(SETTINGS!$K$11,D192)),SETTINGS!$L$11,IF(ISNUMBER(SEARCH(SETTINGS!$K$12,D192)),SETTINGS!$L$12,IF(ISNUMBER(SEARCH(SETTINGS!$K$13,D192)),SETTINGS!$L$13,IF(ISNUMBER(SEARCH(SETTINGS!$K$14,D192)),SETTINGS!$L$14,IF(ISNUMBER(SEARCH(SETTINGS!$K$15,D192)),SETTINGS!$L$15,IF(ISNUMBER(SEARCH(SETTINGS!$K$16,D192)),SETTINGS!$L$16,IF(ISNUMBER(SEARCH(SETTINGS!$K$17,D192)),SETTINGS!$L$17,IF(ISNUMBER(SEARCH(SETTINGS!$K$18,D192)),SETTINGS!$L$18,"Miscellaneous"))))))))))))))))</f>
        <v/>
      </c>
      <c r="I192" s="44" t="str">
        <f t="shared" si="16"/>
        <v/>
      </c>
      <c r="J192" s="9"/>
      <c r="K192" s="9"/>
      <c r="L192" s="9"/>
      <c r="M192" s="9"/>
      <c r="N192" s="9"/>
      <c r="O192" s="9"/>
      <c r="P192" s="13"/>
      <c r="Q192" s="9"/>
      <c r="R192" s="9"/>
      <c r="S192" s="9"/>
      <c r="T192" s="11"/>
      <c r="U192" s="44" t="str">
        <f t="shared" si="17"/>
        <v/>
      </c>
      <c r="V192" s="44" t="str">
        <f t="shared" si="18"/>
        <v/>
      </c>
      <c r="W192" s="44" t="str">
        <f t="shared" si="19"/>
        <v/>
      </c>
      <c r="X192" s="44" t="str">
        <f t="shared" si="20"/>
        <v/>
      </c>
      <c r="Y192" s="44" t="str">
        <f t="shared" si="21"/>
        <v/>
      </c>
      <c r="Z192" s="44" t="str">
        <f t="shared" si="22"/>
        <v/>
      </c>
      <c r="AA192" s="50" t="str">
        <f t="shared" si="23"/>
        <v/>
      </c>
      <c r="AB192" s="50" t="str">
        <f>IF(OR(B192="",C192&lt;&gt;"Expense"),"",IF(E192&gt;IFERROR(AVERAGEIFS($E$8:$E$1007,$I$8:$I$1007,I192,$C$8:$C$1007,"Expense")*SETTINGS!$B$20,0),"Unusually High","Normal"))</f>
        <v/>
      </c>
      <c r="AC192" s="51"/>
      <c r="AD192" s="51"/>
      <c r="AE192" s="51"/>
      <c r="AF192" s="50" t="str">
        <f>IF(A192&lt;&gt;"Yes","No",IF(AND(AC192="Yes",SETTINGS!$B$16="No"),"No","Yes"))</f>
        <v>No</v>
      </c>
      <c r="AG192" s="50" t="str">
        <f>IF(A192&lt;&gt;"Yes","",IF(OR(B192="",D192="",E192&lt;=0,F192="",I192=""),"Check Required Fields",IF(AA192="Possible Duplicate","Possible Duplicate",IF(E192&gt;SETTINGS!$B$22,"Review Extreme Value","OK"))))</f>
        <v/>
      </c>
    </row>
    <row r="193" spans="1:33" ht="14.4">
      <c r="A193" s="9"/>
      <c r="B193" s="13"/>
      <c r="C193" s="9"/>
      <c r="D193" s="9"/>
      <c r="E193" s="11"/>
      <c r="F193" s="9"/>
      <c r="G193" s="9"/>
      <c r="H193" s="44" t="str">
        <f>IF(D193="","",IF(ISNUMBER(SEARCH(SETTINGS!$K$4,D193)),SETTINGS!$L$4,IF(ISNUMBER(SEARCH(SETTINGS!$K$5,D193)),SETTINGS!$L$5,IF(ISNUMBER(SEARCH(SETTINGS!$K$6,D193)),SETTINGS!$L$6,IF(ISNUMBER(SEARCH(SETTINGS!$K$7,D193)),SETTINGS!$L$7,IF(ISNUMBER(SEARCH(SETTINGS!$K$8,D193)),SETTINGS!$L$8,IF(ISNUMBER(SEARCH(SETTINGS!$K$9,D193)),SETTINGS!$L$9,IF(ISNUMBER(SEARCH(SETTINGS!$K$10,D193)),SETTINGS!$L$10,IF(ISNUMBER(SEARCH(SETTINGS!$K$11,D193)),SETTINGS!$L$11,IF(ISNUMBER(SEARCH(SETTINGS!$K$12,D193)),SETTINGS!$L$12,IF(ISNUMBER(SEARCH(SETTINGS!$K$13,D193)),SETTINGS!$L$13,IF(ISNUMBER(SEARCH(SETTINGS!$K$14,D193)),SETTINGS!$L$14,IF(ISNUMBER(SEARCH(SETTINGS!$K$15,D193)),SETTINGS!$L$15,IF(ISNUMBER(SEARCH(SETTINGS!$K$16,D193)),SETTINGS!$L$16,IF(ISNUMBER(SEARCH(SETTINGS!$K$17,D193)),SETTINGS!$L$17,IF(ISNUMBER(SEARCH(SETTINGS!$K$18,D193)),SETTINGS!$L$18,"Miscellaneous"))))))))))))))))</f>
        <v/>
      </c>
      <c r="I193" s="44" t="str">
        <f t="shared" si="16"/>
        <v/>
      </c>
      <c r="J193" s="9"/>
      <c r="K193" s="9"/>
      <c r="L193" s="9"/>
      <c r="M193" s="9"/>
      <c r="N193" s="9"/>
      <c r="O193" s="9"/>
      <c r="P193" s="13"/>
      <c r="Q193" s="9"/>
      <c r="R193" s="9"/>
      <c r="S193" s="9"/>
      <c r="T193" s="11"/>
      <c r="U193" s="44" t="str">
        <f t="shared" si="17"/>
        <v/>
      </c>
      <c r="V193" s="44" t="str">
        <f t="shared" si="18"/>
        <v/>
      </c>
      <c r="W193" s="44" t="str">
        <f t="shared" si="19"/>
        <v/>
      </c>
      <c r="X193" s="44" t="str">
        <f t="shared" si="20"/>
        <v/>
      </c>
      <c r="Y193" s="44" t="str">
        <f t="shared" si="21"/>
        <v/>
      </c>
      <c r="Z193" s="44" t="str">
        <f t="shared" si="22"/>
        <v/>
      </c>
      <c r="AA193" s="50" t="str">
        <f t="shared" si="23"/>
        <v/>
      </c>
      <c r="AB193" s="50" t="str">
        <f>IF(OR(B193="",C193&lt;&gt;"Expense"),"",IF(E193&gt;IFERROR(AVERAGEIFS($E$8:$E$1007,$I$8:$I$1007,I193,$C$8:$C$1007,"Expense")*SETTINGS!$B$20,0),"Unusually High","Normal"))</f>
        <v/>
      </c>
      <c r="AC193" s="51"/>
      <c r="AD193" s="51"/>
      <c r="AE193" s="51"/>
      <c r="AF193" s="50" t="str">
        <f>IF(A193&lt;&gt;"Yes","No",IF(AND(AC193="Yes",SETTINGS!$B$16="No"),"No","Yes"))</f>
        <v>No</v>
      </c>
      <c r="AG193" s="50" t="str">
        <f>IF(A193&lt;&gt;"Yes","",IF(OR(B193="",D193="",E193&lt;=0,F193="",I193=""),"Check Required Fields",IF(AA193="Possible Duplicate","Possible Duplicate",IF(E193&gt;SETTINGS!$B$22,"Review Extreme Value","OK"))))</f>
        <v/>
      </c>
    </row>
    <row r="194" spans="1:33" ht="14.4">
      <c r="A194" s="9"/>
      <c r="B194" s="13"/>
      <c r="C194" s="9"/>
      <c r="D194" s="9"/>
      <c r="E194" s="11"/>
      <c r="F194" s="9"/>
      <c r="G194" s="9"/>
      <c r="H194" s="44" t="str">
        <f>IF(D194="","",IF(ISNUMBER(SEARCH(SETTINGS!$K$4,D194)),SETTINGS!$L$4,IF(ISNUMBER(SEARCH(SETTINGS!$K$5,D194)),SETTINGS!$L$5,IF(ISNUMBER(SEARCH(SETTINGS!$K$6,D194)),SETTINGS!$L$6,IF(ISNUMBER(SEARCH(SETTINGS!$K$7,D194)),SETTINGS!$L$7,IF(ISNUMBER(SEARCH(SETTINGS!$K$8,D194)),SETTINGS!$L$8,IF(ISNUMBER(SEARCH(SETTINGS!$K$9,D194)),SETTINGS!$L$9,IF(ISNUMBER(SEARCH(SETTINGS!$K$10,D194)),SETTINGS!$L$10,IF(ISNUMBER(SEARCH(SETTINGS!$K$11,D194)),SETTINGS!$L$11,IF(ISNUMBER(SEARCH(SETTINGS!$K$12,D194)),SETTINGS!$L$12,IF(ISNUMBER(SEARCH(SETTINGS!$K$13,D194)),SETTINGS!$L$13,IF(ISNUMBER(SEARCH(SETTINGS!$K$14,D194)),SETTINGS!$L$14,IF(ISNUMBER(SEARCH(SETTINGS!$K$15,D194)),SETTINGS!$L$15,IF(ISNUMBER(SEARCH(SETTINGS!$K$16,D194)),SETTINGS!$L$16,IF(ISNUMBER(SEARCH(SETTINGS!$K$17,D194)),SETTINGS!$L$17,IF(ISNUMBER(SEARCH(SETTINGS!$K$18,D194)),SETTINGS!$L$18,"Miscellaneous"))))))))))))))))</f>
        <v/>
      </c>
      <c r="I194" s="44" t="str">
        <f t="shared" si="16"/>
        <v/>
      </c>
      <c r="J194" s="9"/>
      <c r="K194" s="9"/>
      <c r="L194" s="9"/>
      <c r="M194" s="9"/>
      <c r="N194" s="9"/>
      <c r="O194" s="9"/>
      <c r="P194" s="13"/>
      <c r="Q194" s="9"/>
      <c r="R194" s="9"/>
      <c r="S194" s="9"/>
      <c r="T194" s="11"/>
      <c r="U194" s="44" t="str">
        <f t="shared" si="17"/>
        <v/>
      </c>
      <c r="V194" s="44" t="str">
        <f t="shared" si="18"/>
        <v/>
      </c>
      <c r="W194" s="44" t="str">
        <f t="shared" si="19"/>
        <v/>
      </c>
      <c r="X194" s="44" t="str">
        <f t="shared" si="20"/>
        <v/>
      </c>
      <c r="Y194" s="44" t="str">
        <f t="shared" si="21"/>
        <v/>
      </c>
      <c r="Z194" s="44" t="str">
        <f t="shared" si="22"/>
        <v/>
      </c>
      <c r="AA194" s="50" t="str">
        <f t="shared" si="23"/>
        <v/>
      </c>
      <c r="AB194" s="50" t="str">
        <f>IF(OR(B194="",C194&lt;&gt;"Expense"),"",IF(E194&gt;IFERROR(AVERAGEIFS($E$8:$E$1007,$I$8:$I$1007,I194,$C$8:$C$1007,"Expense")*SETTINGS!$B$20,0),"Unusually High","Normal"))</f>
        <v/>
      </c>
      <c r="AC194" s="51"/>
      <c r="AD194" s="51"/>
      <c r="AE194" s="51"/>
      <c r="AF194" s="50" t="str">
        <f>IF(A194&lt;&gt;"Yes","No",IF(AND(AC194="Yes",SETTINGS!$B$16="No"),"No","Yes"))</f>
        <v>No</v>
      </c>
      <c r="AG194" s="50" t="str">
        <f>IF(A194&lt;&gt;"Yes","",IF(OR(B194="",D194="",E194&lt;=0,F194="",I194=""),"Check Required Fields",IF(AA194="Possible Duplicate","Possible Duplicate",IF(E194&gt;SETTINGS!$B$22,"Review Extreme Value","OK"))))</f>
        <v/>
      </c>
    </row>
    <row r="195" spans="1:33" ht="14.4">
      <c r="A195" s="9"/>
      <c r="B195" s="13"/>
      <c r="C195" s="9"/>
      <c r="D195" s="9"/>
      <c r="E195" s="11"/>
      <c r="F195" s="9"/>
      <c r="G195" s="9"/>
      <c r="H195" s="44" t="str">
        <f>IF(D195="","",IF(ISNUMBER(SEARCH(SETTINGS!$K$4,D195)),SETTINGS!$L$4,IF(ISNUMBER(SEARCH(SETTINGS!$K$5,D195)),SETTINGS!$L$5,IF(ISNUMBER(SEARCH(SETTINGS!$K$6,D195)),SETTINGS!$L$6,IF(ISNUMBER(SEARCH(SETTINGS!$K$7,D195)),SETTINGS!$L$7,IF(ISNUMBER(SEARCH(SETTINGS!$K$8,D195)),SETTINGS!$L$8,IF(ISNUMBER(SEARCH(SETTINGS!$K$9,D195)),SETTINGS!$L$9,IF(ISNUMBER(SEARCH(SETTINGS!$K$10,D195)),SETTINGS!$L$10,IF(ISNUMBER(SEARCH(SETTINGS!$K$11,D195)),SETTINGS!$L$11,IF(ISNUMBER(SEARCH(SETTINGS!$K$12,D195)),SETTINGS!$L$12,IF(ISNUMBER(SEARCH(SETTINGS!$K$13,D195)),SETTINGS!$L$13,IF(ISNUMBER(SEARCH(SETTINGS!$K$14,D195)),SETTINGS!$L$14,IF(ISNUMBER(SEARCH(SETTINGS!$K$15,D195)),SETTINGS!$L$15,IF(ISNUMBER(SEARCH(SETTINGS!$K$16,D195)),SETTINGS!$L$16,IF(ISNUMBER(SEARCH(SETTINGS!$K$17,D195)),SETTINGS!$L$17,IF(ISNUMBER(SEARCH(SETTINGS!$K$18,D195)),SETTINGS!$L$18,"Miscellaneous"))))))))))))))))</f>
        <v/>
      </c>
      <c r="I195" s="44" t="str">
        <f t="shared" si="16"/>
        <v/>
      </c>
      <c r="J195" s="9"/>
      <c r="K195" s="9"/>
      <c r="L195" s="9"/>
      <c r="M195" s="9"/>
      <c r="N195" s="9"/>
      <c r="O195" s="9"/>
      <c r="P195" s="13"/>
      <c r="Q195" s="9"/>
      <c r="R195" s="9"/>
      <c r="S195" s="9"/>
      <c r="T195" s="11"/>
      <c r="U195" s="44" t="str">
        <f t="shared" si="17"/>
        <v/>
      </c>
      <c r="V195" s="44" t="str">
        <f t="shared" si="18"/>
        <v/>
      </c>
      <c r="W195" s="44" t="str">
        <f t="shared" si="19"/>
        <v/>
      </c>
      <c r="X195" s="44" t="str">
        <f t="shared" si="20"/>
        <v/>
      </c>
      <c r="Y195" s="44" t="str">
        <f t="shared" si="21"/>
        <v/>
      </c>
      <c r="Z195" s="44" t="str">
        <f t="shared" si="22"/>
        <v/>
      </c>
      <c r="AA195" s="50" t="str">
        <f t="shared" si="23"/>
        <v/>
      </c>
      <c r="AB195" s="50" t="str">
        <f>IF(OR(B195="",C195&lt;&gt;"Expense"),"",IF(E195&gt;IFERROR(AVERAGEIFS($E$8:$E$1007,$I$8:$I$1007,I195,$C$8:$C$1007,"Expense")*SETTINGS!$B$20,0),"Unusually High","Normal"))</f>
        <v/>
      </c>
      <c r="AC195" s="51"/>
      <c r="AD195" s="51"/>
      <c r="AE195" s="51"/>
      <c r="AF195" s="50" t="str">
        <f>IF(A195&lt;&gt;"Yes","No",IF(AND(AC195="Yes",SETTINGS!$B$16="No"),"No","Yes"))</f>
        <v>No</v>
      </c>
      <c r="AG195" s="50" t="str">
        <f>IF(A195&lt;&gt;"Yes","",IF(OR(B195="",D195="",E195&lt;=0,F195="",I195=""),"Check Required Fields",IF(AA195="Possible Duplicate","Possible Duplicate",IF(E195&gt;SETTINGS!$B$22,"Review Extreme Value","OK"))))</f>
        <v/>
      </c>
    </row>
    <row r="196" spans="1:33" ht="14.4">
      <c r="A196" s="9"/>
      <c r="B196" s="13"/>
      <c r="C196" s="9"/>
      <c r="D196" s="9"/>
      <c r="E196" s="11"/>
      <c r="F196" s="9"/>
      <c r="G196" s="9"/>
      <c r="H196" s="44" t="str">
        <f>IF(D196="","",IF(ISNUMBER(SEARCH(SETTINGS!$K$4,D196)),SETTINGS!$L$4,IF(ISNUMBER(SEARCH(SETTINGS!$K$5,D196)),SETTINGS!$L$5,IF(ISNUMBER(SEARCH(SETTINGS!$K$6,D196)),SETTINGS!$L$6,IF(ISNUMBER(SEARCH(SETTINGS!$K$7,D196)),SETTINGS!$L$7,IF(ISNUMBER(SEARCH(SETTINGS!$K$8,D196)),SETTINGS!$L$8,IF(ISNUMBER(SEARCH(SETTINGS!$K$9,D196)),SETTINGS!$L$9,IF(ISNUMBER(SEARCH(SETTINGS!$K$10,D196)),SETTINGS!$L$10,IF(ISNUMBER(SEARCH(SETTINGS!$K$11,D196)),SETTINGS!$L$11,IF(ISNUMBER(SEARCH(SETTINGS!$K$12,D196)),SETTINGS!$L$12,IF(ISNUMBER(SEARCH(SETTINGS!$K$13,D196)),SETTINGS!$L$13,IF(ISNUMBER(SEARCH(SETTINGS!$K$14,D196)),SETTINGS!$L$14,IF(ISNUMBER(SEARCH(SETTINGS!$K$15,D196)),SETTINGS!$L$15,IF(ISNUMBER(SEARCH(SETTINGS!$K$16,D196)),SETTINGS!$L$16,IF(ISNUMBER(SEARCH(SETTINGS!$K$17,D196)),SETTINGS!$L$17,IF(ISNUMBER(SEARCH(SETTINGS!$K$18,D196)),SETTINGS!$L$18,"Miscellaneous"))))))))))))))))</f>
        <v/>
      </c>
      <c r="I196" s="44" t="str">
        <f t="shared" si="16"/>
        <v/>
      </c>
      <c r="J196" s="9"/>
      <c r="K196" s="9"/>
      <c r="L196" s="9"/>
      <c r="M196" s="9"/>
      <c r="N196" s="9"/>
      <c r="O196" s="9"/>
      <c r="P196" s="13"/>
      <c r="Q196" s="9"/>
      <c r="R196" s="9"/>
      <c r="S196" s="9"/>
      <c r="T196" s="11"/>
      <c r="U196" s="44" t="str">
        <f t="shared" si="17"/>
        <v/>
      </c>
      <c r="V196" s="44" t="str">
        <f t="shared" si="18"/>
        <v/>
      </c>
      <c r="W196" s="44" t="str">
        <f t="shared" si="19"/>
        <v/>
      </c>
      <c r="X196" s="44" t="str">
        <f t="shared" si="20"/>
        <v/>
      </c>
      <c r="Y196" s="44" t="str">
        <f t="shared" si="21"/>
        <v/>
      </c>
      <c r="Z196" s="44" t="str">
        <f t="shared" si="22"/>
        <v/>
      </c>
      <c r="AA196" s="50" t="str">
        <f t="shared" si="23"/>
        <v/>
      </c>
      <c r="AB196" s="50" t="str">
        <f>IF(OR(B196="",C196&lt;&gt;"Expense"),"",IF(E196&gt;IFERROR(AVERAGEIFS($E$8:$E$1007,$I$8:$I$1007,I196,$C$8:$C$1007,"Expense")*SETTINGS!$B$20,0),"Unusually High","Normal"))</f>
        <v/>
      </c>
      <c r="AC196" s="51"/>
      <c r="AD196" s="51"/>
      <c r="AE196" s="51"/>
      <c r="AF196" s="50" t="str">
        <f>IF(A196&lt;&gt;"Yes","No",IF(AND(AC196="Yes",SETTINGS!$B$16="No"),"No","Yes"))</f>
        <v>No</v>
      </c>
      <c r="AG196" s="50" t="str">
        <f>IF(A196&lt;&gt;"Yes","",IF(OR(B196="",D196="",E196&lt;=0,F196="",I196=""),"Check Required Fields",IF(AA196="Possible Duplicate","Possible Duplicate",IF(E196&gt;SETTINGS!$B$22,"Review Extreme Value","OK"))))</f>
        <v/>
      </c>
    </row>
    <row r="197" spans="1:33" ht="14.4">
      <c r="A197" s="9"/>
      <c r="B197" s="13"/>
      <c r="C197" s="9"/>
      <c r="D197" s="9"/>
      <c r="E197" s="11"/>
      <c r="F197" s="9"/>
      <c r="G197" s="9"/>
      <c r="H197" s="44" t="str">
        <f>IF(D197="","",IF(ISNUMBER(SEARCH(SETTINGS!$K$4,D197)),SETTINGS!$L$4,IF(ISNUMBER(SEARCH(SETTINGS!$K$5,D197)),SETTINGS!$L$5,IF(ISNUMBER(SEARCH(SETTINGS!$K$6,D197)),SETTINGS!$L$6,IF(ISNUMBER(SEARCH(SETTINGS!$K$7,D197)),SETTINGS!$L$7,IF(ISNUMBER(SEARCH(SETTINGS!$K$8,D197)),SETTINGS!$L$8,IF(ISNUMBER(SEARCH(SETTINGS!$K$9,D197)),SETTINGS!$L$9,IF(ISNUMBER(SEARCH(SETTINGS!$K$10,D197)),SETTINGS!$L$10,IF(ISNUMBER(SEARCH(SETTINGS!$K$11,D197)),SETTINGS!$L$11,IF(ISNUMBER(SEARCH(SETTINGS!$K$12,D197)),SETTINGS!$L$12,IF(ISNUMBER(SEARCH(SETTINGS!$K$13,D197)),SETTINGS!$L$13,IF(ISNUMBER(SEARCH(SETTINGS!$K$14,D197)),SETTINGS!$L$14,IF(ISNUMBER(SEARCH(SETTINGS!$K$15,D197)),SETTINGS!$L$15,IF(ISNUMBER(SEARCH(SETTINGS!$K$16,D197)),SETTINGS!$L$16,IF(ISNUMBER(SEARCH(SETTINGS!$K$17,D197)),SETTINGS!$L$17,IF(ISNUMBER(SEARCH(SETTINGS!$K$18,D197)),SETTINGS!$L$18,"Miscellaneous"))))))))))))))))</f>
        <v/>
      </c>
      <c r="I197" s="44" t="str">
        <f t="shared" si="16"/>
        <v/>
      </c>
      <c r="J197" s="9"/>
      <c r="K197" s="9"/>
      <c r="L197" s="9"/>
      <c r="M197" s="9"/>
      <c r="N197" s="9"/>
      <c r="O197" s="9"/>
      <c r="P197" s="13"/>
      <c r="Q197" s="9"/>
      <c r="R197" s="9"/>
      <c r="S197" s="9"/>
      <c r="T197" s="11"/>
      <c r="U197" s="44" t="str">
        <f t="shared" si="17"/>
        <v/>
      </c>
      <c r="V197" s="44" t="str">
        <f t="shared" si="18"/>
        <v/>
      </c>
      <c r="W197" s="44" t="str">
        <f t="shared" si="19"/>
        <v/>
      </c>
      <c r="X197" s="44" t="str">
        <f t="shared" si="20"/>
        <v/>
      </c>
      <c r="Y197" s="44" t="str">
        <f t="shared" si="21"/>
        <v/>
      </c>
      <c r="Z197" s="44" t="str">
        <f t="shared" si="22"/>
        <v/>
      </c>
      <c r="AA197" s="50" t="str">
        <f t="shared" si="23"/>
        <v/>
      </c>
      <c r="AB197" s="50" t="str">
        <f>IF(OR(B197="",C197&lt;&gt;"Expense"),"",IF(E197&gt;IFERROR(AVERAGEIFS($E$8:$E$1007,$I$8:$I$1007,I197,$C$8:$C$1007,"Expense")*SETTINGS!$B$20,0),"Unusually High","Normal"))</f>
        <v/>
      </c>
      <c r="AC197" s="51"/>
      <c r="AD197" s="51"/>
      <c r="AE197" s="51"/>
      <c r="AF197" s="50" t="str">
        <f>IF(A197&lt;&gt;"Yes","No",IF(AND(AC197="Yes",SETTINGS!$B$16="No"),"No","Yes"))</f>
        <v>No</v>
      </c>
      <c r="AG197" s="50" t="str">
        <f>IF(A197&lt;&gt;"Yes","",IF(OR(B197="",D197="",E197&lt;=0,F197="",I197=""),"Check Required Fields",IF(AA197="Possible Duplicate","Possible Duplicate",IF(E197&gt;SETTINGS!$B$22,"Review Extreme Value","OK"))))</f>
        <v/>
      </c>
    </row>
    <row r="198" spans="1:33" ht="14.4">
      <c r="A198" s="9"/>
      <c r="B198" s="13"/>
      <c r="C198" s="9"/>
      <c r="D198" s="9"/>
      <c r="E198" s="11"/>
      <c r="F198" s="9"/>
      <c r="G198" s="9"/>
      <c r="H198" s="44" t="str">
        <f>IF(D198="","",IF(ISNUMBER(SEARCH(SETTINGS!$K$4,D198)),SETTINGS!$L$4,IF(ISNUMBER(SEARCH(SETTINGS!$K$5,D198)),SETTINGS!$L$5,IF(ISNUMBER(SEARCH(SETTINGS!$K$6,D198)),SETTINGS!$L$6,IF(ISNUMBER(SEARCH(SETTINGS!$K$7,D198)),SETTINGS!$L$7,IF(ISNUMBER(SEARCH(SETTINGS!$K$8,D198)),SETTINGS!$L$8,IF(ISNUMBER(SEARCH(SETTINGS!$K$9,D198)),SETTINGS!$L$9,IF(ISNUMBER(SEARCH(SETTINGS!$K$10,D198)),SETTINGS!$L$10,IF(ISNUMBER(SEARCH(SETTINGS!$K$11,D198)),SETTINGS!$L$11,IF(ISNUMBER(SEARCH(SETTINGS!$K$12,D198)),SETTINGS!$L$12,IF(ISNUMBER(SEARCH(SETTINGS!$K$13,D198)),SETTINGS!$L$13,IF(ISNUMBER(SEARCH(SETTINGS!$K$14,D198)),SETTINGS!$L$14,IF(ISNUMBER(SEARCH(SETTINGS!$K$15,D198)),SETTINGS!$L$15,IF(ISNUMBER(SEARCH(SETTINGS!$K$16,D198)),SETTINGS!$L$16,IF(ISNUMBER(SEARCH(SETTINGS!$K$17,D198)),SETTINGS!$L$17,IF(ISNUMBER(SEARCH(SETTINGS!$K$18,D198)),SETTINGS!$L$18,"Miscellaneous"))))))))))))))))</f>
        <v/>
      </c>
      <c r="I198" s="44" t="str">
        <f t="shared" si="16"/>
        <v/>
      </c>
      <c r="J198" s="9"/>
      <c r="K198" s="9"/>
      <c r="L198" s="9"/>
      <c r="M198" s="9"/>
      <c r="N198" s="9"/>
      <c r="O198" s="9"/>
      <c r="P198" s="13"/>
      <c r="Q198" s="9"/>
      <c r="R198" s="9"/>
      <c r="S198" s="9"/>
      <c r="T198" s="11"/>
      <c r="U198" s="44" t="str">
        <f t="shared" si="17"/>
        <v/>
      </c>
      <c r="V198" s="44" t="str">
        <f t="shared" si="18"/>
        <v/>
      </c>
      <c r="W198" s="44" t="str">
        <f t="shared" si="19"/>
        <v/>
      </c>
      <c r="X198" s="44" t="str">
        <f t="shared" si="20"/>
        <v/>
      </c>
      <c r="Y198" s="44" t="str">
        <f t="shared" si="21"/>
        <v/>
      </c>
      <c r="Z198" s="44" t="str">
        <f t="shared" si="22"/>
        <v/>
      </c>
      <c r="AA198" s="50" t="str">
        <f t="shared" si="23"/>
        <v/>
      </c>
      <c r="AB198" s="50" t="str">
        <f>IF(OR(B198="",C198&lt;&gt;"Expense"),"",IF(E198&gt;IFERROR(AVERAGEIFS($E$8:$E$1007,$I$8:$I$1007,I198,$C$8:$C$1007,"Expense")*SETTINGS!$B$20,0),"Unusually High","Normal"))</f>
        <v/>
      </c>
      <c r="AC198" s="51"/>
      <c r="AD198" s="51"/>
      <c r="AE198" s="51"/>
      <c r="AF198" s="50" t="str">
        <f>IF(A198&lt;&gt;"Yes","No",IF(AND(AC198="Yes",SETTINGS!$B$16="No"),"No","Yes"))</f>
        <v>No</v>
      </c>
      <c r="AG198" s="50" t="str">
        <f>IF(A198&lt;&gt;"Yes","",IF(OR(B198="",D198="",E198&lt;=0,F198="",I198=""),"Check Required Fields",IF(AA198="Possible Duplicate","Possible Duplicate",IF(E198&gt;SETTINGS!$B$22,"Review Extreme Value","OK"))))</f>
        <v/>
      </c>
    </row>
    <row r="199" spans="1:33" ht="14.4">
      <c r="A199" s="9"/>
      <c r="B199" s="13"/>
      <c r="C199" s="9"/>
      <c r="D199" s="9"/>
      <c r="E199" s="11"/>
      <c r="F199" s="9"/>
      <c r="G199" s="9"/>
      <c r="H199" s="44" t="str">
        <f>IF(D199="","",IF(ISNUMBER(SEARCH(SETTINGS!$K$4,D199)),SETTINGS!$L$4,IF(ISNUMBER(SEARCH(SETTINGS!$K$5,D199)),SETTINGS!$L$5,IF(ISNUMBER(SEARCH(SETTINGS!$K$6,D199)),SETTINGS!$L$6,IF(ISNUMBER(SEARCH(SETTINGS!$K$7,D199)),SETTINGS!$L$7,IF(ISNUMBER(SEARCH(SETTINGS!$K$8,D199)),SETTINGS!$L$8,IF(ISNUMBER(SEARCH(SETTINGS!$K$9,D199)),SETTINGS!$L$9,IF(ISNUMBER(SEARCH(SETTINGS!$K$10,D199)),SETTINGS!$L$10,IF(ISNUMBER(SEARCH(SETTINGS!$K$11,D199)),SETTINGS!$L$11,IF(ISNUMBER(SEARCH(SETTINGS!$K$12,D199)),SETTINGS!$L$12,IF(ISNUMBER(SEARCH(SETTINGS!$K$13,D199)),SETTINGS!$L$13,IF(ISNUMBER(SEARCH(SETTINGS!$K$14,D199)),SETTINGS!$L$14,IF(ISNUMBER(SEARCH(SETTINGS!$K$15,D199)),SETTINGS!$L$15,IF(ISNUMBER(SEARCH(SETTINGS!$K$16,D199)),SETTINGS!$L$16,IF(ISNUMBER(SEARCH(SETTINGS!$K$17,D199)),SETTINGS!$L$17,IF(ISNUMBER(SEARCH(SETTINGS!$K$18,D199)),SETTINGS!$L$18,"Miscellaneous"))))))))))))))))</f>
        <v/>
      </c>
      <c r="I199" s="44" t="str">
        <f t="shared" si="16"/>
        <v/>
      </c>
      <c r="J199" s="9"/>
      <c r="K199" s="9"/>
      <c r="L199" s="9"/>
      <c r="M199" s="9"/>
      <c r="N199" s="9"/>
      <c r="O199" s="9"/>
      <c r="P199" s="13"/>
      <c r="Q199" s="9"/>
      <c r="R199" s="9"/>
      <c r="S199" s="9"/>
      <c r="T199" s="11"/>
      <c r="U199" s="44" t="str">
        <f t="shared" si="17"/>
        <v/>
      </c>
      <c r="V199" s="44" t="str">
        <f t="shared" si="18"/>
        <v/>
      </c>
      <c r="W199" s="44" t="str">
        <f t="shared" si="19"/>
        <v/>
      </c>
      <c r="X199" s="44" t="str">
        <f t="shared" si="20"/>
        <v/>
      </c>
      <c r="Y199" s="44" t="str">
        <f t="shared" si="21"/>
        <v/>
      </c>
      <c r="Z199" s="44" t="str">
        <f t="shared" si="22"/>
        <v/>
      </c>
      <c r="AA199" s="50" t="str">
        <f t="shared" si="23"/>
        <v/>
      </c>
      <c r="AB199" s="50" t="str">
        <f>IF(OR(B199="",C199&lt;&gt;"Expense"),"",IF(E199&gt;IFERROR(AVERAGEIFS($E$8:$E$1007,$I$8:$I$1007,I199,$C$8:$C$1007,"Expense")*SETTINGS!$B$20,0),"Unusually High","Normal"))</f>
        <v/>
      </c>
      <c r="AC199" s="51"/>
      <c r="AD199" s="51"/>
      <c r="AE199" s="51"/>
      <c r="AF199" s="50" t="str">
        <f>IF(A199&lt;&gt;"Yes","No",IF(AND(AC199="Yes",SETTINGS!$B$16="No"),"No","Yes"))</f>
        <v>No</v>
      </c>
      <c r="AG199" s="50" t="str">
        <f>IF(A199&lt;&gt;"Yes","",IF(OR(B199="",D199="",E199&lt;=0,F199="",I199=""),"Check Required Fields",IF(AA199="Possible Duplicate","Possible Duplicate",IF(E199&gt;SETTINGS!$B$22,"Review Extreme Value","OK"))))</f>
        <v/>
      </c>
    </row>
    <row r="200" spans="1:33" ht="14.4">
      <c r="A200" s="9"/>
      <c r="B200" s="13"/>
      <c r="C200" s="9"/>
      <c r="D200" s="9"/>
      <c r="E200" s="11"/>
      <c r="F200" s="9"/>
      <c r="G200" s="9"/>
      <c r="H200" s="44" t="str">
        <f>IF(D200="","",IF(ISNUMBER(SEARCH(SETTINGS!$K$4,D200)),SETTINGS!$L$4,IF(ISNUMBER(SEARCH(SETTINGS!$K$5,D200)),SETTINGS!$L$5,IF(ISNUMBER(SEARCH(SETTINGS!$K$6,D200)),SETTINGS!$L$6,IF(ISNUMBER(SEARCH(SETTINGS!$K$7,D200)),SETTINGS!$L$7,IF(ISNUMBER(SEARCH(SETTINGS!$K$8,D200)),SETTINGS!$L$8,IF(ISNUMBER(SEARCH(SETTINGS!$K$9,D200)),SETTINGS!$L$9,IF(ISNUMBER(SEARCH(SETTINGS!$K$10,D200)),SETTINGS!$L$10,IF(ISNUMBER(SEARCH(SETTINGS!$K$11,D200)),SETTINGS!$L$11,IF(ISNUMBER(SEARCH(SETTINGS!$K$12,D200)),SETTINGS!$L$12,IF(ISNUMBER(SEARCH(SETTINGS!$K$13,D200)),SETTINGS!$L$13,IF(ISNUMBER(SEARCH(SETTINGS!$K$14,D200)),SETTINGS!$L$14,IF(ISNUMBER(SEARCH(SETTINGS!$K$15,D200)),SETTINGS!$L$15,IF(ISNUMBER(SEARCH(SETTINGS!$K$16,D200)),SETTINGS!$L$16,IF(ISNUMBER(SEARCH(SETTINGS!$K$17,D200)),SETTINGS!$L$17,IF(ISNUMBER(SEARCH(SETTINGS!$K$18,D200)),SETTINGS!$L$18,"Miscellaneous"))))))))))))))))</f>
        <v/>
      </c>
      <c r="I200" s="44" t="str">
        <f t="shared" ref="I200:I263" si="24">IF(B200="","",IF(G200&lt;&gt;"",G200,H200))</f>
        <v/>
      </c>
      <c r="J200" s="9"/>
      <c r="K200" s="9"/>
      <c r="L200" s="9"/>
      <c r="M200" s="9"/>
      <c r="N200" s="9"/>
      <c r="O200" s="9"/>
      <c r="P200" s="13"/>
      <c r="Q200" s="9"/>
      <c r="R200" s="9"/>
      <c r="S200" s="9"/>
      <c r="T200" s="11"/>
      <c r="U200" s="44" t="str">
        <f t="shared" ref="U200:U263" si="25">IF(B200="","",IF(C200="Income","INC-",IF(C200="Expense","EXP-","TRX-"))&amp;TEXT(YEAR(B200),"0000")&amp;"-"&amp;TEXT(ROW()-7,"0000"))</f>
        <v/>
      </c>
      <c r="V200" s="44" t="str">
        <f t="shared" ref="V200:V263" si="26">IF(B200="","",TEXT(B200,"mmmm"))</f>
        <v/>
      </c>
      <c r="W200" s="44" t="str">
        <f t="shared" ref="W200:W263" si="27">IF(B200="","",MONTH(B200))</f>
        <v/>
      </c>
      <c r="X200" s="44" t="str">
        <f t="shared" ref="X200:X263" si="28">IF(B200="","",YEAR(B200))</f>
        <v/>
      </c>
      <c r="Y200" s="44" t="str">
        <f t="shared" ref="Y200:Y263" si="29">IF(B200="","",DAY(B200))</f>
        <v/>
      </c>
      <c r="Z200" s="44" t="str">
        <f t="shared" ref="Z200:Z263" si="30">IF(B200="","",IF(WEEKDAY(B200,2)&gt;5,"Weekend","Weekday"))</f>
        <v/>
      </c>
      <c r="AA200" s="50" t="str">
        <f t="shared" ref="AA200:AA263" si="31">IF(B200="","",IF(COUNTIFS($B$8:$B$1007,B200,$E$8:$E$1007,E200,$D$8:$D$1007,D200,$I$8:$I$1007,I200)&gt;1,"Possible Duplicate","OK"))</f>
        <v/>
      </c>
      <c r="AB200" s="50" t="str">
        <f>IF(OR(B200="",C200&lt;&gt;"Expense"),"",IF(E200&gt;IFERROR(AVERAGEIFS($E$8:$E$1007,$I$8:$I$1007,I200,$C$8:$C$1007,"Expense")*SETTINGS!$B$20,0),"Unusually High","Normal"))</f>
        <v/>
      </c>
      <c r="AC200" s="51"/>
      <c r="AD200" s="51"/>
      <c r="AE200" s="51"/>
      <c r="AF200" s="50" t="str">
        <f>IF(A200&lt;&gt;"Yes","No",IF(AND(AC200="Yes",SETTINGS!$B$16="No"),"No","Yes"))</f>
        <v>No</v>
      </c>
      <c r="AG200" s="50" t="str">
        <f>IF(A200&lt;&gt;"Yes","",IF(OR(B200="",D200="",E200&lt;=0,F200="",I200=""),"Check Required Fields",IF(AA200="Possible Duplicate","Possible Duplicate",IF(E200&gt;SETTINGS!$B$22,"Review Extreme Value","OK"))))</f>
        <v/>
      </c>
    </row>
    <row r="201" spans="1:33" ht="14.4">
      <c r="A201" s="9"/>
      <c r="B201" s="13"/>
      <c r="C201" s="9"/>
      <c r="D201" s="9"/>
      <c r="E201" s="11"/>
      <c r="F201" s="9"/>
      <c r="G201" s="9"/>
      <c r="H201" s="44" t="str">
        <f>IF(D201="","",IF(ISNUMBER(SEARCH(SETTINGS!$K$4,D201)),SETTINGS!$L$4,IF(ISNUMBER(SEARCH(SETTINGS!$K$5,D201)),SETTINGS!$L$5,IF(ISNUMBER(SEARCH(SETTINGS!$K$6,D201)),SETTINGS!$L$6,IF(ISNUMBER(SEARCH(SETTINGS!$K$7,D201)),SETTINGS!$L$7,IF(ISNUMBER(SEARCH(SETTINGS!$K$8,D201)),SETTINGS!$L$8,IF(ISNUMBER(SEARCH(SETTINGS!$K$9,D201)),SETTINGS!$L$9,IF(ISNUMBER(SEARCH(SETTINGS!$K$10,D201)),SETTINGS!$L$10,IF(ISNUMBER(SEARCH(SETTINGS!$K$11,D201)),SETTINGS!$L$11,IF(ISNUMBER(SEARCH(SETTINGS!$K$12,D201)),SETTINGS!$L$12,IF(ISNUMBER(SEARCH(SETTINGS!$K$13,D201)),SETTINGS!$L$13,IF(ISNUMBER(SEARCH(SETTINGS!$K$14,D201)),SETTINGS!$L$14,IF(ISNUMBER(SEARCH(SETTINGS!$K$15,D201)),SETTINGS!$L$15,IF(ISNUMBER(SEARCH(SETTINGS!$K$16,D201)),SETTINGS!$L$16,IF(ISNUMBER(SEARCH(SETTINGS!$K$17,D201)),SETTINGS!$L$17,IF(ISNUMBER(SEARCH(SETTINGS!$K$18,D201)),SETTINGS!$L$18,"Miscellaneous"))))))))))))))))</f>
        <v/>
      </c>
      <c r="I201" s="44" t="str">
        <f t="shared" si="24"/>
        <v/>
      </c>
      <c r="J201" s="9"/>
      <c r="K201" s="9"/>
      <c r="L201" s="9"/>
      <c r="M201" s="9"/>
      <c r="N201" s="9"/>
      <c r="O201" s="9"/>
      <c r="P201" s="13"/>
      <c r="Q201" s="9"/>
      <c r="R201" s="9"/>
      <c r="S201" s="9"/>
      <c r="T201" s="11"/>
      <c r="U201" s="44" t="str">
        <f t="shared" si="25"/>
        <v/>
      </c>
      <c r="V201" s="44" t="str">
        <f t="shared" si="26"/>
        <v/>
      </c>
      <c r="W201" s="44" t="str">
        <f t="shared" si="27"/>
        <v/>
      </c>
      <c r="X201" s="44" t="str">
        <f t="shared" si="28"/>
        <v/>
      </c>
      <c r="Y201" s="44" t="str">
        <f t="shared" si="29"/>
        <v/>
      </c>
      <c r="Z201" s="44" t="str">
        <f t="shared" si="30"/>
        <v/>
      </c>
      <c r="AA201" s="50" t="str">
        <f t="shared" si="31"/>
        <v/>
      </c>
      <c r="AB201" s="50" t="str">
        <f>IF(OR(B201="",C201&lt;&gt;"Expense"),"",IF(E201&gt;IFERROR(AVERAGEIFS($E$8:$E$1007,$I$8:$I$1007,I201,$C$8:$C$1007,"Expense")*SETTINGS!$B$20,0),"Unusually High","Normal"))</f>
        <v/>
      </c>
      <c r="AC201" s="51"/>
      <c r="AD201" s="51"/>
      <c r="AE201" s="51"/>
      <c r="AF201" s="50" t="str">
        <f>IF(A201&lt;&gt;"Yes","No",IF(AND(AC201="Yes",SETTINGS!$B$16="No"),"No","Yes"))</f>
        <v>No</v>
      </c>
      <c r="AG201" s="50" t="str">
        <f>IF(A201&lt;&gt;"Yes","",IF(OR(B201="",D201="",E201&lt;=0,F201="",I201=""),"Check Required Fields",IF(AA201="Possible Duplicate","Possible Duplicate",IF(E201&gt;SETTINGS!$B$22,"Review Extreme Value","OK"))))</f>
        <v/>
      </c>
    </row>
    <row r="202" spans="1:33" ht="14.4">
      <c r="A202" s="9"/>
      <c r="B202" s="13"/>
      <c r="C202" s="9"/>
      <c r="D202" s="9"/>
      <c r="E202" s="11"/>
      <c r="F202" s="9"/>
      <c r="G202" s="9"/>
      <c r="H202" s="44" t="str">
        <f>IF(D202="","",IF(ISNUMBER(SEARCH(SETTINGS!$K$4,D202)),SETTINGS!$L$4,IF(ISNUMBER(SEARCH(SETTINGS!$K$5,D202)),SETTINGS!$L$5,IF(ISNUMBER(SEARCH(SETTINGS!$K$6,D202)),SETTINGS!$L$6,IF(ISNUMBER(SEARCH(SETTINGS!$K$7,D202)),SETTINGS!$L$7,IF(ISNUMBER(SEARCH(SETTINGS!$K$8,D202)),SETTINGS!$L$8,IF(ISNUMBER(SEARCH(SETTINGS!$K$9,D202)),SETTINGS!$L$9,IF(ISNUMBER(SEARCH(SETTINGS!$K$10,D202)),SETTINGS!$L$10,IF(ISNUMBER(SEARCH(SETTINGS!$K$11,D202)),SETTINGS!$L$11,IF(ISNUMBER(SEARCH(SETTINGS!$K$12,D202)),SETTINGS!$L$12,IF(ISNUMBER(SEARCH(SETTINGS!$K$13,D202)),SETTINGS!$L$13,IF(ISNUMBER(SEARCH(SETTINGS!$K$14,D202)),SETTINGS!$L$14,IF(ISNUMBER(SEARCH(SETTINGS!$K$15,D202)),SETTINGS!$L$15,IF(ISNUMBER(SEARCH(SETTINGS!$K$16,D202)),SETTINGS!$L$16,IF(ISNUMBER(SEARCH(SETTINGS!$K$17,D202)),SETTINGS!$L$17,IF(ISNUMBER(SEARCH(SETTINGS!$K$18,D202)),SETTINGS!$L$18,"Miscellaneous"))))))))))))))))</f>
        <v/>
      </c>
      <c r="I202" s="44" t="str">
        <f t="shared" si="24"/>
        <v/>
      </c>
      <c r="J202" s="9"/>
      <c r="K202" s="9"/>
      <c r="L202" s="9"/>
      <c r="M202" s="9"/>
      <c r="N202" s="9"/>
      <c r="O202" s="9"/>
      <c r="P202" s="13"/>
      <c r="Q202" s="9"/>
      <c r="R202" s="9"/>
      <c r="S202" s="9"/>
      <c r="T202" s="11"/>
      <c r="U202" s="44" t="str">
        <f t="shared" si="25"/>
        <v/>
      </c>
      <c r="V202" s="44" t="str">
        <f t="shared" si="26"/>
        <v/>
      </c>
      <c r="W202" s="44" t="str">
        <f t="shared" si="27"/>
        <v/>
      </c>
      <c r="X202" s="44" t="str">
        <f t="shared" si="28"/>
        <v/>
      </c>
      <c r="Y202" s="44" t="str">
        <f t="shared" si="29"/>
        <v/>
      </c>
      <c r="Z202" s="44" t="str">
        <f t="shared" si="30"/>
        <v/>
      </c>
      <c r="AA202" s="50" t="str">
        <f t="shared" si="31"/>
        <v/>
      </c>
      <c r="AB202" s="50" t="str">
        <f>IF(OR(B202="",C202&lt;&gt;"Expense"),"",IF(E202&gt;IFERROR(AVERAGEIFS($E$8:$E$1007,$I$8:$I$1007,I202,$C$8:$C$1007,"Expense")*SETTINGS!$B$20,0),"Unusually High","Normal"))</f>
        <v/>
      </c>
      <c r="AC202" s="51"/>
      <c r="AD202" s="51"/>
      <c r="AE202" s="51"/>
      <c r="AF202" s="50" t="str">
        <f>IF(A202&lt;&gt;"Yes","No",IF(AND(AC202="Yes",SETTINGS!$B$16="No"),"No","Yes"))</f>
        <v>No</v>
      </c>
      <c r="AG202" s="50" t="str">
        <f>IF(A202&lt;&gt;"Yes","",IF(OR(B202="",D202="",E202&lt;=0,F202="",I202=""),"Check Required Fields",IF(AA202="Possible Duplicate","Possible Duplicate",IF(E202&gt;SETTINGS!$B$22,"Review Extreme Value","OK"))))</f>
        <v/>
      </c>
    </row>
    <row r="203" spans="1:33" ht="14.4">
      <c r="A203" s="9"/>
      <c r="B203" s="13"/>
      <c r="C203" s="9"/>
      <c r="D203" s="9"/>
      <c r="E203" s="11"/>
      <c r="F203" s="9"/>
      <c r="G203" s="9"/>
      <c r="H203" s="44" t="str">
        <f>IF(D203="","",IF(ISNUMBER(SEARCH(SETTINGS!$K$4,D203)),SETTINGS!$L$4,IF(ISNUMBER(SEARCH(SETTINGS!$K$5,D203)),SETTINGS!$L$5,IF(ISNUMBER(SEARCH(SETTINGS!$K$6,D203)),SETTINGS!$L$6,IF(ISNUMBER(SEARCH(SETTINGS!$K$7,D203)),SETTINGS!$L$7,IF(ISNUMBER(SEARCH(SETTINGS!$K$8,D203)),SETTINGS!$L$8,IF(ISNUMBER(SEARCH(SETTINGS!$K$9,D203)),SETTINGS!$L$9,IF(ISNUMBER(SEARCH(SETTINGS!$K$10,D203)),SETTINGS!$L$10,IF(ISNUMBER(SEARCH(SETTINGS!$K$11,D203)),SETTINGS!$L$11,IF(ISNUMBER(SEARCH(SETTINGS!$K$12,D203)),SETTINGS!$L$12,IF(ISNUMBER(SEARCH(SETTINGS!$K$13,D203)),SETTINGS!$L$13,IF(ISNUMBER(SEARCH(SETTINGS!$K$14,D203)),SETTINGS!$L$14,IF(ISNUMBER(SEARCH(SETTINGS!$K$15,D203)),SETTINGS!$L$15,IF(ISNUMBER(SEARCH(SETTINGS!$K$16,D203)),SETTINGS!$L$16,IF(ISNUMBER(SEARCH(SETTINGS!$K$17,D203)),SETTINGS!$L$17,IF(ISNUMBER(SEARCH(SETTINGS!$K$18,D203)),SETTINGS!$L$18,"Miscellaneous"))))))))))))))))</f>
        <v/>
      </c>
      <c r="I203" s="44" t="str">
        <f t="shared" si="24"/>
        <v/>
      </c>
      <c r="J203" s="9"/>
      <c r="K203" s="9"/>
      <c r="L203" s="9"/>
      <c r="M203" s="9"/>
      <c r="N203" s="9"/>
      <c r="O203" s="9"/>
      <c r="P203" s="13"/>
      <c r="Q203" s="9"/>
      <c r="R203" s="9"/>
      <c r="S203" s="9"/>
      <c r="T203" s="11"/>
      <c r="U203" s="44" t="str">
        <f t="shared" si="25"/>
        <v/>
      </c>
      <c r="V203" s="44" t="str">
        <f t="shared" si="26"/>
        <v/>
      </c>
      <c r="W203" s="44" t="str">
        <f t="shared" si="27"/>
        <v/>
      </c>
      <c r="X203" s="44" t="str">
        <f t="shared" si="28"/>
        <v/>
      </c>
      <c r="Y203" s="44" t="str">
        <f t="shared" si="29"/>
        <v/>
      </c>
      <c r="Z203" s="44" t="str">
        <f t="shared" si="30"/>
        <v/>
      </c>
      <c r="AA203" s="50" t="str">
        <f t="shared" si="31"/>
        <v/>
      </c>
      <c r="AB203" s="50" t="str">
        <f>IF(OR(B203="",C203&lt;&gt;"Expense"),"",IF(E203&gt;IFERROR(AVERAGEIFS($E$8:$E$1007,$I$8:$I$1007,I203,$C$8:$C$1007,"Expense")*SETTINGS!$B$20,0),"Unusually High","Normal"))</f>
        <v/>
      </c>
      <c r="AC203" s="51"/>
      <c r="AD203" s="51"/>
      <c r="AE203" s="51"/>
      <c r="AF203" s="50" t="str">
        <f>IF(A203&lt;&gt;"Yes","No",IF(AND(AC203="Yes",SETTINGS!$B$16="No"),"No","Yes"))</f>
        <v>No</v>
      </c>
      <c r="AG203" s="50" t="str">
        <f>IF(A203&lt;&gt;"Yes","",IF(OR(B203="",D203="",E203&lt;=0,F203="",I203=""),"Check Required Fields",IF(AA203="Possible Duplicate","Possible Duplicate",IF(E203&gt;SETTINGS!$B$22,"Review Extreme Value","OK"))))</f>
        <v/>
      </c>
    </row>
    <row r="204" spans="1:33" ht="14.4">
      <c r="A204" s="9"/>
      <c r="B204" s="13"/>
      <c r="C204" s="9"/>
      <c r="D204" s="9"/>
      <c r="E204" s="11"/>
      <c r="F204" s="9"/>
      <c r="G204" s="9"/>
      <c r="H204" s="44" t="str">
        <f>IF(D204="","",IF(ISNUMBER(SEARCH(SETTINGS!$K$4,D204)),SETTINGS!$L$4,IF(ISNUMBER(SEARCH(SETTINGS!$K$5,D204)),SETTINGS!$L$5,IF(ISNUMBER(SEARCH(SETTINGS!$K$6,D204)),SETTINGS!$L$6,IF(ISNUMBER(SEARCH(SETTINGS!$K$7,D204)),SETTINGS!$L$7,IF(ISNUMBER(SEARCH(SETTINGS!$K$8,D204)),SETTINGS!$L$8,IF(ISNUMBER(SEARCH(SETTINGS!$K$9,D204)),SETTINGS!$L$9,IF(ISNUMBER(SEARCH(SETTINGS!$K$10,D204)),SETTINGS!$L$10,IF(ISNUMBER(SEARCH(SETTINGS!$K$11,D204)),SETTINGS!$L$11,IF(ISNUMBER(SEARCH(SETTINGS!$K$12,D204)),SETTINGS!$L$12,IF(ISNUMBER(SEARCH(SETTINGS!$K$13,D204)),SETTINGS!$L$13,IF(ISNUMBER(SEARCH(SETTINGS!$K$14,D204)),SETTINGS!$L$14,IF(ISNUMBER(SEARCH(SETTINGS!$K$15,D204)),SETTINGS!$L$15,IF(ISNUMBER(SEARCH(SETTINGS!$K$16,D204)),SETTINGS!$L$16,IF(ISNUMBER(SEARCH(SETTINGS!$K$17,D204)),SETTINGS!$L$17,IF(ISNUMBER(SEARCH(SETTINGS!$K$18,D204)),SETTINGS!$L$18,"Miscellaneous"))))))))))))))))</f>
        <v/>
      </c>
      <c r="I204" s="44" t="str">
        <f t="shared" si="24"/>
        <v/>
      </c>
      <c r="J204" s="9"/>
      <c r="K204" s="9"/>
      <c r="L204" s="9"/>
      <c r="M204" s="9"/>
      <c r="N204" s="9"/>
      <c r="O204" s="9"/>
      <c r="P204" s="13"/>
      <c r="Q204" s="9"/>
      <c r="R204" s="9"/>
      <c r="S204" s="9"/>
      <c r="T204" s="11"/>
      <c r="U204" s="44" t="str">
        <f t="shared" si="25"/>
        <v/>
      </c>
      <c r="V204" s="44" t="str">
        <f t="shared" si="26"/>
        <v/>
      </c>
      <c r="W204" s="44" t="str">
        <f t="shared" si="27"/>
        <v/>
      </c>
      <c r="X204" s="44" t="str">
        <f t="shared" si="28"/>
        <v/>
      </c>
      <c r="Y204" s="44" t="str">
        <f t="shared" si="29"/>
        <v/>
      </c>
      <c r="Z204" s="44" t="str">
        <f t="shared" si="30"/>
        <v/>
      </c>
      <c r="AA204" s="50" t="str">
        <f t="shared" si="31"/>
        <v/>
      </c>
      <c r="AB204" s="50" t="str">
        <f>IF(OR(B204="",C204&lt;&gt;"Expense"),"",IF(E204&gt;IFERROR(AVERAGEIFS($E$8:$E$1007,$I$8:$I$1007,I204,$C$8:$C$1007,"Expense")*SETTINGS!$B$20,0),"Unusually High","Normal"))</f>
        <v/>
      </c>
      <c r="AC204" s="51"/>
      <c r="AD204" s="51"/>
      <c r="AE204" s="51"/>
      <c r="AF204" s="50" t="str">
        <f>IF(A204&lt;&gt;"Yes","No",IF(AND(AC204="Yes",SETTINGS!$B$16="No"),"No","Yes"))</f>
        <v>No</v>
      </c>
      <c r="AG204" s="50" t="str">
        <f>IF(A204&lt;&gt;"Yes","",IF(OR(B204="",D204="",E204&lt;=0,F204="",I204=""),"Check Required Fields",IF(AA204="Possible Duplicate","Possible Duplicate",IF(E204&gt;SETTINGS!$B$22,"Review Extreme Value","OK"))))</f>
        <v/>
      </c>
    </row>
    <row r="205" spans="1:33" ht="14.4">
      <c r="A205" s="9"/>
      <c r="B205" s="13"/>
      <c r="C205" s="9"/>
      <c r="D205" s="9"/>
      <c r="E205" s="11"/>
      <c r="F205" s="9"/>
      <c r="G205" s="9"/>
      <c r="H205" s="44" t="str">
        <f>IF(D205="","",IF(ISNUMBER(SEARCH(SETTINGS!$K$4,D205)),SETTINGS!$L$4,IF(ISNUMBER(SEARCH(SETTINGS!$K$5,D205)),SETTINGS!$L$5,IF(ISNUMBER(SEARCH(SETTINGS!$K$6,D205)),SETTINGS!$L$6,IF(ISNUMBER(SEARCH(SETTINGS!$K$7,D205)),SETTINGS!$L$7,IF(ISNUMBER(SEARCH(SETTINGS!$K$8,D205)),SETTINGS!$L$8,IF(ISNUMBER(SEARCH(SETTINGS!$K$9,D205)),SETTINGS!$L$9,IF(ISNUMBER(SEARCH(SETTINGS!$K$10,D205)),SETTINGS!$L$10,IF(ISNUMBER(SEARCH(SETTINGS!$K$11,D205)),SETTINGS!$L$11,IF(ISNUMBER(SEARCH(SETTINGS!$K$12,D205)),SETTINGS!$L$12,IF(ISNUMBER(SEARCH(SETTINGS!$K$13,D205)),SETTINGS!$L$13,IF(ISNUMBER(SEARCH(SETTINGS!$K$14,D205)),SETTINGS!$L$14,IF(ISNUMBER(SEARCH(SETTINGS!$K$15,D205)),SETTINGS!$L$15,IF(ISNUMBER(SEARCH(SETTINGS!$K$16,D205)),SETTINGS!$L$16,IF(ISNUMBER(SEARCH(SETTINGS!$K$17,D205)),SETTINGS!$L$17,IF(ISNUMBER(SEARCH(SETTINGS!$K$18,D205)),SETTINGS!$L$18,"Miscellaneous"))))))))))))))))</f>
        <v/>
      </c>
      <c r="I205" s="44" t="str">
        <f t="shared" si="24"/>
        <v/>
      </c>
      <c r="J205" s="9"/>
      <c r="K205" s="9"/>
      <c r="L205" s="9"/>
      <c r="M205" s="9"/>
      <c r="N205" s="9"/>
      <c r="O205" s="9"/>
      <c r="P205" s="13"/>
      <c r="Q205" s="9"/>
      <c r="R205" s="9"/>
      <c r="S205" s="9"/>
      <c r="T205" s="11"/>
      <c r="U205" s="44" t="str">
        <f t="shared" si="25"/>
        <v/>
      </c>
      <c r="V205" s="44" t="str">
        <f t="shared" si="26"/>
        <v/>
      </c>
      <c r="W205" s="44" t="str">
        <f t="shared" si="27"/>
        <v/>
      </c>
      <c r="X205" s="44" t="str">
        <f t="shared" si="28"/>
        <v/>
      </c>
      <c r="Y205" s="44" t="str">
        <f t="shared" si="29"/>
        <v/>
      </c>
      <c r="Z205" s="44" t="str">
        <f t="shared" si="30"/>
        <v/>
      </c>
      <c r="AA205" s="50" t="str">
        <f t="shared" si="31"/>
        <v/>
      </c>
      <c r="AB205" s="50" t="str">
        <f>IF(OR(B205="",C205&lt;&gt;"Expense"),"",IF(E205&gt;IFERROR(AVERAGEIFS($E$8:$E$1007,$I$8:$I$1007,I205,$C$8:$C$1007,"Expense")*SETTINGS!$B$20,0),"Unusually High","Normal"))</f>
        <v/>
      </c>
      <c r="AC205" s="51"/>
      <c r="AD205" s="51"/>
      <c r="AE205" s="51"/>
      <c r="AF205" s="50" t="str">
        <f>IF(A205&lt;&gt;"Yes","No",IF(AND(AC205="Yes",SETTINGS!$B$16="No"),"No","Yes"))</f>
        <v>No</v>
      </c>
      <c r="AG205" s="50" t="str">
        <f>IF(A205&lt;&gt;"Yes","",IF(OR(B205="",D205="",E205&lt;=0,F205="",I205=""),"Check Required Fields",IF(AA205="Possible Duplicate","Possible Duplicate",IF(E205&gt;SETTINGS!$B$22,"Review Extreme Value","OK"))))</f>
        <v/>
      </c>
    </row>
    <row r="206" spans="1:33" ht="14.4">
      <c r="A206" s="9"/>
      <c r="B206" s="13"/>
      <c r="C206" s="9"/>
      <c r="D206" s="9"/>
      <c r="E206" s="11"/>
      <c r="F206" s="9"/>
      <c r="G206" s="9"/>
      <c r="H206" s="44" t="str">
        <f>IF(D206="","",IF(ISNUMBER(SEARCH(SETTINGS!$K$4,D206)),SETTINGS!$L$4,IF(ISNUMBER(SEARCH(SETTINGS!$K$5,D206)),SETTINGS!$L$5,IF(ISNUMBER(SEARCH(SETTINGS!$K$6,D206)),SETTINGS!$L$6,IF(ISNUMBER(SEARCH(SETTINGS!$K$7,D206)),SETTINGS!$L$7,IF(ISNUMBER(SEARCH(SETTINGS!$K$8,D206)),SETTINGS!$L$8,IF(ISNUMBER(SEARCH(SETTINGS!$K$9,D206)),SETTINGS!$L$9,IF(ISNUMBER(SEARCH(SETTINGS!$K$10,D206)),SETTINGS!$L$10,IF(ISNUMBER(SEARCH(SETTINGS!$K$11,D206)),SETTINGS!$L$11,IF(ISNUMBER(SEARCH(SETTINGS!$K$12,D206)),SETTINGS!$L$12,IF(ISNUMBER(SEARCH(SETTINGS!$K$13,D206)),SETTINGS!$L$13,IF(ISNUMBER(SEARCH(SETTINGS!$K$14,D206)),SETTINGS!$L$14,IF(ISNUMBER(SEARCH(SETTINGS!$K$15,D206)),SETTINGS!$L$15,IF(ISNUMBER(SEARCH(SETTINGS!$K$16,D206)),SETTINGS!$L$16,IF(ISNUMBER(SEARCH(SETTINGS!$K$17,D206)),SETTINGS!$L$17,IF(ISNUMBER(SEARCH(SETTINGS!$K$18,D206)),SETTINGS!$L$18,"Miscellaneous"))))))))))))))))</f>
        <v/>
      </c>
      <c r="I206" s="44" t="str">
        <f t="shared" si="24"/>
        <v/>
      </c>
      <c r="J206" s="9"/>
      <c r="K206" s="9"/>
      <c r="L206" s="9"/>
      <c r="M206" s="9"/>
      <c r="N206" s="9"/>
      <c r="O206" s="9"/>
      <c r="P206" s="13"/>
      <c r="Q206" s="9"/>
      <c r="R206" s="9"/>
      <c r="S206" s="9"/>
      <c r="T206" s="11"/>
      <c r="U206" s="44" t="str">
        <f t="shared" si="25"/>
        <v/>
      </c>
      <c r="V206" s="44" t="str">
        <f t="shared" si="26"/>
        <v/>
      </c>
      <c r="W206" s="44" t="str">
        <f t="shared" si="27"/>
        <v/>
      </c>
      <c r="X206" s="44" t="str">
        <f t="shared" si="28"/>
        <v/>
      </c>
      <c r="Y206" s="44" t="str">
        <f t="shared" si="29"/>
        <v/>
      </c>
      <c r="Z206" s="44" t="str">
        <f t="shared" si="30"/>
        <v/>
      </c>
      <c r="AA206" s="50" t="str">
        <f t="shared" si="31"/>
        <v/>
      </c>
      <c r="AB206" s="50" t="str">
        <f>IF(OR(B206="",C206&lt;&gt;"Expense"),"",IF(E206&gt;IFERROR(AVERAGEIFS($E$8:$E$1007,$I$8:$I$1007,I206,$C$8:$C$1007,"Expense")*SETTINGS!$B$20,0),"Unusually High","Normal"))</f>
        <v/>
      </c>
      <c r="AC206" s="51"/>
      <c r="AD206" s="51"/>
      <c r="AE206" s="51"/>
      <c r="AF206" s="50" t="str">
        <f>IF(A206&lt;&gt;"Yes","No",IF(AND(AC206="Yes",SETTINGS!$B$16="No"),"No","Yes"))</f>
        <v>No</v>
      </c>
      <c r="AG206" s="50" t="str">
        <f>IF(A206&lt;&gt;"Yes","",IF(OR(B206="",D206="",E206&lt;=0,F206="",I206=""),"Check Required Fields",IF(AA206="Possible Duplicate","Possible Duplicate",IF(E206&gt;SETTINGS!$B$22,"Review Extreme Value","OK"))))</f>
        <v/>
      </c>
    </row>
    <row r="207" spans="1:33" ht="14.4">
      <c r="A207" s="9"/>
      <c r="B207" s="13"/>
      <c r="C207" s="9"/>
      <c r="D207" s="9"/>
      <c r="E207" s="11"/>
      <c r="F207" s="9"/>
      <c r="G207" s="9"/>
      <c r="H207" s="44" t="str">
        <f>IF(D207="","",IF(ISNUMBER(SEARCH(SETTINGS!$K$4,D207)),SETTINGS!$L$4,IF(ISNUMBER(SEARCH(SETTINGS!$K$5,D207)),SETTINGS!$L$5,IF(ISNUMBER(SEARCH(SETTINGS!$K$6,D207)),SETTINGS!$L$6,IF(ISNUMBER(SEARCH(SETTINGS!$K$7,D207)),SETTINGS!$L$7,IF(ISNUMBER(SEARCH(SETTINGS!$K$8,D207)),SETTINGS!$L$8,IF(ISNUMBER(SEARCH(SETTINGS!$K$9,D207)),SETTINGS!$L$9,IF(ISNUMBER(SEARCH(SETTINGS!$K$10,D207)),SETTINGS!$L$10,IF(ISNUMBER(SEARCH(SETTINGS!$K$11,D207)),SETTINGS!$L$11,IF(ISNUMBER(SEARCH(SETTINGS!$K$12,D207)),SETTINGS!$L$12,IF(ISNUMBER(SEARCH(SETTINGS!$K$13,D207)),SETTINGS!$L$13,IF(ISNUMBER(SEARCH(SETTINGS!$K$14,D207)),SETTINGS!$L$14,IF(ISNUMBER(SEARCH(SETTINGS!$K$15,D207)),SETTINGS!$L$15,IF(ISNUMBER(SEARCH(SETTINGS!$K$16,D207)),SETTINGS!$L$16,IF(ISNUMBER(SEARCH(SETTINGS!$K$17,D207)),SETTINGS!$L$17,IF(ISNUMBER(SEARCH(SETTINGS!$K$18,D207)),SETTINGS!$L$18,"Miscellaneous"))))))))))))))))</f>
        <v/>
      </c>
      <c r="I207" s="44" t="str">
        <f t="shared" si="24"/>
        <v/>
      </c>
      <c r="J207" s="9"/>
      <c r="K207" s="9"/>
      <c r="L207" s="9"/>
      <c r="M207" s="9"/>
      <c r="N207" s="9"/>
      <c r="O207" s="9"/>
      <c r="P207" s="13"/>
      <c r="Q207" s="9"/>
      <c r="R207" s="9"/>
      <c r="S207" s="9"/>
      <c r="T207" s="11"/>
      <c r="U207" s="44" t="str">
        <f t="shared" si="25"/>
        <v/>
      </c>
      <c r="V207" s="44" t="str">
        <f t="shared" si="26"/>
        <v/>
      </c>
      <c r="W207" s="44" t="str">
        <f t="shared" si="27"/>
        <v/>
      </c>
      <c r="X207" s="44" t="str">
        <f t="shared" si="28"/>
        <v/>
      </c>
      <c r="Y207" s="44" t="str">
        <f t="shared" si="29"/>
        <v/>
      </c>
      <c r="Z207" s="44" t="str">
        <f t="shared" si="30"/>
        <v/>
      </c>
      <c r="AA207" s="50" t="str">
        <f t="shared" si="31"/>
        <v/>
      </c>
      <c r="AB207" s="50" t="str">
        <f>IF(OR(B207="",C207&lt;&gt;"Expense"),"",IF(E207&gt;IFERROR(AVERAGEIFS($E$8:$E$1007,$I$8:$I$1007,I207,$C$8:$C$1007,"Expense")*SETTINGS!$B$20,0),"Unusually High","Normal"))</f>
        <v/>
      </c>
      <c r="AC207" s="51"/>
      <c r="AD207" s="51"/>
      <c r="AE207" s="51"/>
      <c r="AF207" s="50" t="str">
        <f>IF(A207&lt;&gt;"Yes","No",IF(AND(AC207="Yes",SETTINGS!$B$16="No"),"No","Yes"))</f>
        <v>No</v>
      </c>
      <c r="AG207" s="50" t="str">
        <f>IF(A207&lt;&gt;"Yes","",IF(OR(B207="",D207="",E207&lt;=0,F207="",I207=""),"Check Required Fields",IF(AA207="Possible Duplicate","Possible Duplicate",IF(E207&gt;SETTINGS!$B$22,"Review Extreme Value","OK"))))</f>
        <v/>
      </c>
    </row>
    <row r="208" spans="1:33" ht="14.4">
      <c r="A208" s="9"/>
      <c r="B208" s="13"/>
      <c r="C208" s="9"/>
      <c r="D208" s="9"/>
      <c r="E208" s="11"/>
      <c r="F208" s="9"/>
      <c r="G208" s="9"/>
      <c r="H208" s="44" t="str">
        <f>IF(D208="","",IF(ISNUMBER(SEARCH(SETTINGS!$K$4,D208)),SETTINGS!$L$4,IF(ISNUMBER(SEARCH(SETTINGS!$K$5,D208)),SETTINGS!$L$5,IF(ISNUMBER(SEARCH(SETTINGS!$K$6,D208)),SETTINGS!$L$6,IF(ISNUMBER(SEARCH(SETTINGS!$K$7,D208)),SETTINGS!$L$7,IF(ISNUMBER(SEARCH(SETTINGS!$K$8,D208)),SETTINGS!$L$8,IF(ISNUMBER(SEARCH(SETTINGS!$K$9,D208)),SETTINGS!$L$9,IF(ISNUMBER(SEARCH(SETTINGS!$K$10,D208)),SETTINGS!$L$10,IF(ISNUMBER(SEARCH(SETTINGS!$K$11,D208)),SETTINGS!$L$11,IF(ISNUMBER(SEARCH(SETTINGS!$K$12,D208)),SETTINGS!$L$12,IF(ISNUMBER(SEARCH(SETTINGS!$K$13,D208)),SETTINGS!$L$13,IF(ISNUMBER(SEARCH(SETTINGS!$K$14,D208)),SETTINGS!$L$14,IF(ISNUMBER(SEARCH(SETTINGS!$K$15,D208)),SETTINGS!$L$15,IF(ISNUMBER(SEARCH(SETTINGS!$K$16,D208)),SETTINGS!$L$16,IF(ISNUMBER(SEARCH(SETTINGS!$K$17,D208)),SETTINGS!$L$17,IF(ISNUMBER(SEARCH(SETTINGS!$K$18,D208)),SETTINGS!$L$18,"Miscellaneous"))))))))))))))))</f>
        <v/>
      </c>
      <c r="I208" s="44" t="str">
        <f t="shared" si="24"/>
        <v/>
      </c>
      <c r="J208" s="9"/>
      <c r="K208" s="9"/>
      <c r="L208" s="9"/>
      <c r="M208" s="9"/>
      <c r="N208" s="9"/>
      <c r="O208" s="9"/>
      <c r="P208" s="13"/>
      <c r="Q208" s="9"/>
      <c r="R208" s="9"/>
      <c r="S208" s="9"/>
      <c r="T208" s="11"/>
      <c r="U208" s="44" t="str">
        <f t="shared" si="25"/>
        <v/>
      </c>
      <c r="V208" s="44" t="str">
        <f t="shared" si="26"/>
        <v/>
      </c>
      <c r="W208" s="44" t="str">
        <f t="shared" si="27"/>
        <v/>
      </c>
      <c r="X208" s="44" t="str">
        <f t="shared" si="28"/>
        <v/>
      </c>
      <c r="Y208" s="44" t="str">
        <f t="shared" si="29"/>
        <v/>
      </c>
      <c r="Z208" s="44" t="str">
        <f t="shared" si="30"/>
        <v/>
      </c>
      <c r="AA208" s="50" t="str">
        <f t="shared" si="31"/>
        <v/>
      </c>
      <c r="AB208" s="50" t="str">
        <f>IF(OR(B208="",C208&lt;&gt;"Expense"),"",IF(E208&gt;IFERROR(AVERAGEIFS($E$8:$E$1007,$I$8:$I$1007,I208,$C$8:$C$1007,"Expense")*SETTINGS!$B$20,0),"Unusually High","Normal"))</f>
        <v/>
      </c>
      <c r="AC208" s="51"/>
      <c r="AD208" s="51"/>
      <c r="AE208" s="51"/>
      <c r="AF208" s="50" t="str">
        <f>IF(A208&lt;&gt;"Yes","No",IF(AND(AC208="Yes",SETTINGS!$B$16="No"),"No","Yes"))</f>
        <v>No</v>
      </c>
      <c r="AG208" s="50" t="str">
        <f>IF(A208&lt;&gt;"Yes","",IF(OR(B208="",D208="",E208&lt;=0,F208="",I208=""),"Check Required Fields",IF(AA208="Possible Duplicate","Possible Duplicate",IF(E208&gt;SETTINGS!$B$22,"Review Extreme Value","OK"))))</f>
        <v/>
      </c>
    </row>
    <row r="209" spans="1:33" ht="14.4">
      <c r="A209" s="9"/>
      <c r="B209" s="13"/>
      <c r="C209" s="9"/>
      <c r="D209" s="9"/>
      <c r="E209" s="11"/>
      <c r="F209" s="9"/>
      <c r="G209" s="9"/>
      <c r="H209" s="44" t="str">
        <f>IF(D209="","",IF(ISNUMBER(SEARCH(SETTINGS!$K$4,D209)),SETTINGS!$L$4,IF(ISNUMBER(SEARCH(SETTINGS!$K$5,D209)),SETTINGS!$L$5,IF(ISNUMBER(SEARCH(SETTINGS!$K$6,D209)),SETTINGS!$L$6,IF(ISNUMBER(SEARCH(SETTINGS!$K$7,D209)),SETTINGS!$L$7,IF(ISNUMBER(SEARCH(SETTINGS!$K$8,D209)),SETTINGS!$L$8,IF(ISNUMBER(SEARCH(SETTINGS!$K$9,D209)),SETTINGS!$L$9,IF(ISNUMBER(SEARCH(SETTINGS!$K$10,D209)),SETTINGS!$L$10,IF(ISNUMBER(SEARCH(SETTINGS!$K$11,D209)),SETTINGS!$L$11,IF(ISNUMBER(SEARCH(SETTINGS!$K$12,D209)),SETTINGS!$L$12,IF(ISNUMBER(SEARCH(SETTINGS!$K$13,D209)),SETTINGS!$L$13,IF(ISNUMBER(SEARCH(SETTINGS!$K$14,D209)),SETTINGS!$L$14,IF(ISNUMBER(SEARCH(SETTINGS!$K$15,D209)),SETTINGS!$L$15,IF(ISNUMBER(SEARCH(SETTINGS!$K$16,D209)),SETTINGS!$L$16,IF(ISNUMBER(SEARCH(SETTINGS!$K$17,D209)),SETTINGS!$L$17,IF(ISNUMBER(SEARCH(SETTINGS!$K$18,D209)),SETTINGS!$L$18,"Miscellaneous"))))))))))))))))</f>
        <v/>
      </c>
      <c r="I209" s="44" t="str">
        <f t="shared" si="24"/>
        <v/>
      </c>
      <c r="J209" s="9"/>
      <c r="K209" s="9"/>
      <c r="L209" s="9"/>
      <c r="M209" s="9"/>
      <c r="N209" s="9"/>
      <c r="O209" s="9"/>
      <c r="P209" s="13"/>
      <c r="Q209" s="9"/>
      <c r="R209" s="9"/>
      <c r="S209" s="9"/>
      <c r="T209" s="11"/>
      <c r="U209" s="44" t="str">
        <f t="shared" si="25"/>
        <v/>
      </c>
      <c r="V209" s="44" t="str">
        <f t="shared" si="26"/>
        <v/>
      </c>
      <c r="W209" s="44" t="str">
        <f t="shared" si="27"/>
        <v/>
      </c>
      <c r="X209" s="44" t="str">
        <f t="shared" si="28"/>
        <v/>
      </c>
      <c r="Y209" s="44" t="str">
        <f t="shared" si="29"/>
        <v/>
      </c>
      <c r="Z209" s="44" t="str">
        <f t="shared" si="30"/>
        <v/>
      </c>
      <c r="AA209" s="50" t="str">
        <f t="shared" si="31"/>
        <v/>
      </c>
      <c r="AB209" s="50" t="str">
        <f>IF(OR(B209="",C209&lt;&gt;"Expense"),"",IF(E209&gt;IFERROR(AVERAGEIFS($E$8:$E$1007,$I$8:$I$1007,I209,$C$8:$C$1007,"Expense")*SETTINGS!$B$20,0),"Unusually High","Normal"))</f>
        <v/>
      </c>
      <c r="AC209" s="51"/>
      <c r="AD209" s="51"/>
      <c r="AE209" s="51"/>
      <c r="AF209" s="50" t="str">
        <f>IF(A209&lt;&gt;"Yes","No",IF(AND(AC209="Yes",SETTINGS!$B$16="No"),"No","Yes"))</f>
        <v>No</v>
      </c>
      <c r="AG209" s="50" t="str">
        <f>IF(A209&lt;&gt;"Yes","",IF(OR(B209="",D209="",E209&lt;=0,F209="",I209=""),"Check Required Fields",IF(AA209="Possible Duplicate","Possible Duplicate",IF(E209&gt;SETTINGS!$B$22,"Review Extreme Value","OK"))))</f>
        <v/>
      </c>
    </row>
    <row r="210" spans="1:33" ht="14.4">
      <c r="A210" s="9"/>
      <c r="B210" s="13"/>
      <c r="C210" s="9"/>
      <c r="D210" s="9"/>
      <c r="E210" s="11"/>
      <c r="F210" s="9"/>
      <c r="G210" s="9"/>
      <c r="H210" s="44" t="str">
        <f>IF(D210="","",IF(ISNUMBER(SEARCH(SETTINGS!$K$4,D210)),SETTINGS!$L$4,IF(ISNUMBER(SEARCH(SETTINGS!$K$5,D210)),SETTINGS!$L$5,IF(ISNUMBER(SEARCH(SETTINGS!$K$6,D210)),SETTINGS!$L$6,IF(ISNUMBER(SEARCH(SETTINGS!$K$7,D210)),SETTINGS!$L$7,IF(ISNUMBER(SEARCH(SETTINGS!$K$8,D210)),SETTINGS!$L$8,IF(ISNUMBER(SEARCH(SETTINGS!$K$9,D210)),SETTINGS!$L$9,IF(ISNUMBER(SEARCH(SETTINGS!$K$10,D210)),SETTINGS!$L$10,IF(ISNUMBER(SEARCH(SETTINGS!$K$11,D210)),SETTINGS!$L$11,IF(ISNUMBER(SEARCH(SETTINGS!$K$12,D210)),SETTINGS!$L$12,IF(ISNUMBER(SEARCH(SETTINGS!$K$13,D210)),SETTINGS!$L$13,IF(ISNUMBER(SEARCH(SETTINGS!$K$14,D210)),SETTINGS!$L$14,IF(ISNUMBER(SEARCH(SETTINGS!$K$15,D210)),SETTINGS!$L$15,IF(ISNUMBER(SEARCH(SETTINGS!$K$16,D210)),SETTINGS!$L$16,IF(ISNUMBER(SEARCH(SETTINGS!$K$17,D210)),SETTINGS!$L$17,IF(ISNUMBER(SEARCH(SETTINGS!$K$18,D210)),SETTINGS!$L$18,"Miscellaneous"))))))))))))))))</f>
        <v/>
      </c>
      <c r="I210" s="44" t="str">
        <f t="shared" si="24"/>
        <v/>
      </c>
      <c r="J210" s="9"/>
      <c r="K210" s="9"/>
      <c r="L210" s="9"/>
      <c r="M210" s="9"/>
      <c r="N210" s="9"/>
      <c r="O210" s="9"/>
      <c r="P210" s="13"/>
      <c r="Q210" s="9"/>
      <c r="R210" s="9"/>
      <c r="S210" s="9"/>
      <c r="T210" s="11"/>
      <c r="U210" s="44" t="str">
        <f t="shared" si="25"/>
        <v/>
      </c>
      <c r="V210" s="44" t="str">
        <f t="shared" si="26"/>
        <v/>
      </c>
      <c r="W210" s="44" t="str">
        <f t="shared" si="27"/>
        <v/>
      </c>
      <c r="X210" s="44" t="str">
        <f t="shared" si="28"/>
        <v/>
      </c>
      <c r="Y210" s="44" t="str">
        <f t="shared" si="29"/>
        <v/>
      </c>
      <c r="Z210" s="44" t="str">
        <f t="shared" si="30"/>
        <v/>
      </c>
      <c r="AA210" s="50" t="str">
        <f t="shared" si="31"/>
        <v/>
      </c>
      <c r="AB210" s="50" t="str">
        <f>IF(OR(B210="",C210&lt;&gt;"Expense"),"",IF(E210&gt;IFERROR(AVERAGEIFS($E$8:$E$1007,$I$8:$I$1007,I210,$C$8:$C$1007,"Expense")*SETTINGS!$B$20,0),"Unusually High","Normal"))</f>
        <v/>
      </c>
      <c r="AC210" s="51"/>
      <c r="AD210" s="51"/>
      <c r="AE210" s="51"/>
      <c r="AF210" s="50" t="str">
        <f>IF(A210&lt;&gt;"Yes","No",IF(AND(AC210="Yes",SETTINGS!$B$16="No"),"No","Yes"))</f>
        <v>No</v>
      </c>
      <c r="AG210" s="50" t="str">
        <f>IF(A210&lt;&gt;"Yes","",IF(OR(B210="",D210="",E210&lt;=0,F210="",I210=""),"Check Required Fields",IF(AA210="Possible Duplicate","Possible Duplicate",IF(E210&gt;SETTINGS!$B$22,"Review Extreme Value","OK"))))</f>
        <v/>
      </c>
    </row>
    <row r="211" spans="1:33" ht="14.4">
      <c r="A211" s="9"/>
      <c r="B211" s="13"/>
      <c r="C211" s="9"/>
      <c r="D211" s="9"/>
      <c r="E211" s="11"/>
      <c r="F211" s="9"/>
      <c r="G211" s="9"/>
      <c r="H211" s="44" t="str">
        <f>IF(D211="","",IF(ISNUMBER(SEARCH(SETTINGS!$K$4,D211)),SETTINGS!$L$4,IF(ISNUMBER(SEARCH(SETTINGS!$K$5,D211)),SETTINGS!$L$5,IF(ISNUMBER(SEARCH(SETTINGS!$K$6,D211)),SETTINGS!$L$6,IF(ISNUMBER(SEARCH(SETTINGS!$K$7,D211)),SETTINGS!$L$7,IF(ISNUMBER(SEARCH(SETTINGS!$K$8,D211)),SETTINGS!$L$8,IF(ISNUMBER(SEARCH(SETTINGS!$K$9,D211)),SETTINGS!$L$9,IF(ISNUMBER(SEARCH(SETTINGS!$K$10,D211)),SETTINGS!$L$10,IF(ISNUMBER(SEARCH(SETTINGS!$K$11,D211)),SETTINGS!$L$11,IF(ISNUMBER(SEARCH(SETTINGS!$K$12,D211)),SETTINGS!$L$12,IF(ISNUMBER(SEARCH(SETTINGS!$K$13,D211)),SETTINGS!$L$13,IF(ISNUMBER(SEARCH(SETTINGS!$K$14,D211)),SETTINGS!$L$14,IF(ISNUMBER(SEARCH(SETTINGS!$K$15,D211)),SETTINGS!$L$15,IF(ISNUMBER(SEARCH(SETTINGS!$K$16,D211)),SETTINGS!$L$16,IF(ISNUMBER(SEARCH(SETTINGS!$K$17,D211)),SETTINGS!$L$17,IF(ISNUMBER(SEARCH(SETTINGS!$K$18,D211)),SETTINGS!$L$18,"Miscellaneous"))))))))))))))))</f>
        <v/>
      </c>
      <c r="I211" s="44" t="str">
        <f t="shared" si="24"/>
        <v/>
      </c>
      <c r="J211" s="9"/>
      <c r="K211" s="9"/>
      <c r="L211" s="9"/>
      <c r="M211" s="9"/>
      <c r="N211" s="9"/>
      <c r="O211" s="9"/>
      <c r="P211" s="13"/>
      <c r="Q211" s="9"/>
      <c r="R211" s="9"/>
      <c r="S211" s="9"/>
      <c r="T211" s="11"/>
      <c r="U211" s="44" t="str">
        <f t="shared" si="25"/>
        <v/>
      </c>
      <c r="V211" s="44" t="str">
        <f t="shared" si="26"/>
        <v/>
      </c>
      <c r="W211" s="44" t="str">
        <f t="shared" si="27"/>
        <v/>
      </c>
      <c r="X211" s="44" t="str">
        <f t="shared" si="28"/>
        <v/>
      </c>
      <c r="Y211" s="44" t="str">
        <f t="shared" si="29"/>
        <v/>
      </c>
      <c r="Z211" s="44" t="str">
        <f t="shared" si="30"/>
        <v/>
      </c>
      <c r="AA211" s="50" t="str">
        <f t="shared" si="31"/>
        <v/>
      </c>
      <c r="AB211" s="50" t="str">
        <f>IF(OR(B211="",C211&lt;&gt;"Expense"),"",IF(E211&gt;IFERROR(AVERAGEIFS($E$8:$E$1007,$I$8:$I$1007,I211,$C$8:$C$1007,"Expense")*SETTINGS!$B$20,0),"Unusually High","Normal"))</f>
        <v/>
      </c>
      <c r="AC211" s="51"/>
      <c r="AD211" s="51"/>
      <c r="AE211" s="51"/>
      <c r="AF211" s="50" t="str">
        <f>IF(A211&lt;&gt;"Yes","No",IF(AND(AC211="Yes",SETTINGS!$B$16="No"),"No","Yes"))</f>
        <v>No</v>
      </c>
      <c r="AG211" s="50" t="str">
        <f>IF(A211&lt;&gt;"Yes","",IF(OR(B211="",D211="",E211&lt;=0,F211="",I211=""),"Check Required Fields",IF(AA211="Possible Duplicate","Possible Duplicate",IF(E211&gt;SETTINGS!$B$22,"Review Extreme Value","OK"))))</f>
        <v/>
      </c>
    </row>
    <row r="212" spans="1:33" ht="14.4">
      <c r="A212" s="9"/>
      <c r="B212" s="13"/>
      <c r="C212" s="9"/>
      <c r="D212" s="9"/>
      <c r="E212" s="11"/>
      <c r="F212" s="9"/>
      <c r="G212" s="9"/>
      <c r="H212" s="44" t="str">
        <f>IF(D212="","",IF(ISNUMBER(SEARCH(SETTINGS!$K$4,D212)),SETTINGS!$L$4,IF(ISNUMBER(SEARCH(SETTINGS!$K$5,D212)),SETTINGS!$L$5,IF(ISNUMBER(SEARCH(SETTINGS!$K$6,D212)),SETTINGS!$L$6,IF(ISNUMBER(SEARCH(SETTINGS!$K$7,D212)),SETTINGS!$L$7,IF(ISNUMBER(SEARCH(SETTINGS!$K$8,D212)),SETTINGS!$L$8,IF(ISNUMBER(SEARCH(SETTINGS!$K$9,D212)),SETTINGS!$L$9,IF(ISNUMBER(SEARCH(SETTINGS!$K$10,D212)),SETTINGS!$L$10,IF(ISNUMBER(SEARCH(SETTINGS!$K$11,D212)),SETTINGS!$L$11,IF(ISNUMBER(SEARCH(SETTINGS!$K$12,D212)),SETTINGS!$L$12,IF(ISNUMBER(SEARCH(SETTINGS!$K$13,D212)),SETTINGS!$L$13,IF(ISNUMBER(SEARCH(SETTINGS!$K$14,D212)),SETTINGS!$L$14,IF(ISNUMBER(SEARCH(SETTINGS!$K$15,D212)),SETTINGS!$L$15,IF(ISNUMBER(SEARCH(SETTINGS!$K$16,D212)),SETTINGS!$L$16,IF(ISNUMBER(SEARCH(SETTINGS!$K$17,D212)),SETTINGS!$L$17,IF(ISNUMBER(SEARCH(SETTINGS!$K$18,D212)),SETTINGS!$L$18,"Miscellaneous"))))))))))))))))</f>
        <v/>
      </c>
      <c r="I212" s="44" t="str">
        <f t="shared" si="24"/>
        <v/>
      </c>
      <c r="J212" s="9"/>
      <c r="K212" s="9"/>
      <c r="L212" s="9"/>
      <c r="M212" s="9"/>
      <c r="N212" s="9"/>
      <c r="O212" s="9"/>
      <c r="P212" s="13"/>
      <c r="Q212" s="9"/>
      <c r="R212" s="9"/>
      <c r="S212" s="9"/>
      <c r="T212" s="11"/>
      <c r="U212" s="44" t="str">
        <f t="shared" si="25"/>
        <v/>
      </c>
      <c r="V212" s="44" t="str">
        <f t="shared" si="26"/>
        <v/>
      </c>
      <c r="W212" s="44" t="str">
        <f t="shared" si="27"/>
        <v/>
      </c>
      <c r="X212" s="44" t="str">
        <f t="shared" si="28"/>
        <v/>
      </c>
      <c r="Y212" s="44" t="str">
        <f t="shared" si="29"/>
        <v/>
      </c>
      <c r="Z212" s="44" t="str">
        <f t="shared" si="30"/>
        <v/>
      </c>
      <c r="AA212" s="50" t="str">
        <f t="shared" si="31"/>
        <v/>
      </c>
      <c r="AB212" s="50" t="str">
        <f>IF(OR(B212="",C212&lt;&gt;"Expense"),"",IF(E212&gt;IFERROR(AVERAGEIFS($E$8:$E$1007,$I$8:$I$1007,I212,$C$8:$C$1007,"Expense")*SETTINGS!$B$20,0),"Unusually High","Normal"))</f>
        <v/>
      </c>
      <c r="AC212" s="51"/>
      <c r="AD212" s="51"/>
      <c r="AE212" s="51"/>
      <c r="AF212" s="50" t="str">
        <f>IF(A212&lt;&gt;"Yes","No",IF(AND(AC212="Yes",SETTINGS!$B$16="No"),"No","Yes"))</f>
        <v>No</v>
      </c>
      <c r="AG212" s="50" t="str">
        <f>IF(A212&lt;&gt;"Yes","",IF(OR(B212="",D212="",E212&lt;=0,F212="",I212=""),"Check Required Fields",IF(AA212="Possible Duplicate","Possible Duplicate",IF(E212&gt;SETTINGS!$B$22,"Review Extreme Value","OK"))))</f>
        <v/>
      </c>
    </row>
    <row r="213" spans="1:33" ht="14.4">
      <c r="A213" s="9"/>
      <c r="B213" s="13"/>
      <c r="C213" s="9"/>
      <c r="D213" s="9"/>
      <c r="E213" s="11"/>
      <c r="F213" s="9"/>
      <c r="G213" s="9"/>
      <c r="H213" s="44" t="str">
        <f>IF(D213="","",IF(ISNUMBER(SEARCH(SETTINGS!$K$4,D213)),SETTINGS!$L$4,IF(ISNUMBER(SEARCH(SETTINGS!$K$5,D213)),SETTINGS!$L$5,IF(ISNUMBER(SEARCH(SETTINGS!$K$6,D213)),SETTINGS!$L$6,IF(ISNUMBER(SEARCH(SETTINGS!$K$7,D213)),SETTINGS!$L$7,IF(ISNUMBER(SEARCH(SETTINGS!$K$8,D213)),SETTINGS!$L$8,IF(ISNUMBER(SEARCH(SETTINGS!$K$9,D213)),SETTINGS!$L$9,IF(ISNUMBER(SEARCH(SETTINGS!$K$10,D213)),SETTINGS!$L$10,IF(ISNUMBER(SEARCH(SETTINGS!$K$11,D213)),SETTINGS!$L$11,IF(ISNUMBER(SEARCH(SETTINGS!$K$12,D213)),SETTINGS!$L$12,IF(ISNUMBER(SEARCH(SETTINGS!$K$13,D213)),SETTINGS!$L$13,IF(ISNUMBER(SEARCH(SETTINGS!$K$14,D213)),SETTINGS!$L$14,IF(ISNUMBER(SEARCH(SETTINGS!$K$15,D213)),SETTINGS!$L$15,IF(ISNUMBER(SEARCH(SETTINGS!$K$16,D213)),SETTINGS!$L$16,IF(ISNUMBER(SEARCH(SETTINGS!$K$17,D213)),SETTINGS!$L$17,IF(ISNUMBER(SEARCH(SETTINGS!$K$18,D213)),SETTINGS!$L$18,"Miscellaneous"))))))))))))))))</f>
        <v/>
      </c>
      <c r="I213" s="44" t="str">
        <f t="shared" si="24"/>
        <v/>
      </c>
      <c r="J213" s="9"/>
      <c r="K213" s="9"/>
      <c r="L213" s="9"/>
      <c r="M213" s="9"/>
      <c r="N213" s="9"/>
      <c r="O213" s="9"/>
      <c r="P213" s="13"/>
      <c r="Q213" s="9"/>
      <c r="R213" s="9"/>
      <c r="S213" s="9"/>
      <c r="T213" s="11"/>
      <c r="U213" s="44" t="str">
        <f t="shared" si="25"/>
        <v/>
      </c>
      <c r="V213" s="44" t="str">
        <f t="shared" si="26"/>
        <v/>
      </c>
      <c r="W213" s="44" t="str">
        <f t="shared" si="27"/>
        <v/>
      </c>
      <c r="X213" s="44" t="str">
        <f t="shared" si="28"/>
        <v/>
      </c>
      <c r="Y213" s="44" t="str">
        <f t="shared" si="29"/>
        <v/>
      </c>
      <c r="Z213" s="44" t="str">
        <f t="shared" si="30"/>
        <v/>
      </c>
      <c r="AA213" s="50" t="str">
        <f t="shared" si="31"/>
        <v/>
      </c>
      <c r="AB213" s="50" t="str">
        <f>IF(OR(B213="",C213&lt;&gt;"Expense"),"",IF(E213&gt;IFERROR(AVERAGEIFS($E$8:$E$1007,$I$8:$I$1007,I213,$C$8:$C$1007,"Expense")*SETTINGS!$B$20,0),"Unusually High","Normal"))</f>
        <v/>
      </c>
      <c r="AC213" s="51"/>
      <c r="AD213" s="51"/>
      <c r="AE213" s="51"/>
      <c r="AF213" s="50" t="str">
        <f>IF(A213&lt;&gt;"Yes","No",IF(AND(AC213="Yes",SETTINGS!$B$16="No"),"No","Yes"))</f>
        <v>No</v>
      </c>
      <c r="AG213" s="50" t="str">
        <f>IF(A213&lt;&gt;"Yes","",IF(OR(B213="",D213="",E213&lt;=0,F213="",I213=""),"Check Required Fields",IF(AA213="Possible Duplicate","Possible Duplicate",IF(E213&gt;SETTINGS!$B$22,"Review Extreme Value","OK"))))</f>
        <v/>
      </c>
    </row>
    <row r="214" spans="1:33" ht="14.4">
      <c r="A214" s="9"/>
      <c r="B214" s="13"/>
      <c r="C214" s="9"/>
      <c r="D214" s="9"/>
      <c r="E214" s="11"/>
      <c r="F214" s="9"/>
      <c r="G214" s="9"/>
      <c r="H214" s="44" t="str">
        <f>IF(D214="","",IF(ISNUMBER(SEARCH(SETTINGS!$K$4,D214)),SETTINGS!$L$4,IF(ISNUMBER(SEARCH(SETTINGS!$K$5,D214)),SETTINGS!$L$5,IF(ISNUMBER(SEARCH(SETTINGS!$K$6,D214)),SETTINGS!$L$6,IF(ISNUMBER(SEARCH(SETTINGS!$K$7,D214)),SETTINGS!$L$7,IF(ISNUMBER(SEARCH(SETTINGS!$K$8,D214)),SETTINGS!$L$8,IF(ISNUMBER(SEARCH(SETTINGS!$K$9,D214)),SETTINGS!$L$9,IF(ISNUMBER(SEARCH(SETTINGS!$K$10,D214)),SETTINGS!$L$10,IF(ISNUMBER(SEARCH(SETTINGS!$K$11,D214)),SETTINGS!$L$11,IF(ISNUMBER(SEARCH(SETTINGS!$K$12,D214)),SETTINGS!$L$12,IF(ISNUMBER(SEARCH(SETTINGS!$K$13,D214)),SETTINGS!$L$13,IF(ISNUMBER(SEARCH(SETTINGS!$K$14,D214)),SETTINGS!$L$14,IF(ISNUMBER(SEARCH(SETTINGS!$K$15,D214)),SETTINGS!$L$15,IF(ISNUMBER(SEARCH(SETTINGS!$K$16,D214)),SETTINGS!$L$16,IF(ISNUMBER(SEARCH(SETTINGS!$K$17,D214)),SETTINGS!$L$17,IF(ISNUMBER(SEARCH(SETTINGS!$K$18,D214)),SETTINGS!$L$18,"Miscellaneous"))))))))))))))))</f>
        <v/>
      </c>
      <c r="I214" s="44" t="str">
        <f t="shared" si="24"/>
        <v/>
      </c>
      <c r="J214" s="9"/>
      <c r="K214" s="9"/>
      <c r="L214" s="9"/>
      <c r="M214" s="9"/>
      <c r="N214" s="9"/>
      <c r="O214" s="9"/>
      <c r="P214" s="13"/>
      <c r="Q214" s="9"/>
      <c r="R214" s="9"/>
      <c r="S214" s="9"/>
      <c r="T214" s="11"/>
      <c r="U214" s="44" t="str">
        <f t="shared" si="25"/>
        <v/>
      </c>
      <c r="V214" s="44" t="str">
        <f t="shared" si="26"/>
        <v/>
      </c>
      <c r="W214" s="44" t="str">
        <f t="shared" si="27"/>
        <v/>
      </c>
      <c r="X214" s="44" t="str">
        <f t="shared" si="28"/>
        <v/>
      </c>
      <c r="Y214" s="44" t="str">
        <f t="shared" si="29"/>
        <v/>
      </c>
      <c r="Z214" s="44" t="str">
        <f t="shared" si="30"/>
        <v/>
      </c>
      <c r="AA214" s="50" t="str">
        <f t="shared" si="31"/>
        <v/>
      </c>
      <c r="AB214" s="50" t="str">
        <f>IF(OR(B214="",C214&lt;&gt;"Expense"),"",IF(E214&gt;IFERROR(AVERAGEIFS($E$8:$E$1007,$I$8:$I$1007,I214,$C$8:$C$1007,"Expense")*SETTINGS!$B$20,0),"Unusually High","Normal"))</f>
        <v/>
      </c>
      <c r="AC214" s="51"/>
      <c r="AD214" s="51"/>
      <c r="AE214" s="51"/>
      <c r="AF214" s="50" t="str">
        <f>IF(A214&lt;&gt;"Yes","No",IF(AND(AC214="Yes",SETTINGS!$B$16="No"),"No","Yes"))</f>
        <v>No</v>
      </c>
      <c r="AG214" s="50" t="str">
        <f>IF(A214&lt;&gt;"Yes","",IF(OR(B214="",D214="",E214&lt;=0,F214="",I214=""),"Check Required Fields",IF(AA214="Possible Duplicate","Possible Duplicate",IF(E214&gt;SETTINGS!$B$22,"Review Extreme Value","OK"))))</f>
        <v/>
      </c>
    </row>
    <row r="215" spans="1:33" ht="14.4">
      <c r="A215" s="9"/>
      <c r="B215" s="13"/>
      <c r="C215" s="9"/>
      <c r="D215" s="9"/>
      <c r="E215" s="11"/>
      <c r="F215" s="9"/>
      <c r="G215" s="9"/>
      <c r="H215" s="44" t="str">
        <f>IF(D215="","",IF(ISNUMBER(SEARCH(SETTINGS!$K$4,D215)),SETTINGS!$L$4,IF(ISNUMBER(SEARCH(SETTINGS!$K$5,D215)),SETTINGS!$L$5,IF(ISNUMBER(SEARCH(SETTINGS!$K$6,D215)),SETTINGS!$L$6,IF(ISNUMBER(SEARCH(SETTINGS!$K$7,D215)),SETTINGS!$L$7,IF(ISNUMBER(SEARCH(SETTINGS!$K$8,D215)),SETTINGS!$L$8,IF(ISNUMBER(SEARCH(SETTINGS!$K$9,D215)),SETTINGS!$L$9,IF(ISNUMBER(SEARCH(SETTINGS!$K$10,D215)),SETTINGS!$L$10,IF(ISNUMBER(SEARCH(SETTINGS!$K$11,D215)),SETTINGS!$L$11,IF(ISNUMBER(SEARCH(SETTINGS!$K$12,D215)),SETTINGS!$L$12,IF(ISNUMBER(SEARCH(SETTINGS!$K$13,D215)),SETTINGS!$L$13,IF(ISNUMBER(SEARCH(SETTINGS!$K$14,D215)),SETTINGS!$L$14,IF(ISNUMBER(SEARCH(SETTINGS!$K$15,D215)),SETTINGS!$L$15,IF(ISNUMBER(SEARCH(SETTINGS!$K$16,D215)),SETTINGS!$L$16,IF(ISNUMBER(SEARCH(SETTINGS!$K$17,D215)),SETTINGS!$L$17,IF(ISNUMBER(SEARCH(SETTINGS!$K$18,D215)),SETTINGS!$L$18,"Miscellaneous"))))))))))))))))</f>
        <v/>
      </c>
      <c r="I215" s="44" t="str">
        <f t="shared" si="24"/>
        <v/>
      </c>
      <c r="J215" s="9"/>
      <c r="K215" s="9"/>
      <c r="L215" s="9"/>
      <c r="M215" s="9"/>
      <c r="N215" s="9"/>
      <c r="O215" s="9"/>
      <c r="P215" s="13"/>
      <c r="Q215" s="9"/>
      <c r="R215" s="9"/>
      <c r="S215" s="9"/>
      <c r="T215" s="11"/>
      <c r="U215" s="44" t="str">
        <f t="shared" si="25"/>
        <v/>
      </c>
      <c r="V215" s="44" t="str">
        <f t="shared" si="26"/>
        <v/>
      </c>
      <c r="W215" s="44" t="str">
        <f t="shared" si="27"/>
        <v/>
      </c>
      <c r="X215" s="44" t="str">
        <f t="shared" si="28"/>
        <v/>
      </c>
      <c r="Y215" s="44" t="str">
        <f t="shared" si="29"/>
        <v/>
      </c>
      <c r="Z215" s="44" t="str">
        <f t="shared" si="30"/>
        <v/>
      </c>
      <c r="AA215" s="50" t="str">
        <f t="shared" si="31"/>
        <v/>
      </c>
      <c r="AB215" s="50" t="str">
        <f>IF(OR(B215="",C215&lt;&gt;"Expense"),"",IF(E215&gt;IFERROR(AVERAGEIFS($E$8:$E$1007,$I$8:$I$1007,I215,$C$8:$C$1007,"Expense")*SETTINGS!$B$20,0),"Unusually High","Normal"))</f>
        <v/>
      </c>
      <c r="AC215" s="51"/>
      <c r="AD215" s="51"/>
      <c r="AE215" s="51"/>
      <c r="AF215" s="50" t="str">
        <f>IF(A215&lt;&gt;"Yes","No",IF(AND(AC215="Yes",SETTINGS!$B$16="No"),"No","Yes"))</f>
        <v>No</v>
      </c>
      <c r="AG215" s="50" t="str">
        <f>IF(A215&lt;&gt;"Yes","",IF(OR(B215="",D215="",E215&lt;=0,F215="",I215=""),"Check Required Fields",IF(AA215="Possible Duplicate","Possible Duplicate",IF(E215&gt;SETTINGS!$B$22,"Review Extreme Value","OK"))))</f>
        <v/>
      </c>
    </row>
    <row r="216" spans="1:33" ht="14.4">
      <c r="A216" s="9"/>
      <c r="B216" s="13"/>
      <c r="C216" s="9"/>
      <c r="D216" s="9"/>
      <c r="E216" s="11"/>
      <c r="F216" s="9"/>
      <c r="G216" s="9"/>
      <c r="H216" s="44" t="str">
        <f>IF(D216="","",IF(ISNUMBER(SEARCH(SETTINGS!$K$4,D216)),SETTINGS!$L$4,IF(ISNUMBER(SEARCH(SETTINGS!$K$5,D216)),SETTINGS!$L$5,IF(ISNUMBER(SEARCH(SETTINGS!$K$6,D216)),SETTINGS!$L$6,IF(ISNUMBER(SEARCH(SETTINGS!$K$7,D216)),SETTINGS!$L$7,IF(ISNUMBER(SEARCH(SETTINGS!$K$8,D216)),SETTINGS!$L$8,IF(ISNUMBER(SEARCH(SETTINGS!$K$9,D216)),SETTINGS!$L$9,IF(ISNUMBER(SEARCH(SETTINGS!$K$10,D216)),SETTINGS!$L$10,IF(ISNUMBER(SEARCH(SETTINGS!$K$11,D216)),SETTINGS!$L$11,IF(ISNUMBER(SEARCH(SETTINGS!$K$12,D216)),SETTINGS!$L$12,IF(ISNUMBER(SEARCH(SETTINGS!$K$13,D216)),SETTINGS!$L$13,IF(ISNUMBER(SEARCH(SETTINGS!$K$14,D216)),SETTINGS!$L$14,IF(ISNUMBER(SEARCH(SETTINGS!$K$15,D216)),SETTINGS!$L$15,IF(ISNUMBER(SEARCH(SETTINGS!$K$16,D216)),SETTINGS!$L$16,IF(ISNUMBER(SEARCH(SETTINGS!$K$17,D216)),SETTINGS!$L$17,IF(ISNUMBER(SEARCH(SETTINGS!$K$18,D216)),SETTINGS!$L$18,"Miscellaneous"))))))))))))))))</f>
        <v/>
      </c>
      <c r="I216" s="44" t="str">
        <f t="shared" si="24"/>
        <v/>
      </c>
      <c r="J216" s="9"/>
      <c r="K216" s="9"/>
      <c r="L216" s="9"/>
      <c r="M216" s="9"/>
      <c r="N216" s="9"/>
      <c r="O216" s="9"/>
      <c r="P216" s="13"/>
      <c r="Q216" s="9"/>
      <c r="R216" s="9"/>
      <c r="S216" s="9"/>
      <c r="T216" s="11"/>
      <c r="U216" s="44" t="str">
        <f t="shared" si="25"/>
        <v/>
      </c>
      <c r="V216" s="44" t="str">
        <f t="shared" si="26"/>
        <v/>
      </c>
      <c r="W216" s="44" t="str">
        <f t="shared" si="27"/>
        <v/>
      </c>
      <c r="X216" s="44" t="str">
        <f t="shared" si="28"/>
        <v/>
      </c>
      <c r="Y216" s="44" t="str">
        <f t="shared" si="29"/>
        <v/>
      </c>
      <c r="Z216" s="44" t="str">
        <f t="shared" si="30"/>
        <v/>
      </c>
      <c r="AA216" s="50" t="str">
        <f t="shared" si="31"/>
        <v/>
      </c>
      <c r="AB216" s="50" t="str">
        <f>IF(OR(B216="",C216&lt;&gt;"Expense"),"",IF(E216&gt;IFERROR(AVERAGEIFS($E$8:$E$1007,$I$8:$I$1007,I216,$C$8:$C$1007,"Expense")*SETTINGS!$B$20,0),"Unusually High","Normal"))</f>
        <v/>
      </c>
      <c r="AC216" s="51"/>
      <c r="AD216" s="51"/>
      <c r="AE216" s="51"/>
      <c r="AF216" s="50" t="str">
        <f>IF(A216&lt;&gt;"Yes","No",IF(AND(AC216="Yes",SETTINGS!$B$16="No"),"No","Yes"))</f>
        <v>No</v>
      </c>
      <c r="AG216" s="50" t="str">
        <f>IF(A216&lt;&gt;"Yes","",IF(OR(B216="",D216="",E216&lt;=0,F216="",I216=""),"Check Required Fields",IF(AA216="Possible Duplicate","Possible Duplicate",IF(E216&gt;SETTINGS!$B$22,"Review Extreme Value","OK"))))</f>
        <v/>
      </c>
    </row>
    <row r="217" spans="1:33" ht="14.4">
      <c r="A217" s="9"/>
      <c r="B217" s="13"/>
      <c r="C217" s="9"/>
      <c r="D217" s="9"/>
      <c r="E217" s="11"/>
      <c r="F217" s="9"/>
      <c r="G217" s="9"/>
      <c r="H217" s="44" t="str">
        <f>IF(D217="","",IF(ISNUMBER(SEARCH(SETTINGS!$K$4,D217)),SETTINGS!$L$4,IF(ISNUMBER(SEARCH(SETTINGS!$K$5,D217)),SETTINGS!$L$5,IF(ISNUMBER(SEARCH(SETTINGS!$K$6,D217)),SETTINGS!$L$6,IF(ISNUMBER(SEARCH(SETTINGS!$K$7,D217)),SETTINGS!$L$7,IF(ISNUMBER(SEARCH(SETTINGS!$K$8,D217)),SETTINGS!$L$8,IF(ISNUMBER(SEARCH(SETTINGS!$K$9,D217)),SETTINGS!$L$9,IF(ISNUMBER(SEARCH(SETTINGS!$K$10,D217)),SETTINGS!$L$10,IF(ISNUMBER(SEARCH(SETTINGS!$K$11,D217)),SETTINGS!$L$11,IF(ISNUMBER(SEARCH(SETTINGS!$K$12,D217)),SETTINGS!$L$12,IF(ISNUMBER(SEARCH(SETTINGS!$K$13,D217)),SETTINGS!$L$13,IF(ISNUMBER(SEARCH(SETTINGS!$K$14,D217)),SETTINGS!$L$14,IF(ISNUMBER(SEARCH(SETTINGS!$K$15,D217)),SETTINGS!$L$15,IF(ISNUMBER(SEARCH(SETTINGS!$K$16,D217)),SETTINGS!$L$16,IF(ISNUMBER(SEARCH(SETTINGS!$K$17,D217)),SETTINGS!$L$17,IF(ISNUMBER(SEARCH(SETTINGS!$K$18,D217)),SETTINGS!$L$18,"Miscellaneous"))))))))))))))))</f>
        <v/>
      </c>
      <c r="I217" s="44" t="str">
        <f t="shared" si="24"/>
        <v/>
      </c>
      <c r="J217" s="9"/>
      <c r="K217" s="9"/>
      <c r="L217" s="9"/>
      <c r="M217" s="9"/>
      <c r="N217" s="9"/>
      <c r="O217" s="9"/>
      <c r="P217" s="13"/>
      <c r="Q217" s="9"/>
      <c r="R217" s="9"/>
      <c r="S217" s="9"/>
      <c r="T217" s="11"/>
      <c r="U217" s="44" t="str">
        <f t="shared" si="25"/>
        <v/>
      </c>
      <c r="V217" s="44" t="str">
        <f t="shared" si="26"/>
        <v/>
      </c>
      <c r="W217" s="44" t="str">
        <f t="shared" si="27"/>
        <v/>
      </c>
      <c r="X217" s="44" t="str">
        <f t="shared" si="28"/>
        <v/>
      </c>
      <c r="Y217" s="44" t="str">
        <f t="shared" si="29"/>
        <v/>
      </c>
      <c r="Z217" s="44" t="str">
        <f t="shared" si="30"/>
        <v/>
      </c>
      <c r="AA217" s="50" t="str">
        <f t="shared" si="31"/>
        <v/>
      </c>
      <c r="AB217" s="50" t="str">
        <f>IF(OR(B217="",C217&lt;&gt;"Expense"),"",IF(E217&gt;IFERROR(AVERAGEIFS($E$8:$E$1007,$I$8:$I$1007,I217,$C$8:$C$1007,"Expense")*SETTINGS!$B$20,0),"Unusually High","Normal"))</f>
        <v/>
      </c>
      <c r="AC217" s="51"/>
      <c r="AD217" s="51"/>
      <c r="AE217" s="51"/>
      <c r="AF217" s="50" t="str">
        <f>IF(A217&lt;&gt;"Yes","No",IF(AND(AC217="Yes",SETTINGS!$B$16="No"),"No","Yes"))</f>
        <v>No</v>
      </c>
      <c r="AG217" s="50" t="str">
        <f>IF(A217&lt;&gt;"Yes","",IF(OR(B217="",D217="",E217&lt;=0,F217="",I217=""),"Check Required Fields",IF(AA217="Possible Duplicate","Possible Duplicate",IF(E217&gt;SETTINGS!$B$22,"Review Extreme Value","OK"))))</f>
        <v/>
      </c>
    </row>
    <row r="218" spans="1:33" ht="14.4">
      <c r="A218" s="9"/>
      <c r="B218" s="13"/>
      <c r="C218" s="9"/>
      <c r="D218" s="9"/>
      <c r="E218" s="11"/>
      <c r="F218" s="9"/>
      <c r="G218" s="9"/>
      <c r="H218" s="44" t="str">
        <f>IF(D218="","",IF(ISNUMBER(SEARCH(SETTINGS!$K$4,D218)),SETTINGS!$L$4,IF(ISNUMBER(SEARCH(SETTINGS!$K$5,D218)),SETTINGS!$L$5,IF(ISNUMBER(SEARCH(SETTINGS!$K$6,D218)),SETTINGS!$L$6,IF(ISNUMBER(SEARCH(SETTINGS!$K$7,D218)),SETTINGS!$L$7,IF(ISNUMBER(SEARCH(SETTINGS!$K$8,D218)),SETTINGS!$L$8,IF(ISNUMBER(SEARCH(SETTINGS!$K$9,D218)),SETTINGS!$L$9,IF(ISNUMBER(SEARCH(SETTINGS!$K$10,D218)),SETTINGS!$L$10,IF(ISNUMBER(SEARCH(SETTINGS!$K$11,D218)),SETTINGS!$L$11,IF(ISNUMBER(SEARCH(SETTINGS!$K$12,D218)),SETTINGS!$L$12,IF(ISNUMBER(SEARCH(SETTINGS!$K$13,D218)),SETTINGS!$L$13,IF(ISNUMBER(SEARCH(SETTINGS!$K$14,D218)),SETTINGS!$L$14,IF(ISNUMBER(SEARCH(SETTINGS!$K$15,D218)),SETTINGS!$L$15,IF(ISNUMBER(SEARCH(SETTINGS!$K$16,D218)),SETTINGS!$L$16,IF(ISNUMBER(SEARCH(SETTINGS!$K$17,D218)),SETTINGS!$L$17,IF(ISNUMBER(SEARCH(SETTINGS!$K$18,D218)),SETTINGS!$L$18,"Miscellaneous"))))))))))))))))</f>
        <v/>
      </c>
      <c r="I218" s="44" t="str">
        <f t="shared" si="24"/>
        <v/>
      </c>
      <c r="J218" s="9"/>
      <c r="K218" s="9"/>
      <c r="L218" s="9"/>
      <c r="M218" s="9"/>
      <c r="N218" s="9"/>
      <c r="O218" s="9"/>
      <c r="P218" s="13"/>
      <c r="Q218" s="9"/>
      <c r="R218" s="9"/>
      <c r="S218" s="9"/>
      <c r="T218" s="11"/>
      <c r="U218" s="44" t="str">
        <f t="shared" si="25"/>
        <v/>
      </c>
      <c r="V218" s="44" t="str">
        <f t="shared" si="26"/>
        <v/>
      </c>
      <c r="W218" s="44" t="str">
        <f t="shared" si="27"/>
        <v/>
      </c>
      <c r="X218" s="44" t="str">
        <f t="shared" si="28"/>
        <v/>
      </c>
      <c r="Y218" s="44" t="str">
        <f t="shared" si="29"/>
        <v/>
      </c>
      <c r="Z218" s="44" t="str">
        <f t="shared" si="30"/>
        <v/>
      </c>
      <c r="AA218" s="50" t="str">
        <f t="shared" si="31"/>
        <v/>
      </c>
      <c r="AB218" s="50" t="str">
        <f>IF(OR(B218="",C218&lt;&gt;"Expense"),"",IF(E218&gt;IFERROR(AVERAGEIFS($E$8:$E$1007,$I$8:$I$1007,I218,$C$8:$C$1007,"Expense")*SETTINGS!$B$20,0),"Unusually High","Normal"))</f>
        <v/>
      </c>
      <c r="AC218" s="51"/>
      <c r="AD218" s="51"/>
      <c r="AE218" s="51"/>
      <c r="AF218" s="50" t="str">
        <f>IF(A218&lt;&gt;"Yes","No",IF(AND(AC218="Yes",SETTINGS!$B$16="No"),"No","Yes"))</f>
        <v>No</v>
      </c>
      <c r="AG218" s="50" t="str">
        <f>IF(A218&lt;&gt;"Yes","",IF(OR(B218="",D218="",E218&lt;=0,F218="",I218=""),"Check Required Fields",IF(AA218="Possible Duplicate","Possible Duplicate",IF(E218&gt;SETTINGS!$B$22,"Review Extreme Value","OK"))))</f>
        <v/>
      </c>
    </row>
    <row r="219" spans="1:33" ht="14.4">
      <c r="A219" s="9"/>
      <c r="B219" s="13"/>
      <c r="C219" s="9"/>
      <c r="D219" s="9"/>
      <c r="E219" s="11"/>
      <c r="F219" s="9"/>
      <c r="G219" s="9"/>
      <c r="H219" s="44" t="str">
        <f>IF(D219="","",IF(ISNUMBER(SEARCH(SETTINGS!$K$4,D219)),SETTINGS!$L$4,IF(ISNUMBER(SEARCH(SETTINGS!$K$5,D219)),SETTINGS!$L$5,IF(ISNUMBER(SEARCH(SETTINGS!$K$6,D219)),SETTINGS!$L$6,IF(ISNUMBER(SEARCH(SETTINGS!$K$7,D219)),SETTINGS!$L$7,IF(ISNUMBER(SEARCH(SETTINGS!$K$8,D219)),SETTINGS!$L$8,IF(ISNUMBER(SEARCH(SETTINGS!$K$9,D219)),SETTINGS!$L$9,IF(ISNUMBER(SEARCH(SETTINGS!$K$10,D219)),SETTINGS!$L$10,IF(ISNUMBER(SEARCH(SETTINGS!$K$11,D219)),SETTINGS!$L$11,IF(ISNUMBER(SEARCH(SETTINGS!$K$12,D219)),SETTINGS!$L$12,IF(ISNUMBER(SEARCH(SETTINGS!$K$13,D219)),SETTINGS!$L$13,IF(ISNUMBER(SEARCH(SETTINGS!$K$14,D219)),SETTINGS!$L$14,IF(ISNUMBER(SEARCH(SETTINGS!$K$15,D219)),SETTINGS!$L$15,IF(ISNUMBER(SEARCH(SETTINGS!$K$16,D219)),SETTINGS!$L$16,IF(ISNUMBER(SEARCH(SETTINGS!$K$17,D219)),SETTINGS!$L$17,IF(ISNUMBER(SEARCH(SETTINGS!$K$18,D219)),SETTINGS!$L$18,"Miscellaneous"))))))))))))))))</f>
        <v/>
      </c>
      <c r="I219" s="44" t="str">
        <f t="shared" si="24"/>
        <v/>
      </c>
      <c r="J219" s="9"/>
      <c r="K219" s="9"/>
      <c r="L219" s="9"/>
      <c r="M219" s="9"/>
      <c r="N219" s="9"/>
      <c r="O219" s="9"/>
      <c r="P219" s="13"/>
      <c r="Q219" s="9"/>
      <c r="R219" s="9"/>
      <c r="S219" s="9"/>
      <c r="T219" s="11"/>
      <c r="U219" s="44" t="str">
        <f t="shared" si="25"/>
        <v/>
      </c>
      <c r="V219" s="44" t="str">
        <f t="shared" si="26"/>
        <v/>
      </c>
      <c r="W219" s="44" t="str">
        <f t="shared" si="27"/>
        <v/>
      </c>
      <c r="X219" s="44" t="str">
        <f t="shared" si="28"/>
        <v/>
      </c>
      <c r="Y219" s="44" t="str">
        <f t="shared" si="29"/>
        <v/>
      </c>
      <c r="Z219" s="44" t="str">
        <f t="shared" si="30"/>
        <v/>
      </c>
      <c r="AA219" s="50" t="str">
        <f t="shared" si="31"/>
        <v/>
      </c>
      <c r="AB219" s="50" t="str">
        <f>IF(OR(B219="",C219&lt;&gt;"Expense"),"",IF(E219&gt;IFERROR(AVERAGEIFS($E$8:$E$1007,$I$8:$I$1007,I219,$C$8:$C$1007,"Expense")*SETTINGS!$B$20,0),"Unusually High","Normal"))</f>
        <v/>
      </c>
      <c r="AC219" s="51"/>
      <c r="AD219" s="51"/>
      <c r="AE219" s="51"/>
      <c r="AF219" s="50" t="str">
        <f>IF(A219&lt;&gt;"Yes","No",IF(AND(AC219="Yes",SETTINGS!$B$16="No"),"No","Yes"))</f>
        <v>No</v>
      </c>
      <c r="AG219" s="50" t="str">
        <f>IF(A219&lt;&gt;"Yes","",IF(OR(B219="",D219="",E219&lt;=0,F219="",I219=""),"Check Required Fields",IF(AA219="Possible Duplicate","Possible Duplicate",IF(E219&gt;SETTINGS!$B$22,"Review Extreme Value","OK"))))</f>
        <v/>
      </c>
    </row>
    <row r="220" spans="1:33" ht="14.4">
      <c r="A220" s="9"/>
      <c r="B220" s="13"/>
      <c r="C220" s="9"/>
      <c r="D220" s="9"/>
      <c r="E220" s="11"/>
      <c r="F220" s="9"/>
      <c r="G220" s="9"/>
      <c r="H220" s="44" t="str">
        <f>IF(D220="","",IF(ISNUMBER(SEARCH(SETTINGS!$K$4,D220)),SETTINGS!$L$4,IF(ISNUMBER(SEARCH(SETTINGS!$K$5,D220)),SETTINGS!$L$5,IF(ISNUMBER(SEARCH(SETTINGS!$K$6,D220)),SETTINGS!$L$6,IF(ISNUMBER(SEARCH(SETTINGS!$K$7,D220)),SETTINGS!$L$7,IF(ISNUMBER(SEARCH(SETTINGS!$K$8,D220)),SETTINGS!$L$8,IF(ISNUMBER(SEARCH(SETTINGS!$K$9,D220)),SETTINGS!$L$9,IF(ISNUMBER(SEARCH(SETTINGS!$K$10,D220)),SETTINGS!$L$10,IF(ISNUMBER(SEARCH(SETTINGS!$K$11,D220)),SETTINGS!$L$11,IF(ISNUMBER(SEARCH(SETTINGS!$K$12,D220)),SETTINGS!$L$12,IF(ISNUMBER(SEARCH(SETTINGS!$K$13,D220)),SETTINGS!$L$13,IF(ISNUMBER(SEARCH(SETTINGS!$K$14,D220)),SETTINGS!$L$14,IF(ISNUMBER(SEARCH(SETTINGS!$K$15,D220)),SETTINGS!$L$15,IF(ISNUMBER(SEARCH(SETTINGS!$K$16,D220)),SETTINGS!$L$16,IF(ISNUMBER(SEARCH(SETTINGS!$K$17,D220)),SETTINGS!$L$17,IF(ISNUMBER(SEARCH(SETTINGS!$K$18,D220)),SETTINGS!$L$18,"Miscellaneous"))))))))))))))))</f>
        <v/>
      </c>
      <c r="I220" s="44" t="str">
        <f t="shared" si="24"/>
        <v/>
      </c>
      <c r="J220" s="9"/>
      <c r="K220" s="9"/>
      <c r="L220" s="9"/>
      <c r="M220" s="9"/>
      <c r="N220" s="9"/>
      <c r="O220" s="9"/>
      <c r="P220" s="13"/>
      <c r="Q220" s="9"/>
      <c r="R220" s="9"/>
      <c r="S220" s="9"/>
      <c r="T220" s="11"/>
      <c r="U220" s="44" t="str">
        <f t="shared" si="25"/>
        <v/>
      </c>
      <c r="V220" s="44" t="str">
        <f t="shared" si="26"/>
        <v/>
      </c>
      <c r="W220" s="44" t="str">
        <f t="shared" si="27"/>
        <v/>
      </c>
      <c r="X220" s="44" t="str">
        <f t="shared" si="28"/>
        <v/>
      </c>
      <c r="Y220" s="44" t="str">
        <f t="shared" si="29"/>
        <v/>
      </c>
      <c r="Z220" s="44" t="str">
        <f t="shared" si="30"/>
        <v/>
      </c>
      <c r="AA220" s="50" t="str">
        <f t="shared" si="31"/>
        <v/>
      </c>
      <c r="AB220" s="50" t="str">
        <f>IF(OR(B220="",C220&lt;&gt;"Expense"),"",IF(E220&gt;IFERROR(AVERAGEIFS($E$8:$E$1007,$I$8:$I$1007,I220,$C$8:$C$1007,"Expense")*SETTINGS!$B$20,0),"Unusually High","Normal"))</f>
        <v/>
      </c>
      <c r="AC220" s="51"/>
      <c r="AD220" s="51"/>
      <c r="AE220" s="51"/>
      <c r="AF220" s="50" t="str">
        <f>IF(A220&lt;&gt;"Yes","No",IF(AND(AC220="Yes",SETTINGS!$B$16="No"),"No","Yes"))</f>
        <v>No</v>
      </c>
      <c r="AG220" s="50" t="str">
        <f>IF(A220&lt;&gt;"Yes","",IF(OR(B220="",D220="",E220&lt;=0,F220="",I220=""),"Check Required Fields",IF(AA220="Possible Duplicate","Possible Duplicate",IF(E220&gt;SETTINGS!$B$22,"Review Extreme Value","OK"))))</f>
        <v/>
      </c>
    </row>
    <row r="221" spans="1:33" ht="14.4">
      <c r="A221" s="9"/>
      <c r="B221" s="13"/>
      <c r="C221" s="9"/>
      <c r="D221" s="9"/>
      <c r="E221" s="11"/>
      <c r="F221" s="9"/>
      <c r="G221" s="9"/>
      <c r="H221" s="44" t="str">
        <f>IF(D221="","",IF(ISNUMBER(SEARCH(SETTINGS!$K$4,D221)),SETTINGS!$L$4,IF(ISNUMBER(SEARCH(SETTINGS!$K$5,D221)),SETTINGS!$L$5,IF(ISNUMBER(SEARCH(SETTINGS!$K$6,D221)),SETTINGS!$L$6,IF(ISNUMBER(SEARCH(SETTINGS!$K$7,D221)),SETTINGS!$L$7,IF(ISNUMBER(SEARCH(SETTINGS!$K$8,D221)),SETTINGS!$L$8,IF(ISNUMBER(SEARCH(SETTINGS!$K$9,D221)),SETTINGS!$L$9,IF(ISNUMBER(SEARCH(SETTINGS!$K$10,D221)),SETTINGS!$L$10,IF(ISNUMBER(SEARCH(SETTINGS!$K$11,D221)),SETTINGS!$L$11,IF(ISNUMBER(SEARCH(SETTINGS!$K$12,D221)),SETTINGS!$L$12,IF(ISNUMBER(SEARCH(SETTINGS!$K$13,D221)),SETTINGS!$L$13,IF(ISNUMBER(SEARCH(SETTINGS!$K$14,D221)),SETTINGS!$L$14,IF(ISNUMBER(SEARCH(SETTINGS!$K$15,D221)),SETTINGS!$L$15,IF(ISNUMBER(SEARCH(SETTINGS!$K$16,D221)),SETTINGS!$L$16,IF(ISNUMBER(SEARCH(SETTINGS!$K$17,D221)),SETTINGS!$L$17,IF(ISNUMBER(SEARCH(SETTINGS!$K$18,D221)),SETTINGS!$L$18,"Miscellaneous"))))))))))))))))</f>
        <v/>
      </c>
      <c r="I221" s="44" t="str">
        <f t="shared" si="24"/>
        <v/>
      </c>
      <c r="J221" s="9"/>
      <c r="K221" s="9"/>
      <c r="L221" s="9"/>
      <c r="M221" s="9"/>
      <c r="N221" s="9"/>
      <c r="O221" s="9"/>
      <c r="P221" s="13"/>
      <c r="Q221" s="9"/>
      <c r="R221" s="9"/>
      <c r="S221" s="9"/>
      <c r="T221" s="11"/>
      <c r="U221" s="44" t="str">
        <f t="shared" si="25"/>
        <v/>
      </c>
      <c r="V221" s="44" t="str">
        <f t="shared" si="26"/>
        <v/>
      </c>
      <c r="W221" s="44" t="str">
        <f t="shared" si="27"/>
        <v/>
      </c>
      <c r="X221" s="44" t="str">
        <f t="shared" si="28"/>
        <v/>
      </c>
      <c r="Y221" s="44" t="str">
        <f t="shared" si="29"/>
        <v/>
      </c>
      <c r="Z221" s="44" t="str">
        <f t="shared" si="30"/>
        <v/>
      </c>
      <c r="AA221" s="50" t="str">
        <f t="shared" si="31"/>
        <v/>
      </c>
      <c r="AB221" s="50" t="str">
        <f>IF(OR(B221="",C221&lt;&gt;"Expense"),"",IF(E221&gt;IFERROR(AVERAGEIFS($E$8:$E$1007,$I$8:$I$1007,I221,$C$8:$C$1007,"Expense")*SETTINGS!$B$20,0),"Unusually High","Normal"))</f>
        <v/>
      </c>
      <c r="AC221" s="51"/>
      <c r="AD221" s="51"/>
      <c r="AE221" s="51"/>
      <c r="AF221" s="50" t="str">
        <f>IF(A221&lt;&gt;"Yes","No",IF(AND(AC221="Yes",SETTINGS!$B$16="No"),"No","Yes"))</f>
        <v>No</v>
      </c>
      <c r="AG221" s="50" t="str">
        <f>IF(A221&lt;&gt;"Yes","",IF(OR(B221="",D221="",E221&lt;=0,F221="",I221=""),"Check Required Fields",IF(AA221="Possible Duplicate","Possible Duplicate",IF(E221&gt;SETTINGS!$B$22,"Review Extreme Value","OK"))))</f>
        <v/>
      </c>
    </row>
    <row r="222" spans="1:33" ht="14.4">
      <c r="A222" s="9"/>
      <c r="B222" s="13"/>
      <c r="C222" s="9"/>
      <c r="D222" s="9"/>
      <c r="E222" s="11"/>
      <c r="F222" s="9"/>
      <c r="G222" s="9"/>
      <c r="H222" s="44" t="str">
        <f>IF(D222="","",IF(ISNUMBER(SEARCH(SETTINGS!$K$4,D222)),SETTINGS!$L$4,IF(ISNUMBER(SEARCH(SETTINGS!$K$5,D222)),SETTINGS!$L$5,IF(ISNUMBER(SEARCH(SETTINGS!$K$6,D222)),SETTINGS!$L$6,IF(ISNUMBER(SEARCH(SETTINGS!$K$7,D222)),SETTINGS!$L$7,IF(ISNUMBER(SEARCH(SETTINGS!$K$8,D222)),SETTINGS!$L$8,IF(ISNUMBER(SEARCH(SETTINGS!$K$9,D222)),SETTINGS!$L$9,IF(ISNUMBER(SEARCH(SETTINGS!$K$10,D222)),SETTINGS!$L$10,IF(ISNUMBER(SEARCH(SETTINGS!$K$11,D222)),SETTINGS!$L$11,IF(ISNUMBER(SEARCH(SETTINGS!$K$12,D222)),SETTINGS!$L$12,IF(ISNUMBER(SEARCH(SETTINGS!$K$13,D222)),SETTINGS!$L$13,IF(ISNUMBER(SEARCH(SETTINGS!$K$14,D222)),SETTINGS!$L$14,IF(ISNUMBER(SEARCH(SETTINGS!$K$15,D222)),SETTINGS!$L$15,IF(ISNUMBER(SEARCH(SETTINGS!$K$16,D222)),SETTINGS!$L$16,IF(ISNUMBER(SEARCH(SETTINGS!$K$17,D222)),SETTINGS!$L$17,IF(ISNUMBER(SEARCH(SETTINGS!$K$18,D222)),SETTINGS!$L$18,"Miscellaneous"))))))))))))))))</f>
        <v/>
      </c>
      <c r="I222" s="44" t="str">
        <f t="shared" si="24"/>
        <v/>
      </c>
      <c r="J222" s="9"/>
      <c r="K222" s="9"/>
      <c r="L222" s="9"/>
      <c r="M222" s="9"/>
      <c r="N222" s="9"/>
      <c r="O222" s="9"/>
      <c r="P222" s="13"/>
      <c r="Q222" s="9"/>
      <c r="R222" s="9"/>
      <c r="S222" s="9"/>
      <c r="T222" s="11"/>
      <c r="U222" s="44" t="str">
        <f t="shared" si="25"/>
        <v/>
      </c>
      <c r="V222" s="44" t="str">
        <f t="shared" si="26"/>
        <v/>
      </c>
      <c r="W222" s="44" t="str">
        <f t="shared" si="27"/>
        <v/>
      </c>
      <c r="X222" s="44" t="str">
        <f t="shared" si="28"/>
        <v/>
      </c>
      <c r="Y222" s="44" t="str">
        <f t="shared" si="29"/>
        <v/>
      </c>
      <c r="Z222" s="44" t="str">
        <f t="shared" si="30"/>
        <v/>
      </c>
      <c r="AA222" s="50" t="str">
        <f t="shared" si="31"/>
        <v/>
      </c>
      <c r="AB222" s="50" t="str">
        <f>IF(OR(B222="",C222&lt;&gt;"Expense"),"",IF(E222&gt;IFERROR(AVERAGEIFS($E$8:$E$1007,$I$8:$I$1007,I222,$C$8:$C$1007,"Expense")*SETTINGS!$B$20,0),"Unusually High","Normal"))</f>
        <v/>
      </c>
      <c r="AC222" s="51"/>
      <c r="AD222" s="51"/>
      <c r="AE222" s="51"/>
      <c r="AF222" s="50" t="str">
        <f>IF(A222&lt;&gt;"Yes","No",IF(AND(AC222="Yes",SETTINGS!$B$16="No"),"No","Yes"))</f>
        <v>No</v>
      </c>
      <c r="AG222" s="50" t="str">
        <f>IF(A222&lt;&gt;"Yes","",IF(OR(B222="",D222="",E222&lt;=0,F222="",I222=""),"Check Required Fields",IF(AA222="Possible Duplicate","Possible Duplicate",IF(E222&gt;SETTINGS!$B$22,"Review Extreme Value","OK"))))</f>
        <v/>
      </c>
    </row>
    <row r="223" spans="1:33" ht="14.4">
      <c r="A223" s="9"/>
      <c r="B223" s="13"/>
      <c r="C223" s="9"/>
      <c r="D223" s="9"/>
      <c r="E223" s="11"/>
      <c r="F223" s="9"/>
      <c r="G223" s="9"/>
      <c r="H223" s="44" t="str">
        <f>IF(D223="","",IF(ISNUMBER(SEARCH(SETTINGS!$K$4,D223)),SETTINGS!$L$4,IF(ISNUMBER(SEARCH(SETTINGS!$K$5,D223)),SETTINGS!$L$5,IF(ISNUMBER(SEARCH(SETTINGS!$K$6,D223)),SETTINGS!$L$6,IF(ISNUMBER(SEARCH(SETTINGS!$K$7,D223)),SETTINGS!$L$7,IF(ISNUMBER(SEARCH(SETTINGS!$K$8,D223)),SETTINGS!$L$8,IF(ISNUMBER(SEARCH(SETTINGS!$K$9,D223)),SETTINGS!$L$9,IF(ISNUMBER(SEARCH(SETTINGS!$K$10,D223)),SETTINGS!$L$10,IF(ISNUMBER(SEARCH(SETTINGS!$K$11,D223)),SETTINGS!$L$11,IF(ISNUMBER(SEARCH(SETTINGS!$K$12,D223)),SETTINGS!$L$12,IF(ISNUMBER(SEARCH(SETTINGS!$K$13,D223)),SETTINGS!$L$13,IF(ISNUMBER(SEARCH(SETTINGS!$K$14,D223)),SETTINGS!$L$14,IF(ISNUMBER(SEARCH(SETTINGS!$K$15,D223)),SETTINGS!$L$15,IF(ISNUMBER(SEARCH(SETTINGS!$K$16,D223)),SETTINGS!$L$16,IF(ISNUMBER(SEARCH(SETTINGS!$K$17,D223)),SETTINGS!$L$17,IF(ISNUMBER(SEARCH(SETTINGS!$K$18,D223)),SETTINGS!$L$18,"Miscellaneous"))))))))))))))))</f>
        <v/>
      </c>
      <c r="I223" s="44" t="str">
        <f t="shared" si="24"/>
        <v/>
      </c>
      <c r="J223" s="9"/>
      <c r="K223" s="9"/>
      <c r="L223" s="9"/>
      <c r="M223" s="9"/>
      <c r="N223" s="9"/>
      <c r="O223" s="9"/>
      <c r="P223" s="13"/>
      <c r="Q223" s="9"/>
      <c r="R223" s="9"/>
      <c r="S223" s="9"/>
      <c r="T223" s="11"/>
      <c r="U223" s="44" t="str">
        <f t="shared" si="25"/>
        <v/>
      </c>
      <c r="V223" s="44" t="str">
        <f t="shared" si="26"/>
        <v/>
      </c>
      <c r="W223" s="44" t="str">
        <f t="shared" si="27"/>
        <v/>
      </c>
      <c r="X223" s="44" t="str">
        <f t="shared" si="28"/>
        <v/>
      </c>
      <c r="Y223" s="44" t="str">
        <f t="shared" si="29"/>
        <v/>
      </c>
      <c r="Z223" s="44" t="str">
        <f t="shared" si="30"/>
        <v/>
      </c>
      <c r="AA223" s="50" t="str">
        <f t="shared" si="31"/>
        <v/>
      </c>
      <c r="AB223" s="50" t="str">
        <f>IF(OR(B223="",C223&lt;&gt;"Expense"),"",IF(E223&gt;IFERROR(AVERAGEIFS($E$8:$E$1007,$I$8:$I$1007,I223,$C$8:$C$1007,"Expense")*SETTINGS!$B$20,0),"Unusually High","Normal"))</f>
        <v/>
      </c>
      <c r="AC223" s="51"/>
      <c r="AD223" s="51"/>
      <c r="AE223" s="51"/>
      <c r="AF223" s="50" t="str">
        <f>IF(A223&lt;&gt;"Yes","No",IF(AND(AC223="Yes",SETTINGS!$B$16="No"),"No","Yes"))</f>
        <v>No</v>
      </c>
      <c r="AG223" s="50" t="str">
        <f>IF(A223&lt;&gt;"Yes","",IF(OR(B223="",D223="",E223&lt;=0,F223="",I223=""),"Check Required Fields",IF(AA223="Possible Duplicate","Possible Duplicate",IF(E223&gt;SETTINGS!$B$22,"Review Extreme Value","OK"))))</f>
        <v/>
      </c>
    </row>
    <row r="224" spans="1:33" ht="14.4">
      <c r="A224" s="9"/>
      <c r="B224" s="13"/>
      <c r="C224" s="9"/>
      <c r="D224" s="9"/>
      <c r="E224" s="11"/>
      <c r="F224" s="9"/>
      <c r="G224" s="9"/>
      <c r="H224" s="44" t="str">
        <f>IF(D224="","",IF(ISNUMBER(SEARCH(SETTINGS!$K$4,D224)),SETTINGS!$L$4,IF(ISNUMBER(SEARCH(SETTINGS!$K$5,D224)),SETTINGS!$L$5,IF(ISNUMBER(SEARCH(SETTINGS!$K$6,D224)),SETTINGS!$L$6,IF(ISNUMBER(SEARCH(SETTINGS!$K$7,D224)),SETTINGS!$L$7,IF(ISNUMBER(SEARCH(SETTINGS!$K$8,D224)),SETTINGS!$L$8,IF(ISNUMBER(SEARCH(SETTINGS!$K$9,D224)),SETTINGS!$L$9,IF(ISNUMBER(SEARCH(SETTINGS!$K$10,D224)),SETTINGS!$L$10,IF(ISNUMBER(SEARCH(SETTINGS!$K$11,D224)),SETTINGS!$L$11,IF(ISNUMBER(SEARCH(SETTINGS!$K$12,D224)),SETTINGS!$L$12,IF(ISNUMBER(SEARCH(SETTINGS!$K$13,D224)),SETTINGS!$L$13,IF(ISNUMBER(SEARCH(SETTINGS!$K$14,D224)),SETTINGS!$L$14,IF(ISNUMBER(SEARCH(SETTINGS!$K$15,D224)),SETTINGS!$L$15,IF(ISNUMBER(SEARCH(SETTINGS!$K$16,D224)),SETTINGS!$L$16,IF(ISNUMBER(SEARCH(SETTINGS!$K$17,D224)),SETTINGS!$L$17,IF(ISNUMBER(SEARCH(SETTINGS!$K$18,D224)),SETTINGS!$L$18,"Miscellaneous"))))))))))))))))</f>
        <v/>
      </c>
      <c r="I224" s="44" t="str">
        <f t="shared" si="24"/>
        <v/>
      </c>
      <c r="J224" s="9"/>
      <c r="K224" s="9"/>
      <c r="L224" s="9"/>
      <c r="M224" s="9"/>
      <c r="N224" s="9"/>
      <c r="O224" s="9"/>
      <c r="P224" s="13"/>
      <c r="Q224" s="9"/>
      <c r="R224" s="9"/>
      <c r="S224" s="9"/>
      <c r="T224" s="11"/>
      <c r="U224" s="44" t="str">
        <f t="shared" si="25"/>
        <v/>
      </c>
      <c r="V224" s="44" t="str">
        <f t="shared" si="26"/>
        <v/>
      </c>
      <c r="W224" s="44" t="str">
        <f t="shared" si="27"/>
        <v/>
      </c>
      <c r="X224" s="44" t="str">
        <f t="shared" si="28"/>
        <v/>
      </c>
      <c r="Y224" s="44" t="str">
        <f t="shared" si="29"/>
        <v/>
      </c>
      <c r="Z224" s="44" t="str">
        <f t="shared" si="30"/>
        <v/>
      </c>
      <c r="AA224" s="50" t="str">
        <f t="shared" si="31"/>
        <v/>
      </c>
      <c r="AB224" s="50" t="str">
        <f>IF(OR(B224="",C224&lt;&gt;"Expense"),"",IF(E224&gt;IFERROR(AVERAGEIFS($E$8:$E$1007,$I$8:$I$1007,I224,$C$8:$C$1007,"Expense")*SETTINGS!$B$20,0),"Unusually High","Normal"))</f>
        <v/>
      </c>
      <c r="AC224" s="51"/>
      <c r="AD224" s="51"/>
      <c r="AE224" s="51"/>
      <c r="AF224" s="50" t="str">
        <f>IF(A224&lt;&gt;"Yes","No",IF(AND(AC224="Yes",SETTINGS!$B$16="No"),"No","Yes"))</f>
        <v>No</v>
      </c>
      <c r="AG224" s="50" t="str">
        <f>IF(A224&lt;&gt;"Yes","",IF(OR(B224="",D224="",E224&lt;=0,F224="",I224=""),"Check Required Fields",IF(AA224="Possible Duplicate","Possible Duplicate",IF(E224&gt;SETTINGS!$B$22,"Review Extreme Value","OK"))))</f>
        <v/>
      </c>
    </row>
    <row r="225" spans="1:33" ht="14.4">
      <c r="A225" s="9"/>
      <c r="B225" s="13"/>
      <c r="C225" s="9"/>
      <c r="D225" s="9"/>
      <c r="E225" s="11"/>
      <c r="F225" s="9"/>
      <c r="G225" s="9"/>
      <c r="H225" s="44" t="str">
        <f>IF(D225="","",IF(ISNUMBER(SEARCH(SETTINGS!$K$4,D225)),SETTINGS!$L$4,IF(ISNUMBER(SEARCH(SETTINGS!$K$5,D225)),SETTINGS!$L$5,IF(ISNUMBER(SEARCH(SETTINGS!$K$6,D225)),SETTINGS!$L$6,IF(ISNUMBER(SEARCH(SETTINGS!$K$7,D225)),SETTINGS!$L$7,IF(ISNUMBER(SEARCH(SETTINGS!$K$8,D225)),SETTINGS!$L$8,IF(ISNUMBER(SEARCH(SETTINGS!$K$9,D225)),SETTINGS!$L$9,IF(ISNUMBER(SEARCH(SETTINGS!$K$10,D225)),SETTINGS!$L$10,IF(ISNUMBER(SEARCH(SETTINGS!$K$11,D225)),SETTINGS!$L$11,IF(ISNUMBER(SEARCH(SETTINGS!$K$12,D225)),SETTINGS!$L$12,IF(ISNUMBER(SEARCH(SETTINGS!$K$13,D225)),SETTINGS!$L$13,IF(ISNUMBER(SEARCH(SETTINGS!$K$14,D225)),SETTINGS!$L$14,IF(ISNUMBER(SEARCH(SETTINGS!$K$15,D225)),SETTINGS!$L$15,IF(ISNUMBER(SEARCH(SETTINGS!$K$16,D225)),SETTINGS!$L$16,IF(ISNUMBER(SEARCH(SETTINGS!$K$17,D225)),SETTINGS!$L$17,IF(ISNUMBER(SEARCH(SETTINGS!$K$18,D225)),SETTINGS!$L$18,"Miscellaneous"))))))))))))))))</f>
        <v/>
      </c>
      <c r="I225" s="44" t="str">
        <f t="shared" si="24"/>
        <v/>
      </c>
      <c r="J225" s="9"/>
      <c r="K225" s="9"/>
      <c r="L225" s="9"/>
      <c r="M225" s="9"/>
      <c r="N225" s="9"/>
      <c r="O225" s="9"/>
      <c r="P225" s="13"/>
      <c r="Q225" s="9"/>
      <c r="R225" s="9"/>
      <c r="S225" s="9"/>
      <c r="T225" s="11"/>
      <c r="U225" s="44" t="str">
        <f t="shared" si="25"/>
        <v/>
      </c>
      <c r="V225" s="44" t="str">
        <f t="shared" si="26"/>
        <v/>
      </c>
      <c r="W225" s="44" t="str">
        <f t="shared" si="27"/>
        <v/>
      </c>
      <c r="X225" s="44" t="str">
        <f t="shared" si="28"/>
        <v/>
      </c>
      <c r="Y225" s="44" t="str">
        <f t="shared" si="29"/>
        <v/>
      </c>
      <c r="Z225" s="44" t="str">
        <f t="shared" si="30"/>
        <v/>
      </c>
      <c r="AA225" s="50" t="str">
        <f t="shared" si="31"/>
        <v/>
      </c>
      <c r="AB225" s="50" t="str">
        <f>IF(OR(B225="",C225&lt;&gt;"Expense"),"",IF(E225&gt;IFERROR(AVERAGEIFS($E$8:$E$1007,$I$8:$I$1007,I225,$C$8:$C$1007,"Expense")*SETTINGS!$B$20,0),"Unusually High","Normal"))</f>
        <v/>
      </c>
      <c r="AC225" s="51"/>
      <c r="AD225" s="51"/>
      <c r="AE225" s="51"/>
      <c r="AF225" s="50" t="str">
        <f>IF(A225&lt;&gt;"Yes","No",IF(AND(AC225="Yes",SETTINGS!$B$16="No"),"No","Yes"))</f>
        <v>No</v>
      </c>
      <c r="AG225" s="50" t="str">
        <f>IF(A225&lt;&gt;"Yes","",IF(OR(B225="",D225="",E225&lt;=0,F225="",I225=""),"Check Required Fields",IF(AA225="Possible Duplicate","Possible Duplicate",IF(E225&gt;SETTINGS!$B$22,"Review Extreme Value","OK"))))</f>
        <v/>
      </c>
    </row>
    <row r="226" spans="1:33" ht="14.4">
      <c r="A226" s="9"/>
      <c r="B226" s="13"/>
      <c r="C226" s="9"/>
      <c r="D226" s="9"/>
      <c r="E226" s="11"/>
      <c r="F226" s="9"/>
      <c r="G226" s="9"/>
      <c r="H226" s="44" t="str">
        <f>IF(D226="","",IF(ISNUMBER(SEARCH(SETTINGS!$K$4,D226)),SETTINGS!$L$4,IF(ISNUMBER(SEARCH(SETTINGS!$K$5,D226)),SETTINGS!$L$5,IF(ISNUMBER(SEARCH(SETTINGS!$K$6,D226)),SETTINGS!$L$6,IF(ISNUMBER(SEARCH(SETTINGS!$K$7,D226)),SETTINGS!$L$7,IF(ISNUMBER(SEARCH(SETTINGS!$K$8,D226)),SETTINGS!$L$8,IF(ISNUMBER(SEARCH(SETTINGS!$K$9,D226)),SETTINGS!$L$9,IF(ISNUMBER(SEARCH(SETTINGS!$K$10,D226)),SETTINGS!$L$10,IF(ISNUMBER(SEARCH(SETTINGS!$K$11,D226)),SETTINGS!$L$11,IF(ISNUMBER(SEARCH(SETTINGS!$K$12,D226)),SETTINGS!$L$12,IF(ISNUMBER(SEARCH(SETTINGS!$K$13,D226)),SETTINGS!$L$13,IF(ISNUMBER(SEARCH(SETTINGS!$K$14,D226)),SETTINGS!$L$14,IF(ISNUMBER(SEARCH(SETTINGS!$K$15,D226)),SETTINGS!$L$15,IF(ISNUMBER(SEARCH(SETTINGS!$K$16,D226)),SETTINGS!$L$16,IF(ISNUMBER(SEARCH(SETTINGS!$K$17,D226)),SETTINGS!$L$17,IF(ISNUMBER(SEARCH(SETTINGS!$K$18,D226)),SETTINGS!$L$18,"Miscellaneous"))))))))))))))))</f>
        <v/>
      </c>
      <c r="I226" s="44" t="str">
        <f t="shared" si="24"/>
        <v/>
      </c>
      <c r="J226" s="9"/>
      <c r="K226" s="9"/>
      <c r="L226" s="9"/>
      <c r="M226" s="9"/>
      <c r="N226" s="9"/>
      <c r="O226" s="9"/>
      <c r="P226" s="13"/>
      <c r="Q226" s="9"/>
      <c r="R226" s="9"/>
      <c r="S226" s="9"/>
      <c r="T226" s="11"/>
      <c r="U226" s="44" t="str">
        <f t="shared" si="25"/>
        <v/>
      </c>
      <c r="V226" s="44" t="str">
        <f t="shared" si="26"/>
        <v/>
      </c>
      <c r="W226" s="44" t="str">
        <f t="shared" si="27"/>
        <v/>
      </c>
      <c r="X226" s="44" t="str">
        <f t="shared" si="28"/>
        <v/>
      </c>
      <c r="Y226" s="44" t="str">
        <f t="shared" si="29"/>
        <v/>
      </c>
      <c r="Z226" s="44" t="str">
        <f t="shared" si="30"/>
        <v/>
      </c>
      <c r="AA226" s="50" t="str">
        <f t="shared" si="31"/>
        <v/>
      </c>
      <c r="AB226" s="50" t="str">
        <f>IF(OR(B226="",C226&lt;&gt;"Expense"),"",IF(E226&gt;IFERROR(AVERAGEIFS($E$8:$E$1007,$I$8:$I$1007,I226,$C$8:$C$1007,"Expense")*SETTINGS!$B$20,0),"Unusually High","Normal"))</f>
        <v/>
      </c>
      <c r="AC226" s="51"/>
      <c r="AD226" s="51"/>
      <c r="AE226" s="51"/>
      <c r="AF226" s="50" t="str">
        <f>IF(A226&lt;&gt;"Yes","No",IF(AND(AC226="Yes",SETTINGS!$B$16="No"),"No","Yes"))</f>
        <v>No</v>
      </c>
      <c r="AG226" s="50" t="str">
        <f>IF(A226&lt;&gt;"Yes","",IF(OR(B226="",D226="",E226&lt;=0,F226="",I226=""),"Check Required Fields",IF(AA226="Possible Duplicate","Possible Duplicate",IF(E226&gt;SETTINGS!$B$22,"Review Extreme Value","OK"))))</f>
        <v/>
      </c>
    </row>
    <row r="227" spans="1:33" ht="14.4">
      <c r="A227" s="9"/>
      <c r="B227" s="13"/>
      <c r="C227" s="9"/>
      <c r="D227" s="9"/>
      <c r="E227" s="11"/>
      <c r="F227" s="9"/>
      <c r="G227" s="9"/>
      <c r="H227" s="44" t="str">
        <f>IF(D227="","",IF(ISNUMBER(SEARCH(SETTINGS!$K$4,D227)),SETTINGS!$L$4,IF(ISNUMBER(SEARCH(SETTINGS!$K$5,D227)),SETTINGS!$L$5,IF(ISNUMBER(SEARCH(SETTINGS!$K$6,D227)),SETTINGS!$L$6,IF(ISNUMBER(SEARCH(SETTINGS!$K$7,D227)),SETTINGS!$L$7,IF(ISNUMBER(SEARCH(SETTINGS!$K$8,D227)),SETTINGS!$L$8,IF(ISNUMBER(SEARCH(SETTINGS!$K$9,D227)),SETTINGS!$L$9,IF(ISNUMBER(SEARCH(SETTINGS!$K$10,D227)),SETTINGS!$L$10,IF(ISNUMBER(SEARCH(SETTINGS!$K$11,D227)),SETTINGS!$L$11,IF(ISNUMBER(SEARCH(SETTINGS!$K$12,D227)),SETTINGS!$L$12,IF(ISNUMBER(SEARCH(SETTINGS!$K$13,D227)),SETTINGS!$L$13,IF(ISNUMBER(SEARCH(SETTINGS!$K$14,D227)),SETTINGS!$L$14,IF(ISNUMBER(SEARCH(SETTINGS!$K$15,D227)),SETTINGS!$L$15,IF(ISNUMBER(SEARCH(SETTINGS!$K$16,D227)),SETTINGS!$L$16,IF(ISNUMBER(SEARCH(SETTINGS!$K$17,D227)),SETTINGS!$L$17,IF(ISNUMBER(SEARCH(SETTINGS!$K$18,D227)),SETTINGS!$L$18,"Miscellaneous"))))))))))))))))</f>
        <v/>
      </c>
      <c r="I227" s="44" t="str">
        <f t="shared" si="24"/>
        <v/>
      </c>
      <c r="J227" s="9"/>
      <c r="K227" s="9"/>
      <c r="L227" s="9"/>
      <c r="M227" s="9"/>
      <c r="N227" s="9"/>
      <c r="O227" s="9"/>
      <c r="P227" s="13"/>
      <c r="Q227" s="9"/>
      <c r="R227" s="9"/>
      <c r="S227" s="9"/>
      <c r="T227" s="11"/>
      <c r="U227" s="44" t="str">
        <f t="shared" si="25"/>
        <v/>
      </c>
      <c r="V227" s="44" t="str">
        <f t="shared" si="26"/>
        <v/>
      </c>
      <c r="W227" s="44" t="str">
        <f t="shared" si="27"/>
        <v/>
      </c>
      <c r="X227" s="44" t="str">
        <f t="shared" si="28"/>
        <v/>
      </c>
      <c r="Y227" s="44" t="str">
        <f t="shared" si="29"/>
        <v/>
      </c>
      <c r="Z227" s="44" t="str">
        <f t="shared" si="30"/>
        <v/>
      </c>
      <c r="AA227" s="50" t="str">
        <f t="shared" si="31"/>
        <v/>
      </c>
      <c r="AB227" s="50" t="str">
        <f>IF(OR(B227="",C227&lt;&gt;"Expense"),"",IF(E227&gt;IFERROR(AVERAGEIFS($E$8:$E$1007,$I$8:$I$1007,I227,$C$8:$C$1007,"Expense")*SETTINGS!$B$20,0),"Unusually High","Normal"))</f>
        <v/>
      </c>
      <c r="AC227" s="51"/>
      <c r="AD227" s="51"/>
      <c r="AE227" s="51"/>
      <c r="AF227" s="50" t="str">
        <f>IF(A227&lt;&gt;"Yes","No",IF(AND(AC227="Yes",SETTINGS!$B$16="No"),"No","Yes"))</f>
        <v>No</v>
      </c>
      <c r="AG227" s="50" t="str">
        <f>IF(A227&lt;&gt;"Yes","",IF(OR(B227="",D227="",E227&lt;=0,F227="",I227=""),"Check Required Fields",IF(AA227="Possible Duplicate","Possible Duplicate",IF(E227&gt;SETTINGS!$B$22,"Review Extreme Value","OK"))))</f>
        <v/>
      </c>
    </row>
    <row r="228" spans="1:33" ht="14.4">
      <c r="A228" s="9"/>
      <c r="B228" s="13"/>
      <c r="C228" s="9"/>
      <c r="D228" s="9"/>
      <c r="E228" s="11"/>
      <c r="F228" s="9"/>
      <c r="G228" s="9"/>
      <c r="H228" s="44" t="str">
        <f>IF(D228="","",IF(ISNUMBER(SEARCH(SETTINGS!$K$4,D228)),SETTINGS!$L$4,IF(ISNUMBER(SEARCH(SETTINGS!$K$5,D228)),SETTINGS!$L$5,IF(ISNUMBER(SEARCH(SETTINGS!$K$6,D228)),SETTINGS!$L$6,IF(ISNUMBER(SEARCH(SETTINGS!$K$7,D228)),SETTINGS!$L$7,IF(ISNUMBER(SEARCH(SETTINGS!$K$8,D228)),SETTINGS!$L$8,IF(ISNUMBER(SEARCH(SETTINGS!$K$9,D228)),SETTINGS!$L$9,IF(ISNUMBER(SEARCH(SETTINGS!$K$10,D228)),SETTINGS!$L$10,IF(ISNUMBER(SEARCH(SETTINGS!$K$11,D228)),SETTINGS!$L$11,IF(ISNUMBER(SEARCH(SETTINGS!$K$12,D228)),SETTINGS!$L$12,IF(ISNUMBER(SEARCH(SETTINGS!$K$13,D228)),SETTINGS!$L$13,IF(ISNUMBER(SEARCH(SETTINGS!$K$14,D228)),SETTINGS!$L$14,IF(ISNUMBER(SEARCH(SETTINGS!$K$15,D228)),SETTINGS!$L$15,IF(ISNUMBER(SEARCH(SETTINGS!$K$16,D228)),SETTINGS!$L$16,IF(ISNUMBER(SEARCH(SETTINGS!$K$17,D228)),SETTINGS!$L$17,IF(ISNUMBER(SEARCH(SETTINGS!$K$18,D228)),SETTINGS!$L$18,"Miscellaneous"))))))))))))))))</f>
        <v/>
      </c>
      <c r="I228" s="44" t="str">
        <f t="shared" si="24"/>
        <v/>
      </c>
      <c r="J228" s="9"/>
      <c r="K228" s="9"/>
      <c r="L228" s="9"/>
      <c r="M228" s="9"/>
      <c r="N228" s="9"/>
      <c r="O228" s="9"/>
      <c r="P228" s="13"/>
      <c r="Q228" s="9"/>
      <c r="R228" s="9"/>
      <c r="S228" s="9"/>
      <c r="T228" s="11"/>
      <c r="U228" s="44" t="str">
        <f t="shared" si="25"/>
        <v/>
      </c>
      <c r="V228" s="44" t="str">
        <f t="shared" si="26"/>
        <v/>
      </c>
      <c r="W228" s="44" t="str">
        <f t="shared" si="27"/>
        <v/>
      </c>
      <c r="X228" s="44" t="str">
        <f t="shared" si="28"/>
        <v/>
      </c>
      <c r="Y228" s="44" t="str">
        <f t="shared" si="29"/>
        <v/>
      </c>
      <c r="Z228" s="44" t="str">
        <f t="shared" si="30"/>
        <v/>
      </c>
      <c r="AA228" s="50" t="str">
        <f t="shared" si="31"/>
        <v/>
      </c>
      <c r="AB228" s="50" t="str">
        <f>IF(OR(B228="",C228&lt;&gt;"Expense"),"",IF(E228&gt;IFERROR(AVERAGEIFS($E$8:$E$1007,$I$8:$I$1007,I228,$C$8:$C$1007,"Expense")*SETTINGS!$B$20,0),"Unusually High","Normal"))</f>
        <v/>
      </c>
      <c r="AC228" s="51"/>
      <c r="AD228" s="51"/>
      <c r="AE228" s="51"/>
      <c r="AF228" s="50" t="str">
        <f>IF(A228&lt;&gt;"Yes","No",IF(AND(AC228="Yes",SETTINGS!$B$16="No"),"No","Yes"))</f>
        <v>No</v>
      </c>
      <c r="AG228" s="50" t="str">
        <f>IF(A228&lt;&gt;"Yes","",IF(OR(B228="",D228="",E228&lt;=0,F228="",I228=""),"Check Required Fields",IF(AA228="Possible Duplicate","Possible Duplicate",IF(E228&gt;SETTINGS!$B$22,"Review Extreme Value","OK"))))</f>
        <v/>
      </c>
    </row>
    <row r="229" spans="1:33" ht="14.4">
      <c r="A229" s="9"/>
      <c r="B229" s="13"/>
      <c r="C229" s="9"/>
      <c r="D229" s="9"/>
      <c r="E229" s="11"/>
      <c r="F229" s="9"/>
      <c r="G229" s="9"/>
      <c r="H229" s="44" t="str">
        <f>IF(D229="","",IF(ISNUMBER(SEARCH(SETTINGS!$K$4,D229)),SETTINGS!$L$4,IF(ISNUMBER(SEARCH(SETTINGS!$K$5,D229)),SETTINGS!$L$5,IF(ISNUMBER(SEARCH(SETTINGS!$K$6,D229)),SETTINGS!$L$6,IF(ISNUMBER(SEARCH(SETTINGS!$K$7,D229)),SETTINGS!$L$7,IF(ISNUMBER(SEARCH(SETTINGS!$K$8,D229)),SETTINGS!$L$8,IF(ISNUMBER(SEARCH(SETTINGS!$K$9,D229)),SETTINGS!$L$9,IF(ISNUMBER(SEARCH(SETTINGS!$K$10,D229)),SETTINGS!$L$10,IF(ISNUMBER(SEARCH(SETTINGS!$K$11,D229)),SETTINGS!$L$11,IF(ISNUMBER(SEARCH(SETTINGS!$K$12,D229)),SETTINGS!$L$12,IF(ISNUMBER(SEARCH(SETTINGS!$K$13,D229)),SETTINGS!$L$13,IF(ISNUMBER(SEARCH(SETTINGS!$K$14,D229)),SETTINGS!$L$14,IF(ISNUMBER(SEARCH(SETTINGS!$K$15,D229)),SETTINGS!$L$15,IF(ISNUMBER(SEARCH(SETTINGS!$K$16,D229)),SETTINGS!$L$16,IF(ISNUMBER(SEARCH(SETTINGS!$K$17,D229)),SETTINGS!$L$17,IF(ISNUMBER(SEARCH(SETTINGS!$K$18,D229)),SETTINGS!$L$18,"Miscellaneous"))))))))))))))))</f>
        <v/>
      </c>
      <c r="I229" s="44" t="str">
        <f t="shared" si="24"/>
        <v/>
      </c>
      <c r="J229" s="9"/>
      <c r="K229" s="9"/>
      <c r="L229" s="9"/>
      <c r="M229" s="9"/>
      <c r="N229" s="9"/>
      <c r="O229" s="9"/>
      <c r="P229" s="13"/>
      <c r="Q229" s="9"/>
      <c r="R229" s="9"/>
      <c r="S229" s="9"/>
      <c r="T229" s="11"/>
      <c r="U229" s="44" t="str">
        <f t="shared" si="25"/>
        <v/>
      </c>
      <c r="V229" s="44" t="str">
        <f t="shared" si="26"/>
        <v/>
      </c>
      <c r="W229" s="44" t="str">
        <f t="shared" si="27"/>
        <v/>
      </c>
      <c r="X229" s="44" t="str">
        <f t="shared" si="28"/>
        <v/>
      </c>
      <c r="Y229" s="44" t="str">
        <f t="shared" si="29"/>
        <v/>
      </c>
      <c r="Z229" s="44" t="str">
        <f t="shared" si="30"/>
        <v/>
      </c>
      <c r="AA229" s="50" t="str">
        <f t="shared" si="31"/>
        <v/>
      </c>
      <c r="AB229" s="50" t="str">
        <f>IF(OR(B229="",C229&lt;&gt;"Expense"),"",IF(E229&gt;IFERROR(AVERAGEIFS($E$8:$E$1007,$I$8:$I$1007,I229,$C$8:$C$1007,"Expense")*SETTINGS!$B$20,0),"Unusually High","Normal"))</f>
        <v/>
      </c>
      <c r="AC229" s="51"/>
      <c r="AD229" s="51"/>
      <c r="AE229" s="51"/>
      <c r="AF229" s="50" t="str">
        <f>IF(A229&lt;&gt;"Yes","No",IF(AND(AC229="Yes",SETTINGS!$B$16="No"),"No","Yes"))</f>
        <v>No</v>
      </c>
      <c r="AG229" s="50" t="str">
        <f>IF(A229&lt;&gt;"Yes","",IF(OR(B229="",D229="",E229&lt;=0,F229="",I229=""),"Check Required Fields",IF(AA229="Possible Duplicate","Possible Duplicate",IF(E229&gt;SETTINGS!$B$22,"Review Extreme Value","OK"))))</f>
        <v/>
      </c>
    </row>
    <row r="230" spans="1:33" ht="14.4">
      <c r="A230" s="9"/>
      <c r="B230" s="13"/>
      <c r="C230" s="9"/>
      <c r="D230" s="9"/>
      <c r="E230" s="11"/>
      <c r="F230" s="9"/>
      <c r="G230" s="9"/>
      <c r="H230" s="44" t="str">
        <f>IF(D230="","",IF(ISNUMBER(SEARCH(SETTINGS!$K$4,D230)),SETTINGS!$L$4,IF(ISNUMBER(SEARCH(SETTINGS!$K$5,D230)),SETTINGS!$L$5,IF(ISNUMBER(SEARCH(SETTINGS!$K$6,D230)),SETTINGS!$L$6,IF(ISNUMBER(SEARCH(SETTINGS!$K$7,D230)),SETTINGS!$L$7,IF(ISNUMBER(SEARCH(SETTINGS!$K$8,D230)),SETTINGS!$L$8,IF(ISNUMBER(SEARCH(SETTINGS!$K$9,D230)),SETTINGS!$L$9,IF(ISNUMBER(SEARCH(SETTINGS!$K$10,D230)),SETTINGS!$L$10,IF(ISNUMBER(SEARCH(SETTINGS!$K$11,D230)),SETTINGS!$L$11,IF(ISNUMBER(SEARCH(SETTINGS!$K$12,D230)),SETTINGS!$L$12,IF(ISNUMBER(SEARCH(SETTINGS!$K$13,D230)),SETTINGS!$L$13,IF(ISNUMBER(SEARCH(SETTINGS!$K$14,D230)),SETTINGS!$L$14,IF(ISNUMBER(SEARCH(SETTINGS!$K$15,D230)),SETTINGS!$L$15,IF(ISNUMBER(SEARCH(SETTINGS!$K$16,D230)),SETTINGS!$L$16,IF(ISNUMBER(SEARCH(SETTINGS!$K$17,D230)),SETTINGS!$L$17,IF(ISNUMBER(SEARCH(SETTINGS!$K$18,D230)),SETTINGS!$L$18,"Miscellaneous"))))))))))))))))</f>
        <v/>
      </c>
      <c r="I230" s="44" t="str">
        <f t="shared" si="24"/>
        <v/>
      </c>
      <c r="J230" s="9"/>
      <c r="K230" s="9"/>
      <c r="L230" s="9"/>
      <c r="M230" s="9"/>
      <c r="N230" s="9"/>
      <c r="O230" s="9"/>
      <c r="P230" s="13"/>
      <c r="Q230" s="9"/>
      <c r="R230" s="9"/>
      <c r="S230" s="9"/>
      <c r="T230" s="11"/>
      <c r="U230" s="44" t="str">
        <f t="shared" si="25"/>
        <v/>
      </c>
      <c r="V230" s="44" t="str">
        <f t="shared" si="26"/>
        <v/>
      </c>
      <c r="W230" s="44" t="str">
        <f t="shared" si="27"/>
        <v/>
      </c>
      <c r="X230" s="44" t="str">
        <f t="shared" si="28"/>
        <v/>
      </c>
      <c r="Y230" s="44" t="str">
        <f t="shared" si="29"/>
        <v/>
      </c>
      <c r="Z230" s="44" t="str">
        <f t="shared" si="30"/>
        <v/>
      </c>
      <c r="AA230" s="50" t="str">
        <f t="shared" si="31"/>
        <v/>
      </c>
      <c r="AB230" s="50" t="str">
        <f>IF(OR(B230="",C230&lt;&gt;"Expense"),"",IF(E230&gt;IFERROR(AVERAGEIFS($E$8:$E$1007,$I$8:$I$1007,I230,$C$8:$C$1007,"Expense")*SETTINGS!$B$20,0),"Unusually High","Normal"))</f>
        <v/>
      </c>
      <c r="AC230" s="51"/>
      <c r="AD230" s="51"/>
      <c r="AE230" s="51"/>
      <c r="AF230" s="50" t="str">
        <f>IF(A230&lt;&gt;"Yes","No",IF(AND(AC230="Yes",SETTINGS!$B$16="No"),"No","Yes"))</f>
        <v>No</v>
      </c>
      <c r="AG230" s="50" t="str">
        <f>IF(A230&lt;&gt;"Yes","",IF(OR(B230="",D230="",E230&lt;=0,F230="",I230=""),"Check Required Fields",IF(AA230="Possible Duplicate","Possible Duplicate",IF(E230&gt;SETTINGS!$B$22,"Review Extreme Value","OK"))))</f>
        <v/>
      </c>
    </row>
    <row r="231" spans="1:33" ht="14.4">
      <c r="A231" s="9"/>
      <c r="B231" s="13"/>
      <c r="C231" s="9"/>
      <c r="D231" s="9"/>
      <c r="E231" s="11"/>
      <c r="F231" s="9"/>
      <c r="G231" s="9"/>
      <c r="H231" s="44" t="str">
        <f>IF(D231="","",IF(ISNUMBER(SEARCH(SETTINGS!$K$4,D231)),SETTINGS!$L$4,IF(ISNUMBER(SEARCH(SETTINGS!$K$5,D231)),SETTINGS!$L$5,IF(ISNUMBER(SEARCH(SETTINGS!$K$6,D231)),SETTINGS!$L$6,IF(ISNUMBER(SEARCH(SETTINGS!$K$7,D231)),SETTINGS!$L$7,IF(ISNUMBER(SEARCH(SETTINGS!$K$8,D231)),SETTINGS!$L$8,IF(ISNUMBER(SEARCH(SETTINGS!$K$9,D231)),SETTINGS!$L$9,IF(ISNUMBER(SEARCH(SETTINGS!$K$10,D231)),SETTINGS!$L$10,IF(ISNUMBER(SEARCH(SETTINGS!$K$11,D231)),SETTINGS!$L$11,IF(ISNUMBER(SEARCH(SETTINGS!$K$12,D231)),SETTINGS!$L$12,IF(ISNUMBER(SEARCH(SETTINGS!$K$13,D231)),SETTINGS!$L$13,IF(ISNUMBER(SEARCH(SETTINGS!$K$14,D231)),SETTINGS!$L$14,IF(ISNUMBER(SEARCH(SETTINGS!$K$15,D231)),SETTINGS!$L$15,IF(ISNUMBER(SEARCH(SETTINGS!$K$16,D231)),SETTINGS!$L$16,IF(ISNUMBER(SEARCH(SETTINGS!$K$17,D231)),SETTINGS!$L$17,IF(ISNUMBER(SEARCH(SETTINGS!$K$18,D231)),SETTINGS!$L$18,"Miscellaneous"))))))))))))))))</f>
        <v/>
      </c>
      <c r="I231" s="44" t="str">
        <f t="shared" si="24"/>
        <v/>
      </c>
      <c r="J231" s="9"/>
      <c r="K231" s="9"/>
      <c r="L231" s="9"/>
      <c r="M231" s="9"/>
      <c r="N231" s="9"/>
      <c r="O231" s="9"/>
      <c r="P231" s="13"/>
      <c r="Q231" s="9"/>
      <c r="R231" s="9"/>
      <c r="S231" s="9"/>
      <c r="T231" s="11"/>
      <c r="U231" s="44" t="str">
        <f t="shared" si="25"/>
        <v/>
      </c>
      <c r="V231" s="44" t="str">
        <f t="shared" si="26"/>
        <v/>
      </c>
      <c r="W231" s="44" t="str">
        <f t="shared" si="27"/>
        <v/>
      </c>
      <c r="X231" s="44" t="str">
        <f t="shared" si="28"/>
        <v/>
      </c>
      <c r="Y231" s="44" t="str">
        <f t="shared" si="29"/>
        <v/>
      </c>
      <c r="Z231" s="44" t="str">
        <f t="shared" si="30"/>
        <v/>
      </c>
      <c r="AA231" s="50" t="str">
        <f t="shared" si="31"/>
        <v/>
      </c>
      <c r="AB231" s="50" t="str">
        <f>IF(OR(B231="",C231&lt;&gt;"Expense"),"",IF(E231&gt;IFERROR(AVERAGEIFS($E$8:$E$1007,$I$8:$I$1007,I231,$C$8:$C$1007,"Expense")*SETTINGS!$B$20,0),"Unusually High","Normal"))</f>
        <v/>
      </c>
      <c r="AC231" s="51"/>
      <c r="AD231" s="51"/>
      <c r="AE231" s="51"/>
      <c r="AF231" s="50" t="str">
        <f>IF(A231&lt;&gt;"Yes","No",IF(AND(AC231="Yes",SETTINGS!$B$16="No"),"No","Yes"))</f>
        <v>No</v>
      </c>
      <c r="AG231" s="50" t="str">
        <f>IF(A231&lt;&gt;"Yes","",IF(OR(B231="",D231="",E231&lt;=0,F231="",I231=""),"Check Required Fields",IF(AA231="Possible Duplicate","Possible Duplicate",IF(E231&gt;SETTINGS!$B$22,"Review Extreme Value","OK"))))</f>
        <v/>
      </c>
    </row>
    <row r="232" spans="1:33" ht="14.4">
      <c r="A232" s="9"/>
      <c r="B232" s="13"/>
      <c r="C232" s="9"/>
      <c r="D232" s="9"/>
      <c r="E232" s="11"/>
      <c r="F232" s="9"/>
      <c r="G232" s="9"/>
      <c r="H232" s="44" t="str">
        <f>IF(D232="","",IF(ISNUMBER(SEARCH(SETTINGS!$K$4,D232)),SETTINGS!$L$4,IF(ISNUMBER(SEARCH(SETTINGS!$K$5,D232)),SETTINGS!$L$5,IF(ISNUMBER(SEARCH(SETTINGS!$K$6,D232)),SETTINGS!$L$6,IF(ISNUMBER(SEARCH(SETTINGS!$K$7,D232)),SETTINGS!$L$7,IF(ISNUMBER(SEARCH(SETTINGS!$K$8,D232)),SETTINGS!$L$8,IF(ISNUMBER(SEARCH(SETTINGS!$K$9,D232)),SETTINGS!$L$9,IF(ISNUMBER(SEARCH(SETTINGS!$K$10,D232)),SETTINGS!$L$10,IF(ISNUMBER(SEARCH(SETTINGS!$K$11,D232)),SETTINGS!$L$11,IF(ISNUMBER(SEARCH(SETTINGS!$K$12,D232)),SETTINGS!$L$12,IF(ISNUMBER(SEARCH(SETTINGS!$K$13,D232)),SETTINGS!$L$13,IF(ISNUMBER(SEARCH(SETTINGS!$K$14,D232)),SETTINGS!$L$14,IF(ISNUMBER(SEARCH(SETTINGS!$K$15,D232)),SETTINGS!$L$15,IF(ISNUMBER(SEARCH(SETTINGS!$K$16,D232)),SETTINGS!$L$16,IF(ISNUMBER(SEARCH(SETTINGS!$K$17,D232)),SETTINGS!$L$17,IF(ISNUMBER(SEARCH(SETTINGS!$K$18,D232)),SETTINGS!$L$18,"Miscellaneous"))))))))))))))))</f>
        <v/>
      </c>
      <c r="I232" s="44" t="str">
        <f t="shared" si="24"/>
        <v/>
      </c>
      <c r="J232" s="9"/>
      <c r="K232" s="9"/>
      <c r="L232" s="9"/>
      <c r="M232" s="9"/>
      <c r="N232" s="9"/>
      <c r="O232" s="9"/>
      <c r="P232" s="13"/>
      <c r="Q232" s="9"/>
      <c r="R232" s="9"/>
      <c r="S232" s="9"/>
      <c r="T232" s="11"/>
      <c r="U232" s="44" t="str">
        <f t="shared" si="25"/>
        <v/>
      </c>
      <c r="V232" s="44" t="str">
        <f t="shared" si="26"/>
        <v/>
      </c>
      <c r="W232" s="44" t="str">
        <f t="shared" si="27"/>
        <v/>
      </c>
      <c r="X232" s="44" t="str">
        <f t="shared" si="28"/>
        <v/>
      </c>
      <c r="Y232" s="44" t="str">
        <f t="shared" si="29"/>
        <v/>
      </c>
      <c r="Z232" s="44" t="str">
        <f t="shared" si="30"/>
        <v/>
      </c>
      <c r="AA232" s="50" t="str">
        <f t="shared" si="31"/>
        <v/>
      </c>
      <c r="AB232" s="50" t="str">
        <f>IF(OR(B232="",C232&lt;&gt;"Expense"),"",IF(E232&gt;IFERROR(AVERAGEIFS($E$8:$E$1007,$I$8:$I$1007,I232,$C$8:$C$1007,"Expense")*SETTINGS!$B$20,0),"Unusually High","Normal"))</f>
        <v/>
      </c>
      <c r="AC232" s="51"/>
      <c r="AD232" s="51"/>
      <c r="AE232" s="51"/>
      <c r="AF232" s="50" t="str">
        <f>IF(A232&lt;&gt;"Yes","No",IF(AND(AC232="Yes",SETTINGS!$B$16="No"),"No","Yes"))</f>
        <v>No</v>
      </c>
      <c r="AG232" s="50" t="str">
        <f>IF(A232&lt;&gt;"Yes","",IF(OR(B232="",D232="",E232&lt;=0,F232="",I232=""),"Check Required Fields",IF(AA232="Possible Duplicate","Possible Duplicate",IF(E232&gt;SETTINGS!$B$22,"Review Extreme Value","OK"))))</f>
        <v/>
      </c>
    </row>
    <row r="233" spans="1:33" ht="14.4">
      <c r="A233" s="9"/>
      <c r="B233" s="13"/>
      <c r="C233" s="9"/>
      <c r="D233" s="9"/>
      <c r="E233" s="11"/>
      <c r="F233" s="9"/>
      <c r="G233" s="9"/>
      <c r="H233" s="44" t="str">
        <f>IF(D233="","",IF(ISNUMBER(SEARCH(SETTINGS!$K$4,D233)),SETTINGS!$L$4,IF(ISNUMBER(SEARCH(SETTINGS!$K$5,D233)),SETTINGS!$L$5,IF(ISNUMBER(SEARCH(SETTINGS!$K$6,D233)),SETTINGS!$L$6,IF(ISNUMBER(SEARCH(SETTINGS!$K$7,D233)),SETTINGS!$L$7,IF(ISNUMBER(SEARCH(SETTINGS!$K$8,D233)),SETTINGS!$L$8,IF(ISNUMBER(SEARCH(SETTINGS!$K$9,D233)),SETTINGS!$L$9,IF(ISNUMBER(SEARCH(SETTINGS!$K$10,D233)),SETTINGS!$L$10,IF(ISNUMBER(SEARCH(SETTINGS!$K$11,D233)),SETTINGS!$L$11,IF(ISNUMBER(SEARCH(SETTINGS!$K$12,D233)),SETTINGS!$L$12,IF(ISNUMBER(SEARCH(SETTINGS!$K$13,D233)),SETTINGS!$L$13,IF(ISNUMBER(SEARCH(SETTINGS!$K$14,D233)),SETTINGS!$L$14,IF(ISNUMBER(SEARCH(SETTINGS!$K$15,D233)),SETTINGS!$L$15,IF(ISNUMBER(SEARCH(SETTINGS!$K$16,D233)),SETTINGS!$L$16,IF(ISNUMBER(SEARCH(SETTINGS!$K$17,D233)),SETTINGS!$L$17,IF(ISNUMBER(SEARCH(SETTINGS!$K$18,D233)),SETTINGS!$L$18,"Miscellaneous"))))))))))))))))</f>
        <v/>
      </c>
      <c r="I233" s="44" t="str">
        <f t="shared" si="24"/>
        <v/>
      </c>
      <c r="J233" s="9"/>
      <c r="K233" s="9"/>
      <c r="L233" s="9"/>
      <c r="M233" s="9"/>
      <c r="N233" s="9"/>
      <c r="O233" s="9"/>
      <c r="P233" s="13"/>
      <c r="Q233" s="9"/>
      <c r="R233" s="9"/>
      <c r="S233" s="9"/>
      <c r="T233" s="11"/>
      <c r="U233" s="44" t="str">
        <f t="shared" si="25"/>
        <v/>
      </c>
      <c r="V233" s="44" t="str">
        <f t="shared" si="26"/>
        <v/>
      </c>
      <c r="W233" s="44" t="str">
        <f t="shared" si="27"/>
        <v/>
      </c>
      <c r="X233" s="44" t="str">
        <f t="shared" si="28"/>
        <v/>
      </c>
      <c r="Y233" s="44" t="str">
        <f t="shared" si="29"/>
        <v/>
      </c>
      <c r="Z233" s="44" t="str">
        <f t="shared" si="30"/>
        <v/>
      </c>
      <c r="AA233" s="50" t="str">
        <f t="shared" si="31"/>
        <v/>
      </c>
      <c r="AB233" s="50" t="str">
        <f>IF(OR(B233="",C233&lt;&gt;"Expense"),"",IF(E233&gt;IFERROR(AVERAGEIFS($E$8:$E$1007,$I$8:$I$1007,I233,$C$8:$C$1007,"Expense")*SETTINGS!$B$20,0),"Unusually High","Normal"))</f>
        <v/>
      </c>
      <c r="AC233" s="51"/>
      <c r="AD233" s="51"/>
      <c r="AE233" s="51"/>
      <c r="AF233" s="50" t="str">
        <f>IF(A233&lt;&gt;"Yes","No",IF(AND(AC233="Yes",SETTINGS!$B$16="No"),"No","Yes"))</f>
        <v>No</v>
      </c>
      <c r="AG233" s="50" t="str">
        <f>IF(A233&lt;&gt;"Yes","",IF(OR(B233="",D233="",E233&lt;=0,F233="",I233=""),"Check Required Fields",IF(AA233="Possible Duplicate","Possible Duplicate",IF(E233&gt;SETTINGS!$B$22,"Review Extreme Value","OK"))))</f>
        <v/>
      </c>
    </row>
    <row r="234" spans="1:33" ht="14.4">
      <c r="A234" s="9"/>
      <c r="B234" s="13"/>
      <c r="C234" s="9"/>
      <c r="D234" s="9"/>
      <c r="E234" s="11"/>
      <c r="F234" s="9"/>
      <c r="G234" s="9"/>
      <c r="H234" s="44" t="str">
        <f>IF(D234="","",IF(ISNUMBER(SEARCH(SETTINGS!$K$4,D234)),SETTINGS!$L$4,IF(ISNUMBER(SEARCH(SETTINGS!$K$5,D234)),SETTINGS!$L$5,IF(ISNUMBER(SEARCH(SETTINGS!$K$6,D234)),SETTINGS!$L$6,IF(ISNUMBER(SEARCH(SETTINGS!$K$7,D234)),SETTINGS!$L$7,IF(ISNUMBER(SEARCH(SETTINGS!$K$8,D234)),SETTINGS!$L$8,IF(ISNUMBER(SEARCH(SETTINGS!$K$9,D234)),SETTINGS!$L$9,IF(ISNUMBER(SEARCH(SETTINGS!$K$10,D234)),SETTINGS!$L$10,IF(ISNUMBER(SEARCH(SETTINGS!$K$11,D234)),SETTINGS!$L$11,IF(ISNUMBER(SEARCH(SETTINGS!$K$12,D234)),SETTINGS!$L$12,IF(ISNUMBER(SEARCH(SETTINGS!$K$13,D234)),SETTINGS!$L$13,IF(ISNUMBER(SEARCH(SETTINGS!$K$14,D234)),SETTINGS!$L$14,IF(ISNUMBER(SEARCH(SETTINGS!$K$15,D234)),SETTINGS!$L$15,IF(ISNUMBER(SEARCH(SETTINGS!$K$16,D234)),SETTINGS!$L$16,IF(ISNUMBER(SEARCH(SETTINGS!$K$17,D234)),SETTINGS!$L$17,IF(ISNUMBER(SEARCH(SETTINGS!$K$18,D234)),SETTINGS!$L$18,"Miscellaneous"))))))))))))))))</f>
        <v/>
      </c>
      <c r="I234" s="44" t="str">
        <f t="shared" si="24"/>
        <v/>
      </c>
      <c r="J234" s="9"/>
      <c r="K234" s="9"/>
      <c r="L234" s="9"/>
      <c r="M234" s="9"/>
      <c r="N234" s="9"/>
      <c r="O234" s="9"/>
      <c r="P234" s="13"/>
      <c r="Q234" s="9"/>
      <c r="R234" s="9"/>
      <c r="S234" s="9"/>
      <c r="T234" s="11"/>
      <c r="U234" s="44" t="str">
        <f t="shared" si="25"/>
        <v/>
      </c>
      <c r="V234" s="44" t="str">
        <f t="shared" si="26"/>
        <v/>
      </c>
      <c r="W234" s="44" t="str">
        <f t="shared" si="27"/>
        <v/>
      </c>
      <c r="X234" s="44" t="str">
        <f t="shared" si="28"/>
        <v/>
      </c>
      <c r="Y234" s="44" t="str">
        <f t="shared" si="29"/>
        <v/>
      </c>
      <c r="Z234" s="44" t="str">
        <f t="shared" si="30"/>
        <v/>
      </c>
      <c r="AA234" s="50" t="str">
        <f t="shared" si="31"/>
        <v/>
      </c>
      <c r="AB234" s="50" t="str">
        <f>IF(OR(B234="",C234&lt;&gt;"Expense"),"",IF(E234&gt;IFERROR(AVERAGEIFS($E$8:$E$1007,$I$8:$I$1007,I234,$C$8:$C$1007,"Expense")*SETTINGS!$B$20,0),"Unusually High","Normal"))</f>
        <v/>
      </c>
      <c r="AC234" s="51"/>
      <c r="AD234" s="51"/>
      <c r="AE234" s="51"/>
      <c r="AF234" s="50" t="str">
        <f>IF(A234&lt;&gt;"Yes","No",IF(AND(AC234="Yes",SETTINGS!$B$16="No"),"No","Yes"))</f>
        <v>No</v>
      </c>
      <c r="AG234" s="50" t="str">
        <f>IF(A234&lt;&gt;"Yes","",IF(OR(B234="",D234="",E234&lt;=0,F234="",I234=""),"Check Required Fields",IF(AA234="Possible Duplicate","Possible Duplicate",IF(E234&gt;SETTINGS!$B$22,"Review Extreme Value","OK"))))</f>
        <v/>
      </c>
    </row>
    <row r="235" spans="1:33" ht="14.4">
      <c r="A235" s="9"/>
      <c r="B235" s="13"/>
      <c r="C235" s="9"/>
      <c r="D235" s="9"/>
      <c r="E235" s="11"/>
      <c r="F235" s="9"/>
      <c r="G235" s="9"/>
      <c r="H235" s="44" t="str">
        <f>IF(D235="","",IF(ISNUMBER(SEARCH(SETTINGS!$K$4,D235)),SETTINGS!$L$4,IF(ISNUMBER(SEARCH(SETTINGS!$K$5,D235)),SETTINGS!$L$5,IF(ISNUMBER(SEARCH(SETTINGS!$K$6,D235)),SETTINGS!$L$6,IF(ISNUMBER(SEARCH(SETTINGS!$K$7,D235)),SETTINGS!$L$7,IF(ISNUMBER(SEARCH(SETTINGS!$K$8,D235)),SETTINGS!$L$8,IF(ISNUMBER(SEARCH(SETTINGS!$K$9,D235)),SETTINGS!$L$9,IF(ISNUMBER(SEARCH(SETTINGS!$K$10,D235)),SETTINGS!$L$10,IF(ISNUMBER(SEARCH(SETTINGS!$K$11,D235)),SETTINGS!$L$11,IF(ISNUMBER(SEARCH(SETTINGS!$K$12,D235)),SETTINGS!$L$12,IF(ISNUMBER(SEARCH(SETTINGS!$K$13,D235)),SETTINGS!$L$13,IF(ISNUMBER(SEARCH(SETTINGS!$K$14,D235)),SETTINGS!$L$14,IF(ISNUMBER(SEARCH(SETTINGS!$K$15,D235)),SETTINGS!$L$15,IF(ISNUMBER(SEARCH(SETTINGS!$K$16,D235)),SETTINGS!$L$16,IF(ISNUMBER(SEARCH(SETTINGS!$K$17,D235)),SETTINGS!$L$17,IF(ISNUMBER(SEARCH(SETTINGS!$K$18,D235)),SETTINGS!$L$18,"Miscellaneous"))))))))))))))))</f>
        <v/>
      </c>
      <c r="I235" s="44" t="str">
        <f t="shared" si="24"/>
        <v/>
      </c>
      <c r="J235" s="9"/>
      <c r="K235" s="9"/>
      <c r="L235" s="9"/>
      <c r="M235" s="9"/>
      <c r="N235" s="9"/>
      <c r="O235" s="9"/>
      <c r="P235" s="13"/>
      <c r="Q235" s="9"/>
      <c r="R235" s="9"/>
      <c r="S235" s="9"/>
      <c r="T235" s="11"/>
      <c r="U235" s="44" t="str">
        <f t="shared" si="25"/>
        <v/>
      </c>
      <c r="V235" s="44" t="str">
        <f t="shared" si="26"/>
        <v/>
      </c>
      <c r="W235" s="44" t="str">
        <f t="shared" si="27"/>
        <v/>
      </c>
      <c r="X235" s="44" t="str">
        <f t="shared" si="28"/>
        <v/>
      </c>
      <c r="Y235" s="44" t="str">
        <f t="shared" si="29"/>
        <v/>
      </c>
      <c r="Z235" s="44" t="str">
        <f t="shared" si="30"/>
        <v/>
      </c>
      <c r="AA235" s="50" t="str">
        <f t="shared" si="31"/>
        <v/>
      </c>
      <c r="AB235" s="50" t="str">
        <f>IF(OR(B235="",C235&lt;&gt;"Expense"),"",IF(E235&gt;IFERROR(AVERAGEIFS($E$8:$E$1007,$I$8:$I$1007,I235,$C$8:$C$1007,"Expense")*SETTINGS!$B$20,0),"Unusually High","Normal"))</f>
        <v/>
      </c>
      <c r="AC235" s="51"/>
      <c r="AD235" s="51"/>
      <c r="AE235" s="51"/>
      <c r="AF235" s="50" t="str">
        <f>IF(A235&lt;&gt;"Yes","No",IF(AND(AC235="Yes",SETTINGS!$B$16="No"),"No","Yes"))</f>
        <v>No</v>
      </c>
      <c r="AG235" s="50" t="str">
        <f>IF(A235&lt;&gt;"Yes","",IF(OR(B235="",D235="",E235&lt;=0,F235="",I235=""),"Check Required Fields",IF(AA235="Possible Duplicate","Possible Duplicate",IF(E235&gt;SETTINGS!$B$22,"Review Extreme Value","OK"))))</f>
        <v/>
      </c>
    </row>
    <row r="236" spans="1:33" ht="14.4">
      <c r="A236" s="9"/>
      <c r="B236" s="13"/>
      <c r="C236" s="9"/>
      <c r="D236" s="9"/>
      <c r="E236" s="11"/>
      <c r="F236" s="9"/>
      <c r="G236" s="9"/>
      <c r="H236" s="44" t="str">
        <f>IF(D236="","",IF(ISNUMBER(SEARCH(SETTINGS!$K$4,D236)),SETTINGS!$L$4,IF(ISNUMBER(SEARCH(SETTINGS!$K$5,D236)),SETTINGS!$L$5,IF(ISNUMBER(SEARCH(SETTINGS!$K$6,D236)),SETTINGS!$L$6,IF(ISNUMBER(SEARCH(SETTINGS!$K$7,D236)),SETTINGS!$L$7,IF(ISNUMBER(SEARCH(SETTINGS!$K$8,D236)),SETTINGS!$L$8,IF(ISNUMBER(SEARCH(SETTINGS!$K$9,D236)),SETTINGS!$L$9,IF(ISNUMBER(SEARCH(SETTINGS!$K$10,D236)),SETTINGS!$L$10,IF(ISNUMBER(SEARCH(SETTINGS!$K$11,D236)),SETTINGS!$L$11,IF(ISNUMBER(SEARCH(SETTINGS!$K$12,D236)),SETTINGS!$L$12,IF(ISNUMBER(SEARCH(SETTINGS!$K$13,D236)),SETTINGS!$L$13,IF(ISNUMBER(SEARCH(SETTINGS!$K$14,D236)),SETTINGS!$L$14,IF(ISNUMBER(SEARCH(SETTINGS!$K$15,D236)),SETTINGS!$L$15,IF(ISNUMBER(SEARCH(SETTINGS!$K$16,D236)),SETTINGS!$L$16,IF(ISNUMBER(SEARCH(SETTINGS!$K$17,D236)),SETTINGS!$L$17,IF(ISNUMBER(SEARCH(SETTINGS!$K$18,D236)),SETTINGS!$L$18,"Miscellaneous"))))))))))))))))</f>
        <v/>
      </c>
      <c r="I236" s="44" t="str">
        <f t="shared" si="24"/>
        <v/>
      </c>
      <c r="J236" s="9"/>
      <c r="K236" s="9"/>
      <c r="L236" s="9"/>
      <c r="M236" s="9"/>
      <c r="N236" s="9"/>
      <c r="O236" s="9"/>
      <c r="P236" s="13"/>
      <c r="Q236" s="9"/>
      <c r="R236" s="9"/>
      <c r="S236" s="9"/>
      <c r="T236" s="11"/>
      <c r="U236" s="44" t="str">
        <f t="shared" si="25"/>
        <v/>
      </c>
      <c r="V236" s="44" t="str">
        <f t="shared" si="26"/>
        <v/>
      </c>
      <c r="W236" s="44" t="str">
        <f t="shared" si="27"/>
        <v/>
      </c>
      <c r="X236" s="44" t="str">
        <f t="shared" si="28"/>
        <v/>
      </c>
      <c r="Y236" s="44" t="str">
        <f t="shared" si="29"/>
        <v/>
      </c>
      <c r="Z236" s="44" t="str">
        <f t="shared" si="30"/>
        <v/>
      </c>
      <c r="AA236" s="50" t="str">
        <f t="shared" si="31"/>
        <v/>
      </c>
      <c r="AB236" s="50" t="str">
        <f>IF(OR(B236="",C236&lt;&gt;"Expense"),"",IF(E236&gt;IFERROR(AVERAGEIFS($E$8:$E$1007,$I$8:$I$1007,I236,$C$8:$C$1007,"Expense")*SETTINGS!$B$20,0),"Unusually High","Normal"))</f>
        <v/>
      </c>
      <c r="AC236" s="51"/>
      <c r="AD236" s="51"/>
      <c r="AE236" s="51"/>
      <c r="AF236" s="50" t="str">
        <f>IF(A236&lt;&gt;"Yes","No",IF(AND(AC236="Yes",SETTINGS!$B$16="No"),"No","Yes"))</f>
        <v>No</v>
      </c>
      <c r="AG236" s="50" t="str">
        <f>IF(A236&lt;&gt;"Yes","",IF(OR(B236="",D236="",E236&lt;=0,F236="",I236=""),"Check Required Fields",IF(AA236="Possible Duplicate","Possible Duplicate",IF(E236&gt;SETTINGS!$B$22,"Review Extreme Value","OK"))))</f>
        <v/>
      </c>
    </row>
    <row r="237" spans="1:33" ht="14.4">
      <c r="A237" s="9"/>
      <c r="B237" s="13"/>
      <c r="C237" s="9"/>
      <c r="D237" s="9"/>
      <c r="E237" s="11"/>
      <c r="F237" s="9"/>
      <c r="G237" s="9"/>
      <c r="H237" s="44" t="str">
        <f>IF(D237="","",IF(ISNUMBER(SEARCH(SETTINGS!$K$4,D237)),SETTINGS!$L$4,IF(ISNUMBER(SEARCH(SETTINGS!$K$5,D237)),SETTINGS!$L$5,IF(ISNUMBER(SEARCH(SETTINGS!$K$6,D237)),SETTINGS!$L$6,IF(ISNUMBER(SEARCH(SETTINGS!$K$7,D237)),SETTINGS!$L$7,IF(ISNUMBER(SEARCH(SETTINGS!$K$8,D237)),SETTINGS!$L$8,IF(ISNUMBER(SEARCH(SETTINGS!$K$9,D237)),SETTINGS!$L$9,IF(ISNUMBER(SEARCH(SETTINGS!$K$10,D237)),SETTINGS!$L$10,IF(ISNUMBER(SEARCH(SETTINGS!$K$11,D237)),SETTINGS!$L$11,IF(ISNUMBER(SEARCH(SETTINGS!$K$12,D237)),SETTINGS!$L$12,IF(ISNUMBER(SEARCH(SETTINGS!$K$13,D237)),SETTINGS!$L$13,IF(ISNUMBER(SEARCH(SETTINGS!$K$14,D237)),SETTINGS!$L$14,IF(ISNUMBER(SEARCH(SETTINGS!$K$15,D237)),SETTINGS!$L$15,IF(ISNUMBER(SEARCH(SETTINGS!$K$16,D237)),SETTINGS!$L$16,IF(ISNUMBER(SEARCH(SETTINGS!$K$17,D237)),SETTINGS!$L$17,IF(ISNUMBER(SEARCH(SETTINGS!$K$18,D237)),SETTINGS!$L$18,"Miscellaneous"))))))))))))))))</f>
        <v/>
      </c>
      <c r="I237" s="44" t="str">
        <f t="shared" si="24"/>
        <v/>
      </c>
      <c r="J237" s="9"/>
      <c r="K237" s="9"/>
      <c r="L237" s="9"/>
      <c r="M237" s="9"/>
      <c r="N237" s="9"/>
      <c r="O237" s="9"/>
      <c r="P237" s="13"/>
      <c r="Q237" s="9"/>
      <c r="R237" s="9"/>
      <c r="S237" s="9"/>
      <c r="T237" s="11"/>
      <c r="U237" s="44" t="str">
        <f t="shared" si="25"/>
        <v/>
      </c>
      <c r="V237" s="44" t="str">
        <f t="shared" si="26"/>
        <v/>
      </c>
      <c r="W237" s="44" t="str">
        <f t="shared" si="27"/>
        <v/>
      </c>
      <c r="X237" s="44" t="str">
        <f t="shared" si="28"/>
        <v/>
      </c>
      <c r="Y237" s="44" t="str">
        <f t="shared" si="29"/>
        <v/>
      </c>
      <c r="Z237" s="44" t="str">
        <f t="shared" si="30"/>
        <v/>
      </c>
      <c r="AA237" s="50" t="str">
        <f t="shared" si="31"/>
        <v/>
      </c>
      <c r="AB237" s="50" t="str">
        <f>IF(OR(B237="",C237&lt;&gt;"Expense"),"",IF(E237&gt;IFERROR(AVERAGEIFS($E$8:$E$1007,$I$8:$I$1007,I237,$C$8:$C$1007,"Expense")*SETTINGS!$B$20,0),"Unusually High","Normal"))</f>
        <v/>
      </c>
      <c r="AC237" s="51"/>
      <c r="AD237" s="51"/>
      <c r="AE237" s="51"/>
      <c r="AF237" s="50" t="str">
        <f>IF(A237&lt;&gt;"Yes","No",IF(AND(AC237="Yes",SETTINGS!$B$16="No"),"No","Yes"))</f>
        <v>No</v>
      </c>
      <c r="AG237" s="50" t="str">
        <f>IF(A237&lt;&gt;"Yes","",IF(OR(B237="",D237="",E237&lt;=0,F237="",I237=""),"Check Required Fields",IF(AA237="Possible Duplicate","Possible Duplicate",IF(E237&gt;SETTINGS!$B$22,"Review Extreme Value","OK"))))</f>
        <v/>
      </c>
    </row>
    <row r="238" spans="1:33" ht="14.4">
      <c r="A238" s="9"/>
      <c r="B238" s="13"/>
      <c r="C238" s="9"/>
      <c r="D238" s="9"/>
      <c r="E238" s="11"/>
      <c r="F238" s="9"/>
      <c r="G238" s="9"/>
      <c r="H238" s="44" t="str">
        <f>IF(D238="","",IF(ISNUMBER(SEARCH(SETTINGS!$K$4,D238)),SETTINGS!$L$4,IF(ISNUMBER(SEARCH(SETTINGS!$K$5,D238)),SETTINGS!$L$5,IF(ISNUMBER(SEARCH(SETTINGS!$K$6,D238)),SETTINGS!$L$6,IF(ISNUMBER(SEARCH(SETTINGS!$K$7,D238)),SETTINGS!$L$7,IF(ISNUMBER(SEARCH(SETTINGS!$K$8,D238)),SETTINGS!$L$8,IF(ISNUMBER(SEARCH(SETTINGS!$K$9,D238)),SETTINGS!$L$9,IF(ISNUMBER(SEARCH(SETTINGS!$K$10,D238)),SETTINGS!$L$10,IF(ISNUMBER(SEARCH(SETTINGS!$K$11,D238)),SETTINGS!$L$11,IF(ISNUMBER(SEARCH(SETTINGS!$K$12,D238)),SETTINGS!$L$12,IF(ISNUMBER(SEARCH(SETTINGS!$K$13,D238)),SETTINGS!$L$13,IF(ISNUMBER(SEARCH(SETTINGS!$K$14,D238)),SETTINGS!$L$14,IF(ISNUMBER(SEARCH(SETTINGS!$K$15,D238)),SETTINGS!$L$15,IF(ISNUMBER(SEARCH(SETTINGS!$K$16,D238)),SETTINGS!$L$16,IF(ISNUMBER(SEARCH(SETTINGS!$K$17,D238)),SETTINGS!$L$17,IF(ISNUMBER(SEARCH(SETTINGS!$K$18,D238)),SETTINGS!$L$18,"Miscellaneous"))))))))))))))))</f>
        <v/>
      </c>
      <c r="I238" s="44" t="str">
        <f t="shared" si="24"/>
        <v/>
      </c>
      <c r="J238" s="9"/>
      <c r="K238" s="9"/>
      <c r="L238" s="9"/>
      <c r="M238" s="9"/>
      <c r="N238" s="9"/>
      <c r="O238" s="9"/>
      <c r="P238" s="13"/>
      <c r="Q238" s="9"/>
      <c r="R238" s="9"/>
      <c r="S238" s="9"/>
      <c r="T238" s="11"/>
      <c r="U238" s="44" t="str">
        <f t="shared" si="25"/>
        <v/>
      </c>
      <c r="V238" s="44" t="str">
        <f t="shared" si="26"/>
        <v/>
      </c>
      <c r="W238" s="44" t="str">
        <f t="shared" si="27"/>
        <v/>
      </c>
      <c r="X238" s="44" t="str">
        <f t="shared" si="28"/>
        <v/>
      </c>
      <c r="Y238" s="44" t="str">
        <f t="shared" si="29"/>
        <v/>
      </c>
      <c r="Z238" s="44" t="str">
        <f t="shared" si="30"/>
        <v/>
      </c>
      <c r="AA238" s="50" t="str">
        <f t="shared" si="31"/>
        <v/>
      </c>
      <c r="AB238" s="50" t="str">
        <f>IF(OR(B238="",C238&lt;&gt;"Expense"),"",IF(E238&gt;IFERROR(AVERAGEIFS($E$8:$E$1007,$I$8:$I$1007,I238,$C$8:$C$1007,"Expense")*SETTINGS!$B$20,0),"Unusually High","Normal"))</f>
        <v/>
      </c>
      <c r="AC238" s="51"/>
      <c r="AD238" s="51"/>
      <c r="AE238" s="51"/>
      <c r="AF238" s="50" t="str">
        <f>IF(A238&lt;&gt;"Yes","No",IF(AND(AC238="Yes",SETTINGS!$B$16="No"),"No","Yes"))</f>
        <v>No</v>
      </c>
      <c r="AG238" s="50" t="str">
        <f>IF(A238&lt;&gt;"Yes","",IF(OR(B238="",D238="",E238&lt;=0,F238="",I238=""),"Check Required Fields",IF(AA238="Possible Duplicate","Possible Duplicate",IF(E238&gt;SETTINGS!$B$22,"Review Extreme Value","OK"))))</f>
        <v/>
      </c>
    </row>
    <row r="239" spans="1:33" ht="14.4">
      <c r="A239" s="9"/>
      <c r="B239" s="13"/>
      <c r="C239" s="9"/>
      <c r="D239" s="9"/>
      <c r="E239" s="11"/>
      <c r="F239" s="9"/>
      <c r="G239" s="9"/>
      <c r="H239" s="44" t="str">
        <f>IF(D239="","",IF(ISNUMBER(SEARCH(SETTINGS!$K$4,D239)),SETTINGS!$L$4,IF(ISNUMBER(SEARCH(SETTINGS!$K$5,D239)),SETTINGS!$L$5,IF(ISNUMBER(SEARCH(SETTINGS!$K$6,D239)),SETTINGS!$L$6,IF(ISNUMBER(SEARCH(SETTINGS!$K$7,D239)),SETTINGS!$L$7,IF(ISNUMBER(SEARCH(SETTINGS!$K$8,D239)),SETTINGS!$L$8,IF(ISNUMBER(SEARCH(SETTINGS!$K$9,D239)),SETTINGS!$L$9,IF(ISNUMBER(SEARCH(SETTINGS!$K$10,D239)),SETTINGS!$L$10,IF(ISNUMBER(SEARCH(SETTINGS!$K$11,D239)),SETTINGS!$L$11,IF(ISNUMBER(SEARCH(SETTINGS!$K$12,D239)),SETTINGS!$L$12,IF(ISNUMBER(SEARCH(SETTINGS!$K$13,D239)),SETTINGS!$L$13,IF(ISNUMBER(SEARCH(SETTINGS!$K$14,D239)),SETTINGS!$L$14,IF(ISNUMBER(SEARCH(SETTINGS!$K$15,D239)),SETTINGS!$L$15,IF(ISNUMBER(SEARCH(SETTINGS!$K$16,D239)),SETTINGS!$L$16,IF(ISNUMBER(SEARCH(SETTINGS!$K$17,D239)),SETTINGS!$L$17,IF(ISNUMBER(SEARCH(SETTINGS!$K$18,D239)),SETTINGS!$L$18,"Miscellaneous"))))))))))))))))</f>
        <v/>
      </c>
      <c r="I239" s="44" t="str">
        <f t="shared" si="24"/>
        <v/>
      </c>
      <c r="J239" s="9"/>
      <c r="K239" s="9"/>
      <c r="L239" s="9"/>
      <c r="M239" s="9"/>
      <c r="N239" s="9"/>
      <c r="O239" s="9"/>
      <c r="P239" s="13"/>
      <c r="Q239" s="9"/>
      <c r="R239" s="9"/>
      <c r="S239" s="9"/>
      <c r="T239" s="11"/>
      <c r="U239" s="44" t="str">
        <f t="shared" si="25"/>
        <v/>
      </c>
      <c r="V239" s="44" t="str">
        <f t="shared" si="26"/>
        <v/>
      </c>
      <c r="W239" s="44" t="str">
        <f t="shared" si="27"/>
        <v/>
      </c>
      <c r="X239" s="44" t="str">
        <f t="shared" si="28"/>
        <v/>
      </c>
      <c r="Y239" s="44" t="str">
        <f t="shared" si="29"/>
        <v/>
      </c>
      <c r="Z239" s="44" t="str">
        <f t="shared" si="30"/>
        <v/>
      </c>
      <c r="AA239" s="50" t="str">
        <f t="shared" si="31"/>
        <v/>
      </c>
      <c r="AB239" s="50" t="str">
        <f>IF(OR(B239="",C239&lt;&gt;"Expense"),"",IF(E239&gt;IFERROR(AVERAGEIFS($E$8:$E$1007,$I$8:$I$1007,I239,$C$8:$C$1007,"Expense")*SETTINGS!$B$20,0),"Unusually High","Normal"))</f>
        <v/>
      </c>
      <c r="AC239" s="51"/>
      <c r="AD239" s="51"/>
      <c r="AE239" s="51"/>
      <c r="AF239" s="50" t="str">
        <f>IF(A239&lt;&gt;"Yes","No",IF(AND(AC239="Yes",SETTINGS!$B$16="No"),"No","Yes"))</f>
        <v>No</v>
      </c>
      <c r="AG239" s="50" t="str">
        <f>IF(A239&lt;&gt;"Yes","",IF(OR(B239="",D239="",E239&lt;=0,F239="",I239=""),"Check Required Fields",IF(AA239="Possible Duplicate","Possible Duplicate",IF(E239&gt;SETTINGS!$B$22,"Review Extreme Value","OK"))))</f>
        <v/>
      </c>
    </row>
    <row r="240" spans="1:33" ht="14.4">
      <c r="A240" s="9"/>
      <c r="B240" s="13"/>
      <c r="C240" s="9"/>
      <c r="D240" s="9"/>
      <c r="E240" s="11"/>
      <c r="F240" s="9"/>
      <c r="G240" s="9"/>
      <c r="H240" s="44" t="str">
        <f>IF(D240="","",IF(ISNUMBER(SEARCH(SETTINGS!$K$4,D240)),SETTINGS!$L$4,IF(ISNUMBER(SEARCH(SETTINGS!$K$5,D240)),SETTINGS!$L$5,IF(ISNUMBER(SEARCH(SETTINGS!$K$6,D240)),SETTINGS!$L$6,IF(ISNUMBER(SEARCH(SETTINGS!$K$7,D240)),SETTINGS!$L$7,IF(ISNUMBER(SEARCH(SETTINGS!$K$8,D240)),SETTINGS!$L$8,IF(ISNUMBER(SEARCH(SETTINGS!$K$9,D240)),SETTINGS!$L$9,IF(ISNUMBER(SEARCH(SETTINGS!$K$10,D240)),SETTINGS!$L$10,IF(ISNUMBER(SEARCH(SETTINGS!$K$11,D240)),SETTINGS!$L$11,IF(ISNUMBER(SEARCH(SETTINGS!$K$12,D240)),SETTINGS!$L$12,IF(ISNUMBER(SEARCH(SETTINGS!$K$13,D240)),SETTINGS!$L$13,IF(ISNUMBER(SEARCH(SETTINGS!$K$14,D240)),SETTINGS!$L$14,IF(ISNUMBER(SEARCH(SETTINGS!$K$15,D240)),SETTINGS!$L$15,IF(ISNUMBER(SEARCH(SETTINGS!$K$16,D240)),SETTINGS!$L$16,IF(ISNUMBER(SEARCH(SETTINGS!$K$17,D240)),SETTINGS!$L$17,IF(ISNUMBER(SEARCH(SETTINGS!$K$18,D240)),SETTINGS!$L$18,"Miscellaneous"))))))))))))))))</f>
        <v/>
      </c>
      <c r="I240" s="44" t="str">
        <f t="shared" si="24"/>
        <v/>
      </c>
      <c r="J240" s="9"/>
      <c r="K240" s="9"/>
      <c r="L240" s="9"/>
      <c r="M240" s="9"/>
      <c r="N240" s="9"/>
      <c r="O240" s="9"/>
      <c r="P240" s="13"/>
      <c r="Q240" s="9"/>
      <c r="R240" s="9"/>
      <c r="S240" s="9"/>
      <c r="T240" s="11"/>
      <c r="U240" s="44" t="str">
        <f t="shared" si="25"/>
        <v/>
      </c>
      <c r="V240" s="44" t="str">
        <f t="shared" si="26"/>
        <v/>
      </c>
      <c r="W240" s="44" t="str">
        <f t="shared" si="27"/>
        <v/>
      </c>
      <c r="X240" s="44" t="str">
        <f t="shared" si="28"/>
        <v/>
      </c>
      <c r="Y240" s="44" t="str">
        <f t="shared" si="29"/>
        <v/>
      </c>
      <c r="Z240" s="44" t="str">
        <f t="shared" si="30"/>
        <v/>
      </c>
      <c r="AA240" s="50" t="str">
        <f t="shared" si="31"/>
        <v/>
      </c>
      <c r="AB240" s="50" t="str">
        <f>IF(OR(B240="",C240&lt;&gt;"Expense"),"",IF(E240&gt;IFERROR(AVERAGEIFS($E$8:$E$1007,$I$8:$I$1007,I240,$C$8:$C$1007,"Expense")*SETTINGS!$B$20,0),"Unusually High","Normal"))</f>
        <v/>
      </c>
      <c r="AC240" s="51"/>
      <c r="AD240" s="51"/>
      <c r="AE240" s="51"/>
      <c r="AF240" s="50" t="str">
        <f>IF(A240&lt;&gt;"Yes","No",IF(AND(AC240="Yes",SETTINGS!$B$16="No"),"No","Yes"))</f>
        <v>No</v>
      </c>
      <c r="AG240" s="50" t="str">
        <f>IF(A240&lt;&gt;"Yes","",IF(OR(B240="",D240="",E240&lt;=0,F240="",I240=""),"Check Required Fields",IF(AA240="Possible Duplicate","Possible Duplicate",IF(E240&gt;SETTINGS!$B$22,"Review Extreme Value","OK"))))</f>
        <v/>
      </c>
    </row>
    <row r="241" spans="1:33" ht="14.4">
      <c r="A241" s="9"/>
      <c r="B241" s="13"/>
      <c r="C241" s="9"/>
      <c r="D241" s="9"/>
      <c r="E241" s="11"/>
      <c r="F241" s="9"/>
      <c r="G241" s="9"/>
      <c r="H241" s="44" t="str">
        <f>IF(D241="","",IF(ISNUMBER(SEARCH(SETTINGS!$K$4,D241)),SETTINGS!$L$4,IF(ISNUMBER(SEARCH(SETTINGS!$K$5,D241)),SETTINGS!$L$5,IF(ISNUMBER(SEARCH(SETTINGS!$K$6,D241)),SETTINGS!$L$6,IF(ISNUMBER(SEARCH(SETTINGS!$K$7,D241)),SETTINGS!$L$7,IF(ISNUMBER(SEARCH(SETTINGS!$K$8,D241)),SETTINGS!$L$8,IF(ISNUMBER(SEARCH(SETTINGS!$K$9,D241)),SETTINGS!$L$9,IF(ISNUMBER(SEARCH(SETTINGS!$K$10,D241)),SETTINGS!$L$10,IF(ISNUMBER(SEARCH(SETTINGS!$K$11,D241)),SETTINGS!$L$11,IF(ISNUMBER(SEARCH(SETTINGS!$K$12,D241)),SETTINGS!$L$12,IF(ISNUMBER(SEARCH(SETTINGS!$K$13,D241)),SETTINGS!$L$13,IF(ISNUMBER(SEARCH(SETTINGS!$K$14,D241)),SETTINGS!$L$14,IF(ISNUMBER(SEARCH(SETTINGS!$K$15,D241)),SETTINGS!$L$15,IF(ISNUMBER(SEARCH(SETTINGS!$K$16,D241)),SETTINGS!$L$16,IF(ISNUMBER(SEARCH(SETTINGS!$K$17,D241)),SETTINGS!$L$17,IF(ISNUMBER(SEARCH(SETTINGS!$K$18,D241)),SETTINGS!$L$18,"Miscellaneous"))))))))))))))))</f>
        <v/>
      </c>
      <c r="I241" s="44" t="str">
        <f t="shared" si="24"/>
        <v/>
      </c>
      <c r="J241" s="9"/>
      <c r="K241" s="9"/>
      <c r="L241" s="9"/>
      <c r="M241" s="9"/>
      <c r="N241" s="9"/>
      <c r="O241" s="9"/>
      <c r="P241" s="13"/>
      <c r="Q241" s="9"/>
      <c r="R241" s="9"/>
      <c r="S241" s="9"/>
      <c r="T241" s="11"/>
      <c r="U241" s="44" t="str">
        <f t="shared" si="25"/>
        <v/>
      </c>
      <c r="V241" s="44" t="str">
        <f t="shared" si="26"/>
        <v/>
      </c>
      <c r="W241" s="44" t="str">
        <f t="shared" si="27"/>
        <v/>
      </c>
      <c r="X241" s="44" t="str">
        <f t="shared" si="28"/>
        <v/>
      </c>
      <c r="Y241" s="44" t="str">
        <f t="shared" si="29"/>
        <v/>
      </c>
      <c r="Z241" s="44" t="str">
        <f t="shared" si="30"/>
        <v/>
      </c>
      <c r="AA241" s="50" t="str">
        <f t="shared" si="31"/>
        <v/>
      </c>
      <c r="AB241" s="50" t="str">
        <f>IF(OR(B241="",C241&lt;&gt;"Expense"),"",IF(E241&gt;IFERROR(AVERAGEIFS($E$8:$E$1007,$I$8:$I$1007,I241,$C$8:$C$1007,"Expense")*SETTINGS!$B$20,0),"Unusually High","Normal"))</f>
        <v/>
      </c>
      <c r="AC241" s="51"/>
      <c r="AD241" s="51"/>
      <c r="AE241" s="51"/>
      <c r="AF241" s="50" t="str">
        <f>IF(A241&lt;&gt;"Yes","No",IF(AND(AC241="Yes",SETTINGS!$B$16="No"),"No","Yes"))</f>
        <v>No</v>
      </c>
      <c r="AG241" s="50" t="str">
        <f>IF(A241&lt;&gt;"Yes","",IF(OR(B241="",D241="",E241&lt;=0,F241="",I241=""),"Check Required Fields",IF(AA241="Possible Duplicate","Possible Duplicate",IF(E241&gt;SETTINGS!$B$22,"Review Extreme Value","OK"))))</f>
        <v/>
      </c>
    </row>
    <row r="242" spans="1:33" ht="14.4">
      <c r="A242" s="9"/>
      <c r="B242" s="13"/>
      <c r="C242" s="9"/>
      <c r="D242" s="9"/>
      <c r="E242" s="11"/>
      <c r="F242" s="9"/>
      <c r="G242" s="9"/>
      <c r="H242" s="44" t="str">
        <f>IF(D242="","",IF(ISNUMBER(SEARCH(SETTINGS!$K$4,D242)),SETTINGS!$L$4,IF(ISNUMBER(SEARCH(SETTINGS!$K$5,D242)),SETTINGS!$L$5,IF(ISNUMBER(SEARCH(SETTINGS!$K$6,D242)),SETTINGS!$L$6,IF(ISNUMBER(SEARCH(SETTINGS!$K$7,D242)),SETTINGS!$L$7,IF(ISNUMBER(SEARCH(SETTINGS!$K$8,D242)),SETTINGS!$L$8,IF(ISNUMBER(SEARCH(SETTINGS!$K$9,D242)),SETTINGS!$L$9,IF(ISNUMBER(SEARCH(SETTINGS!$K$10,D242)),SETTINGS!$L$10,IF(ISNUMBER(SEARCH(SETTINGS!$K$11,D242)),SETTINGS!$L$11,IF(ISNUMBER(SEARCH(SETTINGS!$K$12,D242)),SETTINGS!$L$12,IF(ISNUMBER(SEARCH(SETTINGS!$K$13,D242)),SETTINGS!$L$13,IF(ISNUMBER(SEARCH(SETTINGS!$K$14,D242)),SETTINGS!$L$14,IF(ISNUMBER(SEARCH(SETTINGS!$K$15,D242)),SETTINGS!$L$15,IF(ISNUMBER(SEARCH(SETTINGS!$K$16,D242)),SETTINGS!$L$16,IF(ISNUMBER(SEARCH(SETTINGS!$K$17,D242)),SETTINGS!$L$17,IF(ISNUMBER(SEARCH(SETTINGS!$K$18,D242)),SETTINGS!$L$18,"Miscellaneous"))))))))))))))))</f>
        <v/>
      </c>
      <c r="I242" s="44" t="str">
        <f t="shared" si="24"/>
        <v/>
      </c>
      <c r="J242" s="9"/>
      <c r="K242" s="9"/>
      <c r="L242" s="9"/>
      <c r="M242" s="9"/>
      <c r="N242" s="9"/>
      <c r="O242" s="9"/>
      <c r="P242" s="13"/>
      <c r="Q242" s="9"/>
      <c r="R242" s="9"/>
      <c r="S242" s="9"/>
      <c r="T242" s="11"/>
      <c r="U242" s="44" t="str">
        <f t="shared" si="25"/>
        <v/>
      </c>
      <c r="V242" s="44" t="str">
        <f t="shared" si="26"/>
        <v/>
      </c>
      <c r="W242" s="44" t="str">
        <f t="shared" si="27"/>
        <v/>
      </c>
      <c r="X242" s="44" t="str">
        <f t="shared" si="28"/>
        <v/>
      </c>
      <c r="Y242" s="44" t="str">
        <f t="shared" si="29"/>
        <v/>
      </c>
      <c r="Z242" s="44" t="str">
        <f t="shared" si="30"/>
        <v/>
      </c>
      <c r="AA242" s="50" t="str">
        <f t="shared" si="31"/>
        <v/>
      </c>
      <c r="AB242" s="50" t="str">
        <f>IF(OR(B242="",C242&lt;&gt;"Expense"),"",IF(E242&gt;IFERROR(AVERAGEIFS($E$8:$E$1007,$I$8:$I$1007,I242,$C$8:$C$1007,"Expense")*SETTINGS!$B$20,0),"Unusually High","Normal"))</f>
        <v/>
      </c>
      <c r="AC242" s="51"/>
      <c r="AD242" s="51"/>
      <c r="AE242" s="51"/>
      <c r="AF242" s="50" t="str">
        <f>IF(A242&lt;&gt;"Yes","No",IF(AND(AC242="Yes",SETTINGS!$B$16="No"),"No","Yes"))</f>
        <v>No</v>
      </c>
      <c r="AG242" s="50" t="str">
        <f>IF(A242&lt;&gt;"Yes","",IF(OR(B242="",D242="",E242&lt;=0,F242="",I242=""),"Check Required Fields",IF(AA242="Possible Duplicate","Possible Duplicate",IF(E242&gt;SETTINGS!$B$22,"Review Extreme Value","OK"))))</f>
        <v/>
      </c>
    </row>
    <row r="243" spans="1:33" ht="14.4">
      <c r="A243" s="9"/>
      <c r="B243" s="13"/>
      <c r="C243" s="9"/>
      <c r="D243" s="9"/>
      <c r="E243" s="11"/>
      <c r="F243" s="9"/>
      <c r="G243" s="9"/>
      <c r="H243" s="44" t="str">
        <f>IF(D243="","",IF(ISNUMBER(SEARCH(SETTINGS!$K$4,D243)),SETTINGS!$L$4,IF(ISNUMBER(SEARCH(SETTINGS!$K$5,D243)),SETTINGS!$L$5,IF(ISNUMBER(SEARCH(SETTINGS!$K$6,D243)),SETTINGS!$L$6,IF(ISNUMBER(SEARCH(SETTINGS!$K$7,D243)),SETTINGS!$L$7,IF(ISNUMBER(SEARCH(SETTINGS!$K$8,D243)),SETTINGS!$L$8,IF(ISNUMBER(SEARCH(SETTINGS!$K$9,D243)),SETTINGS!$L$9,IF(ISNUMBER(SEARCH(SETTINGS!$K$10,D243)),SETTINGS!$L$10,IF(ISNUMBER(SEARCH(SETTINGS!$K$11,D243)),SETTINGS!$L$11,IF(ISNUMBER(SEARCH(SETTINGS!$K$12,D243)),SETTINGS!$L$12,IF(ISNUMBER(SEARCH(SETTINGS!$K$13,D243)),SETTINGS!$L$13,IF(ISNUMBER(SEARCH(SETTINGS!$K$14,D243)),SETTINGS!$L$14,IF(ISNUMBER(SEARCH(SETTINGS!$K$15,D243)),SETTINGS!$L$15,IF(ISNUMBER(SEARCH(SETTINGS!$K$16,D243)),SETTINGS!$L$16,IF(ISNUMBER(SEARCH(SETTINGS!$K$17,D243)),SETTINGS!$L$17,IF(ISNUMBER(SEARCH(SETTINGS!$K$18,D243)),SETTINGS!$L$18,"Miscellaneous"))))))))))))))))</f>
        <v/>
      </c>
      <c r="I243" s="44" t="str">
        <f t="shared" si="24"/>
        <v/>
      </c>
      <c r="J243" s="9"/>
      <c r="K243" s="9"/>
      <c r="L243" s="9"/>
      <c r="M243" s="9"/>
      <c r="N243" s="9"/>
      <c r="O243" s="9"/>
      <c r="P243" s="13"/>
      <c r="Q243" s="9"/>
      <c r="R243" s="9"/>
      <c r="S243" s="9"/>
      <c r="T243" s="11"/>
      <c r="U243" s="44" t="str">
        <f t="shared" si="25"/>
        <v/>
      </c>
      <c r="V243" s="44" t="str">
        <f t="shared" si="26"/>
        <v/>
      </c>
      <c r="W243" s="44" t="str">
        <f t="shared" si="27"/>
        <v/>
      </c>
      <c r="X243" s="44" t="str">
        <f t="shared" si="28"/>
        <v/>
      </c>
      <c r="Y243" s="44" t="str">
        <f t="shared" si="29"/>
        <v/>
      </c>
      <c r="Z243" s="44" t="str">
        <f t="shared" si="30"/>
        <v/>
      </c>
      <c r="AA243" s="50" t="str">
        <f t="shared" si="31"/>
        <v/>
      </c>
      <c r="AB243" s="50" t="str">
        <f>IF(OR(B243="",C243&lt;&gt;"Expense"),"",IF(E243&gt;IFERROR(AVERAGEIFS($E$8:$E$1007,$I$8:$I$1007,I243,$C$8:$C$1007,"Expense")*SETTINGS!$B$20,0),"Unusually High","Normal"))</f>
        <v/>
      </c>
      <c r="AC243" s="51"/>
      <c r="AD243" s="51"/>
      <c r="AE243" s="51"/>
      <c r="AF243" s="50" t="str">
        <f>IF(A243&lt;&gt;"Yes","No",IF(AND(AC243="Yes",SETTINGS!$B$16="No"),"No","Yes"))</f>
        <v>No</v>
      </c>
      <c r="AG243" s="50" t="str">
        <f>IF(A243&lt;&gt;"Yes","",IF(OR(B243="",D243="",E243&lt;=0,F243="",I243=""),"Check Required Fields",IF(AA243="Possible Duplicate","Possible Duplicate",IF(E243&gt;SETTINGS!$B$22,"Review Extreme Value","OK"))))</f>
        <v/>
      </c>
    </row>
    <row r="244" spans="1:33" ht="14.4">
      <c r="A244" s="9"/>
      <c r="B244" s="13"/>
      <c r="C244" s="9"/>
      <c r="D244" s="9"/>
      <c r="E244" s="11"/>
      <c r="F244" s="9"/>
      <c r="G244" s="9"/>
      <c r="H244" s="44" t="str">
        <f>IF(D244="","",IF(ISNUMBER(SEARCH(SETTINGS!$K$4,D244)),SETTINGS!$L$4,IF(ISNUMBER(SEARCH(SETTINGS!$K$5,D244)),SETTINGS!$L$5,IF(ISNUMBER(SEARCH(SETTINGS!$K$6,D244)),SETTINGS!$L$6,IF(ISNUMBER(SEARCH(SETTINGS!$K$7,D244)),SETTINGS!$L$7,IF(ISNUMBER(SEARCH(SETTINGS!$K$8,D244)),SETTINGS!$L$8,IF(ISNUMBER(SEARCH(SETTINGS!$K$9,D244)),SETTINGS!$L$9,IF(ISNUMBER(SEARCH(SETTINGS!$K$10,D244)),SETTINGS!$L$10,IF(ISNUMBER(SEARCH(SETTINGS!$K$11,D244)),SETTINGS!$L$11,IF(ISNUMBER(SEARCH(SETTINGS!$K$12,D244)),SETTINGS!$L$12,IF(ISNUMBER(SEARCH(SETTINGS!$K$13,D244)),SETTINGS!$L$13,IF(ISNUMBER(SEARCH(SETTINGS!$K$14,D244)),SETTINGS!$L$14,IF(ISNUMBER(SEARCH(SETTINGS!$K$15,D244)),SETTINGS!$L$15,IF(ISNUMBER(SEARCH(SETTINGS!$K$16,D244)),SETTINGS!$L$16,IF(ISNUMBER(SEARCH(SETTINGS!$K$17,D244)),SETTINGS!$L$17,IF(ISNUMBER(SEARCH(SETTINGS!$K$18,D244)),SETTINGS!$L$18,"Miscellaneous"))))))))))))))))</f>
        <v/>
      </c>
      <c r="I244" s="44" t="str">
        <f t="shared" si="24"/>
        <v/>
      </c>
      <c r="J244" s="9"/>
      <c r="K244" s="9"/>
      <c r="L244" s="9"/>
      <c r="M244" s="9"/>
      <c r="N244" s="9"/>
      <c r="O244" s="9"/>
      <c r="P244" s="13"/>
      <c r="Q244" s="9"/>
      <c r="R244" s="9"/>
      <c r="S244" s="9"/>
      <c r="T244" s="11"/>
      <c r="U244" s="44" t="str">
        <f t="shared" si="25"/>
        <v/>
      </c>
      <c r="V244" s="44" t="str">
        <f t="shared" si="26"/>
        <v/>
      </c>
      <c r="W244" s="44" t="str">
        <f t="shared" si="27"/>
        <v/>
      </c>
      <c r="X244" s="44" t="str">
        <f t="shared" si="28"/>
        <v/>
      </c>
      <c r="Y244" s="44" t="str">
        <f t="shared" si="29"/>
        <v/>
      </c>
      <c r="Z244" s="44" t="str">
        <f t="shared" si="30"/>
        <v/>
      </c>
      <c r="AA244" s="50" t="str">
        <f t="shared" si="31"/>
        <v/>
      </c>
      <c r="AB244" s="50" t="str">
        <f>IF(OR(B244="",C244&lt;&gt;"Expense"),"",IF(E244&gt;IFERROR(AVERAGEIFS($E$8:$E$1007,$I$8:$I$1007,I244,$C$8:$C$1007,"Expense")*SETTINGS!$B$20,0),"Unusually High","Normal"))</f>
        <v/>
      </c>
      <c r="AC244" s="51"/>
      <c r="AD244" s="51"/>
      <c r="AE244" s="51"/>
      <c r="AF244" s="50" t="str">
        <f>IF(A244&lt;&gt;"Yes","No",IF(AND(AC244="Yes",SETTINGS!$B$16="No"),"No","Yes"))</f>
        <v>No</v>
      </c>
      <c r="AG244" s="50" t="str">
        <f>IF(A244&lt;&gt;"Yes","",IF(OR(B244="",D244="",E244&lt;=0,F244="",I244=""),"Check Required Fields",IF(AA244="Possible Duplicate","Possible Duplicate",IF(E244&gt;SETTINGS!$B$22,"Review Extreme Value","OK"))))</f>
        <v/>
      </c>
    </row>
    <row r="245" spans="1:33" ht="14.4">
      <c r="A245" s="9"/>
      <c r="B245" s="13"/>
      <c r="C245" s="9"/>
      <c r="D245" s="9"/>
      <c r="E245" s="11"/>
      <c r="F245" s="9"/>
      <c r="G245" s="9"/>
      <c r="H245" s="44" t="str">
        <f>IF(D245="","",IF(ISNUMBER(SEARCH(SETTINGS!$K$4,D245)),SETTINGS!$L$4,IF(ISNUMBER(SEARCH(SETTINGS!$K$5,D245)),SETTINGS!$L$5,IF(ISNUMBER(SEARCH(SETTINGS!$K$6,D245)),SETTINGS!$L$6,IF(ISNUMBER(SEARCH(SETTINGS!$K$7,D245)),SETTINGS!$L$7,IF(ISNUMBER(SEARCH(SETTINGS!$K$8,D245)),SETTINGS!$L$8,IF(ISNUMBER(SEARCH(SETTINGS!$K$9,D245)),SETTINGS!$L$9,IF(ISNUMBER(SEARCH(SETTINGS!$K$10,D245)),SETTINGS!$L$10,IF(ISNUMBER(SEARCH(SETTINGS!$K$11,D245)),SETTINGS!$L$11,IF(ISNUMBER(SEARCH(SETTINGS!$K$12,D245)),SETTINGS!$L$12,IF(ISNUMBER(SEARCH(SETTINGS!$K$13,D245)),SETTINGS!$L$13,IF(ISNUMBER(SEARCH(SETTINGS!$K$14,D245)),SETTINGS!$L$14,IF(ISNUMBER(SEARCH(SETTINGS!$K$15,D245)),SETTINGS!$L$15,IF(ISNUMBER(SEARCH(SETTINGS!$K$16,D245)),SETTINGS!$L$16,IF(ISNUMBER(SEARCH(SETTINGS!$K$17,D245)),SETTINGS!$L$17,IF(ISNUMBER(SEARCH(SETTINGS!$K$18,D245)),SETTINGS!$L$18,"Miscellaneous"))))))))))))))))</f>
        <v/>
      </c>
      <c r="I245" s="44" t="str">
        <f t="shared" si="24"/>
        <v/>
      </c>
      <c r="J245" s="9"/>
      <c r="K245" s="9"/>
      <c r="L245" s="9"/>
      <c r="M245" s="9"/>
      <c r="N245" s="9"/>
      <c r="O245" s="9"/>
      <c r="P245" s="13"/>
      <c r="Q245" s="9"/>
      <c r="R245" s="9"/>
      <c r="S245" s="9"/>
      <c r="T245" s="11"/>
      <c r="U245" s="44" t="str">
        <f t="shared" si="25"/>
        <v/>
      </c>
      <c r="V245" s="44" t="str">
        <f t="shared" si="26"/>
        <v/>
      </c>
      <c r="W245" s="44" t="str">
        <f t="shared" si="27"/>
        <v/>
      </c>
      <c r="X245" s="44" t="str">
        <f t="shared" si="28"/>
        <v/>
      </c>
      <c r="Y245" s="44" t="str">
        <f t="shared" si="29"/>
        <v/>
      </c>
      <c r="Z245" s="44" t="str">
        <f t="shared" si="30"/>
        <v/>
      </c>
      <c r="AA245" s="50" t="str">
        <f t="shared" si="31"/>
        <v/>
      </c>
      <c r="AB245" s="50" t="str">
        <f>IF(OR(B245="",C245&lt;&gt;"Expense"),"",IF(E245&gt;IFERROR(AVERAGEIFS($E$8:$E$1007,$I$8:$I$1007,I245,$C$8:$C$1007,"Expense")*SETTINGS!$B$20,0),"Unusually High","Normal"))</f>
        <v/>
      </c>
      <c r="AC245" s="51"/>
      <c r="AD245" s="51"/>
      <c r="AE245" s="51"/>
      <c r="AF245" s="50" t="str">
        <f>IF(A245&lt;&gt;"Yes","No",IF(AND(AC245="Yes",SETTINGS!$B$16="No"),"No","Yes"))</f>
        <v>No</v>
      </c>
      <c r="AG245" s="50" t="str">
        <f>IF(A245&lt;&gt;"Yes","",IF(OR(B245="",D245="",E245&lt;=0,F245="",I245=""),"Check Required Fields",IF(AA245="Possible Duplicate","Possible Duplicate",IF(E245&gt;SETTINGS!$B$22,"Review Extreme Value","OK"))))</f>
        <v/>
      </c>
    </row>
    <row r="246" spans="1:33" ht="14.4">
      <c r="A246" s="9"/>
      <c r="B246" s="13"/>
      <c r="C246" s="9"/>
      <c r="D246" s="9"/>
      <c r="E246" s="11"/>
      <c r="F246" s="9"/>
      <c r="G246" s="9"/>
      <c r="H246" s="44" t="str">
        <f>IF(D246="","",IF(ISNUMBER(SEARCH(SETTINGS!$K$4,D246)),SETTINGS!$L$4,IF(ISNUMBER(SEARCH(SETTINGS!$K$5,D246)),SETTINGS!$L$5,IF(ISNUMBER(SEARCH(SETTINGS!$K$6,D246)),SETTINGS!$L$6,IF(ISNUMBER(SEARCH(SETTINGS!$K$7,D246)),SETTINGS!$L$7,IF(ISNUMBER(SEARCH(SETTINGS!$K$8,D246)),SETTINGS!$L$8,IF(ISNUMBER(SEARCH(SETTINGS!$K$9,D246)),SETTINGS!$L$9,IF(ISNUMBER(SEARCH(SETTINGS!$K$10,D246)),SETTINGS!$L$10,IF(ISNUMBER(SEARCH(SETTINGS!$K$11,D246)),SETTINGS!$L$11,IF(ISNUMBER(SEARCH(SETTINGS!$K$12,D246)),SETTINGS!$L$12,IF(ISNUMBER(SEARCH(SETTINGS!$K$13,D246)),SETTINGS!$L$13,IF(ISNUMBER(SEARCH(SETTINGS!$K$14,D246)),SETTINGS!$L$14,IF(ISNUMBER(SEARCH(SETTINGS!$K$15,D246)),SETTINGS!$L$15,IF(ISNUMBER(SEARCH(SETTINGS!$K$16,D246)),SETTINGS!$L$16,IF(ISNUMBER(SEARCH(SETTINGS!$K$17,D246)),SETTINGS!$L$17,IF(ISNUMBER(SEARCH(SETTINGS!$K$18,D246)),SETTINGS!$L$18,"Miscellaneous"))))))))))))))))</f>
        <v/>
      </c>
      <c r="I246" s="44" t="str">
        <f t="shared" si="24"/>
        <v/>
      </c>
      <c r="J246" s="9"/>
      <c r="K246" s="9"/>
      <c r="L246" s="9"/>
      <c r="M246" s="9"/>
      <c r="N246" s="9"/>
      <c r="O246" s="9"/>
      <c r="P246" s="13"/>
      <c r="Q246" s="9"/>
      <c r="R246" s="9"/>
      <c r="S246" s="9"/>
      <c r="T246" s="11"/>
      <c r="U246" s="44" t="str">
        <f t="shared" si="25"/>
        <v/>
      </c>
      <c r="V246" s="44" t="str">
        <f t="shared" si="26"/>
        <v/>
      </c>
      <c r="W246" s="44" t="str">
        <f t="shared" si="27"/>
        <v/>
      </c>
      <c r="X246" s="44" t="str">
        <f t="shared" si="28"/>
        <v/>
      </c>
      <c r="Y246" s="44" t="str">
        <f t="shared" si="29"/>
        <v/>
      </c>
      <c r="Z246" s="44" t="str">
        <f t="shared" si="30"/>
        <v/>
      </c>
      <c r="AA246" s="50" t="str">
        <f t="shared" si="31"/>
        <v/>
      </c>
      <c r="AB246" s="50" t="str">
        <f>IF(OR(B246="",C246&lt;&gt;"Expense"),"",IF(E246&gt;IFERROR(AVERAGEIFS($E$8:$E$1007,$I$8:$I$1007,I246,$C$8:$C$1007,"Expense")*SETTINGS!$B$20,0),"Unusually High","Normal"))</f>
        <v/>
      </c>
      <c r="AC246" s="51"/>
      <c r="AD246" s="51"/>
      <c r="AE246" s="51"/>
      <c r="AF246" s="50" t="str">
        <f>IF(A246&lt;&gt;"Yes","No",IF(AND(AC246="Yes",SETTINGS!$B$16="No"),"No","Yes"))</f>
        <v>No</v>
      </c>
      <c r="AG246" s="50" t="str">
        <f>IF(A246&lt;&gt;"Yes","",IF(OR(B246="",D246="",E246&lt;=0,F246="",I246=""),"Check Required Fields",IF(AA246="Possible Duplicate","Possible Duplicate",IF(E246&gt;SETTINGS!$B$22,"Review Extreme Value","OK"))))</f>
        <v/>
      </c>
    </row>
    <row r="247" spans="1:33" ht="14.4">
      <c r="A247" s="9"/>
      <c r="B247" s="13"/>
      <c r="C247" s="9"/>
      <c r="D247" s="9"/>
      <c r="E247" s="11"/>
      <c r="F247" s="9"/>
      <c r="G247" s="9"/>
      <c r="H247" s="44" t="str">
        <f>IF(D247="","",IF(ISNUMBER(SEARCH(SETTINGS!$K$4,D247)),SETTINGS!$L$4,IF(ISNUMBER(SEARCH(SETTINGS!$K$5,D247)),SETTINGS!$L$5,IF(ISNUMBER(SEARCH(SETTINGS!$K$6,D247)),SETTINGS!$L$6,IF(ISNUMBER(SEARCH(SETTINGS!$K$7,D247)),SETTINGS!$L$7,IF(ISNUMBER(SEARCH(SETTINGS!$K$8,D247)),SETTINGS!$L$8,IF(ISNUMBER(SEARCH(SETTINGS!$K$9,D247)),SETTINGS!$L$9,IF(ISNUMBER(SEARCH(SETTINGS!$K$10,D247)),SETTINGS!$L$10,IF(ISNUMBER(SEARCH(SETTINGS!$K$11,D247)),SETTINGS!$L$11,IF(ISNUMBER(SEARCH(SETTINGS!$K$12,D247)),SETTINGS!$L$12,IF(ISNUMBER(SEARCH(SETTINGS!$K$13,D247)),SETTINGS!$L$13,IF(ISNUMBER(SEARCH(SETTINGS!$K$14,D247)),SETTINGS!$L$14,IF(ISNUMBER(SEARCH(SETTINGS!$K$15,D247)),SETTINGS!$L$15,IF(ISNUMBER(SEARCH(SETTINGS!$K$16,D247)),SETTINGS!$L$16,IF(ISNUMBER(SEARCH(SETTINGS!$K$17,D247)),SETTINGS!$L$17,IF(ISNUMBER(SEARCH(SETTINGS!$K$18,D247)),SETTINGS!$L$18,"Miscellaneous"))))))))))))))))</f>
        <v/>
      </c>
      <c r="I247" s="44" t="str">
        <f t="shared" si="24"/>
        <v/>
      </c>
      <c r="J247" s="9"/>
      <c r="K247" s="9"/>
      <c r="L247" s="9"/>
      <c r="M247" s="9"/>
      <c r="N247" s="9"/>
      <c r="O247" s="9"/>
      <c r="P247" s="13"/>
      <c r="Q247" s="9"/>
      <c r="R247" s="9"/>
      <c r="S247" s="9"/>
      <c r="T247" s="11"/>
      <c r="U247" s="44" t="str">
        <f t="shared" si="25"/>
        <v/>
      </c>
      <c r="V247" s="44" t="str">
        <f t="shared" si="26"/>
        <v/>
      </c>
      <c r="W247" s="44" t="str">
        <f t="shared" si="27"/>
        <v/>
      </c>
      <c r="X247" s="44" t="str">
        <f t="shared" si="28"/>
        <v/>
      </c>
      <c r="Y247" s="44" t="str">
        <f t="shared" si="29"/>
        <v/>
      </c>
      <c r="Z247" s="44" t="str">
        <f t="shared" si="30"/>
        <v/>
      </c>
      <c r="AA247" s="50" t="str">
        <f t="shared" si="31"/>
        <v/>
      </c>
      <c r="AB247" s="50" t="str">
        <f>IF(OR(B247="",C247&lt;&gt;"Expense"),"",IF(E247&gt;IFERROR(AVERAGEIFS($E$8:$E$1007,$I$8:$I$1007,I247,$C$8:$C$1007,"Expense")*SETTINGS!$B$20,0),"Unusually High","Normal"))</f>
        <v/>
      </c>
      <c r="AC247" s="51"/>
      <c r="AD247" s="51"/>
      <c r="AE247" s="51"/>
      <c r="AF247" s="50" t="str">
        <f>IF(A247&lt;&gt;"Yes","No",IF(AND(AC247="Yes",SETTINGS!$B$16="No"),"No","Yes"))</f>
        <v>No</v>
      </c>
      <c r="AG247" s="50" t="str">
        <f>IF(A247&lt;&gt;"Yes","",IF(OR(B247="",D247="",E247&lt;=0,F247="",I247=""),"Check Required Fields",IF(AA247="Possible Duplicate","Possible Duplicate",IF(E247&gt;SETTINGS!$B$22,"Review Extreme Value","OK"))))</f>
        <v/>
      </c>
    </row>
    <row r="248" spans="1:33" ht="14.4">
      <c r="A248" s="9"/>
      <c r="B248" s="13"/>
      <c r="C248" s="9"/>
      <c r="D248" s="9"/>
      <c r="E248" s="11"/>
      <c r="F248" s="9"/>
      <c r="G248" s="9"/>
      <c r="H248" s="44" t="str">
        <f>IF(D248="","",IF(ISNUMBER(SEARCH(SETTINGS!$K$4,D248)),SETTINGS!$L$4,IF(ISNUMBER(SEARCH(SETTINGS!$K$5,D248)),SETTINGS!$L$5,IF(ISNUMBER(SEARCH(SETTINGS!$K$6,D248)),SETTINGS!$L$6,IF(ISNUMBER(SEARCH(SETTINGS!$K$7,D248)),SETTINGS!$L$7,IF(ISNUMBER(SEARCH(SETTINGS!$K$8,D248)),SETTINGS!$L$8,IF(ISNUMBER(SEARCH(SETTINGS!$K$9,D248)),SETTINGS!$L$9,IF(ISNUMBER(SEARCH(SETTINGS!$K$10,D248)),SETTINGS!$L$10,IF(ISNUMBER(SEARCH(SETTINGS!$K$11,D248)),SETTINGS!$L$11,IF(ISNUMBER(SEARCH(SETTINGS!$K$12,D248)),SETTINGS!$L$12,IF(ISNUMBER(SEARCH(SETTINGS!$K$13,D248)),SETTINGS!$L$13,IF(ISNUMBER(SEARCH(SETTINGS!$K$14,D248)),SETTINGS!$L$14,IF(ISNUMBER(SEARCH(SETTINGS!$K$15,D248)),SETTINGS!$L$15,IF(ISNUMBER(SEARCH(SETTINGS!$K$16,D248)),SETTINGS!$L$16,IF(ISNUMBER(SEARCH(SETTINGS!$K$17,D248)),SETTINGS!$L$17,IF(ISNUMBER(SEARCH(SETTINGS!$K$18,D248)),SETTINGS!$L$18,"Miscellaneous"))))))))))))))))</f>
        <v/>
      </c>
      <c r="I248" s="44" t="str">
        <f t="shared" si="24"/>
        <v/>
      </c>
      <c r="J248" s="9"/>
      <c r="K248" s="9"/>
      <c r="L248" s="9"/>
      <c r="M248" s="9"/>
      <c r="N248" s="9"/>
      <c r="O248" s="9"/>
      <c r="P248" s="13"/>
      <c r="Q248" s="9"/>
      <c r="R248" s="9"/>
      <c r="S248" s="9"/>
      <c r="T248" s="11"/>
      <c r="U248" s="44" t="str">
        <f t="shared" si="25"/>
        <v/>
      </c>
      <c r="V248" s="44" t="str">
        <f t="shared" si="26"/>
        <v/>
      </c>
      <c r="W248" s="44" t="str">
        <f t="shared" si="27"/>
        <v/>
      </c>
      <c r="X248" s="44" t="str">
        <f t="shared" si="28"/>
        <v/>
      </c>
      <c r="Y248" s="44" t="str">
        <f t="shared" si="29"/>
        <v/>
      </c>
      <c r="Z248" s="44" t="str">
        <f t="shared" si="30"/>
        <v/>
      </c>
      <c r="AA248" s="50" t="str">
        <f t="shared" si="31"/>
        <v/>
      </c>
      <c r="AB248" s="50" t="str">
        <f>IF(OR(B248="",C248&lt;&gt;"Expense"),"",IF(E248&gt;IFERROR(AVERAGEIFS($E$8:$E$1007,$I$8:$I$1007,I248,$C$8:$C$1007,"Expense")*SETTINGS!$B$20,0),"Unusually High","Normal"))</f>
        <v/>
      </c>
      <c r="AC248" s="51"/>
      <c r="AD248" s="51"/>
      <c r="AE248" s="51"/>
      <c r="AF248" s="50" t="str">
        <f>IF(A248&lt;&gt;"Yes","No",IF(AND(AC248="Yes",SETTINGS!$B$16="No"),"No","Yes"))</f>
        <v>No</v>
      </c>
      <c r="AG248" s="50" t="str">
        <f>IF(A248&lt;&gt;"Yes","",IF(OR(B248="",D248="",E248&lt;=0,F248="",I248=""),"Check Required Fields",IF(AA248="Possible Duplicate","Possible Duplicate",IF(E248&gt;SETTINGS!$B$22,"Review Extreme Value","OK"))))</f>
        <v/>
      </c>
    </row>
    <row r="249" spans="1:33" ht="14.4">
      <c r="A249" s="9"/>
      <c r="B249" s="13"/>
      <c r="C249" s="9"/>
      <c r="D249" s="9"/>
      <c r="E249" s="11"/>
      <c r="F249" s="9"/>
      <c r="G249" s="9"/>
      <c r="H249" s="44" t="str">
        <f>IF(D249="","",IF(ISNUMBER(SEARCH(SETTINGS!$K$4,D249)),SETTINGS!$L$4,IF(ISNUMBER(SEARCH(SETTINGS!$K$5,D249)),SETTINGS!$L$5,IF(ISNUMBER(SEARCH(SETTINGS!$K$6,D249)),SETTINGS!$L$6,IF(ISNUMBER(SEARCH(SETTINGS!$K$7,D249)),SETTINGS!$L$7,IF(ISNUMBER(SEARCH(SETTINGS!$K$8,D249)),SETTINGS!$L$8,IF(ISNUMBER(SEARCH(SETTINGS!$K$9,D249)),SETTINGS!$L$9,IF(ISNUMBER(SEARCH(SETTINGS!$K$10,D249)),SETTINGS!$L$10,IF(ISNUMBER(SEARCH(SETTINGS!$K$11,D249)),SETTINGS!$L$11,IF(ISNUMBER(SEARCH(SETTINGS!$K$12,D249)),SETTINGS!$L$12,IF(ISNUMBER(SEARCH(SETTINGS!$K$13,D249)),SETTINGS!$L$13,IF(ISNUMBER(SEARCH(SETTINGS!$K$14,D249)),SETTINGS!$L$14,IF(ISNUMBER(SEARCH(SETTINGS!$K$15,D249)),SETTINGS!$L$15,IF(ISNUMBER(SEARCH(SETTINGS!$K$16,D249)),SETTINGS!$L$16,IF(ISNUMBER(SEARCH(SETTINGS!$K$17,D249)),SETTINGS!$L$17,IF(ISNUMBER(SEARCH(SETTINGS!$K$18,D249)),SETTINGS!$L$18,"Miscellaneous"))))))))))))))))</f>
        <v/>
      </c>
      <c r="I249" s="44" t="str">
        <f t="shared" si="24"/>
        <v/>
      </c>
      <c r="J249" s="9"/>
      <c r="K249" s="9"/>
      <c r="L249" s="9"/>
      <c r="M249" s="9"/>
      <c r="N249" s="9"/>
      <c r="O249" s="9"/>
      <c r="P249" s="13"/>
      <c r="Q249" s="9"/>
      <c r="R249" s="9"/>
      <c r="S249" s="9"/>
      <c r="T249" s="11"/>
      <c r="U249" s="44" t="str">
        <f t="shared" si="25"/>
        <v/>
      </c>
      <c r="V249" s="44" t="str">
        <f t="shared" si="26"/>
        <v/>
      </c>
      <c r="W249" s="44" t="str">
        <f t="shared" si="27"/>
        <v/>
      </c>
      <c r="X249" s="44" t="str">
        <f t="shared" si="28"/>
        <v/>
      </c>
      <c r="Y249" s="44" t="str">
        <f t="shared" si="29"/>
        <v/>
      </c>
      <c r="Z249" s="44" t="str">
        <f t="shared" si="30"/>
        <v/>
      </c>
      <c r="AA249" s="50" t="str">
        <f t="shared" si="31"/>
        <v/>
      </c>
      <c r="AB249" s="50" t="str">
        <f>IF(OR(B249="",C249&lt;&gt;"Expense"),"",IF(E249&gt;IFERROR(AVERAGEIFS($E$8:$E$1007,$I$8:$I$1007,I249,$C$8:$C$1007,"Expense")*SETTINGS!$B$20,0),"Unusually High","Normal"))</f>
        <v/>
      </c>
      <c r="AC249" s="51"/>
      <c r="AD249" s="51"/>
      <c r="AE249" s="51"/>
      <c r="AF249" s="50" t="str">
        <f>IF(A249&lt;&gt;"Yes","No",IF(AND(AC249="Yes",SETTINGS!$B$16="No"),"No","Yes"))</f>
        <v>No</v>
      </c>
      <c r="AG249" s="50" t="str">
        <f>IF(A249&lt;&gt;"Yes","",IF(OR(B249="",D249="",E249&lt;=0,F249="",I249=""),"Check Required Fields",IF(AA249="Possible Duplicate","Possible Duplicate",IF(E249&gt;SETTINGS!$B$22,"Review Extreme Value","OK"))))</f>
        <v/>
      </c>
    </row>
    <row r="250" spans="1:33" ht="14.4">
      <c r="A250" s="9"/>
      <c r="B250" s="13"/>
      <c r="C250" s="9"/>
      <c r="D250" s="9"/>
      <c r="E250" s="11"/>
      <c r="F250" s="9"/>
      <c r="G250" s="9"/>
      <c r="H250" s="44" t="str">
        <f>IF(D250="","",IF(ISNUMBER(SEARCH(SETTINGS!$K$4,D250)),SETTINGS!$L$4,IF(ISNUMBER(SEARCH(SETTINGS!$K$5,D250)),SETTINGS!$L$5,IF(ISNUMBER(SEARCH(SETTINGS!$K$6,D250)),SETTINGS!$L$6,IF(ISNUMBER(SEARCH(SETTINGS!$K$7,D250)),SETTINGS!$L$7,IF(ISNUMBER(SEARCH(SETTINGS!$K$8,D250)),SETTINGS!$L$8,IF(ISNUMBER(SEARCH(SETTINGS!$K$9,D250)),SETTINGS!$L$9,IF(ISNUMBER(SEARCH(SETTINGS!$K$10,D250)),SETTINGS!$L$10,IF(ISNUMBER(SEARCH(SETTINGS!$K$11,D250)),SETTINGS!$L$11,IF(ISNUMBER(SEARCH(SETTINGS!$K$12,D250)),SETTINGS!$L$12,IF(ISNUMBER(SEARCH(SETTINGS!$K$13,D250)),SETTINGS!$L$13,IF(ISNUMBER(SEARCH(SETTINGS!$K$14,D250)),SETTINGS!$L$14,IF(ISNUMBER(SEARCH(SETTINGS!$K$15,D250)),SETTINGS!$L$15,IF(ISNUMBER(SEARCH(SETTINGS!$K$16,D250)),SETTINGS!$L$16,IF(ISNUMBER(SEARCH(SETTINGS!$K$17,D250)),SETTINGS!$L$17,IF(ISNUMBER(SEARCH(SETTINGS!$K$18,D250)),SETTINGS!$L$18,"Miscellaneous"))))))))))))))))</f>
        <v/>
      </c>
      <c r="I250" s="44" t="str">
        <f t="shared" si="24"/>
        <v/>
      </c>
      <c r="J250" s="9"/>
      <c r="K250" s="9"/>
      <c r="L250" s="9"/>
      <c r="M250" s="9"/>
      <c r="N250" s="9"/>
      <c r="O250" s="9"/>
      <c r="P250" s="13"/>
      <c r="Q250" s="9"/>
      <c r="R250" s="9"/>
      <c r="S250" s="9"/>
      <c r="T250" s="11"/>
      <c r="U250" s="44" t="str">
        <f t="shared" si="25"/>
        <v/>
      </c>
      <c r="V250" s="44" t="str">
        <f t="shared" si="26"/>
        <v/>
      </c>
      <c r="W250" s="44" t="str">
        <f t="shared" si="27"/>
        <v/>
      </c>
      <c r="X250" s="44" t="str">
        <f t="shared" si="28"/>
        <v/>
      </c>
      <c r="Y250" s="44" t="str">
        <f t="shared" si="29"/>
        <v/>
      </c>
      <c r="Z250" s="44" t="str">
        <f t="shared" si="30"/>
        <v/>
      </c>
      <c r="AA250" s="50" t="str">
        <f t="shared" si="31"/>
        <v/>
      </c>
      <c r="AB250" s="50" t="str">
        <f>IF(OR(B250="",C250&lt;&gt;"Expense"),"",IF(E250&gt;IFERROR(AVERAGEIFS($E$8:$E$1007,$I$8:$I$1007,I250,$C$8:$C$1007,"Expense")*SETTINGS!$B$20,0),"Unusually High","Normal"))</f>
        <v/>
      </c>
      <c r="AC250" s="51"/>
      <c r="AD250" s="51"/>
      <c r="AE250" s="51"/>
      <c r="AF250" s="50" t="str">
        <f>IF(A250&lt;&gt;"Yes","No",IF(AND(AC250="Yes",SETTINGS!$B$16="No"),"No","Yes"))</f>
        <v>No</v>
      </c>
      <c r="AG250" s="50" t="str">
        <f>IF(A250&lt;&gt;"Yes","",IF(OR(B250="",D250="",E250&lt;=0,F250="",I250=""),"Check Required Fields",IF(AA250="Possible Duplicate","Possible Duplicate",IF(E250&gt;SETTINGS!$B$22,"Review Extreme Value","OK"))))</f>
        <v/>
      </c>
    </row>
    <row r="251" spans="1:33" ht="14.4">
      <c r="A251" s="9"/>
      <c r="B251" s="13"/>
      <c r="C251" s="9"/>
      <c r="D251" s="9"/>
      <c r="E251" s="11"/>
      <c r="F251" s="9"/>
      <c r="G251" s="9"/>
      <c r="H251" s="44" t="str">
        <f>IF(D251="","",IF(ISNUMBER(SEARCH(SETTINGS!$K$4,D251)),SETTINGS!$L$4,IF(ISNUMBER(SEARCH(SETTINGS!$K$5,D251)),SETTINGS!$L$5,IF(ISNUMBER(SEARCH(SETTINGS!$K$6,D251)),SETTINGS!$L$6,IF(ISNUMBER(SEARCH(SETTINGS!$K$7,D251)),SETTINGS!$L$7,IF(ISNUMBER(SEARCH(SETTINGS!$K$8,D251)),SETTINGS!$L$8,IF(ISNUMBER(SEARCH(SETTINGS!$K$9,D251)),SETTINGS!$L$9,IF(ISNUMBER(SEARCH(SETTINGS!$K$10,D251)),SETTINGS!$L$10,IF(ISNUMBER(SEARCH(SETTINGS!$K$11,D251)),SETTINGS!$L$11,IF(ISNUMBER(SEARCH(SETTINGS!$K$12,D251)),SETTINGS!$L$12,IF(ISNUMBER(SEARCH(SETTINGS!$K$13,D251)),SETTINGS!$L$13,IF(ISNUMBER(SEARCH(SETTINGS!$K$14,D251)),SETTINGS!$L$14,IF(ISNUMBER(SEARCH(SETTINGS!$K$15,D251)),SETTINGS!$L$15,IF(ISNUMBER(SEARCH(SETTINGS!$K$16,D251)),SETTINGS!$L$16,IF(ISNUMBER(SEARCH(SETTINGS!$K$17,D251)),SETTINGS!$L$17,IF(ISNUMBER(SEARCH(SETTINGS!$K$18,D251)),SETTINGS!$L$18,"Miscellaneous"))))))))))))))))</f>
        <v/>
      </c>
      <c r="I251" s="44" t="str">
        <f t="shared" si="24"/>
        <v/>
      </c>
      <c r="J251" s="9"/>
      <c r="K251" s="9"/>
      <c r="L251" s="9"/>
      <c r="M251" s="9"/>
      <c r="N251" s="9"/>
      <c r="O251" s="9"/>
      <c r="P251" s="13"/>
      <c r="Q251" s="9"/>
      <c r="R251" s="9"/>
      <c r="S251" s="9"/>
      <c r="T251" s="11"/>
      <c r="U251" s="44" t="str">
        <f t="shared" si="25"/>
        <v/>
      </c>
      <c r="V251" s="44" t="str">
        <f t="shared" si="26"/>
        <v/>
      </c>
      <c r="W251" s="44" t="str">
        <f t="shared" si="27"/>
        <v/>
      </c>
      <c r="X251" s="44" t="str">
        <f t="shared" si="28"/>
        <v/>
      </c>
      <c r="Y251" s="44" t="str">
        <f t="shared" si="29"/>
        <v/>
      </c>
      <c r="Z251" s="44" t="str">
        <f t="shared" si="30"/>
        <v/>
      </c>
      <c r="AA251" s="50" t="str">
        <f t="shared" si="31"/>
        <v/>
      </c>
      <c r="AB251" s="50" t="str">
        <f>IF(OR(B251="",C251&lt;&gt;"Expense"),"",IF(E251&gt;IFERROR(AVERAGEIFS($E$8:$E$1007,$I$8:$I$1007,I251,$C$8:$C$1007,"Expense")*SETTINGS!$B$20,0),"Unusually High","Normal"))</f>
        <v/>
      </c>
      <c r="AC251" s="51"/>
      <c r="AD251" s="51"/>
      <c r="AE251" s="51"/>
      <c r="AF251" s="50" t="str">
        <f>IF(A251&lt;&gt;"Yes","No",IF(AND(AC251="Yes",SETTINGS!$B$16="No"),"No","Yes"))</f>
        <v>No</v>
      </c>
      <c r="AG251" s="50" t="str">
        <f>IF(A251&lt;&gt;"Yes","",IF(OR(B251="",D251="",E251&lt;=0,F251="",I251=""),"Check Required Fields",IF(AA251="Possible Duplicate","Possible Duplicate",IF(E251&gt;SETTINGS!$B$22,"Review Extreme Value","OK"))))</f>
        <v/>
      </c>
    </row>
    <row r="252" spans="1:33" ht="14.4">
      <c r="A252" s="9"/>
      <c r="B252" s="13"/>
      <c r="C252" s="9"/>
      <c r="D252" s="9"/>
      <c r="E252" s="11"/>
      <c r="F252" s="9"/>
      <c r="G252" s="9"/>
      <c r="H252" s="44" t="str">
        <f>IF(D252="","",IF(ISNUMBER(SEARCH(SETTINGS!$K$4,D252)),SETTINGS!$L$4,IF(ISNUMBER(SEARCH(SETTINGS!$K$5,D252)),SETTINGS!$L$5,IF(ISNUMBER(SEARCH(SETTINGS!$K$6,D252)),SETTINGS!$L$6,IF(ISNUMBER(SEARCH(SETTINGS!$K$7,D252)),SETTINGS!$L$7,IF(ISNUMBER(SEARCH(SETTINGS!$K$8,D252)),SETTINGS!$L$8,IF(ISNUMBER(SEARCH(SETTINGS!$K$9,D252)),SETTINGS!$L$9,IF(ISNUMBER(SEARCH(SETTINGS!$K$10,D252)),SETTINGS!$L$10,IF(ISNUMBER(SEARCH(SETTINGS!$K$11,D252)),SETTINGS!$L$11,IF(ISNUMBER(SEARCH(SETTINGS!$K$12,D252)),SETTINGS!$L$12,IF(ISNUMBER(SEARCH(SETTINGS!$K$13,D252)),SETTINGS!$L$13,IF(ISNUMBER(SEARCH(SETTINGS!$K$14,D252)),SETTINGS!$L$14,IF(ISNUMBER(SEARCH(SETTINGS!$K$15,D252)),SETTINGS!$L$15,IF(ISNUMBER(SEARCH(SETTINGS!$K$16,D252)),SETTINGS!$L$16,IF(ISNUMBER(SEARCH(SETTINGS!$K$17,D252)),SETTINGS!$L$17,IF(ISNUMBER(SEARCH(SETTINGS!$K$18,D252)),SETTINGS!$L$18,"Miscellaneous"))))))))))))))))</f>
        <v/>
      </c>
      <c r="I252" s="44" t="str">
        <f t="shared" si="24"/>
        <v/>
      </c>
      <c r="J252" s="9"/>
      <c r="K252" s="9"/>
      <c r="L252" s="9"/>
      <c r="M252" s="9"/>
      <c r="N252" s="9"/>
      <c r="O252" s="9"/>
      <c r="P252" s="13"/>
      <c r="Q252" s="9"/>
      <c r="R252" s="9"/>
      <c r="S252" s="9"/>
      <c r="T252" s="11"/>
      <c r="U252" s="44" t="str">
        <f t="shared" si="25"/>
        <v/>
      </c>
      <c r="V252" s="44" t="str">
        <f t="shared" si="26"/>
        <v/>
      </c>
      <c r="W252" s="44" t="str">
        <f t="shared" si="27"/>
        <v/>
      </c>
      <c r="X252" s="44" t="str">
        <f t="shared" si="28"/>
        <v/>
      </c>
      <c r="Y252" s="44" t="str">
        <f t="shared" si="29"/>
        <v/>
      </c>
      <c r="Z252" s="44" t="str">
        <f t="shared" si="30"/>
        <v/>
      </c>
      <c r="AA252" s="50" t="str">
        <f t="shared" si="31"/>
        <v/>
      </c>
      <c r="AB252" s="50" t="str">
        <f>IF(OR(B252="",C252&lt;&gt;"Expense"),"",IF(E252&gt;IFERROR(AVERAGEIFS($E$8:$E$1007,$I$8:$I$1007,I252,$C$8:$C$1007,"Expense")*SETTINGS!$B$20,0),"Unusually High","Normal"))</f>
        <v/>
      </c>
      <c r="AC252" s="51"/>
      <c r="AD252" s="51"/>
      <c r="AE252" s="51"/>
      <c r="AF252" s="50" t="str">
        <f>IF(A252&lt;&gt;"Yes","No",IF(AND(AC252="Yes",SETTINGS!$B$16="No"),"No","Yes"))</f>
        <v>No</v>
      </c>
      <c r="AG252" s="50" t="str">
        <f>IF(A252&lt;&gt;"Yes","",IF(OR(B252="",D252="",E252&lt;=0,F252="",I252=""),"Check Required Fields",IF(AA252="Possible Duplicate","Possible Duplicate",IF(E252&gt;SETTINGS!$B$22,"Review Extreme Value","OK"))))</f>
        <v/>
      </c>
    </row>
    <row r="253" spans="1:33" ht="14.4">
      <c r="A253" s="9"/>
      <c r="B253" s="13"/>
      <c r="C253" s="9"/>
      <c r="D253" s="9"/>
      <c r="E253" s="11"/>
      <c r="F253" s="9"/>
      <c r="G253" s="9"/>
      <c r="H253" s="44" t="str">
        <f>IF(D253="","",IF(ISNUMBER(SEARCH(SETTINGS!$K$4,D253)),SETTINGS!$L$4,IF(ISNUMBER(SEARCH(SETTINGS!$K$5,D253)),SETTINGS!$L$5,IF(ISNUMBER(SEARCH(SETTINGS!$K$6,D253)),SETTINGS!$L$6,IF(ISNUMBER(SEARCH(SETTINGS!$K$7,D253)),SETTINGS!$L$7,IF(ISNUMBER(SEARCH(SETTINGS!$K$8,D253)),SETTINGS!$L$8,IF(ISNUMBER(SEARCH(SETTINGS!$K$9,D253)),SETTINGS!$L$9,IF(ISNUMBER(SEARCH(SETTINGS!$K$10,D253)),SETTINGS!$L$10,IF(ISNUMBER(SEARCH(SETTINGS!$K$11,D253)),SETTINGS!$L$11,IF(ISNUMBER(SEARCH(SETTINGS!$K$12,D253)),SETTINGS!$L$12,IF(ISNUMBER(SEARCH(SETTINGS!$K$13,D253)),SETTINGS!$L$13,IF(ISNUMBER(SEARCH(SETTINGS!$K$14,D253)),SETTINGS!$L$14,IF(ISNUMBER(SEARCH(SETTINGS!$K$15,D253)),SETTINGS!$L$15,IF(ISNUMBER(SEARCH(SETTINGS!$K$16,D253)),SETTINGS!$L$16,IF(ISNUMBER(SEARCH(SETTINGS!$K$17,D253)),SETTINGS!$L$17,IF(ISNUMBER(SEARCH(SETTINGS!$K$18,D253)),SETTINGS!$L$18,"Miscellaneous"))))))))))))))))</f>
        <v/>
      </c>
      <c r="I253" s="44" t="str">
        <f t="shared" si="24"/>
        <v/>
      </c>
      <c r="J253" s="9"/>
      <c r="K253" s="9"/>
      <c r="L253" s="9"/>
      <c r="M253" s="9"/>
      <c r="N253" s="9"/>
      <c r="O253" s="9"/>
      <c r="P253" s="13"/>
      <c r="Q253" s="9"/>
      <c r="R253" s="9"/>
      <c r="S253" s="9"/>
      <c r="T253" s="11"/>
      <c r="U253" s="44" t="str">
        <f t="shared" si="25"/>
        <v/>
      </c>
      <c r="V253" s="44" t="str">
        <f t="shared" si="26"/>
        <v/>
      </c>
      <c r="W253" s="44" t="str">
        <f t="shared" si="27"/>
        <v/>
      </c>
      <c r="X253" s="44" t="str">
        <f t="shared" si="28"/>
        <v/>
      </c>
      <c r="Y253" s="44" t="str">
        <f t="shared" si="29"/>
        <v/>
      </c>
      <c r="Z253" s="44" t="str">
        <f t="shared" si="30"/>
        <v/>
      </c>
      <c r="AA253" s="50" t="str">
        <f t="shared" si="31"/>
        <v/>
      </c>
      <c r="AB253" s="50" t="str">
        <f>IF(OR(B253="",C253&lt;&gt;"Expense"),"",IF(E253&gt;IFERROR(AVERAGEIFS($E$8:$E$1007,$I$8:$I$1007,I253,$C$8:$C$1007,"Expense")*SETTINGS!$B$20,0),"Unusually High","Normal"))</f>
        <v/>
      </c>
      <c r="AC253" s="51"/>
      <c r="AD253" s="51"/>
      <c r="AE253" s="51"/>
      <c r="AF253" s="50" t="str">
        <f>IF(A253&lt;&gt;"Yes","No",IF(AND(AC253="Yes",SETTINGS!$B$16="No"),"No","Yes"))</f>
        <v>No</v>
      </c>
      <c r="AG253" s="50" t="str">
        <f>IF(A253&lt;&gt;"Yes","",IF(OR(B253="",D253="",E253&lt;=0,F253="",I253=""),"Check Required Fields",IF(AA253="Possible Duplicate","Possible Duplicate",IF(E253&gt;SETTINGS!$B$22,"Review Extreme Value","OK"))))</f>
        <v/>
      </c>
    </row>
    <row r="254" spans="1:33" ht="14.4">
      <c r="A254" s="9"/>
      <c r="B254" s="13"/>
      <c r="C254" s="9"/>
      <c r="D254" s="9"/>
      <c r="E254" s="11"/>
      <c r="F254" s="9"/>
      <c r="G254" s="9"/>
      <c r="H254" s="44" t="str">
        <f>IF(D254="","",IF(ISNUMBER(SEARCH(SETTINGS!$K$4,D254)),SETTINGS!$L$4,IF(ISNUMBER(SEARCH(SETTINGS!$K$5,D254)),SETTINGS!$L$5,IF(ISNUMBER(SEARCH(SETTINGS!$K$6,D254)),SETTINGS!$L$6,IF(ISNUMBER(SEARCH(SETTINGS!$K$7,D254)),SETTINGS!$L$7,IF(ISNUMBER(SEARCH(SETTINGS!$K$8,D254)),SETTINGS!$L$8,IF(ISNUMBER(SEARCH(SETTINGS!$K$9,D254)),SETTINGS!$L$9,IF(ISNUMBER(SEARCH(SETTINGS!$K$10,D254)),SETTINGS!$L$10,IF(ISNUMBER(SEARCH(SETTINGS!$K$11,D254)),SETTINGS!$L$11,IF(ISNUMBER(SEARCH(SETTINGS!$K$12,D254)),SETTINGS!$L$12,IF(ISNUMBER(SEARCH(SETTINGS!$K$13,D254)),SETTINGS!$L$13,IF(ISNUMBER(SEARCH(SETTINGS!$K$14,D254)),SETTINGS!$L$14,IF(ISNUMBER(SEARCH(SETTINGS!$K$15,D254)),SETTINGS!$L$15,IF(ISNUMBER(SEARCH(SETTINGS!$K$16,D254)),SETTINGS!$L$16,IF(ISNUMBER(SEARCH(SETTINGS!$K$17,D254)),SETTINGS!$L$17,IF(ISNUMBER(SEARCH(SETTINGS!$K$18,D254)),SETTINGS!$L$18,"Miscellaneous"))))))))))))))))</f>
        <v/>
      </c>
      <c r="I254" s="44" t="str">
        <f t="shared" si="24"/>
        <v/>
      </c>
      <c r="J254" s="9"/>
      <c r="K254" s="9"/>
      <c r="L254" s="9"/>
      <c r="M254" s="9"/>
      <c r="N254" s="9"/>
      <c r="O254" s="9"/>
      <c r="P254" s="13"/>
      <c r="Q254" s="9"/>
      <c r="R254" s="9"/>
      <c r="S254" s="9"/>
      <c r="T254" s="11"/>
      <c r="U254" s="44" t="str">
        <f t="shared" si="25"/>
        <v/>
      </c>
      <c r="V254" s="44" t="str">
        <f t="shared" si="26"/>
        <v/>
      </c>
      <c r="W254" s="44" t="str">
        <f t="shared" si="27"/>
        <v/>
      </c>
      <c r="X254" s="44" t="str">
        <f t="shared" si="28"/>
        <v/>
      </c>
      <c r="Y254" s="44" t="str">
        <f t="shared" si="29"/>
        <v/>
      </c>
      <c r="Z254" s="44" t="str">
        <f t="shared" si="30"/>
        <v/>
      </c>
      <c r="AA254" s="50" t="str">
        <f t="shared" si="31"/>
        <v/>
      </c>
      <c r="AB254" s="50" t="str">
        <f>IF(OR(B254="",C254&lt;&gt;"Expense"),"",IF(E254&gt;IFERROR(AVERAGEIFS($E$8:$E$1007,$I$8:$I$1007,I254,$C$8:$C$1007,"Expense")*SETTINGS!$B$20,0),"Unusually High","Normal"))</f>
        <v/>
      </c>
      <c r="AC254" s="51"/>
      <c r="AD254" s="51"/>
      <c r="AE254" s="51"/>
      <c r="AF254" s="50" t="str">
        <f>IF(A254&lt;&gt;"Yes","No",IF(AND(AC254="Yes",SETTINGS!$B$16="No"),"No","Yes"))</f>
        <v>No</v>
      </c>
      <c r="AG254" s="50" t="str">
        <f>IF(A254&lt;&gt;"Yes","",IF(OR(B254="",D254="",E254&lt;=0,F254="",I254=""),"Check Required Fields",IF(AA254="Possible Duplicate","Possible Duplicate",IF(E254&gt;SETTINGS!$B$22,"Review Extreme Value","OK"))))</f>
        <v/>
      </c>
    </row>
    <row r="255" spans="1:33" ht="14.4">
      <c r="A255" s="9"/>
      <c r="B255" s="13"/>
      <c r="C255" s="9"/>
      <c r="D255" s="9"/>
      <c r="E255" s="11"/>
      <c r="F255" s="9"/>
      <c r="G255" s="9"/>
      <c r="H255" s="44" t="str">
        <f>IF(D255="","",IF(ISNUMBER(SEARCH(SETTINGS!$K$4,D255)),SETTINGS!$L$4,IF(ISNUMBER(SEARCH(SETTINGS!$K$5,D255)),SETTINGS!$L$5,IF(ISNUMBER(SEARCH(SETTINGS!$K$6,D255)),SETTINGS!$L$6,IF(ISNUMBER(SEARCH(SETTINGS!$K$7,D255)),SETTINGS!$L$7,IF(ISNUMBER(SEARCH(SETTINGS!$K$8,D255)),SETTINGS!$L$8,IF(ISNUMBER(SEARCH(SETTINGS!$K$9,D255)),SETTINGS!$L$9,IF(ISNUMBER(SEARCH(SETTINGS!$K$10,D255)),SETTINGS!$L$10,IF(ISNUMBER(SEARCH(SETTINGS!$K$11,D255)),SETTINGS!$L$11,IF(ISNUMBER(SEARCH(SETTINGS!$K$12,D255)),SETTINGS!$L$12,IF(ISNUMBER(SEARCH(SETTINGS!$K$13,D255)),SETTINGS!$L$13,IF(ISNUMBER(SEARCH(SETTINGS!$K$14,D255)),SETTINGS!$L$14,IF(ISNUMBER(SEARCH(SETTINGS!$K$15,D255)),SETTINGS!$L$15,IF(ISNUMBER(SEARCH(SETTINGS!$K$16,D255)),SETTINGS!$L$16,IF(ISNUMBER(SEARCH(SETTINGS!$K$17,D255)),SETTINGS!$L$17,IF(ISNUMBER(SEARCH(SETTINGS!$K$18,D255)),SETTINGS!$L$18,"Miscellaneous"))))))))))))))))</f>
        <v/>
      </c>
      <c r="I255" s="44" t="str">
        <f t="shared" si="24"/>
        <v/>
      </c>
      <c r="J255" s="9"/>
      <c r="K255" s="9"/>
      <c r="L255" s="9"/>
      <c r="M255" s="9"/>
      <c r="N255" s="9"/>
      <c r="O255" s="9"/>
      <c r="P255" s="13"/>
      <c r="Q255" s="9"/>
      <c r="R255" s="9"/>
      <c r="S255" s="9"/>
      <c r="T255" s="11"/>
      <c r="U255" s="44" t="str">
        <f t="shared" si="25"/>
        <v/>
      </c>
      <c r="V255" s="44" t="str">
        <f t="shared" si="26"/>
        <v/>
      </c>
      <c r="W255" s="44" t="str">
        <f t="shared" si="27"/>
        <v/>
      </c>
      <c r="X255" s="44" t="str">
        <f t="shared" si="28"/>
        <v/>
      </c>
      <c r="Y255" s="44" t="str">
        <f t="shared" si="29"/>
        <v/>
      </c>
      <c r="Z255" s="44" t="str">
        <f t="shared" si="30"/>
        <v/>
      </c>
      <c r="AA255" s="50" t="str">
        <f t="shared" si="31"/>
        <v/>
      </c>
      <c r="AB255" s="50" t="str">
        <f>IF(OR(B255="",C255&lt;&gt;"Expense"),"",IF(E255&gt;IFERROR(AVERAGEIFS($E$8:$E$1007,$I$8:$I$1007,I255,$C$8:$C$1007,"Expense")*SETTINGS!$B$20,0),"Unusually High","Normal"))</f>
        <v/>
      </c>
      <c r="AC255" s="51"/>
      <c r="AD255" s="51"/>
      <c r="AE255" s="51"/>
      <c r="AF255" s="50" t="str">
        <f>IF(A255&lt;&gt;"Yes","No",IF(AND(AC255="Yes",SETTINGS!$B$16="No"),"No","Yes"))</f>
        <v>No</v>
      </c>
      <c r="AG255" s="50" t="str">
        <f>IF(A255&lt;&gt;"Yes","",IF(OR(B255="",D255="",E255&lt;=0,F255="",I255=""),"Check Required Fields",IF(AA255="Possible Duplicate","Possible Duplicate",IF(E255&gt;SETTINGS!$B$22,"Review Extreme Value","OK"))))</f>
        <v/>
      </c>
    </row>
    <row r="256" spans="1:33" ht="14.4">
      <c r="A256" s="9"/>
      <c r="B256" s="13"/>
      <c r="C256" s="9"/>
      <c r="D256" s="9"/>
      <c r="E256" s="11"/>
      <c r="F256" s="9"/>
      <c r="G256" s="9"/>
      <c r="H256" s="44" t="str">
        <f>IF(D256="","",IF(ISNUMBER(SEARCH(SETTINGS!$K$4,D256)),SETTINGS!$L$4,IF(ISNUMBER(SEARCH(SETTINGS!$K$5,D256)),SETTINGS!$L$5,IF(ISNUMBER(SEARCH(SETTINGS!$K$6,D256)),SETTINGS!$L$6,IF(ISNUMBER(SEARCH(SETTINGS!$K$7,D256)),SETTINGS!$L$7,IF(ISNUMBER(SEARCH(SETTINGS!$K$8,D256)),SETTINGS!$L$8,IF(ISNUMBER(SEARCH(SETTINGS!$K$9,D256)),SETTINGS!$L$9,IF(ISNUMBER(SEARCH(SETTINGS!$K$10,D256)),SETTINGS!$L$10,IF(ISNUMBER(SEARCH(SETTINGS!$K$11,D256)),SETTINGS!$L$11,IF(ISNUMBER(SEARCH(SETTINGS!$K$12,D256)),SETTINGS!$L$12,IF(ISNUMBER(SEARCH(SETTINGS!$K$13,D256)),SETTINGS!$L$13,IF(ISNUMBER(SEARCH(SETTINGS!$K$14,D256)),SETTINGS!$L$14,IF(ISNUMBER(SEARCH(SETTINGS!$K$15,D256)),SETTINGS!$L$15,IF(ISNUMBER(SEARCH(SETTINGS!$K$16,D256)),SETTINGS!$L$16,IF(ISNUMBER(SEARCH(SETTINGS!$K$17,D256)),SETTINGS!$L$17,IF(ISNUMBER(SEARCH(SETTINGS!$K$18,D256)),SETTINGS!$L$18,"Miscellaneous"))))))))))))))))</f>
        <v/>
      </c>
      <c r="I256" s="44" t="str">
        <f t="shared" si="24"/>
        <v/>
      </c>
      <c r="J256" s="9"/>
      <c r="K256" s="9"/>
      <c r="L256" s="9"/>
      <c r="M256" s="9"/>
      <c r="N256" s="9"/>
      <c r="O256" s="9"/>
      <c r="P256" s="13"/>
      <c r="Q256" s="9"/>
      <c r="R256" s="9"/>
      <c r="S256" s="9"/>
      <c r="T256" s="11"/>
      <c r="U256" s="44" t="str">
        <f t="shared" si="25"/>
        <v/>
      </c>
      <c r="V256" s="44" t="str">
        <f t="shared" si="26"/>
        <v/>
      </c>
      <c r="W256" s="44" t="str">
        <f t="shared" si="27"/>
        <v/>
      </c>
      <c r="X256" s="44" t="str">
        <f t="shared" si="28"/>
        <v/>
      </c>
      <c r="Y256" s="44" t="str">
        <f t="shared" si="29"/>
        <v/>
      </c>
      <c r="Z256" s="44" t="str">
        <f t="shared" si="30"/>
        <v/>
      </c>
      <c r="AA256" s="50" t="str">
        <f t="shared" si="31"/>
        <v/>
      </c>
      <c r="AB256" s="50" t="str">
        <f>IF(OR(B256="",C256&lt;&gt;"Expense"),"",IF(E256&gt;IFERROR(AVERAGEIFS($E$8:$E$1007,$I$8:$I$1007,I256,$C$8:$C$1007,"Expense")*SETTINGS!$B$20,0),"Unusually High","Normal"))</f>
        <v/>
      </c>
      <c r="AC256" s="51"/>
      <c r="AD256" s="51"/>
      <c r="AE256" s="51"/>
      <c r="AF256" s="50" t="str">
        <f>IF(A256&lt;&gt;"Yes","No",IF(AND(AC256="Yes",SETTINGS!$B$16="No"),"No","Yes"))</f>
        <v>No</v>
      </c>
      <c r="AG256" s="50" t="str">
        <f>IF(A256&lt;&gt;"Yes","",IF(OR(B256="",D256="",E256&lt;=0,F256="",I256=""),"Check Required Fields",IF(AA256="Possible Duplicate","Possible Duplicate",IF(E256&gt;SETTINGS!$B$22,"Review Extreme Value","OK"))))</f>
        <v/>
      </c>
    </row>
    <row r="257" spans="1:33" ht="14.4">
      <c r="A257" s="9"/>
      <c r="B257" s="13"/>
      <c r="C257" s="9"/>
      <c r="D257" s="9"/>
      <c r="E257" s="11"/>
      <c r="F257" s="9"/>
      <c r="G257" s="9"/>
      <c r="H257" s="44" t="str">
        <f>IF(D257="","",IF(ISNUMBER(SEARCH(SETTINGS!$K$4,D257)),SETTINGS!$L$4,IF(ISNUMBER(SEARCH(SETTINGS!$K$5,D257)),SETTINGS!$L$5,IF(ISNUMBER(SEARCH(SETTINGS!$K$6,D257)),SETTINGS!$L$6,IF(ISNUMBER(SEARCH(SETTINGS!$K$7,D257)),SETTINGS!$L$7,IF(ISNUMBER(SEARCH(SETTINGS!$K$8,D257)),SETTINGS!$L$8,IF(ISNUMBER(SEARCH(SETTINGS!$K$9,D257)),SETTINGS!$L$9,IF(ISNUMBER(SEARCH(SETTINGS!$K$10,D257)),SETTINGS!$L$10,IF(ISNUMBER(SEARCH(SETTINGS!$K$11,D257)),SETTINGS!$L$11,IF(ISNUMBER(SEARCH(SETTINGS!$K$12,D257)),SETTINGS!$L$12,IF(ISNUMBER(SEARCH(SETTINGS!$K$13,D257)),SETTINGS!$L$13,IF(ISNUMBER(SEARCH(SETTINGS!$K$14,D257)),SETTINGS!$L$14,IF(ISNUMBER(SEARCH(SETTINGS!$K$15,D257)),SETTINGS!$L$15,IF(ISNUMBER(SEARCH(SETTINGS!$K$16,D257)),SETTINGS!$L$16,IF(ISNUMBER(SEARCH(SETTINGS!$K$17,D257)),SETTINGS!$L$17,IF(ISNUMBER(SEARCH(SETTINGS!$K$18,D257)),SETTINGS!$L$18,"Miscellaneous"))))))))))))))))</f>
        <v/>
      </c>
      <c r="I257" s="44" t="str">
        <f t="shared" si="24"/>
        <v/>
      </c>
      <c r="J257" s="9"/>
      <c r="K257" s="9"/>
      <c r="L257" s="9"/>
      <c r="M257" s="9"/>
      <c r="N257" s="9"/>
      <c r="O257" s="9"/>
      <c r="P257" s="13"/>
      <c r="Q257" s="9"/>
      <c r="R257" s="9"/>
      <c r="S257" s="9"/>
      <c r="T257" s="11"/>
      <c r="U257" s="44" t="str">
        <f t="shared" si="25"/>
        <v/>
      </c>
      <c r="V257" s="44" t="str">
        <f t="shared" si="26"/>
        <v/>
      </c>
      <c r="W257" s="44" t="str">
        <f t="shared" si="27"/>
        <v/>
      </c>
      <c r="X257" s="44" t="str">
        <f t="shared" si="28"/>
        <v/>
      </c>
      <c r="Y257" s="44" t="str">
        <f t="shared" si="29"/>
        <v/>
      </c>
      <c r="Z257" s="44" t="str">
        <f t="shared" si="30"/>
        <v/>
      </c>
      <c r="AA257" s="50" t="str">
        <f t="shared" si="31"/>
        <v/>
      </c>
      <c r="AB257" s="50" t="str">
        <f>IF(OR(B257="",C257&lt;&gt;"Expense"),"",IF(E257&gt;IFERROR(AVERAGEIFS($E$8:$E$1007,$I$8:$I$1007,I257,$C$8:$C$1007,"Expense")*SETTINGS!$B$20,0),"Unusually High","Normal"))</f>
        <v/>
      </c>
      <c r="AC257" s="51"/>
      <c r="AD257" s="51"/>
      <c r="AE257" s="51"/>
      <c r="AF257" s="50" t="str">
        <f>IF(A257&lt;&gt;"Yes","No",IF(AND(AC257="Yes",SETTINGS!$B$16="No"),"No","Yes"))</f>
        <v>No</v>
      </c>
      <c r="AG257" s="50" t="str">
        <f>IF(A257&lt;&gt;"Yes","",IF(OR(B257="",D257="",E257&lt;=0,F257="",I257=""),"Check Required Fields",IF(AA257="Possible Duplicate","Possible Duplicate",IF(E257&gt;SETTINGS!$B$22,"Review Extreme Value","OK"))))</f>
        <v/>
      </c>
    </row>
    <row r="258" spans="1:33" ht="14.4">
      <c r="A258" s="9"/>
      <c r="B258" s="13"/>
      <c r="C258" s="9"/>
      <c r="D258" s="9"/>
      <c r="E258" s="11"/>
      <c r="F258" s="9"/>
      <c r="G258" s="9"/>
      <c r="H258" s="44" t="str">
        <f>IF(D258="","",IF(ISNUMBER(SEARCH(SETTINGS!$K$4,D258)),SETTINGS!$L$4,IF(ISNUMBER(SEARCH(SETTINGS!$K$5,D258)),SETTINGS!$L$5,IF(ISNUMBER(SEARCH(SETTINGS!$K$6,D258)),SETTINGS!$L$6,IF(ISNUMBER(SEARCH(SETTINGS!$K$7,D258)),SETTINGS!$L$7,IF(ISNUMBER(SEARCH(SETTINGS!$K$8,D258)),SETTINGS!$L$8,IF(ISNUMBER(SEARCH(SETTINGS!$K$9,D258)),SETTINGS!$L$9,IF(ISNUMBER(SEARCH(SETTINGS!$K$10,D258)),SETTINGS!$L$10,IF(ISNUMBER(SEARCH(SETTINGS!$K$11,D258)),SETTINGS!$L$11,IF(ISNUMBER(SEARCH(SETTINGS!$K$12,D258)),SETTINGS!$L$12,IF(ISNUMBER(SEARCH(SETTINGS!$K$13,D258)),SETTINGS!$L$13,IF(ISNUMBER(SEARCH(SETTINGS!$K$14,D258)),SETTINGS!$L$14,IF(ISNUMBER(SEARCH(SETTINGS!$K$15,D258)),SETTINGS!$L$15,IF(ISNUMBER(SEARCH(SETTINGS!$K$16,D258)),SETTINGS!$L$16,IF(ISNUMBER(SEARCH(SETTINGS!$K$17,D258)),SETTINGS!$L$17,IF(ISNUMBER(SEARCH(SETTINGS!$K$18,D258)),SETTINGS!$L$18,"Miscellaneous"))))))))))))))))</f>
        <v/>
      </c>
      <c r="I258" s="44" t="str">
        <f t="shared" si="24"/>
        <v/>
      </c>
      <c r="J258" s="9"/>
      <c r="K258" s="9"/>
      <c r="L258" s="9"/>
      <c r="M258" s="9"/>
      <c r="N258" s="9"/>
      <c r="O258" s="9"/>
      <c r="P258" s="13"/>
      <c r="Q258" s="9"/>
      <c r="R258" s="9"/>
      <c r="S258" s="9"/>
      <c r="T258" s="11"/>
      <c r="U258" s="44" t="str">
        <f t="shared" si="25"/>
        <v/>
      </c>
      <c r="V258" s="44" t="str">
        <f t="shared" si="26"/>
        <v/>
      </c>
      <c r="W258" s="44" t="str">
        <f t="shared" si="27"/>
        <v/>
      </c>
      <c r="X258" s="44" t="str">
        <f t="shared" si="28"/>
        <v/>
      </c>
      <c r="Y258" s="44" t="str">
        <f t="shared" si="29"/>
        <v/>
      </c>
      <c r="Z258" s="44" t="str">
        <f t="shared" si="30"/>
        <v/>
      </c>
      <c r="AA258" s="50" t="str">
        <f t="shared" si="31"/>
        <v/>
      </c>
      <c r="AB258" s="50" t="str">
        <f>IF(OR(B258="",C258&lt;&gt;"Expense"),"",IF(E258&gt;IFERROR(AVERAGEIFS($E$8:$E$1007,$I$8:$I$1007,I258,$C$8:$C$1007,"Expense")*SETTINGS!$B$20,0),"Unusually High","Normal"))</f>
        <v/>
      </c>
      <c r="AC258" s="51"/>
      <c r="AD258" s="51"/>
      <c r="AE258" s="51"/>
      <c r="AF258" s="50" t="str">
        <f>IF(A258&lt;&gt;"Yes","No",IF(AND(AC258="Yes",SETTINGS!$B$16="No"),"No","Yes"))</f>
        <v>No</v>
      </c>
      <c r="AG258" s="50" t="str">
        <f>IF(A258&lt;&gt;"Yes","",IF(OR(B258="",D258="",E258&lt;=0,F258="",I258=""),"Check Required Fields",IF(AA258="Possible Duplicate","Possible Duplicate",IF(E258&gt;SETTINGS!$B$22,"Review Extreme Value","OK"))))</f>
        <v/>
      </c>
    </row>
    <row r="259" spans="1:33" ht="14.4">
      <c r="A259" s="9"/>
      <c r="B259" s="13"/>
      <c r="C259" s="9"/>
      <c r="D259" s="9"/>
      <c r="E259" s="11"/>
      <c r="F259" s="9"/>
      <c r="G259" s="9"/>
      <c r="H259" s="44" t="str">
        <f>IF(D259="","",IF(ISNUMBER(SEARCH(SETTINGS!$K$4,D259)),SETTINGS!$L$4,IF(ISNUMBER(SEARCH(SETTINGS!$K$5,D259)),SETTINGS!$L$5,IF(ISNUMBER(SEARCH(SETTINGS!$K$6,D259)),SETTINGS!$L$6,IF(ISNUMBER(SEARCH(SETTINGS!$K$7,D259)),SETTINGS!$L$7,IF(ISNUMBER(SEARCH(SETTINGS!$K$8,D259)),SETTINGS!$L$8,IF(ISNUMBER(SEARCH(SETTINGS!$K$9,D259)),SETTINGS!$L$9,IF(ISNUMBER(SEARCH(SETTINGS!$K$10,D259)),SETTINGS!$L$10,IF(ISNUMBER(SEARCH(SETTINGS!$K$11,D259)),SETTINGS!$L$11,IF(ISNUMBER(SEARCH(SETTINGS!$K$12,D259)),SETTINGS!$L$12,IF(ISNUMBER(SEARCH(SETTINGS!$K$13,D259)),SETTINGS!$L$13,IF(ISNUMBER(SEARCH(SETTINGS!$K$14,D259)),SETTINGS!$L$14,IF(ISNUMBER(SEARCH(SETTINGS!$K$15,D259)),SETTINGS!$L$15,IF(ISNUMBER(SEARCH(SETTINGS!$K$16,D259)),SETTINGS!$L$16,IF(ISNUMBER(SEARCH(SETTINGS!$K$17,D259)),SETTINGS!$L$17,IF(ISNUMBER(SEARCH(SETTINGS!$K$18,D259)),SETTINGS!$L$18,"Miscellaneous"))))))))))))))))</f>
        <v/>
      </c>
      <c r="I259" s="44" t="str">
        <f t="shared" si="24"/>
        <v/>
      </c>
      <c r="J259" s="9"/>
      <c r="K259" s="9"/>
      <c r="L259" s="9"/>
      <c r="M259" s="9"/>
      <c r="N259" s="9"/>
      <c r="O259" s="9"/>
      <c r="P259" s="13"/>
      <c r="Q259" s="9"/>
      <c r="R259" s="9"/>
      <c r="S259" s="9"/>
      <c r="T259" s="11"/>
      <c r="U259" s="44" t="str">
        <f t="shared" si="25"/>
        <v/>
      </c>
      <c r="V259" s="44" t="str">
        <f t="shared" si="26"/>
        <v/>
      </c>
      <c r="W259" s="44" t="str">
        <f t="shared" si="27"/>
        <v/>
      </c>
      <c r="X259" s="44" t="str">
        <f t="shared" si="28"/>
        <v/>
      </c>
      <c r="Y259" s="44" t="str">
        <f t="shared" si="29"/>
        <v/>
      </c>
      <c r="Z259" s="44" t="str">
        <f t="shared" si="30"/>
        <v/>
      </c>
      <c r="AA259" s="50" t="str">
        <f t="shared" si="31"/>
        <v/>
      </c>
      <c r="AB259" s="50" t="str">
        <f>IF(OR(B259="",C259&lt;&gt;"Expense"),"",IF(E259&gt;IFERROR(AVERAGEIFS($E$8:$E$1007,$I$8:$I$1007,I259,$C$8:$C$1007,"Expense")*SETTINGS!$B$20,0),"Unusually High","Normal"))</f>
        <v/>
      </c>
      <c r="AC259" s="51"/>
      <c r="AD259" s="51"/>
      <c r="AE259" s="51"/>
      <c r="AF259" s="50" t="str">
        <f>IF(A259&lt;&gt;"Yes","No",IF(AND(AC259="Yes",SETTINGS!$B$16="No"),"No","Yes"))</f>
        <v>No</v>
      </c>
      <c r="AG259" s="50" t="str">
        <f>IF(A259&lt;&gt;"Yes","",IF(OR(B259="",D259="",E259&lt;=0,F259="",I259=""),"Check Required Fields",IF(AA259="Possible Duplicate","Possible Duplicate",IF(E259&gt;SETTINGS!$B$22,"Review Extreme Value","OK"))))</f>
        <v/>
      </c>
    </row>
    <row r="260" spans="1:33" ht="14.4">
      <c r="A260" s="9"/>
      <c r="B260" s="13"/>
      <c r="C260" s="9"/>
      <c r="D260" s="9"/>
      <c r="E260" s="11"/>
      <c r="F260" s="9"/>
      <c r="G260" s="9"/>
      <c r="H260" s="44" t="str">
        <f>IF(D260="","",IF(ISNUMBER(SEARCH(SETTINGS!$K$4,D260)),SETTINGS!$L$4,IF(ISNUMBER(SEARCH(SETTINGS!$K$5,D260)),SETTINGS!$L$5,IF(ISNUMBER(SEARCH(SETTINGS!$K$6,D260)),SETTINGS!$L$6,IF(ISNUMBER(SEARCH(SETTINGS!$K$7,D260)),SETTINGS!$L$7,IF(ISNUMBER(SEARCH(SETTINGS!$K$8,D260)),SETTINGS!$L$8,IF(ISNUMBER(SEARCH(SETTINGS!$K$9,D260)),SETTINGS!$L$9,IF(ISNUMBER(SEARCH(SETTINGS!$K$10,D260)),SETTINGS!$L$10,IF(ISNUMBER(SEARCH(SETTINGS!$K$11,D260)),SETTINGS!$L$11,IF(ISNUMBER(SEARCH(SETTINGS!$K$12,D260)),SETTINGS!$L$12,IF(ISNUMBER(SEARCH(SETTINGS!$K$13,D260)),SETTINGS!$L$13,IF(ISNUMBER(SEARCH(SETTINGS!$K$14,D260)),SETTINGS!$L$14,IF(ISNUMBER(SEARCH(SETTINGS!$K$15,D260)),SETTINGS!$L$15,IF(ISNUMBER(SEARCH(SETTINGS!$K$16,D260)),SETTINGS!$L$16,IF(ISNUMBER(SEARCH(SETTINGS!$K$17,D260)),SETTINGS!$L$17,IF(ISNUMBER(SEARCH(SETTINGS!$K$18,D260)),SETTINGS!$L$18,"Miscellaneous"))))))))))))))))</f>
        <v/>
      </c>
      <c r="I260" s="44" t="str">
        <f t="shared" si="24"/>
        <v/>
      </c>
      <c r="J260" s="9"/>
      <c r="K260" s="9"/>
      <c r="L260" s="9"/>
      <c r="M260" s="9"/>
      <c r="N260" s="9"/>
      <c r="O260" s="9"/>
      <c r="P260" s="13"/>
      <c r="Q260" s="9"/>
      <c r="R260" s="9"/>
      <c r="S260" s="9"/>
      <c r="T260" s="11"/>
      <c r="U260" s="44" t="str">
        <f t="shared" si="25"/>
        <v/>
      </c>
      <c r="V260" s="44" t="str">
        <f t="shared" si="26"/>
        <v/>
      </c>
      <c r="W260" s="44" t="str">
        <f t="shared" si="27"/>
        <v/>
      </c>
      <c r="X260" s="44" t="str">
        <f t="shared" si="28"/>
        <v/>
      </c>
      <c r="Y260" s="44" t="str">
        <f t="shared" si="29"/>
        <v/>
      </c>
      <c r="Z260" s="44" t="str">
        <f t="shared" si="30"/>
        <v/>
      </c>
      <c r="AA260" s="50" t="str">
        <f t="shared" si="31"/>
        <v/>
      </c>
      <c r="AB260" s="50" t="str">
        <f>IF(OR(B260="",C260&lt;&gt;"Expense"),"",IF(E260&gt;IFERROR(AVERAGEIFS($E$8:$E$1007,$I$8:$I$1007,I260,$C$8:$C$1007,"Expense")*SETTINGS!$B$20,0),"Unusually High","Normal"))</f>
        <v/>
      </c>
      <c r="AC260" s="51"/>
      <c r="AD260" s="51"/>
      <c r="AE260" s="51"/>
      <c r="AF260" s="50" t="str">
        <f>IF(A260&lt;&gt;"Yes","No",IF(AND(AC260="Yes",SETTINGS!$B$16="No"),"No","Yes"))</f>
        <v>No</v>
      </c>
      <c r="AG260" s="50" t="str">
        <f>IF(A260&lt;&gt;"Yes","",IF(OR(B260="",D260="",E260&lt;=0,F260="",I260=""),"Check Required Fields",IF(AA260="Possible Duplicate","Possible Duplicate",IF(E260&gt;SETTINGS!$B$22,"Review Extreme Value","OK"))))</f>
        <v/>
      </c>
    </row>
    <row r="261" spans="1:33" ht="14.4">
      <c r="A261" s="9"/>
      <c r="B261" s="13"/>
      <c r="C261" s="9"/>
      <c r="D261" s="9"/>
      <c r="E261" s="11"/>
      <c r="F261" s="9"/>
      <c r="G261" s="9"/>
      <c r="H261" s="44" t="str">
        <f>IF(D261="","",IF(ISNUMBER(SEARCH(SETTINGS!$K$4,D261)),SETTINGS!$L$4,IF(ISNUMBER(SEARCH(SETTINGS!$K$5,D261)),SETTINGS!$L$5,IF(ISNUMBER(SEARCH(SETTINGS!$K$6,D261)),SETTINGS!$L$6,IF(ISNUMBER(SEARCH(SETTINGS!$K$7,D261)),SETTINGS!$L$7,IF(ISNUMBER(SEARCH(SETTINGS!$K$8,D261)),SETTINGS!$L$8,IF(ISNUMBER(SEARCH(SETTINGS!$K$9,D261)),SETTINGS!$L$9,IF(ISNUMBER(SEARCH(SETTINGS!$K$10,D261)),SETTINGS!$L$10,IF(ISNUMBER(SEARCH(SETTINGS!$K$11,D261)),SETTINGS!$L$11,IF(ISNUMBER(SEARCH(SETTINGS!$K$12,D261)),SETTINGS!$L$12,IF(ISNUMBER(SEARCH(SETTINGS!$K$13,D261)),SETTINGS!$L$13,IF(ISNUMBER(SEARCH(SETTINGS!$K$14,D261)),SETTINGS!$L$14,IF(ISNUMBER(SEARCH(SETTINGS!$K$15,D261)),SETTINGS!$L$15,IF(ISNUMBER(SEARCH(SETTINGS!$K$16,D261)),SETTINGS!$L$16,IF(ISNUMBER(SEARCH(SETTINGS!$K$17,D261)),SETTINGS!$L$17,IF(ISNUMBER(SEARCH(SETTINGS!$K$18,D261)),SETTINGS!$L$18,"Miscellaneous"))))))))))))))))</f>
        <v/>
      </c>
      <c r="I261" s="44" t="str">
        <f t="shared" si="24"/>
        <v/>
      </c>
      <c r="J261" s="9"/>
      <c r="K261" s="9"/>
      <c r="L261" s="9"/>
      <c r="M261" s="9"/>
      <c r="N261" s="9"/>
      <c r="O261" s="9"/>
      <c r="P261" s="13"/>
      <c r="Q261" s="9"/>
      <c r="R261" s="9"/>
      <c r="S261" s="9"/>
      <c r="T261" s="11"/>
      <c r="U261" s="44" t="str">
        <f t="shared" si="25"/>
        <v/>
      </c>
      <c r="V261" s="44" t="str">
        <f t="shared" si="26"/>
        <v/>
      </c>
      <c r="W261" s="44" t="str">
        <f t="shared" si="27"/>
        <v/>
      </c>
      <c r="X261" s="44" t="str">
        <f t="shared" si="28"/>
        <v/>
      </c>
      <c r="Y261" s="44" t="str">
        <f t="shared" si="29"/>
        <v/>
      </c>
      <c r="Z261" s="44" t="str">
        <f t="shared" si="30"/>
        <v/>
      </c>
      <c r="AA261" s="50" t="str">
        <f t="shared" si="31"/>
        <v/>
      </c>
      <c r="AB261" s="50" t="str">
        <f>IF(OR(B261="",C261&lt;&gt;"Expense"),"",IF(E261&gt;IFERROR(AVERAGEIFS($E$8:$E$1007,$I$8:$I$1007,I261,$C$8:$C$1007,"Expense")*SETTINGS!$B$20,0),"Unusually High","Normal"))</f>
        <v/>
      </c>
      <c r="AC261" s="51"/>
      <c r="AD261" s="51"/>
      <c r="AE261" s="51"/>
      <c r="AF261" s="50" t="str">
        <f>IF(A261&lt;&gt;"Yes","No",IF(AND(AC261="Yes",SETTINGS!$B$16="No"),"No","Yes"))</f>
        <v>No</v>
      </c>
      <c r="AG261" s="50" t="str">
        <f>IF(A261&lt;&gt;"Yes","",IF(OR(B261="",D261="",E261&lt;=0,F261="",I261=""),"Check Required Fields",IF(AA261="Possible Duplicate","Possible Duplicate",IF(E261&gt;SETTINGS!$B$22,"Review Extreme Value","OK"))))</f>
        <v/>
      </c>
    </row>
    <row r="262" spans="1:33" ht="14.4">
      <c r="A262" s="9"/>
      <c r="B262" s="13"/>
      <c r="C262" s="9"/>
      <c r="D262" s="9"/>
      <c r="E262" s="11"/>
      <c r="F262" s="9"/>
      <c r="G262" s="9"/>
      <c r="H262" s="44" t="str">
        <f>IF(D262="","",IF(ISNUMBER(SEARCH(SETTINGS!$K$4,D262)),SETTINGS!$L$4,IF(ISNUMBER(SEARCH(SETTINGS!$K$5,D262)),SETTINGS!$L$5,IF(ISNUMBER(SEARCH(SETTINGS!$K$6,D262)),SETTINGS!$L$6,IF(ISNUMBER(SEARCH(SETTINGS!$K$7,D262)),SETTINGS!$L$7,IF(ISNUMBER(SEARCH(SETTINGS!$K$8,D262)),SETTINGS!$L$8,IF(ISNUMBER(SEARCH(SETTINGS!$K$9,D262)),SETTINGS!$L$9,IF(ISNUMBER(SEARCH(SETTINGS!$K$10,D262)),SETTINGS!$L$10,IF(ISNUMBER(SEARCH(SETTINGS!$K$11,D262)),SETTINGS!$L$11,IF(ISNUMBER(SEARCH(SETTINGS!$K$12,D262)),SETTINGS!$L$12,IF(ISNUMBER(SEARCH(SETTINGS!$K$13,D262)),SETTINGS!$L$13,IF(ISNUMBER(SEARCH(SETTINGS!$K$14,D262)),SETTINGS!$L$14,IF(ISNUMBER(SEARCH(SETTINGS!$K$15,D262)),SETTINGS!$L$15,IF(ISNUMBER(SEARCH(SETTINGS!$K$16,D262)),SETTINGS!$L$16,IF(ISNUMBER(SEARCH(SETTINGS!$K$17,D262)),SETTINGS!$L$17,IF(ISNUMBER(SEARCH(SETTINGS!$K$18,D262)),SETTINGS!$L$18,"Miscellaneous"))))))))))))))))</f>
        <v/>
      </c>
      <c r="I262" s="44" t="str">
        <f t="shared" si="24"/>
        <v/>
      </c>
      <c r="J262" s="9"/>
      <c r="K262" s="9"/>
      <c r="L262" s="9"/>
      <c r="M262" s="9"/>
      <c r="N262" s="9"/>
      <c r="O262" s="9"/>
      <c r="P262" s="13"/>
      <c r="Q262" s="9"/>
      <c r="R262" s="9"/>
      <c r="S262" s="9"/>
      <c r="T262" s="11"/>
      <c r="U262" s="44" t="str">
        <f t="shared" si="25"/>
        <v/>
      </c>
      <c r="V262" s="44" t="str">
        <f t="shared" si="26"/>
        <v/>
      </c>
      <c r="W262" s="44" t="str">
        <f t="shared" si="27"/>
        <v/>
      </c>
      <c r="X262" s="44" t="str">
        <f t="shared" si="28"/>
        <v/>
      </c>
      <c r="Y262" s="44" t="str">
        <f t="shared" si="29"/>
        <v/>
      </c>
      <c r="Z262" s="44" t="str">
        <f t="shared" si="30"/>
        <v/>
      </c>
      <c r="AA262" s="50" t="str">
        <f t="shared" si="31"/>
        <v/>
      </c>
      <c r="AB262" s="50" t="str">
        <f>IF(OR(B262="",C262&lt;&gt;"Expense"),"",IF(E262&gt;IFERROR(AVERAGEIFS($E$8:$E$1007,$I$8:$I$1007,I262,$C$8:$C$1007,"Expense")*SETTINGS!$B$20,0),"Unusually High","Normal"))</f>
        <v/>
      </c>
      <c r="AC262" s="51"/>
      <c r="AD262" s="51"/>
      <c r="AE262" s="51"/>
      <c r="AF262" s="50" t="str">
        <f>IF(A262&lt;&gt;"Yes","No",IF(AND(AC262="Yes",SETTINGS!$B$16="No"),"No","Yes"))</f>
        <v>No</v>
      </c>
      <c r="AG262" s="50" t="str">
        <f>IF(A262&lt;&gt;"Yes","",IF(OR(B262="",D262="",E262&lt;=0,F262="",I262=""),"Check Required Fields",IF(AA262="Possible Duplicate","Possible Duplicate",IF(E262&gt;SETTINGS!$B$22,"Review Extreme Value","OK"))))</f>
        <v/>
      </c>
    </row>
    <row r="263" spans="1:33" ht="14.4">
      <c r="A263" s="9"/>
      <c r="B263" s="13"/>
      <c r="C263" s="9"/>
      <c r="D263" s="9"/>
      <c r="E263" s="11"/>
      <c r="F263" s="9"/>
      <c r="G263" s="9"/>
      <c r="H263" s="44" t="str">
        <f>IF(D263="","",IF(ISNUMBER(SEARCH(SETTINGS!$K$4,D263)),SETTINGS!$L$4,IF(ISNUMBER(SEARCH(SETTINGS!$K$5,D263)),SETTINGS!$L$5,IF(ISNUMBER(SEARCH(SETTINGS!$K$6,D263)),SETTINGS!$L$6,IF(ISNUMBER(SEARCH(SETTINGS!$K$7,D263)),SETTINGS!$L$7,IF(ISNUMBER(SEARCH(SETTINGS!$K$8,D263)),SETTINGS!$L$8,IF(ISNUMBER(SEARCH(SETTINGS!$K$9,D263)),SETTINGS!$L$9,IF(ISNUMBER(SEARCH(SETTINGS!$K$10,D263)),SETTINGS!$L$10,IF(ISNUMBER(SEARCH(SETTINGS!$K$11,D263)),SETTINGS!$L$11,IF(ISNUMBER(SEARCH(SETTINGS!$K$12,D263)),SETTINGS!$L$12,IF(ISNUMBER(SEARCH(SETTINGS!$K$13,D263)),SETTINGS!$L$13,IF(ISNUMBER(SEARCH(SETTINGS!$K$14,D263)),SETTINGS!$L$14,IF(ISNUMBER(SEARCH(SETTINGS!$K$15,D263)),SETTINGS!$L$15,IF(ISNUMBER(SEARCH(SETTINGS!$K$16,D263)),SETTINGS!$L$16,IF(ISNUMBER(SEARCH(SETTINGS!$K$17,D263)),SETTINGS!$L$17,IF(ISNUMBER(SEARCH(SETTINGS!$K$18,D263)),SETTINGS!$L$18,"Miscellaneous"))))))))))))))))</f>
        <v/>
      </c>
      <c r="I263" s="44" t="str">
        <f t="shared" si="24"/>
        <v/>
      </c>
      <c r="J263" s="9"/>
      <c r="K263" s="9"/>
      <c r="L263" s="9"/>
      <c r="M263" s="9"/>
      <c r="N263" s="9"/>
      <c r="O263" s="9"/>
      <c r="P263" s="13"/>
      <c r="Q263" s="9"/>
      <c r="R263" s="9"/>
      <c r="S263" s="9"/>
      <c r="T263" s="11"/>
      <c r="U263" s="44" t="str">
        <f t="shared" si="25"/>
        <v/>
      </c>
      <c r="V263" s="44" t="str">
        <f t="shared" si="26"/>
        <v/>
      </c>
      <c r="W263" s="44" t="str">
        <f t="shared" si="27"/>
        <v/>
      </c>
      <c r="X263" s="44" t="str">
        <f t="shared" si="28"/>
        <v/>
      </c>
      <c r="Y263" s="44" t="str">
        <f t="shared" si="29"/>
        <v/>
      </c>
      <c r="Z263" s="44" t="str">
        <f t="shared" si="30"/>
        <v/>
      </c>
      <c r="AA263" s="50" t="str">
        <f t="shared" si="31"/>
        <v/>
      </c>
      <c r="AB263" s="50" t="str">
        <f>IF(OR(B263="",C263&lt;&gt;"Expense"),"",IF(E263&gt;IFERROR(AVERAGEIFS($E$8:$E$1007,$I$8:$I$1007,I263,$C$8:$C$1007,"Expense")*SETTINGS!$B$20,0),"Unusually High","Normal"))</f>
        <v/>
      </c>
      <c r="AC263" s="51"/>
      <c r="AD263" s="51"/>
      <c r="AE263" s="51"/>
      <c r="AF263" s="50" t="str">
        <f>IF(A263&lt;&gt;"Yes","No",IF(AND(AC263="Yes",SETTINGS!$B$16="No"),"No","Yes"))</f>
        <v>No</v>
      </c>
      <c r="AG263" s="50" t="str">
        <f>IF(A263&lt;&gt;"Yes","",IF(OR(B263="",D263="",E263&lt;=0,F263="",I263=""),"Check Required Fields",IF(AA263="Possible Duplicate","Possible Duplicate",IF(E263&gt;SETTINGS!$B$22,"Review Extreme Value","OK"))))</f>
        <v/>
      </c>
    </row>
    <row r="264" spans="1:33" ht="14.4">
      <c r="A264" s="9"/>
      <c r="B264" s="13"/>
      <c r="C264" s="9"/>
      <c r="D264" s="9"/>
      <c r="E264" s="11"/>
      <c r="F264" s="9"/>
      <c r="G264" s="9"/>
      <c r="H264" s="44" t="str">
        <f>IF(D264="","",IF(ISNUMBER(SEARCH(SETTINGS!$K$4,D264)),SETTINGS!$L$4,IF(ISNUMBER(SEARCH(SETTINGS!$K$5,D264)),SETTINGS!$L$5,IF(ISNUMBER(SEARCH(SETTINGS!$K$6,D264)),SETTINGS!$L$6,IF(ISNUMBER(SEARCH(SETTINGS!$K$7,D264)),SETTINGS!$L$7,IF(ISNUMBER(SEARCH(SETTINGS!$K$8,D264)),SETTINGS!$L$8,IF(ISNUMBER(SEARCH(SETTINGS!$K$9,D264)),SETTINGS!$L$9,IF(ISNUMBER(SEARCH(SETTINGS!$K$10,D264)),SETTINGS!$L$10,IF(ISNUMBER(SEARCH(SETTINGS!$K$11,D264)),SETTINGS!$L$11,IF(ISNUMBER(SEARCH(SETTINGS!$K$12,D264)),SETTINGS!$L$12,IF(ISNUMBER(SEARCH(SETTINGS!$K$13,D264)),SETTINGS!$L$13,IF(ISNUMBER(SEARCH(SETTINGS!$K$14,D264)),SETTINGS!$L$14,IF(ISNUMBER(SEARCH(SETTINGS!$K$15,D264)),SETTINGS!$L$15,IF(ISNUMBER(SEARCH(SETTINGS!$K$16,D264)),SETTINGS!$L$16,IF(ISNUMBER(SEARCH(SETTINGS!$K$17,D264)),SETTINGS!$L$17,IF(ISNUMBER(SEARCH(SETTINGS!$K$18,D264)),SETTINGS!$L$18,"Miscellaneous"))))))))))))))))</f>
        <v/>
      </c>
      <c r="I264" s="44" t="str">
        <f t="shared" ref="I264:I327" si="32">IF(B264="","",IF(G264&lt;&gt;"",G264,H264))</f>
        <v/>
      </c>
      <c r="J264" s="9"/>
      <c r="K264" s="9"/>
      <c r="L264" s="9"/>
      <c r="M264" s="9"/>
      <c r="N264" s="9"/>
      <c r="O264" s="9"/>
      <c r="P264" s="13"/>
      <c r="Q264" s="9"/>
      <c r="R264" s="9"/>
      <c r="S264" s="9"/>
      <c r="T264" s="11"/>
      <c r="U264" s="44" t="str">
        <f t="shared" ref="U264:U327" si="33">IF(B264="","",IF(C264="Income","INC-",IF(C264="Expense","EXP-","TRX-"))&amp;TEXT(YEAR(B264),"0000")&amp;"-"&amp;TEXT(ROW()-7,"0000"))</f>
        <v/>
      </c>
      <c r="V264" s="44" t="str">
        <f t="shared" ref="V264:V327" si="34">IF(B264="","",TEXT(B264,"mmmm"))</f>
        <v/>
      </c>
      <c r="W264" s="44" t="str">
        <f t="shared" ref="W264:W327" si="35">IF(B264="","",MONTH(B264))</f>
        <v/>
      </c>
      <c r="X264" s="44" t="str">
        <f t="shared" ref="X264:X327" si="36">IF(B264="","",YEAR(B264))</f>
        <v/>
      </c>
      <c r="Y264" s="44" t="str">
        <f t="shared" ref="Y264:Y327" si="37">IF(B264="","",DAY(B264))</f>
        <v/>
      </c>
      <c r="Z264" s="44" t="str">
        <f t="shared" ref="Z264:Z327" si="38">IF(B264="","",IF(WEEKDAY(B264,2)&gt;5,"Weekend","Weekday"))</f>
        <v/>
      </c>
      <c r="AA264" s="50" t="str">
        <f t="shared" ref="AA264:AA327" si="39">IF(B264="","",IF(COUNTIFS($B$8:$B$1007,B264,$E$8:$E$1007,E264,$D$8:$D$1007,D264,$I$8:$I$1007,I264)&gt;1,"Possible Duplicate","OK"))</f>
        <v/>
      </c>
      <c r="AB264" s="50" t="str">
        <f>IF(OR(B264="",C264&lt;&gt;"Expense"),"",IF(E264&gt;IFERROR(AVERAGEIFS($E$8:$E$1007,$I$8:$I$1007,I264,$C$8:$C$1007,"Expense")*SETTINGS!$B$20,0),"Unusually High","Normal"))</f>
        <v/>
      </c>
      <c r="AC264" s="51"/>
      <c r="AD264" s="51"/>
      <c r="AE264" s="51"/>
      <c r="AF264" s="50" t="str">
        <f>IF(A264&lt;&gt;"Yes","No",IF(AND(AC264="Yes",SETTINGS!$B$16="No"),"No","Yes"))</f>
        <v>No</v>
      </c>
      <c r="AG264" s="50" t="str">
        <f>IF(A264&lt;&gt;"Yes","",IF(OR(B264="",D264="",E264&lt;=0,F264="",I264=""),"Check Required Fields",IF(AA264="Possible Duplicate","Possible Duplicate",IF(E264&gt;SETTINGS!$B$22,"Review Extreme Value","OK"))))</f>
        <v/>
      </c>
    </row>
    <row r="265" spans="1:33" ht="14.4">
      <c r="A265" s="9"/>
      <c r="B265" s="13"/>
      <c r="C265" s="9"/>
      <c r="D265" s="9"/>
      <c r="E265" s="11"/>
      <c r="F265" s="9"/>
      <c r="G265" s="9"/>
      <c r="H265" s="44" t="str">
        <f>IF(D265="","",IF(ISNUMBER(SEARCH(SETTINGS!$K$4,D265)),SETTINGS!$L$4,IF(ISNUMBER(SEARCH(SETTINGS!$K$5,D265)),SETTINGS!$L$5,IF(ISNUMBER(SEARCH(SETTINGS!$K$6,D265)),SETTINGS!$L$6,IF(ISNUMBER(SEARCH(SETTINGS!$K$7,D265)),SETTINGS!$L$7,IF(ISNUMBER(SEARCH(SETTINGS!$K$8,D265)),SETTINGS!$L$8,IF(ISNUMBER(SEARCH(SETTINGS!$K$9,D265)),SETTINGS!$L$9,IF(ISNUMBER(SEARCH(SETTINGS!$K$10,D265)),SETTINGS!$L$10,IF(ISNUMBER(SEARCH(SETTINGS!$K$11,D265)),SETTINGS!$L$11,IF(ISNUMBER(SEARCH(SETTINGS!$K$12,D265)),SETTINGS!$L$12,IF(ISNUMBER(SEARCH(SETTINGS!$K$13,D265)),SETTINGS!$L$13,IF(ISNUMBER(SEARCH(SETTINGS!$K$14,D265)),SETTINGS!$L$14,IF(ISNUMBER(SEARCH(SETTINGS!$K$15,D265)),SETTINGS!$L$15,IF(ISNUMBER(SEARCH(SETTINGS!$K$16,D265)),SETTINGS!$L$16,IF(ISNUMBER(SEARCH(SETTINGS!$K$17,D265)),SETTINGS!$L$17,IF(ISNUMBER(SEARCH(SETTINGS!$K$18,D265)),SETTINGS!$L$18,"Miscellaneous"))))))))))))))))</f>
        <v/>
      </c>
      <c r="I265" s="44" t="str">
        <f t="shared" si="32"/>
        <v/>
      </c>
      <c r="J265" s="9"/>
      <c r="K265" s="9"/>
      <c r="L265" s="9"/>
      <c r="M265" s="9"/>
      <c r="N265" s="9"/>
      <c r="O265" s="9"/>
      <c r="P265" s="13"/>
      <c r="Q265" s="9"/>
      <c r="R265" s="9"/>
      <c r="S265" s="9"/>
      <c r="T265" s="11"/>
      <c r="U265" s="44" t="str">
        <f t="shared" si="33"/>
        <v/>
      </c>
      <c r="V265" s="44" t="str">
        <f t="shared" si="34"/>
        <v/>
      </c>
      <c r="W265" s="44" t="str">
        <f t="shared" si="35"/>
        <v/>
      </c>
      <c r="X265" s="44" t="str">
        <f t="shared" si="36"/>
        <v/>
      </c>
      <c r="Y265" s="44" t="str">
        <f t="shared" si="37"/>
        <v/>
      </c>
      <c r="Z265" s="44" t="str">
        <f t="shared" si="38"/>
        <v/>
      </c>
      <c r="AA265" s="50" t="str">
        <f t="shared" si="39"/>
        <v/>
      </c>
      <c r="AB265" s="50" t="str">
        <f>IF(OR(B265="",C265&lt;&gt;"Expense"),"",IF(E265&gt;IFERROR(AVERAGEIFS($E$8:$E$1007,$I$8:$I$1007,I265,$C$8:$C$1007,"Expense")*SETTINGS!$B$20,0),"Unusually High","Normal"))</f>
        <v/>
      </c>
      <c r="AC265" s="51"/>
      <c r="AD265" s="51"/>
      <c r="AE265" s="51"/>
      <c r="AF265" s="50" t="str">
        <f>IF(A265&lt;&gt;"Yes","No",IF(AND(AC265="Yes",SETTINGS!$B$16="No"),"No","Yes"))</f>
        <v>No</v>
      </c>
      <c r="AG265" s="50" t="str">
        <f>IF(A265&lt;&gt;"Yes","",IF(OR(B265="",D265="",E265&lt;=0,F265="",I265=""),"Check Required Fields",IF(AA265="Possible Duplicate","Possible Duplicate",IF(E265&gt;SETTINGS!$B$22,"Review Extreme Value","OK"))))</f>
        <v/>
      </c>
    </row>
    <row r="266" spans="1:33" ht="14.4">
      <c r="A266" s="9"/>
      <c r="B266" s="13"/>
      <c r="C266" s="9"/>
      <c r="D266" s="9"/>
      <c r="E266" s="11"/>
      <c r="F266" s="9"/>
      <c r="G266" s="9"/>
      <c r="H266" s="44" t="str">
        <f>IF(D266="","",IF(ISNUMBER(SEARCH(SETTINGS!$K$4,D266)),SETTINGS!$L$4,IF(ISNUMBER(SEARCH(SETTINGS!$K$5,D266)),SETTINGS!$L$5,IF(ISNUMBER(SEARCH(SETTINGS!$K$6,D266)),SETTINGS!$L$6,IF(ISNUMBER(SEARCH(SETTINGS!$K$7,D266)),SETTINGS!$L$7,IF(ISNUMBER(SEARCH(SETTINGS!$K$8,D266)),SETTINGS!$L$8,IF(ISNUMBER(SEARCH(SETTINGS!$K$9,D266)),SETTINGS!$L$9,IF(ISNUMBER(SEARCH(SETTINGS!$K$10,D266)),SETTINGS!$L$10,IF(ISNUMBER(SEARCH(SETTINGS!$K$11,D266)),SETTINGS!$L$11,IF(ISNUMBER(SEARCH(SETTINGS!$K$12,D266)),SETTINGS!$L$12,IF(ISNUMBER(SEARCH(SETTINGS!$K$13,D266)),SETTINGS!$L$13,IF(ISNUMBER(SEARCH(SETTINGS!$K$14,D266)),SETTINGS!$L$14,IF(ISNUMBER(SEARCH(SETTINGS!$K$15,D266)),SETTINGS!$L$15,IF(ISNUMBER(SEARCH(SETTINGS!$K$16,D266)),SETTINGS!$L$16,IF(ISNUMBER(SEARCH(SETTINGS!$K$17,D266)),SETTINGS!$L$17,IF(ISNUMBER(SEARCH(SETTINGS!$K$18,D266)),SETTINGS!$L$18,"Miscellaneous"))))))))))))))))</f>
        <v/>
      </c>
      <c r="I266" s="44" t="str">
        <f t="shared" si="32"/>
        <v/>
      </c>
      <c r="J266" s="9"/>
      <c r="K266" s="9"/>
      <c r="L266" s="9"/>
      <c r="M266" s="9"/>
      <c r="N266" s="9"/>
      <c r="O266" s="9"/>
      <c r="P266" s="13"/>
      <c r="Q266" s="9"/>
      <c r="R266" s="9"/>
      <c r="S266" s="9"/>
      <c r="T266" s="11"/>
      <c r="U266" s="44" t="str">
        <f t="shared" si="33"/>
        <v/>
      </c>
      <c r="V266" s="44" t="str">
        <f t="shared" si="34"/>
        <v/>
      </c>
      <c r="W266" s="44" t="str">
        <f t="shared" si="35"/>
        <v/>
      </c>
      <c r="X266" s="44" t="str">
        <f t="shared" si="36"/>
        <v/>
      </c>
      <c r="Y266" s="44" t="str">
        <f t="shared" si="37"/>
        <v/>
      </c>
      <c r="Z266" s="44" t="str">
        <f t="shared" si="38"/>
        <v/>
      </c>
      <c r="AA266" s="50" t="str">
        <f t="shared" si="39"/>
        <v/>
      </c>
      <c r="AB266" s="50" t="str">
        <f>IF(OR(B266="",C266&lt;&gt;"Expense"),"",IF(E266&gt;IFERROR(AVERAGEIFS($E$8:$E$1007,$I$8:$I$1007,I266,$C$8:$C$1007,"Expense")*SETTINGS!$B$20,0),"Unusually High","Normal"))</f>
        <v/>
      </c>
      <c r="AC266" s="51"/>
      <c r="AD266" s="51"/>
      <c r="AE266" s="51"/>
      <c r="AF266" s="50" t="str">
        <f>IF(A266&lt;&gt;"Yes","No",IF(AND(AC266="Yes",SETTINGS!$B$16="No"),"No","Yes"))</f>
        <v>No</v>
      </c>
      <c r="AG266" s="50" t="str">
        <f>IF(A266&lt;&gt;"Yes","",IF(OR(B266="",D266="",E266&lt;=0,F266="",I266=""),"Check Required Fields",IF(AA266="Possible Duplicate","Possible Duplicate",IF(E266&gt;SETTINGS!$B$22,"Review Extreme Value","OK"))))</f>
        <v/>
      </c>
    </row>
    <row r="267" spans="1:33" ht="14.4">
      <c r="A267" s="9"/>
      <c r="B267" s="13"/>
      <c r="C267" s="9"/>
      <c r="D267" s="9"/>
      <c r="E267" s="11"/>
      <c r="F267" s="9"/>
      <c r="G267" s="9"/>
      <c r="H267" s="44" t="str">
        <f>IF(D267="","",IF(ISNUMBER(SEARCH(SETTINGS!$K$4,D267)),SETTINGS!$L$4,IF(ISNUMBER(SEARCH(SETTINGS!$K$5,D267)),SETTINGS!$L$5,IF(ISNUMBER(SEARCH(SETTINGS!$K$6,D267)),SETTINGS!$L$6,IF(ISNUMBER(SEARCH(SETTINGS!$K$7,D267)),SETTINGS!$L$7,IF(ISNUMBER(SEARCH(SETTINGS!$K$8,D267)),SETTINGS!$L$8,IF(ISNUMBER(SEARCH(SETTINGS!$K$9,D267)),SETTINGS!$L$9,IF(ISNUMBER(SEARCH(SETTINGS!$K$10,D267)),SETTINGS!$L$10,IF(ISNUMBER(SEARCH(SETTINGS!$K$11,D267)),SETTINGS!$L$11,IF(ISNUMBER(SEARCH(SETTINGS!$K$12,D267)),SETTINGS!$L$12,IF(ISNUMBER(SEARCH(SETTINGS!$K$13,D267)),SETTINGS!$L$13,IF(ISNUMBER(SEARCH(SETTINGS!$K$14,D267)),SETTINGS!$L$14,IF(ISNUMBER(SEARCH(SETTINGS!$K$15,D267)),SETTINGS!$L$15,IF(ISNUMBER(SEARCH(SETTINGS!$K$16,D267)),SETTINGS!$L$16,IF(ISNUMBER(SEARCH(SETTINGS!$K$17,D267)),SETTINGS!$L$17,IF(ISNUMBER(SEARCH(SETTINGS!$K$18,D267)),SETTINGS!$L$18,"Miscellaneous"))))))))))))))))</f>
        <v/>
      </c>
      <c r="I267" s="44" t="str">
        <f t="shared" si="32"/>
        <v/>
      </c>
      <c r="J267" s="9"/>
      <c r="K267" s="9"/>
      <c r="L267" s="9"/>
      <c r="M267" s="9"/>
      <c r="N267" s="9"/>
      <c r="O267" s="9"/>
      <c r="P267" s="13"/>
      <c r="Q267" s="9"/>
      <c r="R267" s="9"/>
      <c r="S267" s="9"/>
      <c r="T267" s="11"/>
      <c r="U267" s="44" t="str">
        <f t="shared" si="33"/>
        <v/>
      </c>
      <c r="V267" s="44" t="str">
        <f t="shared" si="34"/>
        <v/>
      </c>
      <c r="W267" s="44" t="str">
        <f t="shared" si="35"/>
        <v/>
      </c>
      <c r="X267" s="44" t="str">
        <f t="shared" si="36"/>
        <v/>
      </c>
      <c r="Y267" s="44" t="str">
        <f t="shared" si="37"/>
        <v/>
      </c>
      <c r="Z267" s="44" t="str">
        <f t="shared" si="38"/>
        <v/>
      </c>
      <c r="AA267" s="50" t="str">
        <f t="shared" si="39"/>
        <v/>
      </c>
      <c r="AB267" s="50" t="str">
        <f>IF(OR(B267="",C267&lt;&gt;"Expense"),"",IF(E267&gt;IFERROR(AVERAGEIFS($E$8:$E$1007,$I$8:$I$1007,I267,$C$8:$C$1007,"Expense")*SETTINGS!$B$20,0),"Unusually High","Normal"))</f>
        <v/>
      </c>
      <c r="AC267" s="51"/>
      <c r="AD267" s="51"/>
      <c r="AE267" s="51"/>
      <c r="AF267" s="50" t="str">
        <f>IF(A267&lt;&gt;"Yes","No",IF(AND(AC267="Yes",SETTINGS!$B$16="No"),"No","Yes"))</f>
        <v>No</v>
      </c>
      <c r="AG267" s="50" t="str">
        <f>IF(A267&lt;&gt;"Yes","",IF(OR(B267="",D267="",E267&lt;=0,F267="",I267=""),"Check Required Fields",IF(AA267="Possible Duplicate","Possible Duplicate",IF(E267&gt;SETTINGS!$B$22,"Review Extreme Value","OK"))))</f>
        <v/>
      </c>
    </row>
    <row r="268" spans="1:33" ht="14.4">
      <c r="A268" s="9"/>
      <c r="B268" s="13"/>
      <c r="C268" s="9"/>
      <c r="D268" s="9"/>
      <c r="E268" s="11"/>
      <c r="F268" s="9"/>
      <c r="G268" s="9"/>
      <c r="H268" s="44" t="str">
        <f>IF(D268="","",IF(ISNUMBER(SEARCH(SETTINGS!$K$4,D268)),SETTINGS!$L$4,IF(ISNUMBER(SEARCH(SETTINGS!$K$5,D268)),SETTINGS!$L$5,IF(ISNUMBER(SEARCH(SETTINGS!$K$6,D268)),SETTINGS!$L$6,IF(ISNUMBER(SEARCH(SETTINGS!$K$7,D268)),SETTINGS!$L$7,IF(ISNUMBER(SEARCH(SETTINGS!$K$8,D268)),SETTINGS!$L$8,IF(ISNUMBER(SEARCH(SETTINGS!$K$9,D268)),SETTINGS!$L$9,IF(ISNUMBER(SEARCH(SETTINGS!$K$10,D268)),SETTINGS!$L$10,IF(ISNUMBER(SEARCH(SETTINGS!$K$11,D268)),SETTINGS!$L$11,IF(ISNUMBER(SEARCH(SETTINGS!$K$12,D268)),SETTINGS!$L$12,IF(ISNUMBER(SEARCH(SETTINGS!$K$13,D268)),SETTINGS!$L$13,IF(ISNUMBER(SEARCH(SETTINGS!$K$14,D268)),SETTINGS!$L$14,IF(ISNUMBER(SEARCH(SETTINGS!$K$15,D268)),SETTINGS!$L$15,IF(ISNUMBER(SEARCH(SETTINGS!$K$16,D268)),SETTINGS!$L$16,IF(ISNUMBER(SEARCH(SETTINGS!$K$17,D268)),SETTINGS!$L$17,IF(ISNUMBER(SEARCH(SETTINGS!$K$18,D268)),SETTINGS!$L$18,"Miscellaneous"))))))))))))))))</f>
        <v/>
      </c>
      <c r="I268" s="44" t="str">
        <f t="shared" si="32"/>
        <v/>
      </c>
      <c r="J268" s="9"/>
      <c r="K268" s="9"/>
      <c r="L268" s="9"/>
      <c r="M268" s="9"/>
      <c r="N268" s="9"/>
      <c r="O268" s="9"/>
      <c r="P268" s="13"/>
      <c r="Q268" s="9"/>
      <c r="R268" s="9"/>
      <c r="S268" s="9"/>
      <c r="T268" s="11"/>
      <c r="U268" s="44" t="str">
        <f t="shared" si="33"/>
        <v/>
      </c>
      <c r="V268" s="44" t="str">
        <f t="shared" si="34"/>
        <v/>
      </c>
      <c r="W268" s="44" t="str">
        <f t="shared" si="35"/>
        <v/>
      </c>
      <c r="X268" s="44" t="str">
        <f t="shared" si="36"/>
        <v/>
      </c>
      <c r="Y268" s="44" t="str">
        <f t="shared" si="37"/>
        <v/>
      </c>
      <c r="Z268" s="44" t="str">
        <f t="shared" si="38"/>
        <v/>
      </c>
      <c r="AA268" s="50" t="str">
        <f t="shared" si="39"/>
        <v/>
      </c>
      <c r="AB268" s="50" t="str">
        <f>IF(OR(B268="",C268&lt;&gt;"Expense"),"",IF(E268&gt;IFERROR(AVERAGEIFS($E$8:$E$1007,$I$8:$I$1007,I268,$C$8:$C$1007,"Expense")*SETTINGS!$B$20,0),"Unusually High","Normal"))</f>
        <v/>
      </c>
      <c r="AC268" s="51"/>
      <c r="AD268" s="51"/>
      <c r="AE268" s="51"/>
      <c r="AF268" s="50" t="str">
        <f>IF(A268&lt;&gt;"Yes","No",IF(AND(AC268="Yes",SETTINGS!$B$16="No"),"No","Yes"))</f>
        <v>No</v>
      </c>
      <c r="AG268" s="50" t="str">
        <f>IF(A268&lt;&gt;"Yes","",IF(OR(B268="",D268="",E268&lt;=0,F268="",I268=""),"Check Required Fields",IF(AA268="Possible Duplicate","Possible Duplicate",IF(E268&gt;SETTINGS!$B$22,"Review Extreme Value","OK"))))</f>
        <v/>
      </c>
    </row>
    <row r="269" spans="1:33" ht="14.4">
      <c r="A269" s="9"/>
      <c r="B269" s="13"/>
      <c r="C269" s="9"/>
      <c r="D269" s="9"/>
      <c r="E269" s="11"/>
      <c r="F269" s="9"/>
      <c r="G269" s="9"/>
      <c r="H269" s="44" t="str">
        <f>IF(D269="","",IF(ISNUMBER(SEARCH(SETTINGS!$K$4,D269)),SETTINGS!$L$4,IF(ISNUMBER(SEARCH(SETTINGS!$K$5,D269)),SETTINGS!$L$5,IF(ISNUMBER(SEARCH(SETTINGS!$K$6,D269)),SETTINGS!$L$6,IF(ISNUMBER(SEARCH(SETTINGS!$K$7,D269)),SETTINGS!$L$7,IF(ISNUMBER(SEARCH(SETTINGS!$K$8,D269)),SETTINGS!$L$8,IF(ISNUMBER(SEARCH(SETTINGS!$K$9,D269)),SETTINGS!$L$9,IF(ISNUMBER(SEARCH(SETTINGS!$K$10,D269)),SETTINGS!$L$10,IF(ISNUMBER(SEARCH(SETTINGS!$K$11,D269)),SETTINGS!$L$11,IF(ISNUMBER(SEARCH(SETTINGS!$K$12,D269)),SETTINGS!$L$12,IF(ISNUMBER(SEARCH(SETTINGS!$K$13,D269)),SETTINGS!$L$13,IF(ISNUMBER(SEARCH(SETTINGS!$K$14,D269)),SETTINGS!$L$14,IF(ISNUMBER(SEARCH(SETTINGS!$K$15,D269)),SETTINGS!$L$15,IF(ISNUMBER(SEARCH(SETTINGS!$K$16,D269)),SETTINGS!$L$16,IF(ISNUMBER(SEARCH(SETTINGS!$K$17,D269)),SETTINGS!$L$17,IF(ISNUMBER(SEARCH(SETTINGS!$K$18,D269)),SETTINGS!$L$18,"Miscellaneous"))))))))))))))))</f>
        <v/>
      </c>
      <c r="I269" s="44" t="str">
        <f t="shared" si="32"/>
        <v/>
      </c>
      <c r="J269" s="9"/>
      <c r="K269" s="9"/>
      <c r="L269" s="9"/>
      <c r="M269" s="9"/>
      <c r="N269" s="9"/>
      <c r="O269" s="9"/>
      <c r="P269" s="13"/>
      <c r="Q269" s="9"/>
      <c r="R269" s="9"/>
      <c r="S269" s="9"/>
      <c r="T269" s="11"/>
      <c r="U269" s="44" t="str">
        <f t="shared" si="33"/>
        <v/>
      </c>
      <c r="V269" s="44" t="str">
        <f t="shared" si="34"/>
        <v/>
      </c>
      <c r="W269" s="44" t="str">
        <f t="shared" si="35"/>
        <v/>
      </c>
      <c r="X269" s="44" t="str">
        <f t="shared" si="36"/>
        <v/>
      </c>
      <c r="Y269" s="44" t="str">
        <f t="shared" si="37"/>
        <v/>
      </c>
      <c r="Z269" s="44" t="str">
        <f t="shared" si="38"/>
        <v/>
      </c>
      <c r="AA269" s="50" t="str">
        <f t="shared" si="39"/>
        <v/>
      </c>
      <c r="AB269" s="50" t="str">
        <f>IF(OR(B269="",C269&lt;&gt;"Expense"),"",IF(E269&gt;IFERROR(AVERAGEIFS($E$8:$E$1007,$I$8:$I$1007,I269,$C$8:$C$1007,"Expense")*SETTINGS!$B$20,0),"Unusually High","Normal"))</f>
        <v/>
      </c>
      <c r="AC269" s="51"/>
      <c r="AD269" s="51"/>
      <c r="AE269" s="51"/>
      <c r="AF269" s="50" t="str">
        <f>IF(A269&lt;&gt;"Yes","No",IF(AND(AC269="Yes",SETTINGS!$B$16="No"),"No","Yes"))</f>
        <v>No</v>
      </c>
      <c r="AG269" s="50" t="str">
        <f>IF(A269&lt;&gt;"Yes","",IF(OR(B269="",D269="",E269&lt;=0,F269="",I269=""),"Check Required Fields",IF(AA269="Possible Duplicate","Possible Duplicate",IF(E269&gt;SETTINGS!$B$22,"Review Extreme Value","OK"))))</f>
        <v/>
      </c>
    </row>
    <row r="270" spans="1:33" ht="14.4">
      <c r="A270" s="9"/>
      <c r="B270" s="13"/>
      <c r="C270" s="9"/>
      <c r="D270" s="9"/>
      <c r="E270" s="11"/>
      <c r="F270" s="9"/>
      <c r="G270" s="9"/>
      <c r="H270" s="44" t="str">
        <f>IF(D270="","",IF(ISNUMBER(SEARCH(SETTINGS!$K$4,D270)),SETTINGS!$L$4,IF(ISNUMBER(SEARCH(SETTINGS!$K$5,D270)),SETTINGS!$L$5,IF(ISNUMBER(SEARCH(SETTINGS!$K$6,D270)),SETTINGS!$L$6,IF(ISNUMBER(SEARCH(SETTINGS!$K$7,D270)),SETTINGS!$L$7,IF(ISNUMBER(SEARCH(SETTINGS!$K$8,D270)),SETTINGS!$L$8,IF(ISNUMBER(SEARCH(SETTINGS!$K$9,D270)),SETTINGS!$L$9,IF(ISNUMBER(SEARCH(SETTINGS!$K$10,D270)),SETTINGS!$L$10,IF(ISNUMBER(SEARCH(SETTINGS!$K$11,D270)),SETTINGS!$L$11,IF(ISNUMBER(SEARCH(SETTINGS!$K$12,D270)),SETTINGS!$L$12,IF(ISNUMBER(SEARCH(SETTINGS!$K$13,D270)),SETTINGS!$L$13,IF(ISNUMBER(SEARCH(SETTINGS!$K$14,D270)),SETTINGS!$L$14,IF(ISNUMBER(SEARCH(SETTINGS!$K$15,D270)),SETTINGS!$L$15,IF(ISNUMBER(SEARCH(SETTINGS!$K$16,D270)),SETTINGS!$L$16,IF(ISNUMBER(SEARCH(SETTINGS!$K$17,D270)),SETTINGS!$L$17,IF(ISNUMBER(SEARCH(SETTINGS!$K$18,D270)),SETTINGS!$L$18,"Miscellaneous"))))))))))))))))</f>
        <v/>
      </c>
      <c r="I270" s="44" t="str">
        <f t="shared" si="32"/>
        <v/>
      </c>
      <c r="J270" s="9"/>
      <c r="K270" s="9"/>
      <c r="L270" s="9"/>
      <c r="M270" s="9"/>
      <c r="N270" s="9"/>
      <c r="O270" s="9"/>
      <c r="P270" s="13"/>
      <c r="Q270" s="9"/>
      <c r="R270" s="9"/>
      <c r="S270" s="9"/>
      <c r="T270" s="11"/>
      <c r="U270" s="44" t="str">
        <f t="shared" si="33"/>
        <v/>
      </c>
      <c r="V270" s="44" t="str">
        <f t="shared" si="34"/>
        <v/>
      </c>
      <c r="W270" s="44" t="str">
        <f t="shared" si="35"/>
        <v/>
      </c>
      <c r="X270" s="44" t="str">
        <f t="shared" si="36"/>
        <v/>
      </c>
      <c r="Y270" s="44" t="str">
        <f t="shared" si="37"/>
        <v/>
      </c>
      <c r="Z270" s="44" t="str">
        <f t="shared" si="38"/>
        <v/>
      </c>
      <c r="AA270" s="50" t="str">
        <f t="shared" si="39"/>
        <v/>
      </c>
      <c r="AB270" s="50" t="str">
        <f>IF(OR(B270="",C270&lt;&gt;"Expense"),"",IF(E270&gt;IFERROR(AVERAGEIFS($E$8:$E$1007,$I$8:$I$1007,I270,$C$8:$C$1007,"Expense")*SETTINGS!$B$20,0),"Unusually High","Normal"))</f>
        <v/>
      </c>
      <c r="AC270" s="51"/>
      <c r="AD270" s="51"/>
      <c r="AE270" s="51"/>
      <c r="AF270" s="50" t="str">
        <f>IF(A270&lt;&gt;"Yes","No",IF(AND(AC270="Yes",SETTINGS!$B$16="No"),"No","Yes"))</f>
        <v>No</v>
      </c>
      <c r="AG270" s="50" t="str">
        <f>IF(A270&lt;&gt;"Yes","",IF(OR(B270="",D270="",E270&lt;=0,F270="",I270=""),"Check Required Fields",IF(AA270="Possible Duplicate","Possible Duplicate",IF(E270&gt;SETTINGS!$B$22,"Review Extreme Value","OK"))))</f>
        <v/>
      </c>
    </row>
    <row r="271" spans="1:33" ht="14.4">
      <c r="A271" s="9"/>
      <c r="B271" s="13"/>
      <c r="C271" s="9"/>
      <c r="D271" s="9"/>
      <c r="E271" s="11"/>
      <c r="F271" s="9"/>
      <c r="G271" s="9"/>
      <c r="H271" s="44" t="str">
        <f>IF(D271="","",IF(ISNUMBER(SEARCH(SETTINGS!$K$4,D271)),SETTINGS!$L$4,IF(ISNUMBER(SEARCH(SETTINGS!$K$5,D271)),SETTINGS!$L$5,IF(ISNUMBER(SEARCH(SETTINGS!$K$6,D271)),SETTINGS!$L$6,IF(ISNUMBER(SEARCH(SETTINGS!$K$7,D271)),SETTINGS!$L$7,IF(ISNUMBER(SEARCH(SETTINGS!$K$8,D271)),SETTINGS!$L$8,IF(ISNUMBER(SEARCH(SETTINGS!$K$9,D271)),SETTINGS!$L$9,IF(ISNUMBER(SEARCH(SETTINGS!$K$10,D271)),SETTINGS!$L$10,IF(ISNUMBER(SEARCH(SETTINGS!$K$11,D271)),SETTINGS!$L$11,IF(ISNUMBER(SEARCH(SETTINGS!$K$12,D271)),SETTINGS!$L$12,IF(ISNUMBER(SEARCH(SETTINGS!$K$13,D271)),SETTINGS!$L$13,IF(ISNUMBER(SEARCH(SETTINGS!$K$14,D271)),SETTINGS!$L$14,IF(ISNUMBER(SEARCH(SETTINGS!$K$15,D271)),SETTINGS!$L$15,IF(ISNUMBER(SEARCH(SETTINGS!$K$16,D271)),SETTINGS!$L$16,IF(ISNUMBER(SEARCH(SETTINGS!$K$17,D271)),SETTINGS!$L$17,IF(ISNUMBER(SEARCH(SETTINGS!$K$18,D271)),SETTINGS!$L$18,"Miscellaneous"))))))))))))))))</f>
        <v/>
      </c>
      <c r="I271" s="44" t="str">
        <f t="shared" si="32"/>
        <v/>
      </c>
      <c r="J271" s="9"/>
      <c r="K271" s="9"/>
      <c r="L271" s="9"/>
      <c r="M271" s="9"/>
      <c r="N271" s="9"/>
      <c r="O271" s="9"/>
      <c r="P271" s="13"/>
      <c r="Q271" s="9"/>
      <c r="R271" s="9"/>
      <c r="S271" s="9"/>
      <c r="T271" s="11"/>
      <c r="U271" s="44" t="str">
        <f t="shared" si="33"/>
        <v/>
      </c>
      <c r="V271" s="44" t="str">
        <f t="shared" si="34"/>
        <v/>
      </c>
      <c r="W271" s="44" t="str">
        <f t="shared" si="35"/>
        <v/>
      </c>
      <c r="X271" s="44" t="str">
        <f t="shared" si="36"/>
        <v/>
      </c>
      <c r="Y271" s="44" t="str">
        <f t="shared" si="37"/>
        <v/>
      </c>
      <c r="Z271" s="44" t="str">
        <f t="shared" si="38"/>
        <v/>
      </c>
      <c r="AA271" s="50" t="str">
        <f t="shared" si="39"/>
        <v/>
      </c>
      <c r="AB271" s="50" t="str">
        <f>IF(OR(B271="",C271&lt;&gt;"Expense"),"",IF(E271&gt;IFERROR(AVERAGEIFS($E$8:$E$1007,$I$8:$I$1007,I271,$C$8:$C$1007,"Expense")*SETTINGS!$B$20,0),"Unusually High","Normal"))</f>
        <v/>
      </c>
      <c r="AC271" s="51"/>
      <c r="AD271" s="51"/>
      <c r="AE271" s="51"/>
      <c r="AF271" s="50" t="str">
        <f>IF(A271&lt;&gt;"Yes","No",IF(AND(AC271="Yes",SETTINGS!$B$16="No"),"No","Yes"))</f>
        <v>No</v>
      </c>
      <c r="AG271" s="50" t="str">
        <f>IF(A271&lt;&gt;"Yes","",IF(OR(B271="",D271="",E271&lt;=0,F271="",I271=""),"Check Required Fields",IF(AA271="Possible Duplicate","Possible Duplicate",IF(E271&gt;SETTINGS!$B$22,"Review Extreme Value","OK"))))</f>
        <v/>
      </c>
    </row>
    <row r="272" spans="1:33" ht="14.4">
      <c r="A272" s="9"/>
      <c r="B272" s="13"/>
      <c r="C272" s="9"/>
      <c r="D272" s="9"/>
      <c r="E272" s="11"/>
      <c r="F272" s="9"/>
      <c r="G272" s="9"/>
      <c r="H272" s="44" t="str">
        <f>IF(D272="","",IF(ISNUMBER(SEARCH(SETTINGS!$K$4,D272)),SETTINGS!$L$4,IF(ISNUMBER(SEARCH(SETTINGS!$K$5,D272)),SETTINGS!$L$5,IF(ISNUMBER(SEARCH(SETTINGS!$K$6,D272)),SETTINGS!$L$6,IF(ISNUMBER(SEARCH(SETTINGS!$K$7,D272)),SETTINGS!$L$7,IF(ISNUMBER(SEARCH(SETTINGS!$K$8,D272)),SETTINGS!$L$8,IF(ISNUMBER(SEARCH(SETTINGS!$K$9,D272)),SETTINGS!$L$9,IF(ISNUMBER(SEARCH(SETTINGS!$K$10,D272)),SETTINGS!$L$10,IF(ISNUMBER(SEARCH(SETTINGS!$K$11,D272)),SETTINGS!$L$11,IF(ISNUMBER(SEARCH(SETTINGS!$K$12,D272)),SETTINGS!$L$12,IF(ISNUMBER(SEARCH(SETTINGS!$K$13,D272)),SETTINGS!$L$13,IF(ISNUMBER(SEARCH(SETTINGS!$K$14,D272)),SETTINGS!$L$14,IF(ISNUMBER(SEARCH(SETTINGS!$K$15,D272)),SETTINGS!$L$15,IF(ISNUMBER(SEARCH(SETTINGS!$K$16,D272)),SETTINGS!$L$16,IF(ISNUMBER(SEARCH(SETTINGS!$K$17,D272)),SETTINGS!$L$17,IF(ISNUMBER(SEARCH(SETTINGS!$K$18,D272)),SETTINGS!$L$18,"Miscellaneous"))))))))))))))))</f>
        <v/>
      </c>
      <c r="I272" s="44" t="str">
        <f t="shared" si="32"/>
        <v/>
      </c>
      <c r="J272" s="9"/>
      <c r="K272" s="9"/>
      <c r="L272" s="9"/>
      <c r="M272" s="9"/>
      <c r="N272" s="9"/>
      <c r="O272" s="9"/>
      <c r="P272" s="13"/>
      <c r="Q272" s="9"/>
      <c r="R272" s="9"/>
      <c r="S272" s="9"/>
      <c r="T272" s="11"/>
      <c r="U272" s="44" t="str">
        <f t="shared" si="33"/>
        <v/>
      </c>
      <c r="V272" s="44" t="str">
        <f t="shared" si="34"/>
        <v/>
      </c>
      <c r="W272" s="44" t="str">
        <f t="shared" si="35"/>
        <v/>
      </c>
      <c r="X272" s="44" t="str">
        <f t="shared" si="36"/>
        <v/>
      </c>
      <c r="Y272" s="44" t="str">
        <f t="shared" si="37"/>
        <v/>
      </c>
      <c r="Z272" s="44" t="str">
        <f t="shared" si="38"/>
        <v/>
      </c>
      <c r="AA272" s="50" t="str">
        <f t="shared" si="39"/>
        <v/>
      </c>
      <c r="AB272" s="50" t="str">
        <f>IF(OR(B272="",C272&lt;&gt;"Expense"),"",IF(E272&gt;IFERROR(AVERAGEIFS($E$8:$E$1007,$I$8:$I$1007,I272,$C$8:$C$1007,"Expense")*SETTINGS!$B$20,0),"Unusually High","Normal"))</f>
        <v/>
      </c>
      <c r="AC272" s="51"/>
      <c r="AD272" s="51"/>
      <c r="AE272" s="51"/>
      <c r="AF272" s="50" t="str">
        <f>IF(A272&lt;&gt;"Yes","No",IF(AND(AC272="Yes",SETTINGS!$B$16="No"),"No","Yes"))</f>
        <v>No</v>
      </c>
      <c r="AG272" s="50" t="str">
        <f>IF(A272&lt;&gt;"Yes","",IF(OR(B272="",D272="",E272&lt;=0,F272="",I272=""),"Check Required Fields",IF(AA272="Possible Duplicate","Possible Duplicate",IF(E272&gt;SETTINGS!$B$22,"Review Extreme Value","OK"))))</f>
        <v/>
      </c>
    </row>
    <row r="273" spans="1:33" ht="14.4">
      <c r="A273" s="9"/>
      <c r="B273" s="13"/>
      <c r="C273" s="9"/>
      <c r="D273" s="9"/>
      <c r="E273" s="11"/>
      <c r="F273" s="9"/>
      <c r="G273" s="9"/>
      <c r="H273" s="44" t="str">
        <f>IF(D273="","",IF(ISNUMBER(SEARCH(SETTINGS!$K$4,D273)),SETTINGS!$L$4,IF(ISNUMBER(SEARCH(SETTINGS!$K$5,D273)),SETTINGS!$L$5,IF(ISNUMBER(SEARCH(SETTINGS!$K$6,D273)),SETTINGS!$L$6,IF(ISNUMBER(SEARCH(SETTINGS!$K$7,D273)),SETTINGS!$L$7,IF(ISNUMBER(SEARCH(SETTINGS!$K$8,D273)),SETTINGS!$L$8,IF(ISNUMBER(SEARCH(SETTINGS!$K$9,D273)),SETTINGS!$L$9,IF(ISNUMBER(SEARCH(SETTINGS!$K$10,D273)),SETTINGS!$L$10,IF(ISNUMBER(SEARCH(SETTINGS!$K$11,D273)),SETTINGS!$L$11,IF(ISNUMBER(SEARCH(SETTINGS!$K$12,D273)),SETTINGS!$L$12,IF(ISNUMBER(SEARCH(SETTINGS!$K$13,D273)),SETTINGS!$L$13,IF(ISNUMBER(SEARCH(SETTINGS!$K$14,D273)),SETTINGS!$L$14,IF(ISNUMBER(SEARCH(SETTINGS!$K$15,D273)),SETTINGS!$L$15,IF(ISNUMBER(SEARCH(SETTINGS!$K$16,D273)),SETTINGS!$L$16,IF(ISNUMBER(SEARCH(SETTINGS!$K$17,D273)),SETTINGS!$L$17,IF(ISNUMBER(SEARCH(SETTINGS!$K$18,D273)),SETTINGS!$L$18,"Miscellaneous"))))))))))))))))</f>
        <v/>
      </c>
      <c r="I273" s="44" t="str">
        <f t="shared" si="32"/>
        <v/>
      </c>
      <c r="J273" s="9"/>
      <c r="K273" s="9"/>
      <c r="L273" s="9"/>
      <c r="M273" s="9"/>
      <c r="N273" s="9"/>
      <c r="O273" s="9"/>
      <c r="P273" s="13"/>
      <c r="Q273" s="9"/>
      <c r="R273" s="9"/>
      <c r="S273" s="9"/>
      <c r="T273" s="11"/>
      <c r="U273" s="44" t="str">
        <f t="shared" si="33"/>
        <v/>
      </c>
      <c r="V273" s="44" t="str">
        <f t="shared" si="34"/>
        <v/>
      </c>
      <c r="W273" s="44" t="str">
        <f t="shared" si="35"/>
        <v/>
      </c>
      <c r="X273" s="44" t="str">
        <f t="shared" si="36"/>
        <v/>
      </c>
      <c r="Y273" s="44" t="str">
        <f t="shared" si="37"/>
        <v/>
      </c>
      <c r="Z273" s="44" t="str">
        <f t="shared" si="38"/>
        <v/>
      </c>
      <c r="AA273" s="50" t="str">
        <f t="shared" si="39"/>
        <v/>
      </c>
      <c r="AB273" s="50" t="str">
        <f>IF(OR(B273="",C273&lt;&gt;"Expense"),"",IF(E273&gt;IFERROR(AVERAGEIFS($E$8:$E$1007,$I$8:$I$1007,I273,$C$8:$C$1007,"Expense")*SETTINGS!$B$20,0),"Unusually High","Normal"))</f>
        <v/>
      </c>
      <c r="AC273" s="51"/>
      <c r="AD273" s="51"/>
      <c r="AE273" s="51"/>
      <c r="AF273" s="50" t="str">
        <f>IF(A273&lt;&gt;"Yes","No",IF(AND(AC273="Yes",SETTINGS!$B$16="No"),"No","Yes"))</f>
        <v>No</v>
      </c>
      <c r="AG273" s="50" t="str">
        <f>IF(A273&lt;&gt;"Yes","",IF(OR(B273="",D273="",E273&lt;=0,F273="",I273=""),"Check Required Fields",IF(AA273="Possible Duplicate","Possible Duplicate",IF(E273&gt;SETTINGS!$B$22,"Review Extreme Value","OK"))))</f>
        <v/>
      </c>
    </row>
    <row r="274" spans="1:33" ht="14.4">
      <c r="A274" s="9"/>
      <c r="B274" s="13"/>
      <c r="C274" s="9"/>
      <c r="D274" s="9"/>
      <c r="E274" s="11"/>
      <c r="F274" s="9"/>
      <c r="G274" s="9"/>
      <c r="H274" s="44" t="str">
        <f>IF(D274="","",IF(ISNUMBER(SEARCH(SETTINGS!$K$4,D274)),SETTINGS!$L$4,IF(ISNUMBER(SEARCH(SETTINGS!$K$5,D274)),SETTINGS!$L$5,IF(ISNUMBER(SEARCH(SETTINGS!$K$6,D274)),SETTINGS!$L$6,IF(ISNUMBER(SEARCH(SETTINGS!$K$7,D274)),SETTINGS!$L$7,IF(ISNUMBER(SEARCH(SETTINGS!$K$8,D274)),SETTINGS!$L$8,IF(ISNUMBER(SEARCH(SETTINGS!$K$9,D274)),SETTINGS!$L$9,IF(ISNUMBER(SEARCH(SETTINGS!$K$10,D274)),SETTINGS!$L$10,IF(ISNUMBER(SEARCH(SETTINGS!$K$11,D274)),SETTINGS!$L$11,IF(ISNUMBER(SEARCH(SETTINGS!$K$12,D274)),SETTINGS!$L$12,IF(ISNUMBER(SEARCH(SETTINGS!$K$13,D274)),SETTINGS!$L$13,IF(ISNUMBER(SEARCH(SETTINGS!$K$14,D274)),SETTINGS!$L$14,IF(ISNUMBER(SEARCH(SETTINGS!$K$15,D274)),SETTINGS!$L$15,IF(ISNUMBER(SEARCH(SETTINGS!$K$16,D274)),SETTINGS!$L$16,IF(ISNUMBER(SEARCH(SETTINGS!$K$17,D274)),SETTINGS!$L$17,IF(ISNUMBER(SEARCH(SETTINGS!$K$18,D274)),SETTINGS!$L$18,"Miscellaneous"))))))))))))))))</f>
        <v/>
      </c>
      <c r="I274" s="44" t="str">
        <f t="shared" si="32"/>
        <v/>
      </c>
      <c r="J274" s="9"/>
      <c r="K274" s="9"/>
      <c r="L274" s="9"/>
      <c r="M274" s="9"/>
      <c r="N274" s="9"/>
      <c r="O274" s="9"/>
      <c r="P274" s="13"/>
      <c r="Q274" s="9"/>
      <c r="R274" s="9"/>
      <c r="S274" s="9"/>
      <c r="T274" s="11"/>
      <c r="U274" s="44" t="str">
        <f t="shared" si="33"/>
        <v/>
      </c>
      <c r="V274" s="44" t="str">
        <f t="shared" si="34"/>
        <v/>
      </c>
      <c r="W274" s="44" t="str">
        <f t="shared" si="35"/>
        <v/>
      </c>
      <c r="X274" s="44" t="str">
        <f t="shared" si="36"/>
        <v/>
      </c>
      <c r="Y274" s="44" t="str">
        <f t="shared" si="37"/>
        <v/>
      </c>
      <c r="Z274" s="44" t="str">
        <f t="shared" si="38"/>
        <v/>
      </c>
      <c r="AA274" s="50" t="str">
        <f t="shared" si="39"/>
        <v/>
      </c>
      <c r="AB274" s="50" t="str">
        <f>IF(OR(B274="",C274&lt;&gt;"Expense"),"",IF(E274&gt;IFERROR(AVERAGEIFS($E$8:$E$1007,$I$8:$I$1007,I274,$C$8:$C$1007,"Expense")*SETTINGS!$B$20,0),"Unusually High","Normal"))</f>
        <v/>
      </c>
      <c r="AC274" s="51"/>
      <c r="AD274" s="51"/>
      <c r="AE274" s="51"/>
      <c r="AF274" s="50" t="str">
        <f>IF(A274&lt;&gt;"Yes","No",IF(AND(AC274="Yes",SETTINGS!$B$16="No"),"No","Yes"))</f>
        <v>No</v>
      </c>
      <c r="AG274" s="50" t="str">
        <f>IF(A274&lt;&gt;"Yes","",IF(OR(B274="",D274="",E274&lt;=0,F274="",I274=""),"Check Required Fields",IF(AA274="Possible Duplicate","Possible Duplicate",IF(E274&gt;SETTINGS!$B$22,"Review Extreme Value","OK"))))</f>
        <v/>
      </c>
    </row>
    <row r="275" spans="1:33" ht="14.4">
      <c r="A275" s="9"/>
      <c r="B275" s="13"/>
      <c r="C275" s="9"/>
      <c r="D275" s="9"/>
      <c r="E275" s="11"/>
      <c r="F275" s="9"/>
      <c r="G275" s="9"/>
      <c r="H275" s="44" t="str">
        <f>IF(D275="","",IF(ISNUMBER(SEARCH(SETTINGS!$K$4,D275)),SETTINGS!$L$4,IF(ISNUMBER(SEARCH(SETTINGS!$K$5,D275)),SETTINGS!$L$5,IF(ISNUMBER(SEARCH(SETTINGS!$K$6,D275)),SETTINGS!$L$6,IF(ISNUMBER(SEARCH(SETTINGS!$K$7,D275)),SETTINGS!$L$7,IF(ISNUMBER(SEARCH(SETTINGS!$K$8,D275)),SETTINGS!$L$8,IF(ISNUMBER(SEARCH(SETTINGS!$K$9,D275)),SETTINGS!$L$9,IF(ISNUMBER(SEARCH(SETTINGS!$K$10,D275)),SETTINGS!$L$10,IF(ISNUMBER(SEARCH(SETTINGS!$K$11,D275)),SETTINGS!$L$11,IF(ISNUMBER(SEARCH(SETTINGS!$K$12,D275)),SETTINGS!$L$12,IF(ISNUMBER(SEARCH(SETTINGS!$K$13,D275)),SETTINGS!$L$13,IF(ISNUMBER(SEARCH(SETTINGS!$K$14,D275)),SETTINGS!$L$14,IF(ISNUMBER(SEARCH(SETTINGS!$K$15,D275)),SETTINGS!$L$15,IF(ISNUMBER(SEARCH(SETTINGS!$K$16,D275)),SETTINGS!$L$16,IF(ISNUMBER(SEARCH(SETTINGS!$K$17,D275)),SETTINGS!$L$17,IF(ISNUMBER(SEARCH(SETTINGS!$K$18,D275)),SETTINGS!$L$18,"Miscellaneous"))))))))))))))))</f>
        <v/>
      </c>
      <c r="I275" s="44" t="str">
        <f t="shared" si="32"/>
        <v/>
      </c>
      <c r="J275" s="9"/>
      <c r="K275" s="9"/>
      <c r="L275" s="9"/>
      <c r="M275" s="9"/>
      <c r="N275" s="9"/>
      <c r="O275" s="9"/>
      <c r="P275" s="13"/>
      <c r="Q275" s="9"/>
      <c r="R275" s="9"/>
      <c r="S275" s="9"/>
      <c r="T275" s="11"/>
      <c r="U275" s="44" t="str">
        <f t="shared" si="33"/>
        <v/>
      </c>
      <c r="V275" s="44" t="str">
        <f t="shared" si="34"/>
        <v/>
      </c>
      <c r="W275" s="44" t="str">
        <f t="shared" si="35"/>
        <v/>
      </c>
      <c r="X275" s="44" t="str">
        <f t="shared" si="36"/>
        <v/>
      </c>
      <c r="Y275" s="44" t="str">
        <f t="shared" si="37"/>
        <v/>
      </c>
      <c r="Z275" s="44" t="str">
        <f t="shared" si="38"/>
        <v/>
      </c>
      <c r="AA275" s="50" t="str">
        <f t="shared" si="39"/>
        <v/>
      </c>
      <c r="AB275" s="50" t="str">
        <f>IF(OR(B275="",C275&lt;&gt;"Expense"),"",IF(E275&gt;IFERROR(AVERAGEIFS($E$8:$E$1007,$I$8:$I$1007,I275,$C$8:$C$1007,"Expense")*SETTINGS!$B$20,0),"Unusually High","Normal"))</f>
        <v/>
      </c>
      <c r="AC275" s="51"/>
      <c r="AD275" s="51"/>
      <c r="AE275" s="51"/>
      <c r="AF275" s="50" t="str">
        <f>IF(A275&lt;&gt;"Yes","No",IF(AND(AC275="Yes",SETTINGS!$B$16="No"),"No","Yes"))</f>
        <v>No</v>
      </c>
      <c r="AG275" s="50" t="str">
        <f>IF(A275&lt;&gt;"Yes","",IF(OR(B275="",D275="",E275&lt;=0,F275="",I275=""),"Check Required Fields",IF(AA275="Possible Duplicate","Possible Duplicate",IF(E275&gt;SETTINGS!$B$22,"Review Extreme Value","OK"))))</f>
        <v/>
      </c>
    </row>
    <row r="276" spans="1:33" ht="14.4">
      <c r="A276" s="9"/>
      <c r="B276" s="13"/>
      <c r="C276" s="9"/>
      <c r="D276" s="9"/>
      <c r="E276" s="11"/>
      <c r="F276" s="9"/>
      <c r="G276" s="9"/>
      <c r="H276" s="44" t="str">
        <f>IF(D276="","",IF(ISNUMBER(SEARCH(SETTINGS!$K$4,D276)),SETTINGS!$L$4,IF(ISNUMBER(SEARCH(SETTINGS!$K$5,D276)),SETTINGS!$L$5,IF(ISNUMBER(SEARCH(SETTINGS!$K$6,D276)),SETTINGS!$L$6,IF(ISNUMBER(SEARCH(SETTINGS!$K$7,D276)),SETTINGS!$L$7,IF(ISNUMBER(SEARCH(SETTINGS!$K$8,D276)),SETTINGS!$L$8,IF(ISNUMBER(SEARCH(SETTINGS!$K$9,D276)),SETTINGS!$L$9,IF(ISNUMBER(SEARCH(SETTINGS!$K$10,D276)),SETTINGS!$L$10,IF(ISNUMBER(SEARCH(SETTINGS!$K$11,D276)),SETTINGS!$L$11,IF(ISNUMBER(SEARCH(SETTINGS!$K$12,D276)),SETTINGS!$L$12,IF(ISNUMBER(SEARCH(SETTINGS!$K$13,D276)),SETTINGS!$L$13,IF(ISNUMBER(SEARCH(SETTINGS!$K$14,D276)),SETTINGS!$L$14,IF(ISNUMBER(SEARCH(SETTINGS!$K$15,D276)),SETTINGS!$L$15,IF(ISNUMBER(SEARCH(SETTINGS!$K$16,D276)),SETTINGS!$L$16,IF(ISNUMBER(SEARCH(SETTINGS!$K$17,D276)),SETTINGS!$L$17,IF(ISNUMBER(SEARCH(SETTINGS!$K$18,D276)),SETTINGS!$L$18,"Miscellaneous"))))))))))))))))</f>
        <v/>
      </c>
      <c r="I276" s="44" t="str">
        <f t="shared" si="32"/>
        <v/>
      </c>
      <c r="J276" s="9"/>
      <c r="K276" s="9"/>
      <c r="L276" s="9"/>
      <c r="M276" s="9"/>
      <c r="N276" s="9"/>
      <c r="O276" s="9"/>
      <c r="P276" s="13"/>
      <c r="Q276" s="9"/>
      <c r="R276" s="9"/>
      <c r="S276" s="9"/>
      <c r="T276" s="11"/>
      <c r="U276" s="44" t="str">
        <f t="shared" si="33"/>
        <v/>
      </c>
      <c r="V276" s="44" t="str">
        <f t="shared" si="34"/>
        <v/>
      </c>
      <c r="W276" s="44" t="str">
        <f t="shared" si="35"/>
        <v/>
      </c>
      <c r="X276" s="44" t="str">
        <f t="shared" si="36"/>
        <v/>
      </c>
      <c r="Y276" s="44" t="str">
        <f t="shared" si="37"/>
        <v/>
      </c>
      <c r="Z276" s="44" t="str">
        <f t="shared" si="38"/>
        <v/>
      </c>
      <c r="AA276" s="50" t="str">
        <f t="shared" si="39"/>
        <v/>
      </c>
      <c r="AB276" s="50" t="str">
        <f>IF(OR(B276="",C276&lt;&gt;"Expense"),"",IF(E276&gt;IFERROR(AVERAGEIFS($E$8:$E$1007,$I$8:$I$1007,I276,$C$8:$C$1007,"Expense")*SETTINGS!$B$20,0),"Unusually High","Normal"))</f>
        <v/>
      </c>
      <c r="AC276" s="51"/>
      <c r="AD276" s="51"/>
      <c r="AE276" s="51"/>
      <c r="AF276" s="50" t="str">
        <f>IF(A276&lt;&gt;"Yes","No",IF(AND(AC276="Yes",SETTINGS!$B$16="No"),"No","Yes"))</f>
        <v>No</v>
      </c>
      <c r="AG276" s="50" t="str">
        <f>IF(A276&lt;&gt;"Yes","",IF(OR(B276="",D276="",E276&lt;=0,F276="",I276=""),"Check Required Fields",IF(AA276="Possible Duplicate","Possible Duplicate",IF(E276&gt;SETTINGS!$B$22,"Review Extreme Value","OK"))))</f>
        <v/>
      </c>
    </row>
    <row r="277" spans="1:33" ht="14.4">
      <c r="A277" s="9"/>
      <c r="B277" s="13"/>
      <c r="C277" s="9"/>
      <c r="D277" s="9"/>
      <c r="E277" s="11"/>
      <c r="F277" s="9"/>
      <c r="G277" s="9"/>
      <c r="H277" s="44" t="str">
        <f>IF(D277="","",IF(ISNUMBER(SEARCH(SETTINGS!$K$4,D277)),SETTINGS!$L$4,IF(ISNUMBER(SEARCH(SETTINGS!$K$5,D277)),SETTINGS!$L$5,IF(ISNUMBER(SEARCH(SETTINGS!$K$6,D277)),SETTINGS!$L$6,IF(ISNUMBER(SEARCH(SETTINGS!$K$7,D277)),SETTINGS!$L$7,IF(ISNUMBER(SEARCH(SETTINGS!$K$8,D277)),SETTINGS!$L$8,IF(ISNUMBER(SEARCH(SETTINGS!$K$9,D277)),SETTINGS!$L$9,IF(ISNUMBER(SEARCH(SETTINGS!$K$10,D277)),SETTINGS!$L$10,IF(ISNUMBER(SEARCH(SETTINGS!$K$11,D277)),SETTINGS!$L$11,IF(ISNUMBER(SEARCH(SETTINGS!$K$12,D277)),SETTINGS!$L$12,IF(ISNUMBER(SEARCH(SETTINGS!$K$13,D277)),SETTINGS!$L$13,IF(ISNUMBER(SEARCH(SETTINGS!$K$14,D277)),SETTINGS!$L$14,IF(ISNUMBER(SEARCH(SETTINGS!$K$15,D277)),SETTINGS!$L$15,IF(ISNUMBER(SEARCH(SETTINGS!$K$16,D277)),SETTINGS!$L$16,IF(ISNUMBER(SEARCH(SETTINGS!$K$17,D277)),SETTINGS!$L$17,IF(ISNUMBER(SEARCH(SETTINGS!$K$18,D277)),SETTINGS!$L$18,"Miscellaneous"))))))))))))))))</f>
        <v/>
      </c>
      <c r="I277" s="44" t="str">
        <f t="shared" si="32"/>
        <v/>
      </c>
      <c r="J277" s="9"/>
      <c r="K277" s="9"/>
      <c r="L277" s="9"/>
      <c r="M277" s="9"/>
      <c r="N277" s="9"/>
      <c r="O277" s="9"/>
      <c r="P277" s="13"/>
      <c r="Q277" s="9"/>
      <c r="R277" s="9"/>
      <c r="S277" s="9"/>
      <c r="T277" s="11"/>
      <c r="U277" s="44" t="str">
        <f t="shared" si="33"/>
        <v/>
      </c>
      <c r="V277" s="44" t="str">
        <f t="shared" si="34"/>
        <v/>
      </c>
      <c r="W277" s="44" t="str">
        <f t="shared" si="35"/>
        <v/>
      </c>
      <c r="X277" s="44" t="str">
        <f t="shared" si="36"/>
        <v/>
      </c>
      <c r="Y277" s="44" t="str">
        <f t="shared" si="37"/>
        <v/>
      </c>
      <c r="Z277" s="44" t="str">
        <f t="shared" si="38"/>
        <v/>
      </c>
      <c r="AA277" s="50" t="str">
        <f t="shared" si="39"/>
        <v/>
      </c>
      <c r="AB277" s="50" t="str">
        <f>IF(OR(B277="",C277&lt;&gt;"Expense"),"",IF(E277&gt;IFERROR(AVERAGEIFS($E$8:$E$1007,$I$8:$I$1007,I277,$C$8:$C$1007,"Expense")*SETTINGS!$B$20,0),"Unusually High","Normal"))</f>
        <v/>
      </c>
      <c r="AC277" s="51"/>
      <c r="AD277" s="51"/>
      <c r="AE277" s="51"/>
      <c r="AF277" s="50" t="str">
        <f>IF(A277&lt;&gt;"Yes","No",IF(AND(AC277="Yes",SETTINGS!$B$16="No"),"No","Yes"))</f>
        <v>No</v>
      </c>
      <c r="AG277" s="50" t="str">
        <f>IF(A277&lt;&gt;"Yes","",IF(OR(B277="",D277="",E277&lt;=0,F277="",I277=""),"Check Required Fields",IF(AA277="Possible Duplicate","Possible Duplicate",IF(E277&gt;SETTINGS!$B$22,"Review Extreme Value","OK"))))</f>
        <v/>
      </c>
    </row>
    <row r="278" spans="1:33" ht="14.4">
      <c r="A278" s="9"/>
      <c r="B278" s="13"/>
      <c r="C278" s="9"/>
      <c r="D278" s="9"/>
      <c r="E278" s="11"/>
      <c r="F278" s="9"/>
      <c r="G278" s="9"/>
      <c r="H278" s="44" t="str">
        <f>IF(D278="","",IF(ISNUMBER(SEARCH(SETTINGS!$K$4,D278)),SETTINGS!$L$4,IF(ISNUMBER(SEARCH(SETTINGS!$K$5,D278)),SETTINGS!$L$5,IF(ISNUMBER(SEARCH(SETTINGS!$K$6,D278)),SETTINGS!$L$6,IF(ISNUMBER(SEARCH(SETTINGS!$K$7,D278)),SETTINGS!$L$7,IF(ISNUMBER(SEARCH(SETTINGS!$K$8,D278)),SETTINGS!$L$8,IF(ISNUMBER(SEARCH(SETTINGS!$K$9,D278)),SETTINGS!$L$9,IF(ISNUMBER(SEARCH(SETTINGS!$K$10,D278)),SETTINGS!$L$10,IF(ISNUMBER(SEARCH(SETTINGS!$K$11,D278)),SETTINGS!$L$11,IF(ISNUMBER(SEARCH(SETTINGS!$K$12,D278)),SETTINGS!$L$12,IF(ISNUMBER(SEARCH(SETTINGS!$K$13,D278)),SETTINGS!$L$13,IF(ISNUMBER(SEARCH(SETTINGS!$K$14,D278)),SETTINGS!$L$14,IF(ISNUMBER(SEARCH(SETTINGS!$K$15,D278)),SETTINGS!$L$15,IF(ISNUMBER(SEARCH(SETTINGS!$K$16,D278)),SETTINGS!$L$16,IF(ISNUMBER(SEARCH(SETTINGS!$K$17,D278)),SETTINGS!$L$17,IF(ISNUMBER(SEARCH(SETTINGS!$K$18,D278)),SETTINGS!$L$18,"Miscellaneous"))))))))))))))))</f>
        <v/>
      </c>
      <c r="I278" s="44" t="str">
        <f t="shared" si="32"/>
        <v/>
      </c>
      <c r="J278" s="9"/>
      <c r="K278" s="9"/>
      <c r="L278" s="9"/>
      <c r="M278" s="9"/>
      <c r="N278" s="9"/>
      <c r="O278" s="9"/>
      <c r="P278" s="13"/>
      <c r="Q278" s="9"/>
      <c r="R278" s="9"/>
      <c r="S278" s="9"/>
      <c r="T278" s="11"/>
      <c r="U278" s="44" t="str">
        <f t="shared" si="33"/>
        <v/>
      </c>
      <c r="V278" s="44" t="str">
        <f t="shared" si="34"/>
        <v/>
      </c>
      <c r="W278" s="44" t="str">
        <f t="shared" si="35"/>
        <v/>
      </c>
      <c r="X278" s="44" t="str">
        <f t="shared" si="36"/>
        <v/>
      </c>
      <c r="Y278" s="44" t="str">
        <f t="shared" si="37"/>
        <v/>
      </c>
      <c r="Z278" s="44" t="str">
        <f t="shared" si="38"/>
        <v/>
      </c>
      <c r="AA278" s="50" t="str">
        <f t="shared" si="39"/>
        <v/>
      </c>
      <c r="AB278" s="50" t="str">
        <f>IF(OR(B278="",C278&lt;&gt;"Expense"),"",IF(E278&gt;IFERROR(AVERAGEIFS($E$8:$E$1007,$I$8:$I$1007,I278,$C$8:$C$1007,"Expense")*SETTINGS!$B$20,0),"Unusually High","Normal"))</f>
        <v/>
      </c>
      <c r="AC278" s="51"/>
      <c r="AD278" s="51"/>
      <c r="AE278" s="51"/>
      <c r="AF278" s="50" t="str">
        <f>IF(A278&lt;&gt;"Yes","No",IF(AND(AC278="Yes",SETTINGS!$B$16="No"),"No","Yes"))</f>
        <v>No</v>
      </c>
      <c r="AG278" s="50" t="str">
        <f>IF(A278&lt;&gt;"Yes","",IF(OR(B278="",D278="",E278&lt;=0,F278="",I278=""),"Check Required Fields",IF(AA278="Possible Duplicate","Possible Duplicate",IF(E278&gt;SETTINGS!$B$22,"Review Extreme Value","OK"))))</f>
        <v/>
      </c>
    </row>
    <row r="279" spans="1:33" ht="14.4">
      <c r="A279" s="9"/>
      <c r="B279" s="13"/>
      <c r="C279" s="9"/>
      <c r="D279" s="9"/>
      <c r="E279" s="11"/>
      <c r="F279" s="9"/>
      <c r="G279" s="9"/>
      <c r="H279" s="44" t="str">
        <f>IF(D279="","",IF(ISNUMBER(SEARCH(SETTINGS!$K$4,D279)),SETTINGS!$L$4,IF(ISNUMBER(SEARCH(SETTINGS!$K$5,D279)),SETTINGS!$L$5,IF(ISNUMBER(SEARCH(SETTINGS!$K$6,D279)),SETTINGS!$L$6,IF(ISNUMBER(SEARCH(SETTINGS!$K$7,D279)),SETTINGS!$L$7,IF(ISNUMBER(SEARCH(SETTINGS!$K$8,D279)),SETTINGS!$L$8,IF(ISNUMBER(SEARCH(SETTINGS!$K$9,D279)),SETTINGS!$L$9,IF(ISNUMBER(SEARCH(SETTINGS!$K$10,D279)),SETTINGS!$L$10,IF(ISNUMBER(SEARCH(SETTINGS!$K$11,D279)),SETTINGS!$L$11,IF(ISNUMBER(SEARCH(SETTINGS!$K$12,D279)),SETTINGS!$L$12,IF(ISNUMBER(SEARCH(SETTINGS!$K$13,D279)),SETTINGS!$L$13,IF(ISNUMBER(SEARCH(SETTINGS!$K$14,D279)),SETTINGS!$L$14,IF(ISNUMBER(SEARCH(SETTINGS!$K$15,D279)),SETTINGS!$L$15,IF(ISNUMBER(SEARCH(SETTINGS!$K$16,D279)),SETTINGS!$L$16,IF(ISNUMBER(SEARCH(SETTINGS!$K$17,D279)),SETTINGS!$L$17,IF(ISNUMBER(SEARCH(SETTINGS!$K$18,D279)),SETTINGS!$L$18,"Miscellaneous"))))))))))))))))</f>
        <v/>
      </c>
      <c r="I279" s="44" t="str">
        <f t="shared" si="32"/>
        <v/>
      </c>
      <c r="J279" s="9"/>
      <c r="K279" s="9"/>
      <c r="L279" s="9"/>
      <c r="M279" s="9"/>
      <c r="N279" s="9"/>
      <c r="O279" s="9"/>
      <c r="P279" s="13"/>
      <c r="Q279" s="9"/>
      <c r="R279" s="9"/>
      <c r="S279" s="9"/>
      <c r="T279" s="11"/>
      <c r="U279" s="44" t="str">
        <f t="shared" si="33"/>
        <v/>
      </c>
      <c r="V279" s="44" t="str">
        <f t="shared" si="34"/>
        <v/>
      </c>
      <c r="W279" s="44" t="str">
        <f t="shared" si="35"/>
        <v/>
      </c>
      <c r="X279" s="44" t="str">
        <f t="shared" si="36"/>
        <v/>
      </c>
      <c r="Y279" s="44" t="str">
        <f t="shared" si="37"/>
        <v/>
      </c>
      <c r="Z279" s="44" t="str">
        <f t="shared" si="38"/>
        <v/>
      </c>
      <c r="AA279" s="50" t="str">
        <f t="shared" si="39"/>
        <v/>
      </c>
      <c r="AB279" s="50" t="str">
        <f>IF(OR(B279="",C279&lt;&gt;"Expense"),"",IF(E279&gt;IFERROR(AVERAGEIFS($E$8:$E$1007,$I$8:$I$1007,I279,$C$8:$C$1007,"Expense")*SETTINGS!$B$20,0),"Unusually High","Normal"))</f>
        <v/>
      </c>
      <c r="AC279" s="51"/>
      <c r="AD279" s="51"/>
      <c r="AE279" s="51"/>
      <c r="AF279" s="50" t="str">
        <f>IF(A279&lt;&gt;"Yes","No",IF(AND(AC279="Yes",SETTINGS!$B$16="No"),"No","Yes"))</f>
        <v>No</v>
      </c>
      <c r="AG279" s="50" t="str">
        <f>IF(A279&lt;&gt;"Yes","",IF(OR(B279="",D279="",E279&lt;=0,F279="",I279=""),"Check Required Fields",IF(AA279="Possible Duplicate","Possible Duplicate",IF(E279&gt;SETTINGS!$B$22,"Review Extreme Value","OK"))))</f>
        <v/>
      </c>
    </row>
    <row r="280" spans="1:33" ht="14.4">
      <c r="A280" s="9"/>
      <c r="B280" s="13"/>
      <c r="C280" s="9"/>
      <c r="D280" s="9"/>
      <c r="E280" s="11"/>
      <c r="F280" s="9"/>
      <c r="G280" s="9"/>
      <c r="H280" s="44" t="str">
        <f>IF(D280="","",IF(ISNUMBER(SEARCH(SETTINGS!$K$4,D280)),SETTINGS!$L$4,IF(ISNUMBER(SEARCH(SETTINGS!$K$5,D280)),SETTINGS!$L$5,IF(ISNUMBER(SEARCH(SETTINGS!$K$6,D280)),SETTINGS!$L$6,IF(ISNUMBER(SEARCH(SETTINGS!$K$7,D280)),SETTINGS!$L$7,IF(ISNUMBER(SEARCH(SETTINGS!$K$8,D280)),SETTINGS!$L$8,IF(ISNUMBER(SEARCH(SETTINGS!$K$9,D280)),SETTINGS!$L$9,IF(ISNUMBER(SEARCH(SETTINGS!$K$10,D280)),SETTINGS!$L$10,IF(ISNUMBER(SEARCH(SETTINGS!$K$11,D280)),SETTINGS!$L$11,IF(ISNUMBER(SEARCH(SETTINGS!$K$12,D280)),SETTINGS!$L$12,IF(ISNUMBER(SEARCH(SETTINGS!$K$13,D280)),SETTINGS!$L$13,IF(ISNUMBER(SEARCH(SETTINGS!$K$14,D280)),SETTINGS!$L$14,IF(ISNUMBER(SEARCH(SETTINGS!$K$15,D280)),SETTINGS!$L$15,IF(ISNUMBER(SEARCH(SETTINGS!$K$16,D280)),SETTINGS!$L$16,IF(ISNUMBER(SEARCH(SETTINGS!$K$17,D280)),SETTINGS!$L$17,IF(ISNUMBER(SEARCH(SETTINGS!$K$18,D280)),SETTINGS!$L$18,"Miscellaneous"))))))))))))))))</f>
        <v/>
      </c>
      <c r="I280" s="44" t="str">
        <f t="shared" si="32"/>
        <v/>
      </c>
      <c r="J280" s="9"/>
      <c r="K280" s="9"/>
      <c r="L280" s="9"/>
      <c r="M280" s="9"/>
      <c r="N280" s="9"/>
      <c r="O280" s="9"/>
      <c r="P280" s="13"/>
      <c r="Q280" s="9"/>
      <c r="R280" s="9"/>
      <c r="S280" s="9"/>
      <c r="T280" s="11"/>
      <c r="U280" s="44" t="str">
        <f t="shared" si="33"/>
        <v/>
      </c>
      <c r="V280" s="44" t="str">
        <f t="shared" si="34"/>
        <v/>
      </c>
      <c r="W280" s="44" t="str">
        <f t="shared" si="35"/>
        <v/>
      </c>
      <c r="X280" s="44" t="str">
        <f t="shared" si="36"/>
        <v/>
      </c>
      <c r="Y280" s="44" t="str">
        <f t="shared" si="37"/>
        <v/>
      </c>
      <c r="Z280" s="44" t="str">
        <f t="shared" si="38"/>
        <v/>
      </c>
      <c r="AA280" s="50" t="str">
        <f t="shared" si="39"/>
        <v/>
      </c>
      <c r="AB280" s="50" t="str">
        <f>IF(OR(B280="",C280&lt;&gt;"Expense"),"",IF(E280&gt;IFERROR(AVERAGEIFS($E$8:$E$1007,$I$8:$I$1007,I280,$C$8:$C$1007,"Expense")*SETTINGS!$B$20,0),"Unusually High","Normal"))</f>
        <v/>
      </c>
      <c r="AC280" s="51"/>
      <c r="AD280" s="51"/>
      <c r="AE280" s="51"/>
      <c r="AF280" s="50" t="str">
        <f>IF(A280&lt;&gt;"Yes","No",IF(AND(AC280="Yes",SETTINGS!$B$16="No"),"No","Yes"))</f>
        <v>No</v>
      </c>
      <c r="AG280" s="50" t="str">
        <f>IF(A280&lt;&gt;"Yes","",IF(OR(B280="",D280="",E280&lt;=0,F280="",I280=""),"Check Required Fields",IF(AA280="Possible Duplicate","Possible Duplicate",IF(E280&gt;SETTINGS!$B$22,"Review Extreme Value","OK"))))</f>
        <v/>
      </c>
    </row>
    <row r="281" spans="1:33" ht="14.4">
      <c r="A281" s="9"/>
      <c r="B281" s="13"/>
      <c r="C281" s="9"/>
      <c r="D281" s="9"/>
      <c r="E281" s="11"/>
      <c r="F281" s="9"/>
      <c r="G281" s="9"/>
      <c r="H281" s="44" t="str">
        <f>IF(D281="","",IF(ISNUMBER(SEARCH(SETTINGS!$K$4,D281)),SETTINGS!$L$4,IF(ISNUMBER(SEARCH(SETTINGS!$K$5,D281)),SETTINGS!$L$5,IF(ISNUMBER(SEARCH(SETTINGS!$K$6,D281)),SETTINGS!$L$6,IF(ISNUMBER(SEARCH(SETTINGS!$K$7,D281)),SETTINGS!$L$7,IF(ISNUMBER(SEARCH(SETTINGS!$K$8,D281)),SETTINGS!$L$8,IF(ISNUMBER(SEARCH(SETTINGS!$K$9,D281)),SETTINGS!$L$9,IF(ISNUMBER(SEARCH(SETTINGS!$K$10,D281)),SETTINGS!$L$10,IF(ISNUMBER(SEARCH(SETTINGS!$K$11,D281)),SETTINGS!$L$11,IF(ISNUMBER(SEARCH(SETTINGS!$K$12,D281)),SETTINGS!$L$12,IF(ISNUMBER(SEARCH(SETTINGS!$K$13,D281)),SETTINGS!$L$13,IF(ISNUMBER(SEARCH(SETTINGS!$K$14,D281)),SETTINGS!$L$14,IF(ISNUMBER(SEARCH(SETTINGS!$K$15,D281)),SETTINGS!$L$15,IF(ISNUMBER(SEARCH(SETTINGS!$K$16,D281)),SETTINGS!$L$16,IF(ISNUMBER(SEARCH(SETTINGS!$K$17,D281)),SETTINGS!$L$17,IF(ISNUMBER(SEARCH(SETTINGS!$K$18,D281)),SETTINGS!$L$18,"Miscellaneous"))))))))))))))))</f>
        <v/>
      </c>
      <c r="I281" s="44" t="str">
        <f t="shared" si="32"/>
        <v/>
      </c>
      <c r="J281" s="9"/>
      <c r="K281" s="9"/>
      <c r="L281" s="9"/>
      <c r="M281" s="9"/>
      <c r="N281" s="9"/>
      <c r="O281" s="9"/>
      <c r="P281" s="13"/>
      <c r="Q281" s="9"/>
      <c r="R281" s="9"/>
      <c r="S281" s="9"/>
      <c r="T281" s="11"/>
      <c r="U281" s="44" t="str">
        <f t="shared" si="33"/>
        <v/>
      </c>
      <c r="V281" s="44" t="str">
        <f t="shared" si="34"/>
        <v/>
      </c>
      <c r="W281" s="44" t="str">
        <f t="shared" si="35"/>
        <v/>
      </c>
      <c r="X281" s="44" t="str">
        <f t="shared" si="36"/>
        <v/>
      </c>
      <c r="Y281" s="44" t="str">
        <f t="shared" si="37"/>
        <v/>
      </c>
      <c r="Z281" s="44" t="str">
        <f t="shared" si="38"/>
        <v/>
      </c>
      <c r="AA281" s="50" t="str">
        <f t="shared" si="39"/>
        <v/>
      </c>
      <c r="AB281" s="50" t="str">
        <f>IF(OR(B281="",C281&lt;&gt;"Expense"),"",IF(E281&gt;IFERROR(AVERAGEIFS($E$8:$E$1007,$I$8:$I$1007,I281,$C$8:$C$1007,"Expense")*SETTINGS!$B$20,0),"Unusually High","Normal"))</f>
        <v/>
      </c>
      <c r="AC281" s="51"/>
      <c r="AD281" s="51"/>
      <c r="AE281" s="51"/>
      <c r="AF281" s="50" t="str">
        <f>IF(A281&lt;&gt;"Yes","No",IF(AND(AC281="Yes",SETTINGS!$B$16="No"),"No","Yes"))</f>
        <v>No</v>
      </c>
      <c r="AG281" s="50" t="str">
        <f>IF(A281&lt;&gt;"Yes","",IF(OR(B281="",D281="",E281&lt;=0,F281="",I281=""),"Check Required Fields",IF(AA281="Possible Duplicate","Possible Duplicate",IF(E281&gt;SETTINGS!$B$22,"Review Extreme Value","OK"))))</f>
        <v/>
      </c>
    </row>
    <row r="282" spans="1:33" ht="14.4">
      <c r="A282" s="9"/>
      <c r="B282" s="13"/>
      <c r="C282" s="9"/>
      <c r="D282" s="9"/>
      <c r="E282" s="11"/>
      <c r="F282" s="9"/>
      <c r="G282" s="9"/>
      <c r="H282" s="44" t="str">
        <f>IF(D282="","",IF(ISNUMBER(SEARCH(SETTINGS!$K$4,D282)),SETTINGS!$L$4,IF(ISNUMBER(SEARCH(SETTINGS!$K$5,D282)),SETTINGS!$L$5,IF(ISNUMBER(SEARCH(SETTINGS!$K$6,D282)),SETTINGS!$L$6,IF(ISNUMBER(SEARCH(SETTINGS!$K$7,D282)),SETTINGS!$L$7,IF(ISNUMBER(SEARCH(SETTINGS!$K$8,D282)),SETTINGS!$L$8,IF(ISNUMBER(SEARCH(SETTINGS!$K$9,D282)),SETTINGS!$L$9,IF(ISNUMBER(SEARCH(SETTINGS!$K$10,D282)),SETTINGS!$L$10,IF(ISNUMBER(SEARCH(SETTINGS!$K$11,D282)),SETTINGS!$L$11,IF(ISNUMBER(SEARCH(SETTINGS!$K$12,D282)),SETTINGS!$L$12,IF(ISNUMBER(SEARCH(SETTINGS!$K$13,D282)),SETTINGS!$L$13,IF(ISNUMBER(SEARCH(SETTINGS!$K$14,D282)),SETTINGS!$L$14,IF(ISNUMBER(SEARCH(SETTINGS!$K$15,D282)),SETTINGS!$L$15,IF(ISNUMBER(SEARCH(SETTINGS!$K$16,D282)),SETTINGS!$L$16,IF(ISNUMBER(SEARCH(SETTINGS!$K$17,D282)),SETTINGS!$L$17,IF(ISNUMBER(SEARCH(SETTINGS!$K$18,D282)),SETTINGS!$L$18,"Miscellaneous"))))))))))))))))</f>
        <v/>
      </c>
      <c r="I282" s="44" t="str">
        <f t="shared" si="32"/>
        <v/>
      </c>
      <c r="J282" s="9"/>
      <c r="K282" s="9"/>
      <c r="L282" s="9"/>
      <c r="M282" s="9"/>
      <c r="N282" s="9"/>
      <c r="O282" s="9"/>
      <c r="P282" s="13"/>
      <c r="Q282" s="9"/>
      <c r="R282" s="9"/>
      <c r="S282" s="9"/>
      <c r="T282" s="11"/>
      <c r="U282" s="44" t="str">
        <f t="shared" si="33"/>
        <v/>
      </c>
      <c r="V282" s="44" t="str">
        <f t="shared" si="34"/>
        <v/>
      </c>
      <c r="W282" s="44" t="str">
        <f t="shared" si="35"/>
        <v/>
      </c>
      <c r="X282" s="44" t="str">
        <f t="shared" si="36"/>
        <v/>
      </c>
      <c r="Y282" s="44" t="str">
        <f t="shared" si="37"/>
        <v/>
      </c>
      <c r="Z282" s="44" t="str">
        <f t="shared" si="38"/>
        <v/>
      </c>
      <c r="AA282" s="50" t="str">
        <f t="shared" si="39"/>
        <v/>
      </c>
      <c r="AB282" s="50" t="str">
        <f>IF(OR(B282="",C282&lt;&gt;"Expense"),"",IF(E282&gt;IFERROR(AVERAGEIFS($E$8:$E$1007,$I$8:$I$1007,I282,$C$8:$C$1007,"Expense")*SETTINGS!$B$20,0),"Unusually High","Normal"))</f>
        <v/>
      </c>
      <c r="AC282" s="51"/>
      <c r="AD282" s="51"/>
      <c r="AE282" s="51"/>
      <c r="AF282" s="50" t="str">
        <f>IF(A282&lt;&gt;"Yes","No",IF(AND(AC282="Yes",SETTINGS!$B$16="No"),"No","Yes"))</f>
        <v>No</v>
      </c>
      <c r="AG282" s="50" t="str">
        <f>IF(A282&lt;&gt;"Yes","",IF(OR(B282="",D282="",E282&lt;=0,F282="",I282=""),"Check Required Fields",IF(AA282="Possible Duplicate","Possible Duplicate",IF(E282&gt;SETTINGS!$B$22,"Review Extreme Value","OK"))))</f>
        <v/>
      </c>
    </row>
    <row r="283" spans="1:33" ht="14.4">
      <c r="A283" s="9"/>
      <c r="B283" s="13"/>
      <c r="C283" s="9"/>
      <c r="D283" s="9"/>
      <c r="E283" s="11"/>
      <c r="F283" s="9"/>
      <c r="G283" s="9"/>
      <c r="H283" s="44" t="str">
        <f>IF(D283="","",IF(ISNUMBER(SEARCH(SETTINGS!$K$4,D283)),SETTINGS!$L$4,IF(ISNUMBER(SEARCH(SETTINGS!$K$5,D283)),SETTINGS!$L$5,IF(ISNUMBER(SEARCH(SETTINGS!$K$6,D283)),SETTINGS!$L$6,IF(ISNUMBER(SEARCH(SETTINGS!$K$7,D283)),SETTINGS!$L$7,IF(ISNUMBER(SEARCH(SETTINGS!$K$8,D283)),SETTINGS!$L$8,IF(ISNUMBER(SEARCH(SETTINGS!$K$9,D283)),SETTINGS!$L$9,IF(ISNUMBER(SEARCH(SETTINGS!$K$10,D283)),SETTINGS!$L$10,IF(ISNUMBER(SEARCH(SETTINGS!$K$11,D283)),SETTINGS!$L$11,IF(ISNUMBER(SEARCH(SETTINGS!$K$12,D283)),SETTINGS!$L$12,IF(ISNUMBER(SEARCH(SETTINGS!$K$13,D283)),SETTINGS!$L$13,IF(ISNUMBER(SEARCH(SETTINGS!$K$14,D283)),SETTINGS!$L$14,IF(ISNUMBER(SEARCH(SETTINGS!$K$15,D283)),SETTINGS!$L$15,IF(ISNUMBER(SEARCH(SETTINGS!$K$16,D283)),SETTINGS!$L$16,IF(ISNUMBER(SEARCH(SETTINGS!$K$17,D283)),SETTINGS!$L$17,IF(ISNUMBER(SEARCH(SETTINGS!$K$18,D283)),SETTINGS!$L$18,"Miscellaneous"))))))))))))))))</f>
        <v/>
      </c>
      <c r="I283" s="44" t="str">
        <f t="shared" si="32"/>
        <v/>
      </c>
      <c r="J283" s="9"/>
      <c r="K283" s="9"/>
      <c r="L283" s="9"/>
      <c r="M283" s="9"/>
      <c r="N283" s="9"/>
      <c r="O283" s="9"/>
      <c r="P283" s="13"/>
      <c r="Q283" s="9"/>
      <c r="R283" s="9"/>
      <c r="S283" s="9"/>
      <c r="T283" s="11"/>
      <c r="U283" s="44" t="str">
        <f t="shared" si="33"/>
        <v/>
      </c>
      <c r="V283" s="44" t="str">
        <f t="shared" si="34"/>
        <v/>
      </c>
      <c r="W283" s="44" t="str">
        <f t="shared" si="35"/>
        <v/>
      </c>
      <c r="X283" s="44" t="str">
        <f t="shared" si="36"/>
        <v/>
      </c>
      <c r="Y283" s="44" t="str">
        <f t="shared" si="37"/>
        <v/>
      </c>
      <c r="Z283" s="44" t="str">
        <f t="shared" si="38"/>
        <v/>
      </c>
      <c r="AA283" s="50" t="str">
        <f t="shared" si="39"/>
        <v/>
      </c>
      <c r="AB283" s="50" t="str">
        <f>IF(OR(B283="",C283&lt;&gt;"Expense"),"",IF(E283&gt;IFERROR(AVERAGEIFS($E$8:$E$1007,$I$8:$I$1007,I283,$C$8:$C$1007,"Expense")*SETTINGS!$B$20,0),"Unusually High","Normal"))</f>
        <v/>
      </c>
      <c r="AC283" s="51"/>
      <c r="AD283" s="51"/>
      <c r="AE283" s="51"/>
      <c r="AF283" s="50" t="str">
        <f>IF(A283&lt;&gt;"Yes","No",IF(AND(AC283="Yes",SETTINGS!$B$16="No"),"No","Yes"))</f>
        <v>No</v>
      </c>
      <c r="AG283" s="50" t="str">
        <f>IF(A283&lt;&gt;"Yes","",IF(OR(B283="",D283="",E283&lt;=0,F283="",I283=""),"Check Required Fields",IF(AA283="Possible Duplicate","Possible Duplicate",IF(E283&gt;SETTINGS!$B$22,"Review Extreme Value","OK"))))</f>
        <v/>
      </c>
    </row>
    <row r="284" spans="1:33" ht="14.4">
      <c r="A284" s="9"/>
      <c r="B284" s="13"/>
      <c r="C284" s="9"/>
      <c r="D284" s="9"/>
      <c r="E284" s="11"/>
      <c r="F284" s="9"/>
      <c r="G284" s="9"/>
      <c r="H284" s="44" t="str">
        <f>IF(D284="","",IF(ISNUMBER(SEARCH(SETTINGS!$K$4,D284)),SETTINGS!$L$4,IF(ISNUMBER(SEARCH(SETTINGS!$K$5,D284)),SETTINGS!$L$5,IF(ISNUMBER(SEARCH(SETTINGS!$K$6,D284)),SETTINGS!$L$6,IF(ISNUMBER(SEARCH(SETTINGS!$K$7,D284)),SETTINGS!$L$7,IF(ISNUMBER(SEARCH(SETTINGS!$K$8,D284)),SETTINGS!$L$8,IF(ISNUMBER(SEARCH(SETTINGS!$K$9,D284)),SETTINGS!$L$9,IF(ISNUMBER(SEARCH(SETTINGS!$K$10,D284)),SETTINGS!$L$10,IF(ISNUMBER(SEARCH(SETTINGS!$K$11,D284)),SETTINGS!$L$11,IF(ISNUMBER(SEARCH(SETTINGS!$K$12,D284)),SETTINGS!$L$12,IF(ISNUMBER(SEARCH(SETTINGS!$K$13,D284)),SETTINGS!$L$13,IF(ISNUMBER(SEARCH(SETTINGS!$K$14,D284)),SETTINGS!$L$14,IF(ISNUMBER(SEARCH(SETTINGS!$K$15,D284)),SETTINGS!$L$15,IF(ISNUMBER(SEARCH(SETTINGS!$K$16,D284)),SETTINGS!$L$16,IF(ISNUMBER(SEARCH(SETTINGS!$K$17,D284)),SETTINGS!$L$17,IF(ISNUMBER(SEARCH(SETTINGS!$K$18,D284)),SETTINGS!$L$18,"Miscellaneous"))))))))))))))))</f>
        <v/>
      </c>
      <c r="I284" s="44" t="str">
        <f t="shared" si="32"/>
        <v/>
      </c>
      <c r="J284" s="9"/>
      <c r="K284" s="9"/>
      <c r="L284" s="9"/>
      <c r="M284" s="9"/>
      <c r="N284" s="9"/>
      <c r="O284" s="9"/>
      <c r="P284" s="13"/>
      <c r="Q284" s="9"/>
      <c r="R284" s="9"/>
      <c r="S284" s="9"/>
      <c r="T284" s="11"/>
      <c r="U284" s="44" t="str">
        <f t="shared" si="33"/>
        <v/>
      </c>
      <c r="V284" s="44" t="str">
        <f t="shared" si="34"/>
        <v/>
      </c>
      <c r="W284" s="44" t="str">
        <f t="shared" si="35"/>
        <v/>
      </c>
      <c r="X284" s="44" t="str">
        <f t="shared" si="36"/>
        <v/>
      </c>
      <c r="Y284" s="44" t="str">
        <f t="shared" si="37"/>
        <v/>
      </c>
      <c r="Z284" s="44" t="str">
        <f t="shared" si="38"/>
        <v/>
      </c>
      <c r="AA284" s="50" t="str">
        <f t="shared" si="39"/>
        <v/>
      </c>
      <c r="AB284" s="50" t="str">
        <f>IF(OR(B284="",C284&lt;&gt;"Expense"),"",IF(E284&gt;IFERROR(AVERAGEIFS($E$8:$E$1007,$I$8:$I$1007,I284,$C$8:$C$1007,"Expense")*SETTINGS!$B$20,0),"Unusually High","Normal"))</f>
        <v/>
      </c>
      <c r="AC284" s="51"/>
      <c r="AD284" s="51"/>
      <c r="AE284" s="51"/>
      <c r="AF284" s="50" t="str">
        <f>IF(A284&lt;&gt;"Yes","No",IF(AND(AC284="Yes",SETTINGS!$B$16="No"),"No","Yes"))</f>
        <v>No</v>
      </c>
      <c r="AG284" s="50" t="str">
        <f>IF(A284&lt;&gt;"Yes","",IF(OR(B284="",D284="",E284&lt;=0,F284="",I284=""),"Check Required Fields",IF(AA284="Possible Duplicate","Possible Duplicate",IF(E284&gt;SETTINGS!$B$22,"Review Extreme Value","OK"))))</f>
        <v/>
      </c>
    </row>
    <row r="285" spans="1:33" ht="14.4">
      <c r="A285" s="9"/>
      <c r="B285" s="13"/>
      <c r="C285" s="9"/>
      <c r="D285" s="9"/>
      <c r="E285" s="11"/>
      <c r="F285" s="9"/>
      <c r="G285" s="9"/>
      <c r="H285" s="44" t="str">
        <f>IF(D285="","",IF(ISNUMBER(SEARCH(SETTINGS!$K$4,D285)),SETTINGS!$L$4,IF(ISNUMBER(SEARCH(SETTINGS!$K$5,D285)),SETTINGS!$L$5,IF(ISNUMBER(SEARCH(SETTINGS!$K$6,D285)),SETTINGS!$L$6,IF(ISNUMBER(SEARCH(SETTINGS!$K$7,D285)),SETTINGS!$L$7,IF(ISNUMBER(SEARCH(SETTINGS!$K$8,D285)),SETTINGS!$L$8,IF(ISNUMBER(SEARCH(SETTINGS!$K$9,D285)),SETTINGS!$L$9,IF(ISNUMBER(SEARCH(SETTINGS!$K$10,D285)),SETTINGS!$L$10,IF(ISNUMBER(SEARCH(SETTINGS!$K$11,D285)),SETTINGS!$L$11,IF(ISNUMBER(SEARCH(SETTINGS!$K$12,D285)),SETTINGS!$L$12,IF(ISNUMBER(SEARCH(SETTINGS!$K$13,D285)),SETTINGS!$L$13,IF(ISNUMBER(SEARCH(SETTINGS!$K$14,D285)),SETTINGS!$L$14,IF(ISNUMBER(SEARCH(SETTINGS!$K$15,D285)),SETTINGS!$L$15,IF(ISNUMBER(SEARCH(SETTINGS!$K$16,D285)),SETTINGS!$L$16,IF(ISNUMBER(SEARCH(SETTINGS!$K$17,D285)),SETTINGS!$L$17,IF(ISNUMBER(SEARCH(SETTINGS!$K$18,D285)),SETTINGS!$L$18,"Miscellaneous"))))))))))))))))</f>
        <v/>
      </c>
      <c r="I285" s="44" t="str">
        <f t="shared" si="32"/>
        <v/>
      </c>
      <c r="J285" s="9"/>
      <c r="K285" s="9"/>
      <c r="L285" s="9"/>
      <c r="M285" s="9"/>
      <c r="N285" s="9"/>
      <c r="O285" s="9"/>
      <c r="P285" s="13"/>
      <c r="Q285" s="9"/>
      <c r="R285" s="9"/>
      <c r="S285" s="9"/>
      <c r="T285" s="11"/>
      <c r="U285" s="44" t="str">
        <f t="shared" si="33"/>
        <v/>
      </c>
      <c r="V285" s="44" t="str">
        <f t="shared" si="34"/>
        <v/>
      </c>
      <c r="W285" s="44" t="str">
        <f t="shared" si="35"/>
        <v/>
      </c>
      <c r="X285" s="44" t="str">
        <f t="shared" si="36"/>
        <v/>
      </c>
      <c r="Y285" s="44" t="str">
        <f t="shared" si="37"/>
        <v/>
      </c>
      <c r="Z285" s="44" t="str">
        <f t="shared" si="38"/>
        <v/>
      </c>
      <c r="AA285" s="50" t="str">
        <f t="shared" si="39"/>
        <v/>
      </c>
      <c r="AB285" s="50" t="str">
        <f>IF(OR(B285="",C285&lt;&gt;"Expense"),"",IF(E285&gt;IFERROR(AVERAGEIFS($E$8:$E$1007,$I$8:$I$1007,I285,$C$8:$C$1007,"Expense")*SETTINGS!$B$20,0),"Unusually High","Normal"))</f>
        <v/>
      </c>
      <c r="AC285" s="51"/>
      <c r="AD285" s="51"/>
      <c r="AE285" s="51"/>
      <c r="AF285" s="50" t="str">
        <f>IF(A285&lt;&gt;"Yes","No",IF(AND(AC285="Yes",SETTINGS!$B$16="No"),"No","Yes"))</f>
        <v>No</v>
      </c>
      <c r="AG285" s="50" t="str">
        <f>IF(A285&lt;&gt;"Yes","",IF(OR(B285="",D285="",E285&lt;=0,F285="",I285=""),"Check Required Fields",IF(AA285="Possible Duplicate","Possible Duplicate",IF(E285&gt;SETTINGS!$B$22,"Review Extreme Value","OK"))))</f>
        <v/>
      </c>
    </row>
    <row r="286" spans="1:33" ht="14.4">
      <c r="A286" s="9"/>
      <c r="B286" s="13"/>
      <c r="C286" s="9"/>
      <c r="D286" s="9"/>
      <c r="E286" s="11"/>
      <c r="F286" s="9"/>
      <c r="G286" s="9"/>
      <c r="H286" s="44" t="str">
        <f>IF(D286="","",IF(ISNUMBER(SEARCH(SETTINGS!$K$4,D286)),SETTINGS!$L$4,IF(ISNUMBER(SEARCH(SETTINGS!$K$5,D286)),SETTINGS!$L$5,IF(ISNUMBER(SEARCH(SETTINGS!$K$6,D286)),SETTINGS!$L$6,IF(ISNUMBER(SEARCH(SETTINGS!$K$7,D286)),SETTINGS!$L$7,IF(ISNUMBER(SEARCH(SETTINGS!$K$8,D286)),SETTINGS!$L$8,IF(ISNUMBER(SEARCH(SETTINGS!$K$9,D286)),SETTINGS!$L$9,IF(ISNUMBER(SEARCH(SETTINGS!$K$10,D286)),SETTINGS!$L$10,IF(ISNUMBER(SEARCH(SETTINGS!$K$11,D286)),SETTINGS!$L$11,IF(ISNUMBER(SEARCH(SETTINGS!$K$12,D286)),SETTINGS!$L$12,IF(ISNUMBER(SEARCH(SETTINGS!$K$13,D286)),SETTINGS!$L$13,IF(ISNUMBER(SEARCH(SETTINGS!$K$14,D286)),SETTINGS!$L$14,IF(ISNUMBER(SEARCH(SETTINGS!$K$15,D286)),SETTINGS!$L$15,IF(ISNUMBER(SEARCH(SETTINGS!$K$16,D286)),SETTINGS!$L$16,IF(ISNUMBER(SEARCH(SETTINGS!$K$17,D286)),SETTINGS!$L$17,IF(ISNUMBER(SEARCH(SETTINGS!$K$18,D286)),SETTINGS!$L$18,"Miscellaneous"))))))))))))))))</f>
        <v/>
      </c>
      <c r="I286" s="44" t="str">
        <f t="shared" si="32"/>
        <v/>
      </c>
      <c r="J286" s="9"/>
      <c r="K286" s="9"/>
      <c r="L286" s="9"/>
      <c r="M286" s="9"/>
      <c r="N286" s="9"/>
      <c r="O286" s="9"/>
      <c r="P286" s="13"/>
      <c r="Q286" s="9"/>
      <c r="R286" s="9"/>
      <c r="S286" s="9"/>
      <c r="T286" s="11"/>
      <c r="U286" s="44" t="str">
        <f t="shared" si="33"/>
        <v/>
      </c>
      <c r="V286" s="44" t="str">
        <f t="shared" si="34"/>
        <v/>
      </c>
      <c r="W286" s="44" t="str">
        <f t="shared" si="35"/>
        <v/>
      </c>
      <c r="X286" s="44" t="str">
        <f t="shared" si="36"/>
        <v/>
      </c>
      <c r="Y286" s="44" t="str">
        <f t="shared" si="37"/>
        <v/>
      </c>
      <c r="Z286" s="44" t="str">
        <f t="shared" si="38"/>
        <v/>
      </c>
      <c r="AA286" s="50" t="str">
        <f t="shared" si="39"/>
        <v/>
      </c>
      <c r="AB286" s="50" t="str">
        <f>IF(OR(B286="",C286&lt;&gt;"Expense"),"",IF(E286&gt;IFERROR(AVERAGEIFS($E$8:$E$1007,$I$8:$I$1007,I286,$C$8:$C$1007,"Expense")*SETTINGS!$B$20,0),"Unusually High","Normal"))</f>
        <v/>
      </c>
      <c r="AC286" s="51"/>
      <c r="AD286" s="51"/>
      <c r="AE286" s="51"/>
      <c r="AF286" s="50" t="str">
        <f>IF(A286&lt;&gt;"Yes","No",IF(AND(AC286="Yes",SETTINGS!$B$16="No"),"No","Yes"))</f>
        <v>No</v>
      </c>
      <c r="AG286" s="50" t="str">
        <f>IF(A286&lt;&gt;"Yes","",IF(OR(B286="",D286="",E286&lt;=0,F286="",I286=""),"Check Required Fields",IF(AA286="Possible Duplicate","Possible Duplicate",IF(E286&gt;SETTINGS!$B$22,"Review Extreme Value","OK"))))</f>
        <v/>
      </c>
    </row>
    <row r="287" spans="1:33" ht="14.4">
      <c r="A287" s="9"/>
      <c r="B287" s="13"/>
      <c r="C287" s="9"/>
      <c r="D287" s="9"/>
      <c r="E287" s="11"/>
      <c r="F287" s="9"/>
      <c r="G287" s="9"/>
      <c r="H287" s="44" t="str">
        <f>IF(D287="","",IF(ISNUMBER(SEARCH(SETTINGS!$K$4,D287)),SETTINGS!$L$4,IF(ISNUMBER(SEARCH(SETTINGS!$K$5,D287)),SETTINGS!$L$5,IF(ISNUMBER(SEARCH(SETTINGS!$K$6,D287)),SETTINGS!$L$6,IF(ISNUMBER(SEARCH(SETTINGS!$K$7,D287)),SETTINGS!$L$7,IF(ISNUMBER(SEARCH(SETTINGS!$K$8,D287)),SETTINGS!$L$8,IF(ISNUMBER(SEARCH(SETTINGS!$K$9,D287)),SETTINGS!$L$9,IF(ISNUMBER(SEARCH(SETTINGS!$K$10,D287)),SETTINGS!$L$10,IF(ISNUMBER(SEARCH(SETTINGS!$K$11,D287)),SETTINGS!$L$11,IF(ISNUMBER(SEARCH(SETTINGS!$K$12,D287)),SETTINGS!$L$12,IF(ISNUMBER(SEARCH(SETTINGS!$K$13,D287)),SETTINGS!$L$13,IF(ISNUMBER(SEARCH(SETTINGS!$K$14,D287)),SETTINGS!$L$14,IF(ISNUMBER(SEARCH(SETTINGS!$K$15,D287)),SETTINGS!$L$15,IF(ISNUMBER(SEARCH(SETTINGS!$K$16,D287)),SETTINGS!$L$16,IF(ISNUMBER(SEARCH(SETTINGS!$K$17,D287)),SETTINGS!$L$17,IF(ISNUMBER(SEARCH(SETTINGS!$K$18,D287)),SETTINGS!$L$18,"Miscellaneous"))))))))))))))))</f>
        <v/>
      </c>
      <c r="I287" s="44" t="str">
        <f t="shared" si="32"/>
        <v/>
      </c>
      <c r="J287" s="9"/>
      <c r="K287" s="9"/>
      <c r="L287" s="9"/>
      <c r="M287" s="9"/>
      <c r="N287" s="9"/>
      <c r="O287" s="9"/>
      <c r="P287" s="13"/>
      <c r="Q287" s="9"/>
      <c r="R287" s="9"/>
      <c r="S287" s="9"/>
      <c r="T287" s="11"/>
      <c r="U287" s="44" t="str">
        <f t="shared" si="33"/>
        <v/>
      </c>
      <c r="V287" s="44" t="str">
        <f t="shared" si="34"/>
        <v/>
      </c>
      <c r="W287" s="44" t="str">
        <f t="shared" si="35"/>
        <v/>
      </c>
      <c r="X287" s="44" t="str">
        <f t="shared" si="36"/>
        <v/>
      </c>
      <c r="Y287" s="44" t="str">
        <f t="shared" si="37"/>
        <v/>
      </c>
      <c r="Z287" s="44" t="str">
        <f t="shared" si="38"/>
        <v/>
      </c>
      <c r="AA287" s="50" t="str">
        <f t="shared" si="39"/>
        <v/>
      </c>
      <c r="AB287" s="50" t="str">
        <f>IF(OR(B287="",C287&lt;&gt;"Expense"),"",IF(E287&gt;IFERROR(AVERAGEIFS($E$8:$E$1007,$I$8:$I$1007,I287,$C$8:$C$1007,"Expense")*SETTINGS!$B$20,0),"Unusually High","Normal"))</f>
        <v/>
      </c>
      <c r="AC287" s="51"/>
      <c r="AD287" s="51"/>
      <c r="AE287" s="51"/>
      <c r="AF287" s="50" t="str">
        <f>IF(A287&lt;&gt;"Yes","No",IF(AND(AC287="Yes",SETTINGS!$B$16="No"),"No","Yes"))</f>
        <v>No</v>
      </c>
      <c r="AG287" s="50" t="str">
        <f>IF(A287&lt;&gt;"Yes","",IF(OR(B287="",D287="",E287&lt;=0,F287="",I287=""),"Check Required Fields",IF(AA287="Possible Duplicate","Possible Duplicate",IF(E287&gt;SETTINGS!$B$22,"Review Extreme Value","OK"))))</f>
        <v/>
      </c>
    </row>
    <row r="288" spans="1:33" ht="14.4">
      <c r="A288" s="9"/>
      <c r="B288" s="13"/>
      <c r="C288" s="9"/>
      <c r="D288" s="9"/>
      <c r="E288" s="11"/>
      <c r="F288" s="9"/>
      <c r="G288" s="9"/>
      <c r="H288" s="44" t="str">
        <f>IF(D288="","",IF(ISNUMBER(SEARCH(SETTINGS!$K$4,D288)),SETTINGS!$L$4,IF(ISNUMBER(SEARCH(SETTINGS!$K$5,D288)),SETTINGS!$L$5,IF(ISNUMBER(SEARCH(SETTINGS!$K$6,D288)),SETTINGS!$L$6,IF(ISNUMBER(SEARCH(SETTINGS!$K$7,D288)),SETTINGS!$L$7,IF(ISNUMBER(SEARCH(SETTINGS!$K$8,D288)),SETTINGS!$L$8,IF(ISNUMBER(SEARCH(SETTINGS!$K$9,D288)),SETTINGS!$L$9,IF(ISNUMBER(SEARCH(SETTINGS!$K$10,D288)),SETTINGS!$L$10,IF(ISNUMBER(SEARCH(SETTINGS!$K$11,D288)),SETTINGS!$L$11,IF(ISNUMBER(SEARCH(SETTINGS!$K$12,D288)),SETTINGS!$L$12,IF(ISNUMBER(SEARCH(SETTINGS!$K$13,D288)),SETTINGS!$L$13,IF(ISNUMBER(SEARCH(SETTINGS!$K$14,D288)),SETTINGS!$L$14,IF(ISNUMBER(SEARCH(SETTINGS!$K$15,D288)),SETTINGS!$L$15,IF(ISNUMBER(SEARCH(SETTINGS!$K$16,D288)),SETTINGS!$L$16,IF(ISNUMBER(SEARCH(SETTINGS!$K$17,D288)),SETTINGS!$L$17,IF(ISNUMBER(SEARCH(SETTINGS!$K$18,D288)),SETTINGS!$L$18,"Miscellaneous"))))))))))))))))</f>
        <v/>
      </c>
      <c r="I288" s="44" t="str">
        <f t="shared" si="32"/>
        <v/>
      </c>
      <c r="J288" s="9"/>
      <c r="K288" s="9"/>
      <c r="L288" s="9"/>
      <c r="M288" s="9"/>
      <c r="N288" s="9"/>
      <c r="O288" s="9"/>
      <c r="P288" s="13"/>
      <c r="Q288" s="9"/>
      <c r="R288" s="9"/>
      <c r="S288" s="9"/>
      <c r="T288" s="11"/>
      <c r="U288" s="44" t="str">
        <f t="shared" si="33"/>
        <v/>
      </c>
      <c r="V288" s="44" t="str">
        <f t="shared" si="34"/>
        <v/>
      </c>
      <c r="W288" s="44" t="str">
        <f t="shared" si="35"/>
        <v/>
      </c>
      <c r="X288" s="44" t="str">
        <f t="shared" si="36"/>
        <v/>
      </c>
      <c r="Y288" s="44" t="str">
        <f t="shared" si="37"/>
        <v/>
      </c>
      <c r="Z288" s="44" t="str">
        <f t="shared" si="38"/>
        <v/>
      </c>
      <c r="AA288" s="50" t="str">
        <f t="shared" si="39"/>
        <v/>
      </c>
      <c r="AB288" s="50" t="str">
        <f>IF(OR(B288="",C288&lt;&gt;"Expense"),"",IF(E288&gt;IFERROR(AVERAGEIFS($E$8:$E$1007,$I$8:$I$1007,I288,$C$8:$C$1007,"Expense")*SETTINGS!$B$20,0),"Unusually High","Normal"))</f>
        <v/>
      </c>
      <c r="AC288" s="51"/>
      <c r="AD288" s="51"/>
      <c r="AE288" s="51"/>
      <c r="AF288" s="50" t="str">
        <f>IF(A288&lt;&gt;"Yes","No",IF(AND(AC288="Yes",SETTINGS!$B$16="No"),"No","Yes"))</f>
        <v>No</v>
      </c>
      <c r="AG288" s="50" t="str">
        <f>IF(A288&lt;&gt;"Yes","",IF(OR(B288="",D288="",E288&lt;=0,F288="",I288=""),"Check Required Fields",IF(AA288="Possible Duplicate","Possible Duplicate",IF(E288&gt;SETTINGS!$B$22,"Review Extreme Value","OK"))))</f>
        <v/>
      </c>
    </row>
    <row r="289" spans="1:33" ht="14.4">
      <c r="A289" s="9"/>
      <c r="B289" s="13"/>
      <c r="C289" s="9"/>
      <c r="D289" s="9"/>
      <c r="E289" s="11"/>
      <c r="F289" s="9"/>
      <c r="G289" s="9"/>
      <c r="H289" s="44" t="str">
        <f>IF(D289="","",IF(ISNUMBER(SEARCH(SETTINGS!$K$4,D289)),SETTINGS!$L$4,IF(ISNUMBER(SEARCH(SETTINGS!$K$5,D289)),SETTINGS!$L$5,IF(ISNUMBER(SEARCH(SETTINGS!$K$6,D289)),SETTINGS!$L$6,IF(ISNUMBER(SEARCH(SETTINGS!$K$7,D289)),SETTINGS!$L$7,IF(ISNUMBER(SEARCH(SETTINGS!$K$8,D289)),SETTINGS!$L$8,IF(ISNUMBER(SEARCH(SETTINGS!$K$9,D289)),SETTINGS!$L$9,IF(ISNUMBER(SEARCH(SETTINGS!$K$10,D289)),SETTINGS!$L$10,IF(ISNUMBER(SEARCH(SETTINGS!$K$11,D289)),SETTINGS!$L$11,IF(ISNUMBER(SEARCH(SETTINGS!$K$12,D289)),SETTINGS!$L$12,IF(ISNUMBER(SEARCH(SETTINGS!$K$13,D289)),SETTINGS!$L$13,IF(ISNUMBER(SEARCH(SETTINGS!$K$14,D289)),SETTINGS!$L$14,IF(ISNUMBER(SEARCH(SETTINGS!$K$15,D289)),SETTINGS!$L$15,IF(ISNUMBER(SEARCH(SETTINGS!$K$16,D289)),SETTINGS!$L$16,IF(ISNUMBER(SEARCH(SETTINGS!$K$17,D289)),SETTINGS!$L$17,IF(ISNUMBER(SEARCH(SETTINGS!$K$18,D289)),SETTINGS!$L$18,"Miscellaneous"))))))))))))))))</f>
        <v/>
      </c>
      <c r="I289" s="44" t="str">
        <f t="shared" si="32"/>
        <v/>
      </c>
      <c r="J289" s="9"/>
      <c r="K289" s="9"/>
      <c r="L289" s="9"/>
      <c r="M289" s="9"/>
      <c r="N289" s="9"/>
      <c r="O289" s="9"/>
      <c r="P289" s="13"/>
      <c r="Q289" s="9"/>
      <c r="R289" s="9"/>
      <c r="S289" s="9"/>
      <c r="T289" s="11"/>
      <c r="U289" s="44" t="str">
        <f t="shared" si="33"/>
        <v/>
      </c>
      <c r="V289" s="44" t="str">
        <f t="shared" si="34"/>
        <v/>
      </c>
      <c r="W289" s="44" t="str">
        <f t="shared" si="35"/>
        <v/>
      </c>
      <c r="X289" s="44" t="str">
        <f t="shared" si="36"/>
        <v/>
      </c>
      <c r="Y289" s="44" t="str">
        <f t="shared" si="37"/>
        <v/>
      </c>
      <c r="Z289" s="44" t="str">
        <f t="shared" si="38"/>
        <v/>
      </c>
      <c r="AA289" s="50" t="str">
        <f t="shared" si="39"/>
        <v/>
      </c>
      <c r="AB289" s="50" t="str">
        <f>IF(OR(B289="",C289&lt;&gt;"Expense"),"",IF(E289&gt;IFERROR(AVERAGEIFS($E$8:$E$1007,$I$8:$I$1007,I289,$C$8:$C$1007,"Expense")*SETTINGS!$B$20,0),"Unusually High","Normal"))</f>
        <v/>
      </c>
      <c r="AC289" s="51"/>
      <c r="AD289" s="51"/>
      <c r="AE289" s="51"/>
      <c r="AF289" s="50" t="str">
        <f>IF(A289&lt;&gt;"Yes","No",IF(AND(AC289="Yes",SETTINGS!$B$16="No"),"No","Yes"))</f>
        <v>No</v>
      </c>
      <c r="AG289" s="50" t="str">
        <f>IF(A289&lt;&gt;"Yes","",IF(OR(B289="",D289="",E289&lt;=0,F289="",I289=""),"Check Required Fields",IF(AA289="Possible Duplicate","Possible Duplicate",IF(E289&gt;SETTINGS!$B$22,"Review Extreme Value","OK"))))</f>
        <v/>
      </c>
    </row>
    <row r="290" spans="1:33" ht="14.4">
      <c r="A290" s="9"/>
      <c r="B290" s="13"/>
      <c r="C290" s="9"/>
      <c r="D290" s="9"/>
      <c r="E290" s="11"/>
      <c r="F290" s="9"/>
      <c r="G290" s="9"/>
      <c r="H290" s="44" t="str">
        <f>IF(D290="","",IF(ISNUMBER(SEARCH(SETTINGS!$K$4,D290)),SETTINGS!$L$4,IF(ISNUMBER(SEARCH(SETTINGS!$K$5,D290)),SETTINGS!$L$5,IF(ISNUMBER(SEARCH(SETTINGS!$K$6,D290)),SETTINGS!$L$6,IF(ISNUMBER(SEARCH(SETTINGS!$K$7,D290)),SETTINGS!$L$7,IF(ISNUMBER(SEARCH(SETTINGS!$K$8,D290)),SETTINGS!$L$8,IF(ISNUMBER(SEARCH(SETTINGS!$K$9,D290)),SETTINGS!$L$9,IF(ISNUMBER(SEARCH(SETTINGS!$K$10,D290)),SETTINGS!$L$10,IF(ISNUMBER(SEARCH(SETTINGS!$K$11,D290)),SETTINGS!$L$11,IF(ISNUMBER(SEARCH(SETTINGS!$K$12,D290)),SETTINGS!$L$12,IF(ISNUMBER(SEARCH(SETTINGS!$K$13,D290)),SETTINGS!$L$13,IF(ISNUMBER(SEARCH(SETTINGS!$K$14,D290)),SETTINGS!$L$14,IF(ISNUMBER(SEARCH(SETTINGS!$K$15,D290)),SETTINGS!$L$15,IF(ISNUMBER(SEARCH(SETTINGS!$K$16,D290)),SETTINGS!$L$16,IF(ISNUMBER(SEARCH(SETTINGS!$K$17,D290)),SETTINGS!$L$17,IF(ISNUMBER(SEARCH(SETTINGS!$K$18,D290)),SETTINGS!$L$18,"Miscellaneous"))))))))))))))))</f>
        <v/>
      </c>
      <c r="I290" s="44" t="str">
        <f t="shared" si="32"/>
        <v/>
      </c>
      <c r="J290" s="9"/>
      <c r="K290" s="9"/>
      <c r="L290" s="9"/>
      <c r="M290" s="9"/>
      <c r="N290" s="9"/>
      <c r="O290" s="9"/>
      <c r="P290" s="13"/>
      <c r="Q290" s="9"/>
      <c r="R290" s="9"/>
      <c r="S290" s="9"/>
      <c r="T290" s="11"/>
      <c r="U290" s="44" t="str">
        <f t="shared" si="33"/>
        <v/>
      </c>
      <c r="V290" s="44" t="str">
        <f t="shared" si="34"/>
        <v/>
      </c>
      <c r="W290" s="44" t="str">
        <f t="shared" si="35"/>
        <v/>
      </c>
      <c r="X290" s="44" t="str">
        <f t="shared" si="36"/>
        <v/>
      </c>
      <c r="Y290" s="44" t="str">
        <f t="shared" si="37"/>
        <v/>
      </c>
      <c r="Z290" s="44" t="str">
        <f t="shared" si="38"/>
        <v/>
      </c>
      <c r="AA290" s="50" t="str">
        <f t="shared" si="39"/>
        <v/>
      </c>
      <c r="AB290" s="50" t="str">
        <f>IF(OR(B290="",C290&lt;&gt;"Expense"),"",IF(E290&gt;IFERROR(AVERAGEIFS($E$8:$E$1007,$I$8:$I$1007,I290,$C$8:$C$1007,"Expense")*SETTINGS!$B$20,0),"Unusually High","Normal"))</f>
        <v/>
      </c>
      <c r="AC290" s="51"/>
      <c r="AD290" s="51"/>
      <c r="AE290" s="51"/>
      <c r="AF290" s="50" t="str">
        <f>IF(A290&lt;&gt;"Yes","No",IF(AND(AC290="Yes",SETTINGS!$B$16="No"),"No","Yes"))</f>
        <v>No</v>
      </c>
      <c r="AG290" s="50" t="str">
        <f>IF(A290&lt;&gt;"Yes","",IF(OR(B290="",D290="",E290&lt;=0,F290="",I290=""),"Check Required Fields",IF(AA290="Possible Duplicate","Possible Duplicate",IF(E290&gt;SETTINGS!$B$22,"Review Extreme Value","OK"))))</f>
        <v/>
      </c>
    </row>
    <row r="291" spans="1:33" ht="14.4">
      <c r="A291" s="9"/>
      <c r="B291" s="13"/>
      <c r="C291" s="9"/>
      <c r="D291" s="9"/>
      <c r="E291" s="11"/>
      <c r="F291" s="9"/>
      <c r="G291" s="9"/>
      <c r="H291" s="44" t="str">
        <f>IF(D291="","",IF(ISNUMBER(SEARCH(SETTINGS!$K$4,D291)),SETTINGS!$L$4,IF(ISNUMBER(SEARCH(SETTINGS!$K$5,D291)),SETTINGS!$L$5,IF(ISNUMBER(SEARCH(SETTINGS!$K$6,D291)),SETTINGS!$L$6,IF(ISNUMBER(SEARCH(SETTINGS!$K$7,D291)),SETTINGS!$L$7,IF(ISNUMBER(SEARCH(SETTINGS!$K$8,D291)),SETTINGS!$L$8,IF(ISNUMBER(SEARCH(SETTINGS!$K$9,D291)),SETTINGS!$L$9,IF(ISNUMBER(SEARCH(SETTINGS!$K$10,D291)),SETTINGS!$L$10,IF(ISNUMBER(SEARCH(SETTINGS!$K$11,D291)),SETTINGS!$L$11,IF(ISNUMBER(SEARCH(SETTINGS!$K$12,D291)),SETTINGS!$L$12,IF(ISNUMBER(SEARCH(SETTINGS!$K$13,D291)),SETTINGS!$L$13,IF(ISNUMBER(SEARCH(SETTINGS!$K$14,D291)),SETTINGS!$L$14,IF(ISNUMBER(SEARCH(SETTINGS!$K$15,D291)),SETTINGS!$L$15,IF(ISNUMBER(SEARCH(SETTINGS!$K$16,D291)),SETTINGS!$L$16,IF(ISNUMBER(SEARCH(SETTINGS!$K$17,D291)),SETTINGS!$L$17,IF(ISNUMBER(SEARCH(SETTINGS!$K$18,D291)),SETTINGS!$L$18,"Miscellaneous"))))))))))))))))</f>
        <v/>
      </c>
      <c r="I291" s="44" t="str">
        <f t="shared" si="32"/>
        <v/>
      </c>
      <c r="J291" s="9"/>
      <c r="K291" s="9"/>
      <c r="L291" s="9"/>
      <c r="M291" s="9"/>
      <c r="N291" s="9"/>
      <c r="O291" s="9"/>
      <c r="P291" s="13"/>
      <c r="Q291" s="9"/>
      <c r="R291" s="9"/>
      <c r="S291" s="9"/>
      <c r="T291" s="11"/>
      <c r="U291" s="44" t="str">
        <f t="shared" si="33"/>
        <v/>
      </c>
      <c r="V291" s="44" t="str">
        <f t="shared" si="34"/>
        <v/>
      </c>
      <c r="W291" s="44" t="str">
        <f t="shared" si="35"/>
        <v/>
      </c>
      <c r="X291" s="44" t="str">
        <f t="shared" si="36"/>
        <v/>
      </c>
      <c r="Y291" s="44" t="str">
        <f t="shared" si="37"/>
        <v/>
      </c>
      <c r="Z291" s="44" t="str">
        <f t="shared" si="38"/>
        <v/>
      </c>
      <c r="AA291" s="50" t="str">
        <f t="shared" si="39"/>
        <v/>
      </c>
      <c r="AB291" s="50" t="str">
        <f>IF(OR(B291="",C291&lt;&gt;"Expense"),"",IF(E291&gt;IFERROR(AVERAGEIFS($E$8:$E$1007,$I$8:$I$1007,I291,$C$8:$C$1007,"Expense")*SETTINGS!$B$20,0),"Unusually High","Normal"))</f>
        <v/>
      </c>
      <c r="AC291" s="51"/>
      <c r="AD291" s="51"/>
      <c r="AE291" s="51"/>
      <c r="AF291" s="50" t="str">
        <f>IF(A291&lt;&gt;"Yes","No",IF(AND(AC291="Yes",SETTINGS!$B$16="No"),"No","Yes"))</f>
        <v>No</v>
      </c>
      <c r="AG291" s="50" t="str">
        <f>IF(A291&lt;&gt;"Yes","",IF(OR(B291="",D291="",E291&lt;=0,F291="",I291=""),"Check Required Fields",IF(AA291="Possible Duplicate","Possible Duplicate",IF(E291&gt;SETTINGS!$B$22,"Review Extreme Value","OK"))))</f>
        <v/>
      </c>
    </row>
    <row r="292" spans="1:33" ht="14.4">
      <c r="A292" s="9"/>
      <c r="B292" s="13"/>
      <c r="C292" s="9"/>
      <c r="D292" s="9"/>
      <c r="E292" s="11"/>
      <c r="F292" s="9"/>
      <c r="G292" s="9"/>
      <c r="H292" s="44" t="str">
        <f>IF(D292="","",IF(ISNUMBER(SEARCH(SETTINGS!$K$4,D292)),SETTINGS!$L$4,IF(ISNUMBER(SEARCH(SETTINGS!$K$5,D292)),SETTINGS!$L$5,IF(ISNUMBER(SEARCH(SETTINGS!$K$6,D292)),SETTINGS!$L$6,IF(ISNUMBER(SEARCH(SETTINGS!$K$7,D292)),SETTINGS!$L$7,IF(ISNUMBER(SEARCH(SETTINGS!$K$8,D292)),SETTINGS!$L$8,IF(ISNUMBER(SEARCH(SETTINGS!$K$9,D292)),SETTINGS!$L$9,IF(ISNUMBER(SEARCH(SETTINGS!$K$10,D292)),SETTINGS!$L$10,IF(ISNUMBER(SEARCH(SETTINGS!$K$11,D292)),SETTINGS!$L$11,IF(ISNUMBER(SEARCH(SETTINGS!$K$12,D292)),SETTINGS!$L$12,IF(ISNUMBER(SEARCH(SETTINGS!$K$13,D292)),SETTINGS!$L$13,IF(ISNUMBER(SEARCH(SETTINGS!$K$14,D292)),SETTINGS!$L$14,IF(ISNUMBER(SEARCH(SETTINGS!$K$15,D292)),SETTINGS!$L$15,IF(ISNUMBER(SEARCH(SETTINGS!$K$16,D292)),SETTINGS!$L$16,IF(ISNUMBER(SEARCH(SETTINGS!$K$17,D292)),SETTINGS!$L$17,IF(ISNUMBER(SEARCH(SETTINGS!$K$18,D292)),SETTINGS!$L$18,"Miscellaneous"))))))))))))))))</f>
        <v/>
      </c>
      <c r="I292" s="44" t="str">
        <f t="shared" si="32"/>
        <v/>
      </c>
      <c r="J292" s="9"/>
      <c r="K292" s="9"/>
      <c r="L292" s="9"/>
      <c r="M292" s="9"/>
      <c r="N292" s="9"/>
      <c r="O292" s="9"/>
      <c r="P292" s="13"/>
      <c r="Q292" s="9"/>
      <c r="R292" s="9"/>
      <c r="S292" s="9"/>
      <c r="T292" s="11"/>
      <c r="U292" s="44" t="str">
        <f t="shared" si="33"/>
        <v/>
      </c>
      <c r="V292" s="44" t="str">
        <f t="shared" si="34"/>
        <v/>
      </c>
      <c r="W292" s="44" t="str">
        <f t="shared" si="35"/>
        <v/>
      </c>
      <c r="X292" s="44" t="str">
        <f t="shared" si="36"/>
        <v/>
      </c>
      <c r="Y292" s="44" t="str">
        <f t="shared" si="37"/>
        <v/>
      </c>
      <c r="Z292" s="44" t="str">
        <f t="shared" si="38"/>
        <v/>
      </c>
      <c r="AA292" s="50" t="str">
        <f t="shared" si="39"/>
        <v/>
      </c>
      <c r="AB292" s="50" t="str">
        <f>IF(OR(B292="",C292&lt;&gt;"Expense"),"",IF(E292&gt;IFERROR(AVERAGEIFS($E$8:$E$1007,$I$8:$I$1007,I292,$C$8:$C$1007,"Expense")*SETTINGS!$B$20,0),"Unusually High","Normal"))</f>
        <v/>
      </c>
      <c r="AC292" s="51"/>
      <c r="AD292" s="51"/>
      <c r="AE292" s="51"/>
      <c r="AF292" s="50" t="str">
        <f>IF(A292&lt;&gt;"Yes","No",IF(AND(AC292="Yes",SETTINGS!$B$16="No"),"No","Yes"))</f>
        <v>No</v>
      </c>
      <c r="AG292" s="50" t="str">
        <f>IF(A292&lt;&gt;"Yes","",IF(OR(B292="",D292="",E292&lt;=0,F292="",I292=""),"Check Required Fields",IF(AA292="Possible Duplicate","Possible Duplicate",IF(E292&gt;SETTINGS!$B$22,"Review Extreme Value","OK"))))</f>
        <v/>
      </c>
    </row>
    <row r="293" spans="1:33" ht="14.4">
      <c r="A293" s="9"/>
      <c r="B293" s="13"/>
      <c r="C293" s="9"/>
      <c r="D293" s="9"/>
      <c r="E293" s="11"/>
      <c r="F293" s="9"/>
      <c r="G293" s="9"/>
      <c r="H293" s="44" t="str">
        <f>IF(D293="","",IF(ISNUMBER(SEARCH(SETTINGS!$K$4,D293)),SETTINGS!$L$4,IF(ISNUMBER(SEARCH(SETTINGS!$K$5,D293)),SETTINGS!$L$5,IF(ISNUMBER(SEARCH(SETTINGS!$K$6,D293)),SETTINGS!$L$6,IF(ISNUMBER(SEARCH(SETTINGS!$K$7,D293)),SETTINGS!$L$7,IF(ISNUMBER(SEARCH(SETTINGS!$K$8,D293)),SETTINGS!$L$8,IF(ISNUMBER(SEARCH(SETTINGS!$K$9,D293)),SETTINGS!$L$9,IF(ISNUMBER(SEARCH(SETTINGS!$K$10,D293)),SETTINGS!$L$10,IF(ISNUMBER(SEARCH(SETTINGS!$K$11,D293)),SETTINGS!$L$11,IF(ISNUMBER(SEARCH(SETTINGS!$K$12,D293)),SETTINGS!$L$12,IF(ISNUMBER(SEARCH(SETTINGS!$K$13,D293)),SETTINGS!$L$13,IF(ISNUMBER(SEARCH(SETTINGS!$K$14,D293)),SETTINGS!$L$14,IF(ISNUMBER(SEARCH(SETTINGS!$K$15,D293)),SETTINGS!$L$15,IF(ISNUMBER(SEARCH(SETTINGS!$K$16,D293)),SETTINGS!$L$16,IF(ISNUMBER(SEARCH(SETTINGS!$K$17,D293)),SETTINGS!$L$17,IF(ISNUMBER(SEARCH(SETTINGS!$K$18,D293)),SETTINGS!$L$18,"Miscellaneous"))))))))))))))))</f>
        <v/>
      </c>
      <c r="I293" s="44" t="str">
        <f t="shared" si="32"/>
        <v/>
      </c>
      <c r="J293" s="9"/>
      <c r="K293" s="9"/>
      <c r="L293" s="9"/>
      <c r="M293" s="9"/>
      <c r="N293" s="9"/>
      <c r="O293" s="9"/>
      <c r="P293" s="13"/>
      <c r="Q293" s="9"/>
      <c r="R293" s="9"/>
      <c r="S293" s="9"/>
      <c r="T293" s="11"/>
      <c r="U293" s="44" t="str">
        <f t="shared" si="33"/>
        <v/>
      </c>
      <c r="V293" s="44" t="str">
        <f t="shared" si="34"/>
        <v/>
      </c>
      <c r="W293" s="44" t="str">
        <f t="shared" si="35"/>
        <v/>
      </c>
      <c r="X293" s="44" t="str">
        <f t="shared" si="36"/>
        <v/>
      </c>
      <c r="Y293" s="44" t="str">
        <f t="shared" si="37"/>
        <v/>
      </c>
      <c r="Z293" s="44" t="str">
        <f t="shared" si="38"/>
        <v/>
      </c>
      <c r="AA293" s="50" t="str">
        <f t="shared" si="39"/>
        <v/>
      </c>
      <c r="AB293" s="50" t="str">
        <f>IF(OR(B293="",C293&lt;&gt;"Expense"),"",IF(E293&gt;IFERROR(AVERAGEIFS($E$8:$E$1007,$I$8:$I$1007,I293,$C$8:$C$1007,"Expense")*SETTINGS!$B$20,0),"Unusually High","Normal"))</f>
        <v/>
      </c>
      <c r="AC293" s="51"/>
      <c r="AD293" s="51"/>
      <c r="AE293" s="51"/>
      <c r="AF293" s="50" t="str">
        <f>IF(A293&lt;&gt;"Yes","No",IF(AND(AC293="Yes",SETTINGS!$B$16="No"),"No","Yes"))</f>
        <v>No</v>
      </c>
      <c r="AG293" s="50" t="str">
        <f>IF(A293&lt;&gt;"Yes","",IF(OR(B293="",D293="",E293&lt;=0,F293="",I293=""),"Check Required Fields",IF(AA293="Possible Duplicate","Possible Duplicate",IF(E293&gt;SETTINGS!$B$22,"Review Extreme Value","OK"))))</f>
        <v/>
      </c>
    </row>
    <row r="294" spans="1:33" ht="14.4">
      <c r="A294" s="9"/>
      <c r="B294" s="13"/>
      <c r="C294" s="9"/>
      <c r="D294" s="9"/>
      <c r="E294" s="11"/>
      <c r="F294" s="9"/>
      <c r="G294" s="9"/>
      <c r="H294" s="44" t="str">
        <f>IF(D294="","",IF(ISNUMBER(SEARCH(SETTINGS!$K$4,D294)),SETTINGS!$L$4,IF(ISNUMBER(SEARCH(SETTINGS!$K$5,D294)),SETTINGS!$L$5,IF(ISNUMBER(SEARCH(SETTINGS!$K$6,D294)),SETTINGS!$L$6,IF(ISNUMBER(SEARCH(SETTINGS!$K$7,D294)),SETTINGS!$L$7,IF(ISNUMBER(SEARCH(SETTINGS!$K$8,D294)),SETTINGS!$L$8,IF(ISNUMBER(SEARCH(SETTINGS!$K$9,D294)),SETTINGS!$L$9,IF(ISNUMBER(SEARCH(SETTINGS!$K$10,D294)),SETTINGS!$L$10,IF(ISNUMBER(SEARCH(SETTINGS!$K$11,D294)),SETTINGS!$L$11,IF(ISNUMBER(SEARCH(SETTINGS!$K$12,D294)),SETTINGS!$L$12,IF(ISNUMBER(SEARCH(SETTINGS!$K$13,D294)),SETTINGS!$L$13,IF(ISNUMBER(SEARCH(SETTINGS!$K$14,D294)),SETTINGS!$L$14,IF(ISNUMBER(SEARCH(SETTINGS!$K$15,D294)),SETTINGS!$L$15,IF(ISNUMBER(SEARCH(SETTINGS!$K$16,D294)),SETTINGS!$L$16,IF(ISNUMBER(SEARCH(SETTINGS!$K$17,D294)),SETTINGS!$L$17,IF(ISNUMBER(SEARCH(SETTINGS!$K$18,D294)),SETTINGS!$L$18,"Miscellaneous"))))))))))))))))</f>
        <v/>
      </c>
      <c r="I294" s="44" t="str">
        <f t="shared" si="32"/>
        <v/>
      </c>
      <c r="J294" s="9"/>
      <c r="K294" s="9"/>
      <c r="L294" s="9"/>
      <c r="M294" s="9"/>
      <c r="N294" s="9"/>
      <c r="O294" s="9"/>
      <c r="P294" s="13"/>
      <c r="Q294" s="9"/>
      <c r="R294" s="9"/>
      <c r="S294" s="9"/>
      <c r="T294" s="11"/>
      <c r="U294" s="44" t="str">
        <f t="shared" si="33"/>
        <v/>
      </c>
      <c r="V294" s="44" t="str">
        <f t="shared" si="34"/>
        <v/>
      </c>
      <c r="W294" s="44" t="str">
        <f t="shared" si="35"/>
        <v/>
      </c>
      <c r="X294" s="44" t="str">
        <f t="shared" si="36"/>
        <v/>
      </c>
      <c r="Y294" s="44" t="str">
        <f t="shared" si="37"/>
        <v/>
      </c>
      <c r="Z294" s="44" t="str">
        <f t="shared" si="38"/>
        <v/>
      </c>
      <c r="AA294" s="50" t="str">
        <f t="shared" si="39"/>
        <v/>
      </c>
      <c r="AB294" s="50" t="str">
        <f>IF(OR(B294="",C294&lt;&gt;"Expense"),"",IF(E294&gt;IFERROR(AVERAGEIFS($E$8:$E$1007,$I$8:$I$1007,I294,$C$8:$C$1007,"Expense")*SETTINGS!$B$20,0),"Unusually High","Normal"))</f>
        <v/>
      </c>
      <c r="AC294" s="51"/>
      <c r="AD294" s="51"/>
      <c r="AE294" s="51"/>
      <c r="AF294" s="50" t="str">
        <f>IF(A294&lt;&gt;"Yes","No",IF(AND(AC294="Yes",SETTINGS!$B$16="No"),"No","Yes"))</f>
        <v>No</v>
      </c>
      <c r="AG294" s="50" t="str">
        <f>IF(A294&lt;&gt;"Yes","",IF(OR(B294="",D294="",E294&lt;=0,F294="",I294=""),"Check Required Fields",IF(AA294="Possible Duplicate","Possible Duplicate",IF(E294&gt;SETTINGS!$B$22,"Review Extreme Value","OK"))))</f>
        <v/>
      </c>
    </row>
    <row r="295" spans="1:33" ht="14.4">
      <c r="A295" s="9"/>
      <c r="B295" s="13"/>
      <c r="C295" s="9"/>
      <c r="D295" s="9"/>
      <c r="E295" s="11"/>
      <c r="F295" s="9"/>
      <c r="G295" s="9"/>
      <c r="H295" s="44" t="str">
        <f>IF(D295="","",IF(ISNUMBER(SEARCH(SETTINGS!$K$4,D295)),SETTINGS!$L$4,IF(ISNUMBER(SEARCH(SETTINGS!$K$5,D295)),SETTINGS!$L$5,IF(ISNUMBER(SEARCH(SETTINGS!$K$6,D295)),SETTINGS!$L$6,IF(ISNUMBER(SEARCH(SETTINGS!$K$7,D295)),SETTINGS!$L$7,IF(ISNUMBER(SEARCH(SETTINGS!$K$8,D295)),SETTINGS!$L$8,IF(ISNUMBER(SEARCH(SETTINGS!$K$9,D295)),SETTINGS!$L$9,IF(ISNUMBER(SEARCH(SETTINGS!$K$10,D295)),SETTINGS!$L$10,IF(ISNUMBER(SEARCH(SETTINGS!$K$11,D295)),SETTINGS!$L$11,IF(ISNUMBER(SEARCH(SETTINGS!$K$12,D295)),SETTINGS!$L$12,IF(ISNUMBER(SEARCH(SETTINGS!$K$13,D295)),SETTINGS!$L$13,IF(ISNUMBER(SEARCH(SETTINGS!$K$14,D295)),SETTINGS!$L$14,IF(ISNUMBER(SEARCH(SETTINGS!$K$15,D295)),SETTINGS!$L$15,IF(ISNUMBER(SEARCH(SETTINGS!$K$16,D295)),SETTINGS!$L$16,IF(ISNUMBER(SEARCH(SETTINGS!$K$17,D295)),SETTINGS!$L$17,IF(ISNUMBER(SEARCH(SETTINGS!$K$18,D295)),SETTINGS!$L$18,"Miscellaneous"))))))))))))))))</f>
        <v/>
      </c>
      <c r="I295" s="44" t="str">
        <f t="shared" si="32"/>
        <v/>
      </c>
      <c r="J295" s="9"/>
      <c r="K295" s="9"/>
      <c r="L295" s="9"/>
      <c r="M295" s="9"/>
      <c r="N295" s="9"/>
      <c r="O295" s="9"/>
      <c r="P295" s="13"/>
      <c r="Q295" s="9"/>
      <c r="R295" s="9"/>
      <c r="S295" s="9"/>
      <c r="T295" s="11"/>
      <c r="U295" s="44" t="str">
        <f t="shared" si="33"/>
        <v/>
      </c>
      <c r="V295" s="44" t="str">
        <f t="shared" si="34"/>
        <v/>
      </c>
      <c r="W295" s="44" t="str">
        <f t="shared" si="35"/>
        <v/>
      </c>
      <c r="X295" s="44" t="str">
        <f t="shared" si="36"/>
        <v/>
      </c>
      <c r="Y295" s="44" t="str">
        <f t="shared" si="37"/>
        <v/>
      </c>
      <c r="Z295" s="44" t="str">
        <f t="shared" si="38"/>
        <v/>
      </c>
      <c r="AA295" s="50" t="str">
        <f t="shared" si="39"/>
        <v/>
      </c>
      <c r="AB295" s="50" t="str">
        <f>IF(OR(B295="",C295&lt;&gt;"Expense"),"",IF(E295&gt;IFERROR(AVERAGEIFS($E$8:$E$1007,$I$8:$I$1007,I295,$C$8:$C$1007,"Expense")*SETTINGS!$B$20,0),"Unusually High","Normal"))</f>
        <v/>
      </c>
      <c r="AC295" s="51"/>
      <c r="AD295" s="51"/>
      <c r="AE295" s="51"/>
      <c r="AF295" s="50" t="str">
        <f>IF(A295&lt;&gt;"Yes","No",IF(AND(AC295="Yes",SETTINGS!$B$16="No"),"No","Yes"))</f>
        <v>No</v>
      </c>
      <c r="AG295" s="50" t="str">
        <f>IF(A295&lt;&gt;"Yes","",IF(OR(B295="",D295="",E295&lt;=0,F295="",I295=""),"Check Required Fields",IF(AA295="Possible Duplicate","Possible Duplicate",IF(E295&gt;SETTINGS!$B$22,"Review Extreme Value","OK"))))</f>
        <v/>
      </c>
    </row>
    <row r="296" spans="1:33" ht="14.4">
      <c r="A296" s="9"/>
      <c r="B296" s="13"/>
      <c r="C296" s="9"/>
      <c r="D296" s="9"/>
      <c r="E296" s="11"/>
      <c r="F296" s="9"/>
      <c r="G296" s="9"/>
      <c r="H296" s="44" t="str">
        <f>IF(D296="","",IF(ISNUMBER(SEARCH(SETTINGS!$K$4,D296)),SETTINGS!$L$4,IF(ISNUMBER(SEARCH(SETTINGS!$K$5,D296)),SETTINGS!$L$5,IF(ISNUMBER(SEARCH(SETTINGS!$K$6,D296)),SETTINGS!$L$6,IF(ISNUMBER(SEARCH(SETTINGS!$K$7,D296)),SETTINGS!$L$7,IF(ISNUMBER(SEARCH(SETTINGS!$K$8,D296)),SETTINGS!$L$8,IF(ISNUMBER(SEARCH(SETTINGS!$K$9,D296)),SETTINGS!$L$9,IF(ISNUMBER(SEARCH(SETTINGS!$K$10,D296)),SETTINGS!$L$10,IF(ISNUMBER(SEARCH(SETTINGS!$K$11,D296)),SETTINGS!$L$11,IF(ISNUMBER(SEARCH(SETTINGS!$K$12,D296)),SETTINGS!$L$12,IF(ISNUMBER(SEARCH(SETTINGS!$K$13,D296)),SETTINGS!$L$13,IF(ISNUMBER(SEARCH(SETTINGS!$K$14,D296)),SETTINGS!$L$14,IF(ISNUMBER(SEARCH(SETTINGS!$K$15,D296)),SETTINGS!$L$15,IF(ISNUMBER(SEARCH(SETTINGS!$K$16,D296)),SETTINGS!$L$16,IF(ISNUMBER(SEARCH(SETTINGS!$K$17,D296)),SETTINGS!$L$17,IF(ISNUMBER(SEARCH(SETTINGS!$K$18,D296)),SETTINGS!$L$18,"Miscellaneous"))))))))))))))))</f>
        <v/>
      </c>
      <c r="I296" s="44" t="str">
        <f t="shared" si="32"/>
        <v/>
      </c>
      <c r="J296" s="9"/>
      <c r="K296" s="9"/>
      <c r="L296" s="9"/>
      <c r="M296" s="9"/>
      <c r="N296" s="9"/>
      <c r="O296" s="9"/>
      <c r="P296" s="13"/>
      <c r="Q296" s="9"/>
      <c r="R296" s="9"/>
      <c r="S296" s="9"/>
      <c r="T296" s="11"/>
      <c r="U296" s="44" t="str">
        <f t="shared" si="33"/>
        <v/>
      </c>
      <c r="V296" s="44" t="str">
        <f t="shared" si="34"/>
        <v/>
      </c>
      <c r="W296" s="44" t="str">
        <f t="shared" si="35"/>
        <v/>
      </c>
      <c r="X296" s="44" t="str">
        <f t="shared" si="36"/>
        <v/>
      </c>
      <c r="Y296" s="44" t="str">
        <f t="shared" si="37"/>
        <v/>
      </c>
      <c r="Z296" s="44" t="str">
        <f t="shared" si="38"/>
        <v/>
      </c>
      <c r="AA296" s="50" t="str">
        <f t="shared" si="39"/>
        <v/>
      </c>
      <c r="AB296" s="50" t="str">
        <f>IF(OR(B296="",C296&lt;&gt;"Expense"),"",IF(E296&gt;IFERROR(AVERAGEIFS($E$8:$E$1007,$I$8:$I$1007,I296,$C$8:$C$1007,"Expense")*SETTINGS!$B$20,0),"Unusually High","Normal"))</f>
        <v/>
      </c>
      <c r="AC296" s="51"/>
      <c r="AD296" s="51"/>
      <c r="AE296" s="51"/>
      <c r="AF296" s="50" t="str">
        <f>IF(A296&lt;&gt;"Yes","No",IF(AND(AC296="Yes",SETTINGS!$B$16="No"),"No","Yes"))</f>
        <v>No</v>
      </c>
      <c r="AG296" s="50" t="str">
        <f>IF(A296&lt;&gt;"Yes","",IF(OR(B296="",D296="",E296&lt;=0,F296="",I296=""),"Check Required Fields",IF(AA296="Possible Duplicate","Possible Duplicate",IF(E296&gt;SETTINGS!$B$22,"Review Extreme Value","OK"))))</f>
        <v/>
      </c>
    </row>
    <row r="297" spans="1:33" ht="14.4">
      <c r="A297" s="9"/>
      <c r="B297" s="13"/>
      <c r="C297" s="9"/>
      <c r="D297" s="9"/>
      <c r="E297" s="11"/>
      <c r="F297" s="9"/>
      <c r="G297" s="9"/>
      <c r="H297" s="44" t="str">
        <f>IF(D297="","",IF(ISNUMBER(SEARCH(SETTINGS!$K$4,D297)),SETTINGS!$L$4,IF(ISNUMBER(SEARCH(SETTINGS!$K$5,D297)),SETTINGS!$L$5,IF(ISNUMBER(SEARCH(SETTINGS!$K$6,D297)),SETTINGS!$L$6,IF(ISNUMBER(SEARCH(SETTINGS!$K$7,D297)),SETTINGS!$L$7,IF(ISNUMBER(SEARCH(SETTINGS!$K$8,D297)),SETTINGS!$L$8,IF(ISNUMBER(SEARCH(SETTINGS!$K$9,D297)),SETTINGS!$L$9,IF(ISNUMBER(SEARCH(SETTINGS!$K$10,D297)),SETTINGS!$L$10,IF(ISNUMBER(SEARCH(SETTINGS!$K$11,D297)),SETTINGS!$L$11,IF(ISNUMBER(SEARCH(SETTINGS!$K$12,D297)),SETTINGS!$L$12,IF(ISNUMBER(SEARCH(SETTINGS!$K$13,D297)),SETTINGS!$L$13,IF(ISNUMBER(SEARCH(SETTINGS!$K$14,D297)),SETTINGS!$L$14,IF(ISNUMBER(SEARCH(SETTINGS!$K$15,D297)),SETTINGS!$L$15,IF(ISNUMBER(SEARCH(SETTINGS!$K$16,D297)),SETTINGS!$L$16,IF(ISNUMBER(SEARCH(SETTINGS!$K$17,D297)),SETTINGS!$L$17,IF(ISNUMBER(SEARCH(SETTINGS!$K$18,D297)),SETTINGS!$L$18,"Miscellaneous"))))))))))))))))</f>
        <v/>
      </c>
      <c r="I297" s="44" t="str">
        <f t="shared" si="32"/>
        <v/>
      </c>
      <c r="J297" s="9"/>
      <c r="K297" s="9"/>
      <c r="L297" s="9"/>
      <c r="M297" s="9"/>
      <c r="N297" s="9"/>
      <c r="O297" s="9"/>
      <c r="P297" s="13"/>
      <c r="Q297" s="9"/>
      <c r="R297" s="9"/>
      <c r="S297" s="9"/>
      <c r="T297" s="11"/>
      <c r="U297" s="44" t="str">
        <f t="shared" si="33"/>
        <v/>
      </c>
      <c r="V297" s="44" t="str">
        <f t="shared" si="34"/>
        <v/>
      </c>
      <c r="W297" s="44" t="str">
        <f t="shared" si="35"/>
        <v/>
      </c>
      <c r="X297" s="44" t="str">
        <f t="shared" si="36"/>
        <v/>
      </c>
      <c r="Y297" s="44" t="str">
        <f t="shared" si="37"/>
        <v/>
      </c>
      <c r="Z297" s="44" t="str">
        <f t="shared" si="38"/>
        <v/>
      </c>
      <c r="AA297" s="50" t="str">
        <f t="shared" si="39"/>
        <v/>
      </c>
      <c r="AB297" s="50" t="str">
        <f>IF(OR(B297="",C297&lt;&gt;"Expense"),"",IF(E297&gt;IFERROR(AVERAGEIFS($E$8:$E$1007,$I$8:$I$1007,I297,$C$8:$C$1007,"Expense")*SETTINGS!$B$20,0),"Unusually High","Normal"))</f>
        <v/>
      </c>
      <c r="AC297" s="51"/>
      <c r="AD297" s="51"/>
      <c r="AE297" s="51"/>
      <c r="AF297" s="50" t="str">
        <f>IF(A297&lt;&gt;"Yes","No",IF(AND(AC297="Yes",SETTINGS!$B$16="No"),"No","Yes"))</f>
        <v>No</v>
      </c>
      <c r="AG297" s="50" t="str">
        <f>IF(A297&lt;&gt;"Yes","",IF(OR(B297="",D297="",E297&lt;=0,F297="",I297=""),"Check Required Fields",IF(AA297="Possible Duplicate","Possible Duplicate",IF(E297&gt;SETTINGS!$B$22,"Review Extreme Value","OK"))))</f>
        <v/>
      </c>
    </row>
    <row r="298" spans="1:33" ht="14.4">
      <c r="A298" s="9"/>
      <c r="B298" s="13"/>
      <c r="C298" s="9"/>
      <c r="D298" s="9"/>
      <c r="E298" s="11"/>
      <c r="F298" s="9"/>
      <c r="G298" s="9"/>
      <c r="H298" s="44" t="str">
        <f>IF(D298="","",IF(ISNUMBER(SEARCH(SETTINGS!$K$4,D298)),SETTINGS!$L$4,IF(ISNUMBER(SEARCH(SETTINGS!$K$5,D298)),SETTINGS!$L$5,IF(ISNUMBER(SEARCH(SETTINGS!$K$6,D298)),SETTINGS!$L$6,IF(ISNUMBER(SEARCH(SETTINGS!$K$7,D298)),SETTINGS!$L$7,IF(ISNUMBER(SEARCH(SETTINGS!$K$8,D298)),SETTINGS!$L$8,IF(ISNUMBER(SEARCH(SETTINGS!$K$9,D298)),SETTINGS!$L$9,IF(ISNUMBER(SEARCH(SETTINGS!$K$10,D298)),SETTINGS!$L$10,IF(ISNUMBER(SEARCH(SETTINGS!$K$11,D298)),SETTINGS!$L$11,IF(ISNUMBER(SEARCH(SETTINGS!$K$12,D298)),SETTINGS!$L$12,IF(ISNUMBER(SEARCH(SETTINGS!$K$13,D298)),SETTINGS!$L$13,IF(ISNUMBER(SEARCH(SETTINGS!$K$14,D298)),SETTINGS!$L$14,IF(ISNUMBER(SEARCH(SETTINGS!$K$15,D298)),SETTINGS!$L$15,IF(ISNUMBER(SEARCH(SETTINGS!$K$16,D298)),SETTINGS!$L$16,IF(ISNUMBER(SEARCH(SETTINGS!$K$17,D298)),SETTINGS!$L$17,IF(ISNUMBER(SEARCH(SETTINGS!$K$18,D298)),SETTINGS!$L$18,"Miscellaneous"))))))))))))))))</f>
        <v/>
      </c>
      <c r="I298" s="44" t="str">
        <f t="shared" si="32"/>
        <v/>
      </c>
      <c r="J298" s="9"/>
      <c r="K298" s="9"/>
      <c r="L298" s="9"/>
      <c r="M298" s="9"/>
      <c r="N298" s="9"/>
      <c r="O298" s="9"/>
      <c r="P298" s="13"/>
      <c r="Q298" s="9"/>
      <c r="R298" s="9"/>
      <c r="S298" s="9"/>
      <c r="T298" s="11"/>
      <c r="U298" s="44" t="str">
        <f t="shared" si="33"/>
        <v/>
      </c>
      <c r="V298" s="44" t="str">
        <f t="shared" si="34"/>
        <v/>
      </c>
      <c r="W298" s="44" t="str">
        <f t="shared" si="35"/>
        <v/>
      </c>
      <c r="X298" s="44" t="str">
        <f t="shared" si="36"/>
        <v/>
      </c>
      <c r="Y298" s="44" t="str">
        <f t="shared" si="37"/>
        <v/>
      </c>
      <c r="Z298" s="44" t="str">
        <f t="shared" si="38"/>
        <v/>
      </c>
      <c r="AA298" s="50" t="str">
        <f t="shared" si="39"/>
        <v/>
      </c>
      <c r="AB298" s="50" t="str">
        <f>IF(OR(B298="",C298&lt;&gt;"Expense"),"",IF(E298&gt;IFERROR(AVERAGEIFS($E$8:$E$1007,$I$8:$I$1007,I298,$C$8:$C$1007,"Expense")*SETTINGS!$B$20,0),"Unusually High","Normal"))</f>
        <v/>
      </c>
      <c r="AC298" s="51"/>
      <c r="AD298" s="51"/>
      <c r="AE298" s="51"/>
      <c r="AF298" s="50" t="str">
        <f>IF(A298&lt;&gt;"Yes","No",IF(AND(AC298="Yes",SETTINGS!$B$16="No"),"No","Yes"))</f>
        <v>No</v>
      </c>
      <c r="AG298" s="50" t="str">
        <f>IF(A298&lt;&gt;"Yes","",IF(OR(B298="",D298="",E298&lt;=0,F298="",I298=""),"Check Required Fields",IF(AA298="Possible Duplicate","Possible Duplicate",IF(E298&gt;SETTINGS!$B$22,"Review Extreme Value","OK"))))</f>
        <v/>
      </c>
    </row>
    <row r="299" spans="1:33" ht="14.4">
      <c r="A299" s="9"/>
      <c r="B299" s="13"/>
      <c r="C299" s="9"/>
      <c r="D299" s="9"/>
      <c r="E299" s="11"/>
      <c r="F299" s="9"/>
      <c r="G299" s="9"/>
      <c r="H299" s="44" t="str">
        <f>IF(D299="","",IF(ISNUMBER(SEARCH(SETTINGS!$K$4,D299)),SETTINGS!$L$4,IF(ISNUMBER(SEARCH(SETTINGS!$K$5,D299)),SETTINGS!$L$5,IF(ISNUMBER(SEARCH(SETTINGS!$K$6,D299)),SETTINGS!$L$6,IF(ISNUMBER(SEARCH(SETTINGS!$K$7,D299)),SETTINGS!$L$7,IF(ISNUMBER(SEARCH(SETTINGS!$K$8,D299)),SETTINGS!$L$8,IF(ISNUMBER(SEARCH(SETTINGS!$K$9,D299)),SETTINGS!$L$9,IF(ISNUMBER(SEARCH(SETTINGS!$K$10,D299)),SETTINGS!$L$10,IF(ISNUMBER(SEARCH(SETTINGS!$K$11,D299)),SETTINGS!$L$11,IF(ISNUMBER(SEARCH(SETTINGS!$K$12,D299)),SETTINGS!$L$12,IF(ISNUMBER(SEARCH(SETTINGS!$K$13,D299)),SETTINGS!$L$13,IF(ISNUMBER(SEARCH(SETTINGS!$K$14,D299)),SETTINGS!$L$14,IF(ISNUMBER(SEARCH(SETTINGS!$K$15,D299)),SETTINGS!$L$15,IF(ISNUMBER(SEARCH(SETTINGS!$K$16,D299)),SETTINGS!$L$16,IF(ISNUMBER(SEARCH(SETTINGS!$K$17,D299)),SETTINGS!$L$17,IF(ISNUMBER(SEARCH(SETTINGS!$K$18,D299)),SETTINGS!$L$18,"Miscellaneous"))))))))))))))))</f>
        <v/>
      </c>
      <c r="I299" s="44" t="str">
        <f t="shared" si="32"/>
        <v/>
      </c>
      <c r="J299" s="9"/>
      <c r="K299" s="9"/>
      <c r="L299" s="9"/>
      <c r="M299" s="9"/>
      <c r="N299" s="9"/>
      <c r="O299" s="9"/>
      <c r="P299" s="13"/>
      <c r="Q299" s="9"/>
      <c r="R299" s="9"/>
      <c r="S299" s="9"/>
      <c r="T299" s="11"/>
      <c r="U299" s="44" t="str">
        <f t="shared" si="33"/>
        <v/>
      </c>
      <c r="V299" s="44" t="str">
        <f t="shared" si="34"/>
        <v/>
      </c>
      <c r="W299" s="44" t="str">
        <f t="shared" si="35"/>
        <v/>
      </c>
      <c r="X299" s="44" t="str">
        <f t="shared" si="36"/>
        <v/>
      </c>
      <c r="Y299" s="44" t="str">
        <f t="shared" si="37"/>
        <v/>
      </c>
      <c r="Z299" s="44" t="str">
        <f t="shared" si="38"/>
        <v/>
      </c>
      <c r="AA299" s="50" t="str">
        <f t="shared" si="39"/>
        <v/>
      </c>
      <c r="AB299" s="50" t="str">
        <f>IF(OR(B299="",C299&lt;&gt;"Expense"),"",IF(E299&gt;IFERROR(AVERAGEIFS($E$8:$E$1007,$I$8:$I$1007,I299,$C$8:$C$1007,"Expense")*SETTINGS!$B$20,0),"Unusually High","Normal"))</f>
        <v/>
      </c>
      <c r="AC299" s="51"/>
      <c r="AD299" s="51"/>
      <c r="AE299" s="51"/>
      <c r="AF299" s="50" t="str">
        <f>IF(A299&lt;&gt;"Yes","No",IF(AND(AC299="Yes",SETTINGS!$B$16="No"),"No","Yes"))</f>
        <v>No</v>
      </c>
      <c r="AG299" s="50" t="str">
        <f>IF(A299&lt;&gt;"Yes","",IF(OR(B299="",D299="",E299&lt;=0,F299="",I299=""),"Check Required Fields",IF(AA299="Possible Duplicate","Possible Duplicate",IF(E299&gt;SETTINGS!$B$22,"Review Extreme Value","OK"))))</f>
        <v/>
      </c>
    </row>
    <row r="300" spans="1:33" ht="14.4">
      <c r="A300" s="9"/>
      <c r="B300" s="13"/>
      <c r="C300" s="9"/>
      <c r="D300" s="9"/>
      <c r="E300" s="11"/>
      <c r="F300" s="9"/>
      <c r="G300" s="9"/>
      <c r="H300" s="44" t="str">
        <f>IF(D300="","",IF(ISNUMBER(SEARCH(SETTINGS!$K$4,D300)),SETTINGS!$L$4,IF(ISNUMBER(SEARCH(SETTINGS!$K$5,D300)),SETTINGS!$L$5,IF(ISNUMBER(SEARCH(SETTINGS!$K$6,D300)),SETTINGS!$L$6,IF(ISNUMBER(SEARCH(SETTINGS!$K$7,D300)),SETTINGS!$L$7,IF(ISNUMBER(SEARCH(SETTINGS!$K$8,D300)),SETTINGS!$L$8,IF(ISNUMBER(SEARCH(SETTINGS!$K$9,D300)),SETTINGS!$L$9,IF(ISNUMBER(SEARCH(SETTINGS!$K$10,D300)),SETTINGS!$L$10,IF(ISNUMBER(SEARCH(SETTINGS!$K$11,D300)),SETTINGS!$L$11,IF(ISNUMBER(SEARCH(SETTINGS!$K$12,D300)),SETTINGS!$L$12,IF(ISNUMBER(SEARCH(SETTINGS!$K$13,D300)),SETTINGS!$L$13,IF(ISNUMBER(SEARCH(SETTINGS!$K$14,D300)),SETTINGS!$L$14,IF(ISNUMBER(SEARCH(SETTINGS!$K$15,D300)),SETTINGS!$L$15,IF(ISNUMBER(SEARCH(SETTINGS!$K$16,D300)),SETTINGS!$L$16,IF(ISNUMBER(SEARCH(SETTINGS!$K$17,D300)),SETTINGS!$L$17,IF(ISNUMBER(SEARCH(SETTINGS!$K$18,D300)),SETTINGS!$L$18,"Miscellaneous"))))))))))))))))</f>
        <v/>
      </c>
      <c r="I300" s="44" t="str">
        <f t="shared" si="32"/>
        <v/>
      </c>
      <c r="J300" s="9"/>
      <c r="K300" s="9"/>
      <c r="L300" s="9"/>
      <c r="M300" s="9"/>
      <c r="N300" s="9"/>
      <c r="O300" s="9"/>
      <c r="P300" s="13"/>
      <c r="Q300" s="9"/>
      <c r="R300" s="9"/>
      <c r="S300" s="9"/>
      <c r="T300" s="11"/>
      <c r="U300" s="44" t="str">
        <f t="shared" si="33"/>
        <v/>
      </c>
      <c r="V300" s="44" t="str">
        <f t="shared" si="34"/>
        <v/>
      </c>
      <c r="W300" s="44" t="str">
        <f t="shared" si="35"/>
        <v/>
      </c>
      <c r="X300" s="44" t="str">
        <f t="shared" si="36"/>
        <v/>
      </c>
      <c r="Y300" s="44" t="str">
        <f t="shared" si="37"/>
        <v/>
      </c>
      <c r="Z300" s="44" t="str">
        <f t="shared" si="38"/>
        <v/>
      </c>
      <c r="AA300" s="50" t="str">
        <f t="shared" si="39"/>
        <v/>
      </c>
      <c r="AB300" s="50" t="str">
        <f>IF(OR(B300="",C300&lt;&gt;"Expense"),"",IF(E300&gt;IFERROR(AVERAGEIFS($E$8:$E$1007,$I$8:$I$1007,I300,$C$8:$C$1007,"Expense")*SETTINGS!$B$20,0),"Unusually High","Normal"))</f>
        <v/>
      </c>
      <c r="AC300" s="51"/>
      <c r="AD300" s="51"/>
      <c r="AE300" s="51"/>
      <c r="AF300" s="50" t="str">
        <f>IF(A300&lt;&gt;"Yes","No",IF(AND(AC300="Yes",SETTINGS!$B$16="No"),"No","Yes"))</f>
        <v>No</v>
      </c>
      <c r="AG300" s="50" t="str">
        <f>IF(A300&lt;&gt;"Yes","",IF(OR(B300="",D300="",E300&lt;=0,F300="",I300=""),"Check Required Fields",IF(AA300="Possible Duplicate","Possible Duplicate",IF(E300&gt;SETTINGS!$B$22,"Review Extreme Value","OK"))))</f>
        <v/>
      </c>
    </row>
    <row r="301" spans="1:33" ht="14.4">
      <c r="A301" s="9"/>
      <c r="B301" s="13"/>
      <c r="C301" s="9"/>
      <c r="D301" s="9"/>
      <c r="E301" s="11"/>
      <c r="F301" s="9"/>
      <c r="G301" s="9"/>
      <c r="H301" s="44" t="str">
        <f>IF(D301="","",IF(ISNUMBER(SEARCH(SETTINGS!$K$4,D301)),SETTINGS!$L$4,IF(ISNUMBER(SEARCH(SETTINGS!$K$5,D301)),SETTINGS!$L$5,IF(ISNUMBER(SEARCH(SETTINGS!$K$6,D301)),SETTINGS!$L$6,IF(ISNUMBER(SEARCH(SETTINGS!$K$7,D301)),SETTINGS!$L$7,IF(ISNUMBER(SEARCH(SETTINGS!$K$8,D301)),SETTINGS!$L$8,IF(ISNUMBER(SEARCH(SETTINGS!$K$9,D301)),SETTINGS!$L$9,IF(ISNUMBER(SEARCH(SETTINGS!$K$10,D301)),SETTINGS!$L$10,IF(ISNUMBER(SEARCH(SETTINGS!$K$11,D301)),SETTINGS!$L$11,IF(ISNUMBER(SEARCH(SETTINGS!$K$12,D301)),SETTINGS!$L$12,IF(ISNUMBER(SEARCH(SETTINGS!$K$13,D301)),SETTINGS!$L$13,IF(ISNUMBER(SEARCH(SETTINGS!$K$14,D301)),SETTINGS!$L$14,IF(ISNUMBER(SEARCH(SETTINGS!$K$15,D301)),SETTINGS!$L$15,IF(ISNUMBER(SEARCH(SETTINGS!$K$16,D301)),SETTINGS!$L$16,IF(ISNUMBER(SEARCH(SETTINGS!$K$17,D301)),SETTINGS!$L$17,IF(ISNUMBER(SEARCH(SETTINGS!$K$18,D301)),SETTINGS!$L$18,"Miscellaneous"))))))))))))))))</f>
        <v/>
      </c>
      <c r="I301" s="44" t="str">
        <f t="shared" si="32"/>
        <v/>
      </c>
      <c r="J301" s="9"/>
      <c r="K301" s="9"/>
      <c r="L301" s="9"/>
      <c r="M301" s="9"/>
      <c r="N301" s="9"/>
      <c r="O301" s="9"/>
      <c r="P301" s="13"/>
      <c r="Q301" s="9"/>
      <c r="R301" s="9"/>
      <c r="S301" s="9"/>
      <c r="T301" s="11"/>
      <c r="U301" s="44" t="str">
        <f t="shared" si="33"/>
        <v/>
      </c>
      <c r="V301" s="44" t="str">
        <f t="shared" si="34"/>
        <v/>
      </c>
      <c r="W301" s="44" t="str">
        <f t="shared" si="35"/>
        <v/>
      </c>
      <c r="X301" s="44" t="str">
        <f t="shared" si="36"/>
        <v/>
      </c>
      <c r="Y301" s="44" t="str">
        <f t="shared" si="37"/>
        <v/>
      </c>
      <c r="Z301" s="44" t="str">
        <f t="shared" si="38"/>
        <v/>
      </c>
      <c r="AA301" s="50" t="str">
        <f t="shared" si="39"/>
        <v/>
      </c>
      <c r="AB301" s="50" t="str">
        <f>IF(OR(B301="",C301&lt;&gt;"Expense"),"",IF(E301&gt;IFERROR(AVERAGEIFS($E$8:$E$1007,$I$8:$I$1007,I301,$C$8:$C$1007,"Expense")*SETTINGS!$B$20,0),"Unusually High","Normal"))</f>
        <v/>
      </c>
      <c r="AC301" s="51"/>
      <c r="AD301" s="51"/>
      <c r="AE301" s="51"/>
      <c r="AF301" s="50" t="str">
        <f>IF(A301&lt;&gt;"Yes","No",IF(AND(AC301="Yes",SETTINGS!$B$16="No"),"No","Yes"))</f>
        <v>No</v>
      </c>
      <c r="AG301" s="50" t="str">
        <f>IF(A301&lt;&gt;"Yes","",IF(OR(B301="",D301="",E301&lt;=0,F301="",I301=""),"Check Required Fields",IF(AA301="Possible Duplicate","Possible Duplicate",IF(E301&gt;SETTINGS!$B$22,"Review Extreme Value","OK"))))</f>
        <v/>
      </c>
    </row>
    <row r="302" spans="1:33" ht="14.4">
      <c r="A302" s="9"/>
      <c r="B302" s="13"/>
      <c r="C302" s="9"/>
      <c r="D302" s="9"/>
      <c r="E302" s="11"/>
      <c r="F302" s="9"/>
      <c r="G302" s="9"/>
      <c r="H302" s="44" t="str">
        <f>IF(D302="","",IF(ISNUMBER(SEARCH(SETTINGS!$K$4,D302)),SETTINGS!$L$4,IF(ISNUMBER(SEARCH(SETTINGS!$K$5,D302)),SETTINGS!$L$5,IF(ISNUMBER(SEARCH(SETTINGS!$K$6,D302)),SETTINGS!$L$6,IF(ISNUMBER(SEARCH(SETTINGS!$K$7,D302)),SETTINGS!$L$7,IF(ISNUMBER(SEARCH(SETTINGS!$K$8,D302)),SETTINGS!$L$8,IF(ISNUMBER(SEARCH(SETTINGS!$K$9,D302)),SETTINGS!$L$9,IF(ISNUMBER(SEARCH(SETTINGS!$K$10,D302)),SETTINGS!$L$10,IF(ISNUMBER(SEARCH(SETTINGS!$K$11,D302)),SETTINGS!$L$11,IF(ISNUMBER(SEARCH(SETTINGS!$K$12,D302)),SETTINGS!$L$12,IF(ISNUMBER(SEARCH(SETTINGS!$K$13,D302)),SETTINGS!$L$13,IF(ISNUMBER(SEARCH(SETTINGS!$K$14,D302)),SETTINGS!$L$14,IF(ISNUMBER(SEARCH(SETTINGS!$K$15,D302)),SETTINGS!$L$15,IF(ISNUMBER(SEARCH(SETTINGS!$K$16,D302)),SETTINGS!$L$16,IF(ISNUMBER(SEARCH(SETTINGS!$K$17,D302)),SETTINGS!$L$17,IF(ISNUMBER(SEARCH(SETTINGS!$K$18,D302)),SETTINGS!$L$18,"Miscellaneous"))))))))))))))))</f>
        <v/>
      </c>
      <c r="I302" s="44" t="str">
        <f t="shared" si="32"/>
        <v/>
      </c>
      <c r="J302" s="9"/>
      <c r="K302" s="9"/>
      <c r="L302" s="9"/>
      <c r="M302" s="9"/>
      <c r="N302" s="9"/>
      <c r="O302" s="9"/>
      <c r="P302" s="13"/>
      <c r="Q302" s="9"/>
      <c r="R302" s="9"/>
      <c r="S302" s="9"/>
      <c r="T302" s="11"/>
      <c r="U302" s="44" t="str">
        <f t="shared" si="33"/>
        <v/>
      </c>
      <c r="V302" s="44" t="str">
        <f t="shared" si="34"/>
        <v/>
      </c>
      <c r="W302" s="44" t="str">
        <f t="shared" si="35"/>
        <v/>
      </c>
      <c r="X302" s="44" t="str">
        <f t="shared" si="36"/>
        <v/>
      </c>
      <c r="Y302" s="44" t="str">
        <f t="shared" si="37"/>
        <v/>
      </c>
      <c r="Z302" s="44" t="str">
        <f t="shared" si="38"/>
        <v/>
      </c>
      <c r="AA302" s="50" t="str">
        <f t="shared" si="39"/>
        <v/>
      </c>
      <c r="AB302" s="50" t="str">
        <f>IF(OR(B302="",C302&lt;&gt;"Expense"),"",IF(E302&gt;IFERROR(AVERAGEIFS($E$8:$E$1007,$I$8:$I$1007,I302,$C$8:$C$1007,"Expense")*SETTINGS!$B$20,0),"Unusually High","Normal"))</f>
        <v/>
      </c>
      <c r="AC302" s="51"/>
      <c r="AD302" s="51"/>
      <c r="AE302" s="51"/>
      <c r="AF302" s="50" t="str">
        <f>IF(A302&lt;&gt;"Yes","No",IF(AND(AC302="Yes",SETTINGS!$B$16="No"),"No","Yes"))</f>
        <v>No</v>
      </c>
      <c r="AG302" s="50" t="str">
        <f>IF(A302&lt;&gt;"Yes","",IF(OR(B302="",D302="",E302&lt;=0,F302="",I302=""),"Check Required Fields",IF(AA302="Possible Duplicate","Possible Duplicate",IF(E302&gt;SETTINGS!$B$22,"Review Extreme Value","OK"))))</f>
        <v/>
      </c>
    </row>
    <row r="303" spans="1:33" ht="14.4">
      <c r="A303" s="9"/>
      <c r="B303" s="13"/>
      <c r="C303" s="9"/>
      <c r="D303" s="9"/>
      <c r="E303" s="11"/>
      <c r="F303" s="9"/>
      <c r="G303" s="9"/>
      <c r="H303" s="44" t="str">
        <f>IF(D303="","",IF(ISNUMBER(SEARCH(SETTINGS!$K$4,D303)),SETTINGS!$L$4,IF(ISNUMBER(SEARCH(SETTINGS!$K$5,D303)),SETTINGS!$L$5,IF(ISNUMBER(SEARCH(SETTINGS!$K$6,D303)),SETTINGS!$L$6,IF(ISNUMBER(SEARCH(SETTINGS!$K$7,D303)),SETTINGS!$L$7,IF(ISNUMBER(SEARCH(SETTINGS!$K$8,D303)),SETTINGS!$L$8,IF(ISNUMBER(SEARCH(SETTINGS!$K$9,D303)),SETTINGS!$L$9,IF(ISNUMBER(SEARCH(SETTINGS!$K$10,D303)),SETTINGS!$L$10,IF(ISNUMBER(SEARCH(SETTINGS!$K$11,D303)),SETTINGS!$L$11,IF(ISNUMBER(SEARCH(SETTINGS!$K$12,D303)),SETTINGS!$L$12,IF(ISNUMBER(SEARCH(SETTINGS!$K$13,D303)),SETTINGS!$L$13,IF(ISNUMBER(SEARCH(SETTINGS!$K$14,D303)),SETTINGS!$L$14,IF(ISNUMBER(SEARCH(SETTINGS!$K$15,D303)),SETTINGS!$L$15,IF(ISNUMBER(SEARCH(SETTINGS!$K$16,D303)),SETTINGS!$L$16,IF(ISNUMBER(SEARCH(SETTINGS!$K$17,D303)),SETTINGS!$L$17,IF(ISNUMBER(SEARCH(SETTINGS!$K$18,D303)),SETTINGS!$L$18,"Miscellaneous"))))))))))))))))</f>
        <v/>
      </c>
      <c r="I303" s="44" t="str">
        <f t="shared" si="32"/>
        <v/>
      </c>
      <c r="J303" s="9"/>
      <c r="K303" s="9"/>
      <c r="L303" s="9"/>
      <c r="M303" s="9"/>
      <c r="N303" s="9"/>
      <c r="O303" s="9"/>
      <c r="P303" s="13"/>
      <c r="Q303" s="9"/>
      <c r="R303" s="9"/>
      <c r="S303" s="9"/>
      <c r="T303" s="11"/>
      <c r="U303" s="44" t="str">
        <f t="shared" si="33"/>
        <v/>
      </c>
      <c r="V303" s="44" t="str">
        <f t="shared" si="34"/>
        <v/>
      </c>
      <c r="W303" s="44" t="str">
        <f t="shared" si="35"/>
        <v/>
      </c>
      <c r="X303" s="44" t="str">
        <f t="shared" si="36"/>
        <v/>
      </c>
      <c r="Y303" s="44" t="str">
        <f t="shared" si="37"/>
        <v/>
      </c>
      <c r="Z303" s="44" t="str">
        <f t="shared" si="38"/>
        <v/>
      </c>
      <c r="AA303" s="50" t="str">
        <f t="shared" si="39"/>
        <v/>
      </c>
      <c r="AB303" s="50" t="str">
        <f>IF(OR(B303="",C303&lt;&gt;"Expense"),"",IF(E303&gt;IFERROR(AVERAGEIFS($E$8:$E$1007,$I$8:$I$1007,I303,$C$8:$C$1007,"Expense")*SETTINGS!$B$20,0),"Unusually High","Normal"))</f>
        <v/>
      </c>
      <c r="AC303" s="51"/>
      <c r="AD303" s="51"/>
      <c r="AE303" s="51"/>
      <c r="AF303" s="50" t="str">
        <f>IF(A303&lt;&gt;"Yes","No",IF(AND(AC303="Yes",SETTINGS!$B$16="No"),"No","Yes"))</f>
        <v>No</v>
      </c>
      <c r="AG303" s="50" t="str">
        <f>IF(A303&lt;&gt;"Yes","",IF(OR(B303="",D303="",E303&lt;=0,F303="",I303=""),"Check Required Fields",IF(AA303="Possible Duplicate","Possible Duplicate",IF(E303&gt;SETTINGS!$B$22,"Review Extreme Value","OK"))))</f>
        <v/>
      </c>
    </row>
    <row r="304" spans="1:33" ht="14.4">
      <c r="A304" s="9"/>
      <c r="B304" s="13"/>
      <c r="C304" s="9"/>
      <c r="D304" s="9"/>
      <c r="E304" s="11"/>
      <c r="F304" s="9"/>
      <c r="G304" s="9"/>
      <c r="H304" s="44" t="str">
        <f>IF(D304="","",IF(ISNUMBER(SEARCH(SETTINGS!$K$4,D304)),SETTINGS!$L$4,IF(ISNUMBER(SEARCH(SETTINGS!$K$5,D304)),SETTINGS!$L$5,IF(ISNUMBER(SEARCH(SETTINGS!$K$6,D304)),SETTINGS!$L$6,IF(ISNUMBER(SEARCH(SETTINGS!$K$7,D304)),SETTINGS!$L$7,IF(ISNUMBER(SEARCH(SETTINGS!$K$8,D304)),SETTINGS!$L$8,IF(ISNUMBER(SEARCH(SETTINGS!$K$9,D304)),SETTINGS!$L$9,IF(ISNUMBER(SEARCH(SETTINGS!$K$10,D304)),SETTINGS!$L$10,IF(ISNUMBER(SEARCH(SETTINGS!$K$11,D304)),SETTINGS!$L$11,IF(ISNUMBER(SEARCH(SETTINGS!$K$12,D304)),SETTINGS!$L$12,IF(ISNUMBER(SEARCH(SETTINGS!$K$13,D304)),SETTINGS!$L$13,IF(ISNUMBER(SEARCH(SETTINGS!$K$14,D304)),SETTINGS!$L$14,IF(ISNUMBER(SEARCH(SETTINGS!$K$15,D304)),SETTINGS!$L$15,IF(ISNUMBER(SEARCH(SETTINGS!$K$16,D304)),SETTINGS!$L$16,IF(ISNUMBER(SEARCH(SETTINGS!$K$17,D304)),SETTINGS!$L$17,IF(ISNUMBER(SEARCH(SETTINGS!$K$18,D304)),SETTINGS!$L$18,"Miscellaneous"))))))))))))))))</f>
        <v/>
      </c>
      <c r="I304" s="44" t="str">
        <f t="shared" si="32"/>
        <v/>
      </c>
      <c r="J304" s="9"/>
      <c r="K304" s="9"/>
      <c r="L304" s="9"/>
      <c r="M304" s="9"/>
      <c r="N304" s="9"/>
      <c r="O304" s="9"/>
      <c r="P304" s="13"/>
      <c r="Q304" s="9"/>
      <c r="R304" s="9"/>
      <c r="S304" s="9"/>
      <c r="T304" s="11"/>
      <c r="U304" s="44" t="str">
        <f t="shared" si="33"/>
        <v/>
      </c>
      <c r="V304" s="44" t="str">
        <f t="shared" si="34"/>
        <v/>
      </c>
      <c r="W304" s="44" t="str">
        <f t="shared" si="35"/>
        <v/>
      </c>
      <c r="X304" s="44" t="str">
        <f t="shared" si="36"/>
        <v/>
      </c>
      <c r="Y304" s="44" t="str">
        <f t="shared" si="37"/>
        <v/>
      </c>
      <c r="Z304" s="44" t="str">
        <f t="shared" si="38"/>
        <v/>
      </c>
      <c r="AA304" s="50" t="str">
        <f t="shared" si="39"/>
        <v/>
      </c>
      <c r="AB304" s="50" t="str">
        <f>IF(OR(B304="",C304&lt;&gt;"Expense"),"",IF(E304&gt;IFERROR(AVERAGEIFS($E$8:$E$1007,$I$8:$I$1007,I304,$C$8:$C$1007,"Expense")*SETTINGS!$B$20,0),"Unusually High","Normal"))</f>
        <v/>
      </c>
      <c r="AC304" s="51"/>
      <c r="AD304" s="51"/>
      <c r="AE304" s="51"/>
      <c r="AF304" s="50" t="str">
        <f>IF(A304&lt;&gt;"Yes","No",IF(AND(AC304="Yes",SETTINGS!$B$16="No"),"No","Yes"))</f>
        <v>No</v>
      </c>
      <c r="AG304" s="50" t="str">
        <f>IF(A304&lt;&gt;"Yes","",IF(OR(B304="",D304="",E304&lt;=0,F304="",I304=""),"Check Required Fields",IF(AA304="Possible Duplicate","Possible Duplicate",IF(E304&gt;SETTINGS!$B$22,"Review Extreme Value","OK"))))</f>
        <v/>
      </c>
    </row>
    <row r="305" spans="1:33" ht="14.4">
      <c r="A305" s="9"/>
      <c r="B305" s="13"/>
      <c r="C305" s="9"/>
      <c r="D305" s="9"/>
      <c r="E305" s="11"/>
      <c r="F305" s="9"/>
      <c r="G305" s="9"/>
      <c r="H305" s="44" t="str">
        <f>IF(D305="","",IF(ISNUMBER(SEARCH(SETTINGS!$K$4,D305)),SETTINGS!$L$4,IF(ISNUMBER(SEARCH(SETTINGS!$K$5,D305)),SETTINGS!$L$5,IF(ISNUMBER(SEARCH(SETTINGS!$K$6,D305)),SETTINGS!$L$6,IF(ISNUMBER(SEARCH(SETTINGS!$K$7,D305)),SETTINGS!$L$7,IF(ISNUMBER(SEARCH(SETTINGS!$K$8,D305)),SETTINGS!$L$8,IF(ISNUMBER(SEARCH(SETTINGS!$K$9,D305)),SETTINGS!$L$9,IF(ISNUMBER(SEARCH(SETTINGS!$K$10,D305)),SETTINGS!$L$10,IF(ISNUMBER(SEARCH(SETTINGS!$K$11,D305)),SETTINGS!$L$11,IF(ISNUMBER(SEARCH(SETTINGS!$K$12,D305)),SETTINGS!$L$12,IF(ISNUMBER(SEARCH(SETTINGS!$K$13,D305)),SETTINGS!$L$13,IF(ISNUMBER(SEARCH(SETTINGS!$K$14,D305)),SETTINGS!$L$14,IF(ISNUMBER(SEARCH(SETTINGS!$K$15,D305)),SETTINGS!$L$15,IF(ISNUMBER(SEARCH(SETTINGS!$K$16,D305)),SETTINGS!$L$16,IF(ISNUMBER(SEARCH(SETTINGS!$K$17,D305)),SETTINGS!$L$17,IF(ISNUMBER(SEARCH(SETTINGS!$K$18,D305)),SETTINGS!$L$18,"Miscellaneous"))))))))))))))))</f>
        <v/>
      </c>
      <c r="I305" s="44" t="str">
        <f t="shared" si="32"/>
        <v/>
      </c>
      <c r="J305" s="9"/>
      <c r="K305" s="9"/>
      <c r="L305" s="9"/>
      <c r="M305" s="9"/>
      <c r="N305" s="9"/>
      <c r="O305" s="9"/>
      <c r="P305" s="13"/>
      <c r="Q305" s="9"/>
      <c r="R305" s="9"/>
      <c r="S305" s="9"/>
      <c r="T305" s="11"/>
      <c r="U305" s="44" t="str">
        <f t="shared" si="33"/>
        <v/>
      </c>
      <c r="V305" s="44" t="str">
        <f t="shared" si="34"/>
        <v/>
      </c>
      <c r="W305" s="44" t="str">
        <f t="shared" si="35"/>
        <v/>
      </c>
      <c r="X305" s="44" t="str">
        <f t="shared" si="36"/>
        <v/>
      </c>
      <c r="Y305" s="44" t="str">
        <f t="shared" si="37"/>
        <v/>
      </c>
      <c r="Z305" s="44" t="str">
        <f t="shared" si="38"/>
        <v/>
      </c>
      <c r="AA305" s="50" t="str">
        <f t="shared" si="39"/>
        <v/>
      </c>
      <c r="AB305" s="50" t="str">
        <f>IF(OR(B305="",C305&lt;&gt;"Expense"),"",IF(E305&gt;IFERROR(AVERAGEIFS($E$8:$E$1007,$I$8:$I$1007,I305,$C$8:$C$1007,"Expense")*SETTINGS!$B$20,0),"Unusually High","Normal"))</f>
        <v/>
      </c>
      <c r="AC305" s="51"/>
      <c r="AD305" s="51"/>
      <c r="AE305" s="51"/>
      <c r="AF305" s="50" t="str">
        <f>IF(A305&lt;&gt;"Yes","No",IF(AND(AC305="Yes",SETTINGS!$B$16="No"),"No","Yes"))</f>
        <v>No</v>
      </c>
      <c r="AG305" s="50" t="str">
        <f>IF(A305&lt;&gt;"Yes","",IF(OR(B305="",D305="",E305&lt;=0,F305="",I305=""),"Check Required Fields",IF(AA305="Possible Duplicate","Possible Duplicate",IF(E305&gt;SETTINGS!$B$22,"Review Extreme Value","OK"))))</f>
        <v/>
      </c>
    </row>
    <row r="306" spans="1:33" ht="14.4">
      <c r="A306" s="9"/>
      <c r="B306" s="13"/>
      <c r="C306" s="9"/>
      <c r="D306" s="9"/>
      <c r="E306" s="11"/>
      <c r="F306" s="9"/>
      <c r="G306" s="9"/>
      <c r="H306" s="44" t="str">
        <f>IF(D306="","",IF(ISNUMBER(SEARCH(SETTINGS!$K$4,D306)),SETTINGS!$L$4,IF(ISNUMBER(SEARCH(SETTINGS!$K$5,D306)),SETTINGS!$L$5,IF(ISNUMBER(SEARCH(SETTINGS!$K$6,D306)),SETTINGS!$L$6,IF(ISNUMBER(SEARCH(SETTINGS!$K$7,D306)),SETTINGS!$L$7,IF(ISNUMBER(SEARCH(SETTINGS!$K$8,D306)),SETTINGS!$L$8,IF(ISNUMBER(SEARCH(SETTINGS!$K$9,D306)),SETTINGS!$L$9,IF(ISNUMBER(SEARCH(SETTINGS!$K$10,D306)),SETTINGS!$L$10,IF(ISNUMBER(SEARCH(SETTINGS!$K$11,D306)),SETTINGS!$L$11,IF(ISNUMBER(SEARCH(SETTINGS!$K$12,D306)),SETTINGS!$L$12,IF(ISNUMBER(SEARCH(SETTINGS!$K$13,D306)),SETTINGS!$L$13,IF(ISNUMBER(SEARCH(SETTINGS!$K$14,D306)),SETTINGS!$L$14,IF(ISNUMBER(SEARCH(SETTINGS!$K$15,D306)),SETTINGS!$L$15,IF(ISNUMBER(SEARCH(SETTINGS!$K$16,D306)),SETTINGS!$L$16,IF(ISNUMBER(SEARCH(SETTINGS!$K$17,D306)),SETTINGS!$L$17,IF(ISNUMBER(SEARCH(SETTINGS!$K$18,D306)),SETTINGS!$L$18,"Miscellaneous"))))))))))))))))</f>
        <v/>
      </c>
      <c r="I306" s="44" t="str">
        <f t="shared" si="32"/>
        <v/>
      </c>
      <c r="J306" s="9"/>
      <c r="K306" s="9"/>
      <c r="L306" s="9"/>
      <c r="M306" s="9"/>
      <c r="N306" s="9"/>
      <c r="O306" s="9"/>
      <c r="P306" s="13"/>
      <c r="Q306" s="9"/>
      <c r="R306" s="9"/>
      <c r="S306" s="9"/>
      <c r="T306" s="11"/>
      <c r="U306" s="44" t="str">
        <f t="shared" si="33"/>
        <v/>
      </c>
      <c r="V306" s="44" t="str">
        <f t="shared" si="34"/>
        <v/>
      </c>
      <c r="W306" s="44" t="str">
        <f t="shared" si="35"/>
        <v/>
      </c>
      <c r="X306" s="44" t="str">
        <f t="shared" si="36"/>
        <v/>
      </c>
      <c r="Y306" s="44" t="str">
        <f t="shared" si="37"/>
        <v/>
      </c>
      <c r="Z306" s="44" t="str">
        <f t="shared" si="38"/>
        <v/>
      </c>
      <c r="AA306" s="50" t="str">
        <f t="shared" si="39"/>
        <v/>
      </c>
      <c r="AB306" s="50" t="str">
        <f>IF(OR(B306="",C306&lt;&gt;"Expense"),"",IF(E306&gt;IFERROR(AVERAGEIFS($E$8:$E$1007,$I$8:$I$1007,I306,$C$8:$C$1007,"Expense")*SETTINGS!$B$20,0),"Unusually High","Normal"))</f>
        <v/>
      </c>
      <c r="AC306" s="51"/>
      <c r="AD306" s="51"/>
      <c r="AE306" s="51"/>
      <c r="AF306" s="50" t="str">
        <f>IF(A306&lt;&gt;"Yes","No",IF(AND(AC306="Yes",SETTINGS!$B$16="No"),"No","Yes"))</f>
        <v>No</v>
      </c>
      <c r="AG306" s="50" t="str">
        <f>IF(A306&lt;&gt;"Yes","",IF(OR(B306="",D306="",E306&lt;=0,F306="",I306=""),"Check Required Fields",IF(AA306="Possible Duplicate","Possible Duplicate",IF(E306&gt;SETTINGS!$B$22,"Review Extreme Value","OK"))))</f>
        <v/>
      </c>
    </row>
    <row r="307" spans="1:33" ht="14.4">
      <c r="A307" s="9"/>
      <c r="B307" s="13"/>
      <c r="C307" s="9"/>
      <c r="D307" s="9"/>
      <c r="E307" s="11"/>
      <c r="F307" s="9"/>
      <c r="G307" s="9"/>
      <c r="H307" s="44" t="str">
        <f>IF(D307="","",IF(ISNUMBER(SEARCH(SETTINGS!$K$4,D307)),SETTINGS!$L$4,IF(ISNUMBER(SEARCH(SETTINGS!$K$5,D307)),SETTINGS!$L$5,IF(ISNUMBER(SEARCH(SETTINGS!$K$6,D307)),SETTINGS!$L$6,IF(ISNUMBER(SEARCH(SETTINGS!$K$7,D307)),SETTINGS!$L$7,IF(ISNUMBER(SEARCH(SETTINGS!$K$8,D307)),SETTINGS!$L$8,IF(ISNUMBER(SEARCH(SETTINGS!$K$9,D307)),SETTINGS!$L$9,IF(ISNUMBER(SEARCH(SETTINGS!$K$10,D307)),SETTINGS!$L$10,IF(ISNUMBER(SEARCH(SETTINGS!$K$11,D307)),SETTINGS!$L$11,IF(ISNUMBER(SEARCH(SETTINGS!$K$12,D307)),SETTINGS!$L$12,IF(ISNUMBER(SEARCH(SETTINGS!$K$13,D307)),SETTINGS!$L$13,IF(ISNUMBER(SEARCH(SETTINGS!$K$14,D307)),SETTINGS!$L$14,IF(ISNUMBER(SEARCH(SETTINGS!$K$15,D307)),SETTINGS!$L$15,IF(ISNUMBER(SEARCH(SETTINGS!$K$16,D307)),SETTINGS!$L$16,IF(ISNUMBER(SEARCH(SETTINGS!$K$17,D307)),SETTINGS!$L$17,IF(ISNUMBER(SEARCH(SETTINGS!$K$18,D307)),SETTINGS!$L$18,"Miscellaneous"))))))))))))))))</f>
        <v/>
      </c>
      <c r="I307" s="44" t="str">
        <f t="shared" si="32"/>
        <v/>
      </c>
      <c r="J307" s="9"/>
      <c r="K307" s="9"/>
      <c r="L307" s="9"/>
      <c r="M307" s="9"/>
      <c r="N307" s="9"/>
      <c r="O307" s="9"/>
      <c r="P307" s="13"/>
      <c r="Q307" s="9"/>
      <c r="R307" s="9"/>
      <c r="S307" s="9"/>
      <c r="T307" s="11"/>
      <c r="U307" s="44" t="str">
        <f t="shared" si="33"/>
        <v/>
      </c>
      <c r="V307" s="44" t="str">
        <f t="shared" si="34"/>
        <v/>
      </c>
      <c r="W307" s="44" t="str">
        <f t="shared" si="35"/>
        <v/>
      </c>
      <c r="X307" s="44" t="str">
        <f t="shared" si="36"/>
        <v/>
      </c>
      <c r="Y307" s="44" t="str">
        <f t="shared" si="37"/>
        <v/>
      </c>
      <c r="Z307" s="44" t="str">
        <f t="shared" si="38"/>
        <v/>
      </c>
      <c r="AA307" s="50" t="str">
        <f t="shared" si="39"/>
        <v/>
      </c>
      <c r="AB307" s="50" t="str">
        <f>IF(OR(B307="",C307&lt;&gt;"Expense"),"",IF(E307&gt;IFERROR(AVERAGEIFS($E$8:$E$1007,$I$8:$I$1007,I307,$C$8:$C$1007,"Expense")*SETTINGS!$B$20,0),"Unusually High","Normal"))</f>
        <v/>
      </c>
      <c r="AC307" s="51"/>
      <c r="AD307" s="51"/>
      <c r="AE307" s="51"/>
      <c r="AF307" s="50" t="str">
        <f>IF(A307&lt;&gt;"Yes","No",IF(AND(AC307="Yes",SETTINGS!$B$16="No"),"No","Yes"))</f>
        <v>No</v>
      </c>
      <c r="AG307" s="50" t="str">
        <f>IF(A307&lt;&gt;"Yes","",IF(OR(B307="",D307="",E307&lt;=0,F307="",I307=""),"Check Required Fields",IF(AA307="Possible Duplicate","Possible Duplicate",IF(E307&gt;SETTINGS!$B$22,"Review Extreme Value","OK"))))</f>
        <v/>
      </c>
    </row>
    <row r="308" spans="1:33" ht="14.4">
      <c r="A308" s="9"/>
      <c r="B308" s="13"/>
      <c r="C308" s="9"/>
      <c r="D308" s="9"/>
      <c r="E308" s="11"/>
      <c r="F308" s="9"/>
      <c r="G308" s="9"/>
      <c r="H308" s="44" t="str">
        <f>IF(D308="","",IF(ISNUMBER(SEARCH(SETTINGS!$K$4,D308)),SETTINGS!$L$4,IF(ISNUMBER(SEARCH(SETTINGS!$K$5,D308)),SETTINGS!$L$5,IF(ISNUMBER(SEARCH(SETTINGS!$K$6,D308)),SETTINGS!$L$6,IF(ISNUMBER(SEARCH(SETTINGS!$K$7,D308)),SETTINGS!$L$7,IF(ISNUMBER(SEARCH(SETTINGS!$K$8,D308)),SETTINGS!$L$8,IF(ISNUMBER(SEARCH(SETTINGS!$K$9,D308)),SETTINGS!$L$9,IF(ISNUMBER(SEARCH(SETTINGS!$K$10,D308)),SETTINGS!$L$10,IF(ISNUMBER(SEARCH(SETTINGS!$K$11,D308)),SETTINGS!$L$11,IF(ISNUMBER(SEARCH(SETTINGS!$K$12,D308)),SETTINGS!$L$12,IF(ISNUMBER(SEARCH(SETTINGS!$K$13,D308)),SETTINGS!$L$13,IF(ISNUMBER(SEARCH(SETTINGS!$K$14,D308)),SETTINGS!$L$14,IF(ISNUMBER(SEARCH(SETTINGS!$K$15,D308)),SETTINGS!$L$15,IF(ISNUMBER(SEARCH(SETTINGS!$K$16,D308)),SETTINGS!$L$16,IF(ISNUMBER(SEARCH(SETTINGS!$K$17,D308)),SETTINGS!$L$17,IF(ISNUMBER(SEARCH(SETTINGS!$K$18,D308)),SETTINGS!$L$18,"Miscellaneous"))))))))))))))))</f>
        <v/>
      </c>
      <c r="I308" s="44" t="str">
        <f t="shared" si="32"/>
        <v/>
      </c>
      <c r="J308" s="9"/>
      <c r="K308" s="9"/>
      <c r="L308" s="9"/>
      <c r="M308" s="9"/>
      <c r="N308" s="9"/>
      <c r="O308" s="9"/>
      <c r="P308" s="13"/>
      <c r="Q308" s="9"/>
      <c r="R308" s="9"/>
      <c r="S308" s="9"/>
      <c r="T308" s="11"/>
      <c r="U308" s="44" t="str">
        <f t="shared" si="33"/>
        <v/>
      </c>
      <c r="V308" s="44" t="str">
        <f t="shared" si="34"/>
        <v/>
      </c>
      <c r="W308" s="44" t="str">
        <f t="shared" si="35"/>
        <v/>
      </c>
      <c r="X308" s="44" t="str">
        <f t="shared" si="36"/>
        <v/>
      </c>
      <c r="Y308" s="44" t="str">
        <f t="shared" si="37"/>
        <v/>
      </c>
      <c r="Z308" s="44" t="str">
        <f t="shared" si="38"/>
        <v/>
      </c>
      <c r="AA308" s="50" t="str">
        <f t="shared" si="39"/>
        <v/>
      </c>
      <c r="AB308" s="50" t="str">
        <f>IF(OR(B308="",C308&lt;&gt;"Expense"),"",IF(E308&gt;IFERROR(AVERAGEIFS($E$8:$E$1007,$I$8:$I$1007,I308,$C$8:$C$1007,"Expense")*SETTINGS!$B$20,0),"Unusually High","Normal"))</f>
        <v/>
      </c>
      <c r="AC308" s="51"/>
      <c r="AD308" s="51"/>
      <c r="AE308" s="51"/>
      <c r="AF308" s="50" t="str">
        <f>IF(A308&lt;&gt;"Yes","No",IF(AND(AC308="Yes",SETTINGS!$B$16="No"),"No","Yes"))</f>
        <v>No</v>
      </c>
      <c r="AG308" s="50" t="str">
        <f>IF(A308&lt;&gt;"Yes","",IF(OR(B308="",D308="",E308&lt;=0,F308="",I308=""),"Check Required Fields",IF(AA308="Possible Duplicate","Possible Duplicate",IF(E308&gt;SETTINGS!$B$22,"Review Extreme Value","OK"))))</f>
        <v/>
      </c>
    </row>
    <row r="309" spans="1:33" ht="14.4">
      <c r="A309" s="9"/>
      <c r="B309" s="13"/>
      <c r="C309" s="9"/>
      <c r="D309" s="9"/>
      <c r="E309" s="11"/>
      <c r="F309" s="9"/>
      <c r="G309" s="9"/>
      <c r="H309" s="44" t="str">
        <f>IF(D309="","",IF(ISNUMBER(SEARCH(SETTINGS!$K$4,D309)),SETTINGS!$L$4,IF(ISNUMBER(SEARCH(SETTINGS!$K$5,D309)),SETTINGS!$L$5,IF(ISNUMBER(SEARCH(SETTINGS!$K$6,D309)),SETTINGS!$L$6,IF(ISNUMBER(SEARCH(SETTINGS!$K$7,D309)),SETTINGS!$L$7,IF(ISNUMBER(SEARCH(SETTINGS!$K$8,D309)),SETTINGS!$L$8,IF(ISNUMBER(SEARCH(SETTINGS!$K$9,D309)),SETTINGS!$L$9,IF(ISNUMBER(SEARCH(SETTINGS!$K$10,D309)),SETTINGS!$L$10,IF(ISNUMBER(SEARCH(SETTINGS!$K$11,D309)),SETTINGS!$L$11,IF(ISNUMBER(SEARCH(SETTINGS!$K$12,D309)),SETTINGS!$L$12,IF(ISNUMBER(SEARCH(SETTINGS!$K$13,D309)),SETTINGS!$L$13,IF(ISNUMBER(SEARCH(SETTINGS!$K$14,D309)),SETTINGS!$L$14,IF(ISNUMBER(SEARCH(SETTINGS!$K$15,D309)),SETTINGS!$L$15,IF(ISNUMBER(SEARCH(SETTINGS!$K$16,D309)),SETTINGS!$L$16,IF(ISNUMBER(SEARCH(SETTINGS!$K$17,D309)),SETTINGS!$L$17,IF(ISNUMBER(SEARCH(SETTINGS!$K$18,D309)),SETTINGS!$L$18,"Miscellaneous"))))))))))))))))</f>
        <v/>
      </c>
      <c r="I309" s="44" t="str">
        <f t="shared" si="32"/>
        <v/>
      </c>
      <c r="J309" s="9"/>
      <c r="K309" s="9"/>
      <c r="L309" s="9"/>
      <c r="M309" s="9"/>
      <c r="N309" s="9"/>
      <c r="O309" s="9"/>
      <c r="P309" s="13"/>
      <c r="Q309" s="9"/>
      <c r="R309" s="9"/>
      <c r="S309" s="9"/>
      <c r="T309" s="11"/>
      <c r="U309" s="44" t="str">
        <f t="shared" si="33"/>
        <v/>
      </c>
      <c r="V309" s="44" t="str">
        <f t="shared" si="34"/>
        <v/>
      </c>
      <c r="W309" s="44" t="str">
        <f t="shared" si="35"/>
        <v/>
      </c>
      <c r="X309" s="44" t="str">
        <f t="shared" si="36"/>
        <v/>
      </c>
      <c r="Y309" s="44" t="str">
        <f t="shared" si="37"/>
        <v/>
      </c>
      <c r="Z309" s="44" t="str">
        <f t="shared" si="38"/>
        <v/>
      </c>
      <c r="AA309" s="50" t="str">
        <f t="shared" si="39"/>
        <v/>
      </c>
      <c r="AB309" s="50" t="str">
        <f>IF(OR(B309="",C309&lt;&gt;"Expense"),"",IF(E309&gt;IFERROR(AVERAGEIFS($E$8:$E$1007,$I$8:$I$1007,I309,$C$8:$C$1007,"Expense")*SETTINGS!$B$20,0),"Unusually High","Normal"))</f>
        <v/>
      </c>
      <c r="AC309" s="51"/>
      <c r="AD309" s="51"/>
      <c r="AE309" s="51"/>
      <c r="AF309" s="50" t="str">
        <f>IF(A309&lt;&gt;"Yes","No",IF(AND(AC309="Yes",SETTINGS!$B$16="No"),"No","Yes"))</f>
        <v>No</v>
      </c>
      <c r="AG309" s="50" t="str">
        <f>IF(A309&lt;&gt;"Yes","",IF(OR(B309="",D309="",E309&lt;=0,F309="",I309=""),"Check Required Fields",IF(AA309="Possible Duplicate","Possible Duplicate",IF(E309&gt;SETTINGS!$B$22,"Review Extreme Value","OK"))))</f>
        <v/>
      </c>
    </row>
    <row r="310" spans="1:33" ht="14.4">
      <c r="A310" s="9"/>
      <c r="B310" s="13"/>
      <c r="C310" s="9"/>
      <c r="D310" s="9"/>
      <c r="E310" s="11"/>
      <c r="F310" s="9"/>
      <c r="G310" s="9"/>
      <c r="H310" s="44" t="str">
        <f>IF(D310="","",IF(ISNUMBER(SEARCH(SETTINGS!$K$4,D310)),SETTINGS!$L$4,IF(ISNUMBER(SEARCH(SETTINGS!$K$5,D310)),SETTINGS!$L$5,IF(ISNUMBER(SEARCH(SETTINGS!$K$6,D310)),SETTINGS!$L$6,IF(ISNUMBER(SEARCH(SETTINGS!$K$7,D310)),SETTINGS!$L$7,IF(ISNUMBER(SEARCH(SETTINGS!$K$8,D310)),SETTINGS!$L$8,IF(ISNUMBER(SEARCH(SETTINGS!$K$9,D310)),SETTINGS!$L$9,IF(ISNUMBER(SEARCH(SETTINGS!$K$10,D310)),SETTINGS!$L$10,IF(ISNUMBER(SEARCH(SETTINGS!$K$11,D310)),SETTINGS!$L$11,IF(ISNUMBER(SEARCH(SETTINGS!$K$12,D310)),SETTINGS!$L$12,IF(ISNUMBER(SEARCH(SETTINGS!$K$13,D310)),SETTINGS!$L$13,IF(ISNUMBER(SEARCH(SETTINGS!$K$14,D310)),SETTINGS!$L$14,IF(ISNUMBER(SEARCH(SETTINGS!$K$15,D310)),SETTINGS!$L$15,IF(ISNUMBER(SEARCH(SETTINGS!$K$16,D310)),SETTINGS!$L$16,IF(ISNUMBER(SEARCH(SETTINGS!$K$17,D310)),SETTINGS!$L$17,IF(ISNUMBER(SEARCH(SETTINGS!$K$18,D310)),SETTINGS!$L$18,"Miscellaneous"))))))))))))))))</f>
        <v/>
      </c>
      <c r="I310" s="44" t="str">
        <f t="shared" si="32"/>
        <v/>
      </c>
      <c r="J310" s="9"/>
      <c r="K310" s="9"/>
      <c r="L310" s="9"/>
      <c r="M310" s="9"/>
      <c r="N310" s="9"/>
      <c r="O310" s="9"/>
      <c r="P310" s="13"/>
      <c r="Q310" s="9"/>
      <c r="R310" s="9"/>
      <c r="S310" s="9"/>
      <c r="T310" s="11"/>
      <c r="U310" s="44" t="str">
        <f t="shared" si="33"/>
        <v/>
      </c>
      <c r="V310" s="44" t="str">
        <f t="shared" si="34"/>
        <v/>
      </c>
      <c r="W310" s="44" t="str">
        <f t="shared" si="35"/>
        <v/>
      </c>
      <c r="X310" s="44" t="str">
        <f t="shared" si="36"/>
        <v/>
      </c>
      <c r="Y310" s="44" t="str">
        <f t="shared" si="37"/>
        <v/>
      </c>
      <c r="Z310" s="44" t="str">
        <f t="shared" si="38"/>
        <v/>
      </c>
      <c r="AA310" s="50" t="str">
        <f t="shared" si="39"/>
        <v/>
      </c>
      <c r="AB310" s="50" t="str">
        <f>IF(OR(B310="",C310&lt;&gt;"Expense"),"",IF(E310&gt;IFERROR(AVERAGEIFS($E$8:$E$1007,$I$8:$I$1007,I310,$C$8:$C$1007,"Expense")*SETTINGS!$B$20,0),"Unusually High","Normal"))</f>
        <v/>
      </c>
      <c r="AC310" s="51"/>
      <c r="AD310" s="51"/>
      <c r="AE310" s="51"/>
      <c r="AF310" s="50" t="str">
        <f>IF(A310&lt;&gt;"Yes","No",IF(AND(AC310="Yes",SETTINGS!$B$16="No"),"No","Yes"))</f>
        <v>No</v>
      </c>
      <c r="AG310" s="50" t="str">
        <f>IF(A310&lt;&gt;"Yes","",IF(OR(B310="",D310="",E310&lt;=0,F310="",I310=""),"Check Required Fields",IF(AA310="Possible Duplicate","Possible Duplicate",IF(E310&gt;SETTINGS!$B$22,"Review Extreme Value","OK"))))</f>
        <v/>
      </c>
    </row>
    <row r="311" spans="1:33" ht="14.4">
      <c r="A311" s="9"/>
      <c r="B311" s="13"/>
      <c r="C311" s="9"/>
      <c r="D311" s="9"/>
      <c r="E311" s="11"/>
      <c r="F311" s="9"/>
      <c r="G311" s="9"/>
      <c r="H311" s="44" t="str">
        <f>IF(D311="","",IF(ISNUMBER(SEARCH(SETTINGS!$K$4,D311)),SETTINGS!$L$4,IF(ISNUMBER(SEARCH(SETTINGS!$K$5,D311)),SETTINGS!$L$5,IF(ISNUMBER(SEARCH(SETTINGS!$K$6,D311)),SETTINGS!$L$6,IF(ISNUMBER(SEARCH(SETTINGS!$K$7,D311)),SETTINGS!$L$7,IF(ISNUMBER(SEARCH(SETTINGS!$K$8,D311)),SETTINGS!$L$8,IF(ISNUMBER(SEARCH(SETTINGS!$K$9,D311)),SETTINGS!$L$9,IF(ISNUMBER(SEARCH(SETTINGS!$K$10,D311)),SETTINGS!$L$10,IF(ISNUMBER(SEARCH(SETTINGS!$K$11,D311)),SETTINGS!$L$11,IF(ISNUMBER(SEARCH(SETTINGS!$K$12,D311)),SETTINGS!$L$12,IF(ISNUMBER(SEARCH(SETTINGS!$K$13,D311)),SETTINGS!$L$13,IF(ISNUMBER(SEARCH(SETTINGS!$K$14,D311)),SETTINGS!$L$14,IF(ISNUMBER(SEARCH(SETTINGS!$K$15,D311)),SETTINGS!$L$15,IF(ISNUMBER(SEARCH(SETTINGS!$K$16,D311)),SETTINGS!$L$16,IF(ISNUMBER(SEARCH(SETTINGS!$K$17,D311)),SETTINGS!$L$17,IF(ISNUMBER(SEARCH(SETTINGS!$K$18,D311)),SETTINGS!$L$18,"Miscellaneous"))))))))))))))))</f>
        <v/>
      </c>
      <c r="I311" s="44" t="str">
        <f t="shared" si="32"/>
        <v/>
      </c>
      <c r="J311" s="9"/>
      <c r="K311" s="9"/>
      <c r="L311" s="9"/>
      <c r="M311" s="9"/>
      <c r="N311" s="9"/>
      <c r="O311" s="9"/>
      <c r="P311" s="13"/>
      <c r="Q311" s="9"/>
      <c r="R311" s="9"/>
      <c r="S311" s="9"/>
      <c r="T311" s="11"/>
      <c r="U311" s="44" t="str">
        <f t="shared" si="33"/>
        <v/>
      </c>
      <c r="V311" s="44" t="str">
        <f t="shared" si="34"/>
        <v/>
      </c>
      <c r="W311" s="44" t="str">
        <f t="shared" si="35"/>
        <v/>
      </c>
      <c r="X311" s="44" t="str">
        <f t="shared" si="36"/>
        <v/>
      </c>
      <c r="Y311" s="44" t="str">
        <f t="shared" si="37"/>
        <v/>
      </c>
      <c r="Z311" s="44" t="str">
        <f t="shared" si="38"/>
        <v/>
      </c>
      <c r="AA311" s="50" t="str">
        <f t="shared" si="39"/>
        <v/>
      </c>
      <c r="AB311" s="50" t="str">
        <f>IF(OR(B311="",C311&lt;&gt;"Expense"),"",IF(E311&gt;IFERROR(AVERAGEIFS($E$8:$E$1007,$I$8:$I$1007,I311,$C$8:$C$1007,"Expense")*SETTINGS!$B$20,0),"Unusually High","Normal"))</f>
        <v/>
      </c>
      <c r="AC311" s="51"/>
      <c r="AD311" s="51"/>
      <c r="AE311" s="51"/>
      <c r="AF311" s="50" t="str">
        <f>IF(A311&lt;&gt;"Yes","No",IF(AND(AC311="Yes",SETTINGS!$B$16="No"),"No","Yes"))</f>
        <v>No</v>
      </c>
      <c r="AG311" s="50" t="str">
        <f>IF(A311&lt;&gt;"Yes","",IF(OR(B311="",D311="",E311&lt;=0,F311="",I311=""),"Check Required Fields",IF(AA311="Possible Duplicate","Possible Duplicate",IF(E311&gt;SETTINGS!$B$22,"Review Extreme Value","OK"))))</f>
        <v/>
      </c>
    </row>
    <row r="312" spans="1:33" ht="14.4">
      <c r="A312" s="9"/>
      <c r="B312" s="13"/>
      <c r="C312" s="9"/>
      <c r="D312" s="9"/>
      <c r="E312" s="11"/>
      <c r="F312" s="9"/>
      <c r="G312" s="9"/>
      <c r="H312" s="44" t="str">
        <f>IF(D312="","",IF(ISNUMBER(SEARCH(SETTINGS!$K$4,D312)),SETTINGS!$L$4,IF(ISNUMBER(SEARCH(SETTINGS!$K$5,D312)),SETTINGS!$L$5,IF(ISNUMBER(SEARCH(SETTINGS!$K$6,D312)),SETTINGS!$L$6,IF(ISNUMBER(SEARCH(SETTINGS!$K$7,D312)),SETTINGS!$L$7,IF(ISNUMBER(SEARCH(SETTINGS!$K$8,D312)),SETTINGS!$L$8,IF(ISNUMBER(SEARCH(SETTINGS!$K$9,D312)),SETTINGS!$L$9,IF(ISNUMBER(SEARCH(SETTINGS!$K$10,D312)),SETTINGS!$L$10,IF(ISNUMBER(SEARCH(SETTINGS!$K$11,D312)),SETTINGS!$L$11,IF(ISNUMBER(SEARCH(SETTINGS!$K$12,D312)),SETTINGS!$L$12,IF(ISNUMBER(SEARCH(SETTINGS!$K$13,D312)),SETTINGS!$L$13,IF(ISNUMBER(SEARCH(SETTINGS!$K$14,D312)),SETTINGS!$L$14,IF(ISNUMBER(SEARCH(SETTINGS!$K$15,D312)),SETTINGS!$L$15,IF(ISNUMBER(SEARCH(SETTINGS!$K$16,D312)),SETTINGS!$L$16,IF(ISNUMBER(SEARCH(SETTINGS!$K$17,D312)),SETTINGS!$L$17,IF(ISNUMBER(SEARCH(SETTINGS!$K$18,D312)),SETTINGS!$L$18,"Miscellaneous"))))))))))))))))</f>
        <v/>
      </c>
      <c r="I312" s="44" t="str">
        <f t="shared" si="32"/>
        <v/>
      </c>
      <c r="J312" s="9"/>
      <c r="K312" s="9"/>
      <c r="L312" s="9"/>
      <c r="M312" s="9"/>
      <c r="N312" s="9"/>
      <c r="O312" s="9"/>
      <c r="P312" s="13"/>
      <c r="Q312" s="9"/>
      <c r="R312" s="9"/>
      <c r="S312" s="9"/>
      <c r="T312" s="11"/>
      <c r="U312" s="44" t="str">
        <f t="shared" si="33"/>
        <v/>
      </c>
      <c r="V312" s="44" t="str">
        <f t="shared" si="34"/>
        <v/>
      </c>
      <c r="W312" s="44" t="str">
        <f t="shared" si="35"/>
        <v/>
      </c>
      <c r="X312" s="44" t="str">
        <f t="shared" si="36"/>
        <v/>
      </c>
      <c r="Y312" s="44" t="str">
        <f t="shared" si="37"/>
        <v/>
      </c>
      <c r="Z312" s="44" t="str">
        <f t="shared" si="38"/>
        <v/>
      </c>
      <c r="AA312" s="50" t="str">
        <f t="shared" si="39"/>
        <v/>
      </c>
      <c r="AB312" s="50" t="str">
        <f>IF(OR(B312="",C312&lt;&gt;"Expense"),"",IF(E312&gt;IFERROR(AVERAGEIFS($E$8:$E$1007,$I$8:$I$1007,I312,$C$8:$C$1007,"Expense")*SETTINGS!$B$20,0),"Unusually High","Normal"))</f>
        <v/>
      </c>
      <c r="AC312" s="51"/>
      <c r="AD312" s="51"/>
      <c r="AE312" s="51"/>
      <c r="AF312" s="50" t="str">
        <f>IF(A312&lt;&gt;"Yes","No",IF(AND(AC312="Yes",SETTINGS!$B$16="No"),"No","Yes"))</f>
        <v>No</v>
      </c>
      <c r="AG312" s="50" t="str">
        <f>IF(A312&lt;&gt;"Yes","",IF(OR(B312="",D312="",E312&lt;=0,F312="",I312=""),"Check Required Fields",IF(AA312="Possible Duplicate","Possible Duplicate",IF(E312&gt;SETTINGS!$B$22,"Review Extreme Value","OK"))))</f>
        <v/>
      </c>
    </row>
    <row r="313" spans="1:33" ht="14.4">
      <c r="A313" s="9"/>
      <c r="B313" s="13"/>
      <c r="C313" s="9"/>
      <c r="D313" s="9"/>
      <c r="E313" s="11"/>
      <c r="F313" s="9"/>
      <c r="G313" s="9"/>
      <c r="H313" s="44" t="str">
        <f>IF(D313="","",IF(ISNUMBER(SEARCH(SETTINGS!$K$4,D313)),SETTINGS!$L$4,IF(ISNUMBER(SEARCH(SETTINGS!$K$5,D313)),SETTINGS!$L$5,IF(ISNUMBER(SEARCH(SETTINGS!$K$6,D313)),SETTINGS!$L$6,IF(ISNUMBER(SEARCH(SETTINGS!$K$7,D313)),SETTINGS!$L$7,IF(ISNUMBER(SEARCH(SETTINGS!$K$8,D313)),SETTINGS!$L$8,IF(ISNUMBER(SEARCH(SETTINGS!$K$9,D313)),SETTINGS!$L$9,IF(ISNUMBER(SEARCH(SETTINGS!$K$10,D313)),SETTINGS!$L$10,IF(ISNUMBER(SEARCH(SETTINGS!$K$11,D313)),SETTINGS!$L$11,IF(ISNUMBER(SEARCH(SETTINGS!$K$12,D313)),SETTINGS!$L$12,IF(ISNUMBER(SEARCH(SETTINGS!$K$13,D313)),SETTINGS!$L$13,IF(ISNUMBER(SEARCH(SETTINGS!$K$14,D313)),SETTINGS!$L$14,IF(ISNUMBER(SEARCH(SETTINGS!$K$15,D313)),SETTINGS!$L$15,IF(ISNUMBER(SEARCH(SETTINGS!$K$16,D313)),SETTINGS!$L$16,IF(ISNUMBER(SEARCH(SETTINGS!$K$17,D313)),SETTINGS!$L$17,IF(ISNUMBER(SEARCH(SETTINGS!$K$18,D313)),SETTINGS!$L$18,"Miscellaneous"))))))))))))))))</f>
        <v/>
      </c>
      <c r="I313" s="44" t="str">
        <f t="shared" si="32"/>
        <v/>
      </c>
      <c r="J313" s="9"/>
      <c r="K313" s="9"/>
      <c r="L313" s="9"/>
      <c r="M313" s="9"/>
      <c r="N313" s="9"/>
      <c r="O313" s="9"/>
      <c r="P313" s="13"/>
      <c r="Q313" s="9"/>
      <c r="R313" s="9"/>
      <c r="S313" s="9"/>
      <c r="T313" s="11"/>
      <c r="U313" s="44" t="str">
        <f t="shared" si="33"/>
        <v/>
      </c>
      <c r="V313" s="44" t="str">
        <f t="shared" si="34"/>
        <v/>
      </c>
      <c r="W313" s="44" t="str">
        <f t="shared" si="35"/>
        <v/>
      </c>
      <c r="X313" s="44" t="str">
        <f t="shared" si="36"/>
        <v/>
      </c>
      <c r="Y313" s="44" t="str">
        <f t="shared" si="37"/>
        <v/>
      </c>
      <c r="Z313" s="44" t="str">
        <f t="shared" si="38"/>
        <v/>
      </c>
      <c r="AA313" s="50" t="str">
        <f t="shared" si="39"/>
        <v/>
      </c>
      <c r="AB313" s="50" t="str">
        <f>IF(OR(B313="",C313&lt;&gt;"Expense"),"",IF(E313&gt;IFERROR(AVERAGEIFS($E$8:$E$1007,$I$8:$I$1007,I313,$C$8:$C$1007,"Expense")*SETTINGS!$B$20,0),"Unusually High","Normal"))</f>
        <v/>
      </c>
      <c r="AC313" s="51"/>
      <c r="AD313" s="51"/>
      <c r="AE313" s="51"/>
      <c r="AF313" s="50" t="str">
        <f>IF(A313&lt;&gt;"Yes","No",IF(AND(AC313="Yes",SETTINGS!$B$16="No"),"No","Yes"))</f>
        <v>No</v>
      </c>
      <c r="AG313" s="50" t="str">
        <f>IF(A313&lt;&gt;"Yes","",IF(OR(B313="",D313="",E313&lt;=0,F313="",I313=""),"Check Required Fields",IF(AA313="Possible Duplicate","Possible Duplicate",IF(E313&gt;SETTINGS!$B$22,"Review Extreme Value","OK"))))</f>
        <v/>
      </c>
    </row>
    <row r="314" spans="1:33" ht="14.4">
      <c r="A314" s="9"/>
      <c r="B314" s="13"/>
      <c r="C314" s="9"/>
      <c r="D314" s="9"/>
      <c r="E314" s="11"/>
      <c r="F314" s="9"/>
      <c r="G314" s="9"/>
      <c r="H314" s="44" t="str">
        <f>IF(D314="","",IF(ISNUMBER(SEARCH(SETTINGS!$K$4,D314)),SETTINGS!$L$4,IF(ISNUMBER(SEARCH(SETTINGS!$K$5,D314)),SETTINGS!$L$5,IF(ISNUMBER(SEARCH(SETTINGS!$K$6,D314)),SETTINGS!$L$6,IF(ISNUMBER(SEARCH(SETTINGS!$K$7,D314)),SETTINGS!$L$7,IF(ISNUMBER(SEARCH(SETTINGS!$K$8,D314)),SETTINGS!$L$8,IF(ISNUMBER(SEARCH(SETTINGS!$K$9,D314)),SETTINGS!$L$9,IF(ISNUMBER(SEARCH(SETTINGS!$K$10,D314)),SETTINGS!$L$10,IF(ISNUMBER(SEARCH(SETTINGS!$K$11,D314)),SETTINGS!$L$11,IF(ISNUMBER(SEARCH(SETTINGS!$K$12,D314)),SETTINGS!$L$12,IF(ISNUMBER(SEARCH(SETTINGS!$K$13,D314)),SETTINGS!$L$13,IF(ISNUMBER(SEARCH(SETTINGS!$K$14,D314)),SETTINGS!$L$14,IF(ISNUMBER(SEARCH(SETTINGS!$K$15,D314)),SETTINGS!$L$15,IF(ISNUMBER(SEARCH(SETTINGS!$K$16,D314)),SETTINGS!$L$16,IF(ISNUMBER(SEARCH(SETTINGS!$K$17,D314)),SETTINGS!$L$17,IF(ISNUMBER(SEARCH(SETTINGS!$K$18,D314)),SETTINGS!$L$18,"Miscellaneous"))))))))))))))))</f>
        <v/>
      </c>
      <c r="I314" s="44" t="str">
        <f t="shared" si="32"/>
        <v/>
      </c>
      <c r="J314" s="9"/>
      <c r="K314" s="9"/>
      <c r="L314" s="9"/>
      <c r="M314" s="9"/>
      <c r="N314" s="9"/>
      <c r="O314" s="9"/>
      <c r="P314" s="13"/>
      <c r="Q314" s="9"/>
      <c r="R314" s="9"/>
      <c r="S314" s="9"/>
      <c r="T314" s="11"/>
      <c r="U314" s="44" t="str">
        <f t="shared" si="33"/>
        <v/>
      </c>
      <c r="V314" s="44" t="str">
        <f t="shared" si="34"/>
        <v/>
      </c>
      <c r="W314" s="44" t="str">
        <f t="shared" si="35"/>
        <v/>
      </c>
      <c r="X314" s="44" t="str">
        <f t="shared" si="36"/>
        <v/>
      </c>
      <c r="Y314" s="44" t="str">
        <f t="shared" si="37"/>
        <v/>
      </c>
      <c r="Z314" s="44" t="str">
        <f t="shared" si="38"/>
        <v/>
      </c>
      <c r="AA314" s="50" t="str">
        <f t="shared" si="39"/>
        <v/>
      </c>
      <c r="AB314" s="50" t="str">
        <f>IF(OR(B314="",C314&lt;&gt;"Expense"),"",IF(E314&gt;IFERROR(AVERAGEIFS($E$8:$E$1007,$I$8:$I$1007,I314,$C$8:$C$1007,"Expense")*SETTINGS!$B$20,0),"Unusually High","Normal"))</f>
        <v/>
      </c>
      <c r="AC314" s="51"/>
      <c r="AD314" s="51"/>
      <c r="AE314" s="51"/>
      <c r="AF314" s="50" t="str">
        <f>IF(A314&lt;&gt;"Yes","No",IF(AND(AC314="Yes",SETTINGS!$B$16="No"),"No","Yes"))</f>
        <v>No</v>
      </c>
      <c r="AG314" s="50" t="str">
        <f>IF(A314&lt;&gt;"Yes","",IF(OR(B314="",D314="",E314&lt;=0,F314="",I314=""),"Check Required Fields",IF(AA314="Possible Duplicate","Possible Duplicate",IF(E314&gt;SETTINGS!$B$22,"Review Extreme Value","OK"))))</f>
        <v/>
      </c>
    </row>
    <row r="315" spans="1:33" ht="14.4">
      <c r="A315" s="9"/>
      <c r="B315" s="13"/>
      <c r="C315" s="9"/>
      <c r="D315" s="9"/>
      <c r="E315" s="11"/>
      <c r="F315" s="9"/>
      <c r="G315" s="9"/>
      <c r="H315" s="44" t="str">
        <f>IF(D315="","",IF(ISNUMBER(SEARCH(SETTINGS!$K$4,D315)),SETTINGS!$L$4,IF(ISNUMBER(SEARCH(SETTINGS!$K$5,D315)),SETTINGS!$L$5,IF(ISNUMBER(SEARCH(SETTINGS!$K$6,D315)),SETTINGS!$L$6,IF(ISNUMBER(SEARCH(SETTINGS!$K$7,D315)),SETTINGS!$L$7,IF(ISNUMBER(SEARCH(SETTINGS!$K$8,D315)),SETTINGS!$L$8,IF(ISNUMBER(SEARCH(SETTINGS!$K$9,D315)),SETTINGS!$L$9,IF(ISNUMBER(SEARCH(SETTINGS!$K$10,D315)),SETTINGS!$L$10,IF(ISNUMBER(SEARCH(SETTINGS!$K$11,D315)),SETTINGS!$L$11,IF(ISNUMBER(SEARCH(SETTINGS!$K$12,D315)),SETTINGS!$L$12,IF(ISNUMBER(SEARCH(SETTINGS!$K$13,D315)),SETTINGS!$L$13,IF(ISNUMBER(SEARCH(SETTINGS!$K$14,D315)),SETTINGS!$L$14,IF(ISNUMBER(SEARCH(SETTINGS!$K$15,D315)),SETTINGS!$L$15,IF(ISNUMBER(SEARCH(SETTINGS!$K$16,D315)),SETTINGS!$L$16,IF(ISNUMBER(SEARCH(SETTINGS!$K$17,D315)),SETTINGS!$L$17,IF(ISNUMBER(SEARCH(SETTINGS!$K$18,D315)),SETTINGS!$L$18,"Miscellaneous"))))))))))))))))</f>
        <v/>
      </c>
      <c r="I315" s="44" t="str">
        <f t="shared" si="32"/>
        <v/>
      </c>
      <c r="J315" s="9"/>
      <c r="K315" s="9"/>
      <c r="L315" s="9"/>
      <c r="M315" s="9"/>
      <c r="N315" s="9"/>
      <c r="O315" s="9"/>
      <c r="P315" s="13"/>
      <c r="Q315" s="9"/>
      <c r="R315" s="9"/>
      <c r="S315" s="9"/>
      <c r="T315" s="11"/>
      <c r="U315" s="44" t="str">
        <f t="shared" si="33"/>
        <v/>
      </c>
      <c r="V315" s="44" t="str">
        <f t="shared" si="34"/>
        <v/>
      </c>
      <c r="W315" s="44" t="str">
        <f t="shared" si="35"/>
        <v/>
      </c>
      <c r="X315" s="44" t="str">
        <f t="shared" si="36"/>
        <v/>
      </c>
      <c r="Y315" s="44" t="str">
        <f t="shared" si="37"/>
        <v/>
      </c>
      <c r="Z315" s="44" t="str">
        <f t="shared" si="38"/>
        <v/>
      </c>
      <c r="AA315" s="50" t="str">
        <f t="shared" si="39"/>
        <v/>
      </c>
      <c r="AB315" s="50" t="str">
        <f>IF(OR(B315="",C315&lt;&gt;"Expense"),"",IF(E315&gt;IFERROR(AVERAGEIFS($E$8:$E$1007,$I$8:$I$1007,I315,$C$8:$C$1007,"Expense")*SETTINGS!$B$20,0),"Unusually High","Normal"))</f>
        <v/>
      </c>
      <c r="AC315" s="51"/>
      <c r="AD315" s="51"/>
      <c r="AE315" s="51"/>
      <c r="AF315" s="50" t="str">
        <f>IF(A315&lt;&gt;"Yes","No",IF(AND(AC315="Yes",SETTINGS!$B$16="No"),"No","Yes"))</f>
        <v>No</v>
      </c>
      <c r="AG315" s="50" t="str">
        <f>IF(A315&lt;&gt;"Yes","",IF(OR(B315="",D315="",E315&lt;=0,F315="",I315=""),"Check Required Fields",IF(AA315="Possible Duplicate","Possible Duplicate",IF(E315&gt;SETTINGS!$B$22,"Review Extreme Value","OK"))))</f>
        <v/>
      </c>
    </row>
    <row r="316" spans="1:33" ht="14.4">
      <c r="A316" s="9"/>
      <c r="B316" s="13"/>
      <c r="C316" s="9"/>
      <c r="D316" s="9"/>
      <c r="E316" s="11"/>
      <c r="F316" s="9"/>
      <c r="G316" s="9"/>
      <c r="H316" s="44" t="str">
        <f>IF(D316="","",IF(ISNUMBER(SEARCH(SETTINGS!$K$4,D316)),SETTINGS!$L$4,IF(ISNUMBER(SEARCH(SETTINGS!$K$5,D316)),SETTINGS!$L$5,IF(ISNUMBER(SEARCH(SETTINGS!$K$6,D316)),SETTINGS!$L$6,IF(ISNUMBER(SEARCH(SETTINGS!$K$7,D316)),SETTINGS!$L$7,IF(ISNUMBER(SEARCH(SETTINGS!$K$8,D316)),SETTINGS!$L$8,IF(ISNUMBER(SEARCH(SETTINGS!$K$9,D316)),SETTINGS!$L$9,IF(ISNUMBER(SEARCH(SETTINGS!$K$10,D316)),SETTINGS!$L$10,IF(ISNUMBER(SEARCH(SETTINGS!$K$11,D316)),SETTINGS!$L$11,IF(ISNUMBER(SEARCH(SETTINGS!$K$12,D316)),SETTINGS!$L$12,IF(ISNUMBER(SEARCH(SETTINGS!$K$13,D316)),SETTINGS!$L$13,IF(ISNUMBER(SEARCH(SETTINGS!$K$14,D316)),SETTINGS!$L$14,IF(ISNUMBER(SEARCH(SETTINGS!$K$15,D316)),SETTINGS!$L$15,IF(ISNUMBER(SEARCH(SETTINGS!$K$16,D316)),SETTINGS!$L$16,IF(ISNUMBER(SEARCH(SETTINGS!$K$17,D316)),SETTINGS!$L$17,IF(ISNUMBER(SEARCH(SETTINGS!$K$18,D316)),SETTINGS!$L$18,"Miscellaneous"))))))))))))))))</f>
        <v/>
      </c>
      <c r="I316" s="44" t="str">
        <f t="shared" si="32"/>
        <v/>
      </c>
      <c r="J316" s="9"/>
      <c r="K316" s="9"/>
      <c r="L316" s="9"/>
      <c r="M316" s="9"/>
      <c r="N316" s="9"/>
      <c r="O316" s="9"/>
      <c r="P316" s="13"/>
      <c r="Q316" s="9"/>
      <c r="R316" s="9"/>
      <c r="S316" s="9"/>
      <c r="T316" s="11"/>
      <c r="U316" s="44" t="str">
        <f t="shared" si="33"/>
        <v/>
      </c>
      <c r="V316" s="44" t="str">
        <f t="shared" si="34"/>
        <v/>
      </c>
      <c r="W316" s="44" t="str">
        <f t="shared" si="35"/>
        <v/>
      </c>
      <c r="X316" s="44" t="str">
        <f t="shared" si="36"/>
        <v/>
      </c>
      <c r="Y316" s="44" t="str">
        <f t="shared" si="37"/>
        <v/>
      </c>
      <c r="Z316" s="44" t="str">
        <f t="shared" si="38"/>
        <v/>
      </c>
      <c r="AA316" s="50" t="str">
        <f t="shared" si="39"/>
        <v/>
      </c>
      <c r="AB316" s="50" t="str">
        <f>IF(OR(B316="",C316&lt;&gt;"Expense"),"",IF(E316&gt;IFERROR(AVERAGEIFS($E$8:$E$1007,$I$8:$I$1007,I316,$C$8:$C$1007,"Expense")*SETTINGS!$B$20,0),"Unusually High","Normal"))</f>
        <v/>
      </c>
      <c r="AC316" s="51"/>
      <c r="AD316" s="51"/>
      <c r="AE316" s="51"/>
      <c r="AF316" s="50" t="str">
        <f>IF(A316&lt;&gt;"Yes","No",IF(AND(AC316="Yes",SETTINGS!$B$16="No"),"No","Yes"))</f>
        <v>No</v>
      </c>
      <c r="AG316" s="50" t="str">
        <f>IF(A316&lt;&gt;"Yes","",IF(OR(B316="",D316="",E316&lt;=0,F316="",I316=""),"Check Required Fields",IF(AA316="Possible Duplicate","Possible Duplicate",IF(E316&gt;SETTINGS!$B$22,"Review Extreme Value","OK"))))</f>
        <v/>
      </c>
    </row>
    <row r="317" spans="1:33" ht="14.4">
      <c r="A317" s="9"/>
      <c r="B317" s="13"/>
      <c r="C317" s="9"/>
      <c r="D317" s="9"/>
      <c r="E317" s="11"/>
      <c r="F317" s="9"/>
      <c r="G317" s="9"/>
      <c r="H317" s="44" t="str">
        <f>IF(D317="","",IF(ISNUMBER(SEARCH(SETTINGS!$K$4,D317)),SETTINGS!$L$4,IF(ISNUMBER(SEARCH(SETTINGS!$K$5,D317)),SETTINGS!$L$5,IF(ISNUMBER(SEARCH(SETTINGS!$K$6,D317)),SETTINGS!$L$6,IF(ISNUMBER(SEARCH(SETTINGS!$K$7,D317)),SETTINGS!$L$7,IF(ISNUMBER(SEARCH(SETTINGS!$K$8,D317)),SETTINGS!$L$8,IF(ISNUMBER(SEARCH(SETTINGS!$K$9,D317)),SETTINGS!$L$9,IF(ISNUMBER(SEARCH(SETTINGS!$K$10,D317)),SETTINGS!$L$10,IF(ISNUMBER(SEARCH(SETTINGS!$K$11,D317)),SETTINGS!$L$11,IF(ISNUMBER(SEARCH(SETTINGS!$K$12,D317)),SETTINGS!$L$12,IF(ISNUMBER(SEARCH(SETTINGS!$K$13,D317)),SETTINGS!$L$13,IF(ISNUMBER(SEARCH(SETTINGS!$K$14,D317)),SETTINGS!$L$14,IF(ISNUMBER(SEARCH(SETTINGS!$K$15,D317)),SETTINGS!$L$15,IF(ISNUMBER(SEARCH(SETTINGS!$K$16,D317)),SETTINGS!$L$16,IF(ISNUMBER(SEARCH(SETTINGS!$K$17,D317)),SETTINGS!$L$17,IF(ISNUMBER(SEARCH(SETTINGS!$K$18,D317)),SETTINGS!$L$18,"Miscellaneous"))))))))))))))))</f>
        <v/>
      </c>
      <c r="I317" s="44" t="str">
        <f t="shared" si="32"/>
        <v/>
      </c>
      <c r="J317" s="9"/>
      <c r="K317" s="9"/>
      <c r="L317" s="9"/>
      <c r="M317" s="9"/>
      <c r="N317" s="9"/>
      <c r="O317" s="9"/>
      <c r="P317" s="13"/>
      <c r="Q317" s="9"/>
      <c r="R317" s="9"/>
      <c r="S317" s="9"/>
      <c r="T317" s="11"/>
      <c r="U317" s="44" t="str">
        <f t="shared" si="33"/>
        <v/>
      </c>
      <c r="V317" s="44" t="str">
        <f t="shared" si="34"/>
        <v/>
      </c>
      <c r="W317" s="44" t="str">
        <f t="shared" si="35"/>
        <v/>
      </c>
      <c r="X317" s="44" t="str">
        <f t="shared" si="36"/>
        <v/>
      </c>
      <c r="Y317" s="44" t="str">
        <f t="shared" si="37"/>
        <v/>
      </c>
      <c r="Z317" s="44" t="str">
        <f t="shared" si="38"/>
        <v/>
      </c>
      <c r="AA317" s="50" t="str">
        <f t="shared" si="39"/>
        <v/>
      </c>
      <c r="AB317" s="50" t="str">
        <f>IF(OR(B317="",C317&lt;&gt;"Expense"),"",IF(E317&gt;IFERROR(AVERAGEIFS($E$8:$E$1007,$I$8:$I$1007,I317,$C$8:$C$1007,"Expense")*SETTINGS!$B$20,0),"Unusually High","Normal"))</f>
        <v/>
      </c>
      <c r="AC317" s="51"/>
      <c r="AD317" s="51"/>
      <c r="AE317" s="51"/>
      <c r="AF317" s="50" t="str">
        <f>IF(A317&lt;&gt;"Yes","No",IF(AND(AC317="Yes",SETTINGS!$B$16="No"),"No","Yes"))</f>
        <v>No</v>
      </c>
      <c r="AG317" s="50" t="str">
        <f>IF(A317&lt;&gt;"Yes","",IF(OR(B317="",D317="",E317&lt;=0,F317="",I317=""),"Check Required Fields",IF(AA317="Possible Duplicate","Possible Duplicate",IF(E317&gt;SETTINGS!$B$22,"Review Extreme Value","OK"))))</f>
        <v/>
      </c>
    </row>
    <row r="318" spans="1:33" ht="14.4">
      <c r="A318" s="9"/>
      <c r="B318" s="13"/>
      <c r="C318" s="9"/>
      <c r="D318" s="9"/>
      <c r="E318" s="11"/>
      <c r="F318" s="9"/>
      <c r="G318" s="9"/>
      <c r="H318" s="44" t="str">
        <f>IF(D318="","",IF(ISNUMBER(SEARCH(SETTINGS!$K$4,D318)),SETTINGS!$L$4,IF(ISNUMBER(SEARCH(SETTINGS!$K$5,D318)),SETTINGS!$L$5,IF(ISNUMBER(SEARCH(SETTINGS!$K$6,D318)),SETTINGS!$L$6,IF(ISNUMBER(SEARCH(SETTINGS!$K$7,D318)),SETTINGS!$L$7,IF(ISNUMBER(SEARCH(SETTINGS!$K$8,D318)),SETTINGS!$L$8,IF(ISNUMBER(SEARCH(SETTINGS!$K$9,D318)),SETTINGS!$L$9,IF(ISNUMBER(SEARCH(SETTINGS!$K$10,D318)),SETTINGS!$L$10,IF(ISNUMBER(SEARCH(SETTINGS!$K$11,D318)),SETTINGS!$L$11,IF(ISNUMBER(SEARCH(SETTINGS!$K$12,D318)),SETTINGS!$L$12,IF(ISNUMBER(SEARCH(SETTINGS!$K$13,D318)),SETTINGS!$L$13,IF(ISNUMBER(SEARCH(SETTINGS!$K$14,D318)),SETTINGS!$L$14,IF(ISNUMBER(SEARCH(SETTINGS!$K$15,D318)),SETTINGS!$L$15,IF(ISNUMBER(SEARCH(SETTINGS!$K$16,D318)),SETTINGS!$L$16,IF(ISNUMBER(SEARCH(SETTINGS!$K$17,D318)),SETTINGS!$L$17,IF(ISNUMBER(SEARCH(SETTINGS!$K$18,D318)),SETTINGS!$L$18,"Miscellaneous"))))))))))))))))</f>
        <v/>
      </c>
      <c r="I318" s="44" t="str">
        <f t="shared" si="32"/>
        <v/>
      </c>
      <c r="J318" s="9"/>
      <c r="K318" s="9"/>
      <c r="L318" s="9"/>
      <c r="M318" s="9"/>
      <c r="N318" s="9"/>
      <c r="O318" s="9"/>
      <c r="P318" s="13"/>
      <c r="Q318" s="9"/>
      <c r="R318" s="9"/>
      <c r="S318" s="9"/>
      <c r="T318" s="11"/>
      <c r="U318" s="44" t="str">
        <f t="shared" si="33"/>
        <v/>
      </c>
      <c r="V318" s="44" t="str">
        <f t="shared" si="34"/>
        <v/>
      </c>
      <c r="W318" s="44" t="str">
        <f t="shared" si="35"/>
        <v/>
      </c>
      <c r="X318" s="44" t="str">
        <f t="shared" si="36"/>
        <v/>
      </c>
      <c r="Y318" s="44" t="str">
        <f t="shared" si="37"/>
        <v/>
      </c>
      <c r="Z318" s="44" t="str">
        <f t="shared" si="38"/>
        <v/>
      </c>
      <c r="AA318" s="50" t="str">
        <f t="shared" si="39"/>
        <v/>
      </c>
      <c r="AB318" s="50" t="str">
        <f>IF(OR(B318="",C318&lt;&gt;"Expense"),"",IF(E318&gt;IFERROR(AVERAGEIFS($E$8:$E$1007,$I$8:$I$1007,I318,$C$8:$C$1007,"Expense")*SETTINGS!$B$20,0),"Unusually High","Normal"))</f>
        <v/>
      </c>
      <c r="AC318" s="51"/>
      <c r="AD318" s="51"/>
      <c r="AE318" s="51"/>
      <c r="AF318" s="50" t="str">
        <f>IF(A318&lt;&gt;"Yes","No",IF(AND(AC318="Yes",SETTINGS!$B$16="No"),"No","Yes"))</f>
        <v>No</v>
      </c>
      <c r="AG318" s="50" t="str">
        <f>IF(A318&lt;&gt;"Yes","",IF(OR(B318="",D318="",E318&lt;=0,F318="",I318=""),"Check Required Fields",IF(AA318="Possible Duplicate","Possible Duplicate",IF(E318&gt;SETTINGS!$B$22,"Review Extreme Value","OK"))))</f>
        <v/>
      </c>
    </row>
    <row r="319" spans="1:33" ht="14.4">
      <c r="A319" s="9"/>
      <c r="B319" s="13"/>
      <c r="C319" s="9"/>
      <c r="D319" s="9"/>
      <c r="E319" s="11"/>
      <c r="F319" s="9"/>
      <c r="G319" s="9"/>
      <c r="H319" s="44" t="str">
        <f>IF(D319="","",IF(ISNUMBER(SEARCH(SETTINGS!$K$4,D319)),SETTINGS!$L$4,IF(ISNUMBER(SEARCH(SETTINGS!$K$5,D319)),SETTINGS!$L$5,IF(ISNUMBER(SEARCH(SETTINGS!$K$6,D319)),SETTINGS!$L$6,IF(ISNUMBER(SEARCH(SETTINGS!$K$7,D319)),SETTINGS!$L$7,IF(ISNUMBER(SEARCH(SETTINGS!$K$8,D319)),SETTINGS!$L$8,IF(ISNUMBER(SEARCH(SETTINGS!$K$9,D319)),SETTINGS!$L$9,IF(ISNUMBER(SEARCH(SETTINGS!$K$10,D319)),SETTINGS!$L$10,IF(ISNUMBER(SEARCH(SETTINGS!$K$11,D319)),SETTINGS!$L$11,IF(ISNUMBER(SEARCH(SETTINGS!$K$12,D319)),SETTINGS!$L$12,IF(ISNUMBER(SEARCH(SETTINGS!$K$13,D319)),SETTINGS!$L$13,IF(ISNUMBER(SEARCH(SETTINGS!$K$14,D319)),SETTINGS!$L$14,IF(ISNUMBER(SEARCH(SETTINGS!$K$15,D319)),SETTINGS!$L$15,IF(ISNUMBER(SEARCH(SETTINGS!$K$16,D319)),SETTINGS!$L$16,IF(ISNUMBER(SEARCH(SETTINGS!$K$17,D319)),SETTINGS!$L$17,IF(ISNUMBER(SEARCH(SETTINGS!$K$18,D319)),SETTINGS!$L$18,"Miscellaneous"))))))))))))))))</f>
        <v/>
      </c>
      <c r="I319" s="44" t="str">
        <f t="shared" si="32"/>
        <v/>
      </c>
      <c r="J319" s="9"/>
      <c r="K319" s="9"/>
      <c r="L319" s="9"/>
      <c r="M319" s="9"/>
      <c r="N319" s="9"/>
      <c r="O319" s="9"/>
      <c r="P319" s="13"/>
      <c r="Q319" s="9"/>
      <c r="R319" s="9"/>
      <c r="S319" s="9"/>
      <c r="T319" s="11"/>
      <c r="U319" s="44" t="str">
        <f t="shared" si="33"/>
        <v/>
      </c>
      <c r="V319" s="44" t="str">
        <f t="shared" si="34"/>
        <v/>
      </c>
      <c r="W319" s="44" t="str">
        <f t="shared" si="35"/>
        <v/>
      </c>
      <c r="X319" s="44" t="str">
        <f t="shared" si="36"/>
        <v/>
      </c>
      <c r="Y319" s="44" t="str">
        <f t="shared" si="37"/>
        <v/>
      </c>
      <c r="Z319" s="44" t="str">
        <f t="shared" si="38"/>
        <v/>
      </c>
      <c r="AA319" s="50" t="str">
        <f t="shared" si="39"/>
        <v/>
      </c>
      <c r="AB319" s="50" t="str">
        <f>IF(OR(B319="",C319&lt;&gt;"Expense"),"",IF(E319&gt;IFERROR(AVERAGEIFS($E$8:$E$1007,$I$8:$I$1007,I319,$C$8:$C$1007,"Expense")*SETTINGS!$B$20,0),"Unusually High","Normal"))</f>
        <v/>
      </c>
      <c r="AC319" s="51"/>
      <c r="AD319" s="51"/>
      <c r="AE319" s="51"/>
      <c r="AF319" s="50" t="str">
        <f>IF(A319&lt;&gt;"Yes","No",IF(AND(AC319="Yes",SETTINGS!$B$16="No"),"No","Yes"))</f>
        <v>No</v>
      </c>
      <c r="AG319" s="50" t="str">
        <f>IF(A319&lt;&gt;"Yes","",IF(OR(B319="",D319="",E319&lt;=0,F319="",I319=""),"Check Required Fields",IF(AA319="Possible Duplicate","Possible Duplicate",IF(E319&gt;SETTINGS!$B$22,"Review Extreme Value","OK"))))</f>
        <v/>
      </c>
    </row>
    <row r="320" spans="1:33" ht="14.4">
      <c r="A320" s="9"/>
      <c r="B320" s="13"/>
      <c r="C320" s="9"/>
      <c r="D320" s="9"/>
      <c r="E320" s="11"/>
      <c r="F320" s="9"/>
      <c r="G320" s="9"/>
      <c r="H320" s="44" t="str">
        <f>IF(D320="","",IF(ISNUMBER(SEARCH(SETTINGS!$K$4,D320)),SETTINGS!$L$4,IF(ISNUMBER(SEARCH(SETTINGS!$K$5,D320)),SETTINGS!$L$5,IF(ISNUMBER(SEARCH(SETTINGS!$K$6,D320)),SETTINGS!$L$6,IF(ISNUMBER(SEARCH(SETTINGS!$K$7,D320)),SETTINGS!$L$7,IF(ISNUMBER(SEARCH(SETTINGS!$K$8,D320)),SETTINGS!$L$8,IF(ISNUMBER(SEARCH(SETTINGS!$K$9,D320)),SETTINGS!$L$9,IF(ISNUMBER(SEARCH(SETTINGS!$K$10,D320)),SETTINGS!$L$10,IF(ISNUMBER(SEARCH(SETTINGS!$K$11,D320)),SETTINGS!$L$11,IF(ISNUMBER(SEARCH(SETTINGS!$K$12,D320)),SETTINGS!$L$12,IF(ISNUMBER(SEARCH(SETTINGS!$K$13,D320)),SETTINGS!$L$13,IF(ISNUMBER(SEARCH(SETTINGS!$K$14,D320)),SETTINGS!$L$14,IF(ISNUMBER(SEARCH(SETTINGS!$K$15,D320)),SETTINGS!$L$15,IF(ISNUMBER(SEARCH(SETTINGS!$K$16,D320)),SETTINGS!$L$16,IF(ISNUMBER(SEARCH(SETTINGS!$K$17,D320)),SETTINGS!$L$17,IF(ISNUMBER(SEARCH(SETTINGS!$K$18,D320)),SETTINGS!$L$18,"Miscellaneous"))))))))))))))))</f>
        <v/>
      </c>
      <c r="I320" s="44" t="str">
        <f t="shared" si="32"/>
        <v/>
      </c>
      <c r="J320" s="9"/>
      <c r="K320" s="9"/>
      <c r="L320" s="9"/>
      <c r="M320" s="9"/>
      <c r="N320" s="9"/>
      <c r="O320" s="9"/>
      <c r="P320" s="13"/>
      <c r="Q320" s="9"/>
      <c r="R320" s="9"/>
      <c r="S320" s="9"/>
      <c r="T320" s="11"/>
      <c r="U320" s="44" t="str">
        <f t="shared" si="33"/>
        <v/>
      </c>
      <c r="V320" s="44" t="str">
        <f t="shared" si="34"/>
        <v/>
      </c>
      <c r="W320" s="44" t="str">
        <f t="shared" si="35"/>
        <v/>
      </c>
      <c r="X320" s="44" t="str">
        <f t="shared" si="36"/>
        <v/>
      </c>
      <c r="Y320" s="44" t="str">
        <f t="shared" si="37"/>
        <v/>
      </c>
      <c r="Z320" s="44" t="str">
        <f t="shared" si="38"/>
        <v/>
      </c>
      <c r="AA320" s="50" t="str">
        <f t="shared" si="39"/>
        <v/>
      </c>
      <c r="AB320" s="50" t="str">
        <f>IF(OR(B320="",C320&lt;&gt;"Expense"),"",IF(E320&gt;IFERROR(AVERAGEIFS($E$8:$E$1007,$I$8:$I$1007,I320,$C$8:$C$1007,"Expense")*SETTINGS!$B$20,0),"Unusually High","Normal"))</f>
        <v/>
      </c>
      <c r="AC320" s="51"/>
      <c r="AD320" s="51"/>
      <c r="AE320" s="51"/>
      <c r="AF320" s="50" t="str">
        <f>IF(A320&lt;&gt;"Yes","No",IF(AND(AC320="Yes",SETTINGS!$B$16="No"),"No","Yes"))</f>
        <v>No</v>
      </c>
      <c r="AG320" s="50" t="str">
        <f>IF(A320&lt;&gt;"Yes","",IF(OR(B320="",D320="",E320&lt;=0,F320="",I320=""),"Check Required Fields",IF(AA320="Possible Duplicate","Possible Duplicate",IF(E320&gt;SETTINGS!$B$22,"Review Extreme Value","OK"))))</f>
        <v/>
      </c>
    </row>
    <row r="321" spans="1:33" ht="14.4">
      <c r="A321" s="9"/>
      <c r="B321" s="13"/>
      <c r="C321" s="9"/>
      <c r="D321" s="9"/>
      <c r="E321" s="11"/>
      <c r="F321" s="9"/>
      <c r="G321" s="9"/>
      <c r="H321" s="44" t="str">
        <f>IF(D321="","",IF(ISNUMBER(SEARCH(SETTINGS!$K$4,D321)),SETTINGS!$L$4,IF(ISNUMBER(SEARCH(SETTINGS!$K$5,D321)),SETTINGS!$L$5,IF(ISNUMBER(SEARCH(SETTINGS!$K$6,D321)),SETTINGS!$L$6,IF(ISNUMBER(SEARCH(SETTINGS!$K$7,D321)),SETTINGS!$L$7,IF(ISNUMBER(SEARCH(SETTINGS!$K$8,D321)),SETTINGS!$L$8,IF(ISNUMBER(SEARCH(SETTINGS!$K$9,D321)),SETTINGS!$L$9,IF(ISNUMBER(SEARCH(SETTINGS!$K$10,D321)),SETTINGS!$L$10,IF(ISNUMBER(SEARCH(SETTINGS!$K$11,D321)),SETTINGS!$L$11,IF(ISNUMBER(SEARCH(SETTINGS!$K$12,D321)),SETTINGS!$L$12,IF(ISNUMBER(SEARCH(SETTINGS!$K$13,D321)),SETTINGS!$L$13,IF(ISNUMBER(SEARCH(SETTINGS!$K$14,D321)),SETTINGS!$L$14,IF(ISNUMBER(SEARCH(SETTINGS!$K$15,D321)),SETTINGS!$L$15,IF(ISNUMBER(SEARCH(SETTINGS!$K$16,D321)),SETTINGS!$L$16,IF(ISNUMBER(SEARCH(SETTINGS!$K$17,D321)),SETTINGS!$L$17,IF(ISNUMBER(SEARCH(SETTINGS!$K$18,D321)),SETTINGS!$L$18,"Miscellaneous"))))))))))))))))</f>
        <v/>
      </c>
      <c r="I321" s="44" t="str">
        <f t="shared" si="32"/>
        <v/>
      </c>
      <c r="J321" s="9"/>
      <c r="K321" s="9"/>
      <c r="L321" s="9"/>
      <c r="M321" s="9"/>
      <c r="N321" s="9"/>
      <c r="O321" s="9"/>
      <c r="P321" s="13"/>
      <c r="Q321" s="9"/>
      <c r="R321" s="9"/>
      <c r="S321" s="9"/>
      <c r="T321" s="11"/>
      <c r="U321" s="44" t="str">
        <f t="shared" si="33"/>
        <v/>
      </c>
      <c r="V321" s="44" t="str">
        <f t="shared" si="34"/>
        <v/>
      </c>
      <c r="W321" s="44" t="str">
        <f t="shared" si="35"/>
        <v/>
      </c>
      <c r="X321" s="44" t="str">
        <f t="shared" si="36"/>
        <v/>
      </c>
      <c r="Y321" s="44" t="str">
        <f t="shared" si="37"/>
        <v/>
      </c>
      <c r="Z321" s="44" t="str">
        <f t="shared" si="38"/>
        <v/>
      </c>
      <c r="AA321" s="50" t="str">
        <f t="shared" si="39"/>
        <v/>
      </c>
      <c r="AB321" s="50" t="str">
        <f>IF(OR(B321="",C321&lt;&gt;"Expense"),"",IF(E321&gt;IFERROR(AVERAGEIFS($E$8:$E$1007,$I$8:$I$1007,I321,$C$8:$C$1007,"Expense")*SETTINGS!$B$20,0),"Unusually High","Normal"))</f>
        <v/>
      </c>
      <c r="AC321" s="51"/>
      <c r="AD321" s="51"/>
      <c r="AE321" s="51"/>
      <c r="AF321" s="50" t="str">
        <f>IF(A321&lt;&gt;"Yes","No",IF(AND(AC321="Yes",SETTINGS!$B$16="No"),"No","Yes"))</f>
        <v>No</v>
      </c>
      <c r="AG321" s="50" t="str">
        <f>IF(A321&lt;&gt;"Yes","",IF(OR(B321="",D321="",E321&lt;=0,F321="",I321=""),"Check Required Fields",IF(AA321="Possible Duplicate","Possible Duplicate",IF(E321&gt;SETTINGS!$B$22,"Review Extreme Value","OK"))))</f>
        <v/>
      </c>
    </row>
    <row r="322" spans="1:33" ht="14.4">
      <c r="A322" s="9"/>
      <c r="B322" s="13"/>
      <c r="C322" s="9"/>
      <c r="D322" s="9"/>
      <c r="E322" s="11"/>
      <c r="F322" s="9"/>
      <c r="G322" s="9"/>
      <c r="H322" s="44" t="str">
        <f>IF(D322="","",IF(ISNUMBER(SEARCH(SETTINGS!$K$4,D322)),SETTINGS!$L$4,IF(ISNUMBER(SEARCH(SETTINGS!$K$5,D322)),SETTINGS!$L$5,IF(ISNUMBER(SEARCH(SETTINGS!$K$6,D322)),SETTINGS!$L$6,IF(ISNUMBER(SEARCH(SETTINGS!$K$7,D322)),SETTINGS!$L$7,IF(ISNUMBER(SEARCH(SETTINGS!$K$8,D322)),SETTINGS!$L$8,IF(ISNUMBER(SEARCH(SETTINGS!$K$9,D322)),SETTINGS!$L$9,IF(ISNUMBER(SEARCH(SETTINGS!$K$10,D322)),SETTINGS!$L$10,IF(ISNUMBER(SEARCH(SETTINGS!$K$11,D322)),SETTINGS!$L$11,IF(ISNUMBER(SEARCH(SETTINGS!$K$12,D322)),SETTINGS!$L$12,IF(ISNUMBER(SEARCH(SETTINGS!$K$13,D322)),SETTINGS!$L$13,IF(ISNUMBER(SEARCH(SETTINGS!$K$14,D322)),SETTINGS!$L$14,IF(ISNUMBER(SEARCH(SETTINGS!$K$15,D322)),SETTINGS!$L$15,IF(ISNUMBER(SEARCH(SETTINGS!$K$16,D322)),SETTINGS!$L$16,IF(ISNUMBER(SEARCH(SETTINGS!$K$17,D322)),SETTINGS!$L$17,IF(ISNUMBER(SEARCH(SETTINGS!$K$18,D322)),SETTINGS!$L$18,"Miscellaneous"))))))))))))))))</f>
        <v/>
      </c>
      <c r="I322" s="44" t="str">
        <f t="shared" si="32"/>
        <v/>
      </c>
      <c r="J322" s="9"/>
      <c r="K322" s="9"/>
      <c r="L322" s="9"/>
      <c r="M322" s="9"/>
      <c r="N322" s="9"/>
      <c r="O322" s="9"/>
      <c r="P322" s="13"/>
      <c r="Q322" s="9"/>
      <c r="R322" s="9"/>
      <c r="S322" s="9"/>
      <c r="T322" s="11"/>
      <c r="U322" s="44" t="str">
        <f t="shared" si="33"/>
        <v/>
      </c>
      <c r="V322" s="44" t="str">
        <f t="shared" si="34"/>
        <v/>
      </c>
      <c r="W322" s="44" t="str">
        <f t="shared" si="35"/>
        <v/>
      </c>
      <c r="X322" s="44" t="str">
        <f t="shared" si="36"/>
        <v/>
      </c>
      <c r="Y322" s="44" t="str">
        <f t="shared" si="37"/>
        <v/>
      </c>
      <c r="Z322" s="44" t="str">
        <f t="shared" si="38"/>
        <v/>
      </c>
      <c r="AA322" s="50" t="str">
        <f t="shared" si="39"/>
        <v/>
      </c>
      <c r="AB322" s="50" t="str">
        <f>IF(OR(B322="",C322&lt;&gt;"Expense"),"",IF(E322&gt;IFERROR(AVERAGEIFS($E$8:$E$1007,$I$8:$I$1007,I322,$C$8:$C$1007,"Expense")*SETTINGS!$B$20,0),"Unusually High","Normal"))</f>
        <v/>
      </c>
      <c r="AC322" s="51"/>
      <c r="AD322" s="51"/>
      <c r="AE322" s="51"/>
      <c r="AF322" s="50" t="str">
        <f>IF(A322&lt;&gt;"Yes","No",IF(AND(AC322="Yes",SETTINGS!$B$16="No"),"No","Yes"))</f>
        <v>No</v>
      </c>
      <c r="AG322" s="50" t="str">
        <f>IF(A322&lt;&gt;"Yes","",IF(OR(B322="",D322="",E322&lt;=0,F322="",I322=""),"Check Required Fields",IF(AA322="Possible Duplicate","Possible Duplicate",IF(E322&gt;SETTINGS!$B$22,"Review Extreme Value","OK"))))</f>
        <v/>
      </c>
    </row>
    <row r="323" spans="1:33" ht="14.4">
      <c r="A323" s="9"/>
      <c r="B323" s="13"/>
      <c r="C323" s="9"/>
      <c r="D323" s="9"/>
      <c r="E323" s="11"/>
      <c r="F323" s="9"/>
      <c r="G323" s="9"/>
      <c r="H323" s="44" t="str">
        <f>IF(D323="","",IF(ISNUMBER(SEARCH(SETTINGS!$K$4,D323)),SETTINGS!$L$4,IF(ISNUMBER(SEARCH(SETTINGS!$K$5,D323)),SETTINGS!$L$5,IF(ISNUMBER(SEARCH(SETTINGS!$K$6,D323)),SETTINGS!$L$6,IF(ISNUMBER(SEARCH(SETTINGS!$K$7,D323)),SETTINGS!$L$7,IF(ISNUMBER(SEARCH(SETTINGS!$K$8,D323)),SETTINGS!$L$8,IF(ISNUMBER(SEARCH(SETTINGS!$K$9,D323)),SETTINGS!$L$9,IF(ISNUMBER(SEARCH(SETTINGS!$K$10,D323)),SETTINGS!$L$10,IF(ISNUMBER(SEARCH(SETTINGS!$K$11,D323)),SETTINGS!$L$11,IF(ISNUMBER(SEARCH(SETTINGS!$K$12,D323)),SETTINGS!$L$12,IF(ISNUMBER(SEARCH(SETTINGS!$K$13,D323)),SETTINGS!$L$13,IF(ISNUMBER(SEARCH(SETTINGS!$K$14,D323)),SETTINGS!$L$14,IF(ISNUMBER(SEARCH(SETTINGS!$K$15,D323)),SETTINGS!$L$15,IF(ISNUMBER(SEARCH(SETTINGS!$K$16,D323)),SETTINGS!$L$16,IF(ISNUMBER(SEARCH(SETTINGS!$K$17,D323)),SETTINGS!$L$17,IF(ISNUMBER(SEARCH(SETTINGS!$K$18,D323)),SETTINGS!$L$18,"Miscellaneous"))))))))))))))))</f>
        <v/>
      </c>
      <c r="I323" s="44" t="str">
        <f t="shared" si="32"/>
        <v/>
      </c>
      <c r="J323" s="9"/>
      <c r="K323" s="9"/>
      <c r="L323" s="9"/>
      <c r="M323" s="9"/>
      <c r="N323" s="9"/>
      <c r="O323" s="9"/>
      <c r="P323" s="13"/>
      <c r="Q323" s="9"/>
      <c r="R323" s="9"/>
      <c r="S323" s="9"/>
      <c r="T323" s="11"/>
      <c r="U323" s="44" t="str">
        <f t="shared" si="33"/>
        <v/>
      </c>
      <c r="V323" s="44" t="str">
        <f t="shared" si="34"/>
        <v/>
      </c>
      <c r="W323" s="44" t="str">
        <f t="shared" si="35"/>
        <v/>
      </c>
      <c r="X323" s="44" t="str">
        <f t="shared" si="36"/>
        <v/>
      </c>
      <c r="Y323" s="44" t="str">
        <f t="shared" si="37"/>
        <v/>
      </c>
      <c r="Z323" s="44" t="str">
        <f t="shared" si="38"/>
        <v/>
      </c>
      <c r="AA323" s="50" t="str">
        <f t="shared" si="39"/>
        <v/>
      </c>
      <c r="AB323" s="50" t="str">
        <f>IF(OR(B323="",C323&lt;&gt;"Expense"),"",IF(E323&gt;IFERROR(AVERAGEIFS($E$8:$E$1007,$I$8:$I$1007,I323,$C$8:$C$1007,"Expense")*SETTINGS!$B$20,0),"Unusually High","Normal"))</f>
        <v/>
      </c>
      <c r="AC323" s="51"/>
      <c r="AD323" s="51"/>
      <c r="AE323" s="51"/>
      <c r="AF323" s="50" t="str">
        <f>IF(A323&lt;&gt;"Yes","No",IF(AND(AC323="Yes",SETTINGS!$B$16="No"),"No","Yes"))</f>
        <v>No</v>
      </c>
      <c r="AG323" s="50" t="str">
        <f>IF(A323&lt;&gt;"Yes","",IF(OR(B323="",D323="",E323&lt;=0,F323="",I323=""),"Check Required Fields",IF(AA323="Possible Duplicate","Possible Duplicate",IF(E323&gt;SETTINGS!$B$22,"Review Extreme Value","OK"))))</f>
        <v/>
      </c>
    </row>
    <row r="324" spans="1:33" ht="14.4">
      <c r="A324" s="9"/>
      <c r="B324" s="13"/>
      <c r="C324" s="9"/>
      <c r="D324" s="9"/>
      <c r="E324" s="11"/>
      <c r="F324" s="9"/>
      <c r="G324" s="9"/>
      <c r="H324" s="44" t="str">
        <f>IF(D324="","",IF(ISNUMBER(SEARCH(SETTINGS!$K$4,D324)),SETTINGS!$L$4,IF(ISNUMBER(SEARCH(SETTINGS!$K$5,D324)),SETTINGS!$L$5,IF(ISNUMBER(SEARCH(SETTINGS!$K$6,D324)),SETTINGS!$L$6,IF(ISNUMBER(SEARCH(SETTINGS!$K$7,D324)),SETTINGS!$L$7,IF(ISNUMBER(SEARCH(SETTINGS!$K$8,D324)),SETTINGS!$L$8,IF(ISNUMBER(SEARCH(SETTINGS!$K$9,D324)),SETTINGS!$L$9,IF(ISNUMBER(SEARCH(SETTINGS!$K$10,D324)),SETTINGS!$L$10,IF(ISNUMBER(SEARCH(SETTINGS!$K$11,D324)),SETTINGS!$L$11,IF(ISNUMBER(SEARCH(SETTINGS!$K$12,D324)),SETTINGS!$L$12,IF(ISNUMBER(SEARCH(SETTINGS!$K$13,D324)),SETTINGS!$L$13,IF(ISNUMBER(SEARCH(SETTINGS!$K$14,D324)),SETTINGS!$L$14,IF(ISNUMBER(SEARCH(SETTINGS!$K$15,D324)),SETTINGS!$L$15,IF(ISNUMBER(SEARCH(SETTINGS!$K$16,D324)),SETTINGS!$L$16,IF(ISNUMBER(SEARCH(SETTINGS!$K$17,D324)),SETTINGS!$L$17,IF(ISNUMBER(SEARCH(SETTINGS!$K$18,D324)),SETTINGS!$L$18,"Miscellaneous"))))))))))))))))</f>
        <v/>
      </c>
      <c r="I324" s="44" t="str">
        <f t="shared" si="32"/>
        <v/>
      </c>
      <c r="J324" s="9"/>
      <c r="K324" s="9"/>
      <c r="L324" s="9"/>
      <c r="M324" s="9"/>
      <c r="N324" s="9"/>
      <c r="O324" s="9"/>
      <c r="P324" s="13"/>
      <c r="Q324" s="9"/>
      <c r="R324" s="9"/>
      <c r="S324" s="9"/>
      <c r="T324" s="11"/>
      <c r="U324" s="44" t="str">
        <f t="shared" si="33"/>
        <v/>
      </c>
      <c r="V324" s="44" t="str">
        <f t="shared" si="34"/>
        <v/>
      </c>
      <c r="W324" s="44" t="str">
        <f t="shared" si="35"/>
        <v/>
      </c>
      <c r="X324" s="44" t="str">
        <f t="shared" si="36"/>
        <v/>
      </c>
      <c r="Y324" s="44" t="str">
        <f t="shared" si="37"/>
        <v/>
      </c>
      <c r="Z324" s="44" t="str">
        <f t="shared" si="38"/>
        <v/>
      </c>
      <c r="AA324" s="50" t="str">
        <f t="shared" si="39"/>
        <v/>
      </c>
      <c r="AB324" s="50" t="str">
        <f>IF(OR(B324="",C324&lt;&gt;"Expense"),"",IF(E324&gt;IFERROR(AVERAGEIFS($E$8:$E$1007,$I$8:$I$1007,I324,$C$8:$C$1007,"Expense")*SETTINGS!$B$20,0),"Unusually High","Normal"))</f>
        <v/>
      </c>
      <c r="AC324" s="51"/>
      <c r="AD324" s="51"/>
      <c r="AE324" s="51"/>
      <c r="AF324" s="50" t="str">
        <f>IF(A324&lt;&gt;"Yes","No",IF(AND(AC324="Yes",SETTINGS!$B$16="No"),"No","Yes"))</f>
        <v>No</v>
      </c>
      <c r="AG324" s="50" t="str">
        <f>IF(A324&lt;&gt;"Yes","",IF(OR(B324="",D324="",E324&lt;=0,F324="",I324=""),"Check Required Fields",IF(AA324="Possible Duplicate","Possible Duplicate",IF(E324&gt;SETTINGS!$B$22,"Review Extreme Value","OK"))))</f>
        <v/>
      </c>
    </row>
    <row r="325" spans="1:33" ht="14.4">
      <c r="A325" s="9"/>
      <c r="B325" s="13"/>
      <c r="C325" s="9"/>
      <c r="D325" s="9"/>
      <c r="E325" s="11"/>
      <c r="F325" s="9"/>
      <c r="G325" s="9"/>
      <c r="H325" s="44" t="str">
        <f>IF(D325="","",IF(ISNUMBER(SEARCH(SETTINGS!$K$4,D325)),SETTINGS!$L$4,IF(ISNUMBER(SEARCH(SETTINGS!$K$5,D325)),SETTINGS!$L$5,IF(ISNUMBER(SEARCH(SETTINGS!$K$6,D325)),SETTINGS!$L$6,IF(ISNUMBER(SEARCH(SETTINGS!$K$7,D325)),SETTINGS!$L$7,IF(ISNUMBER(SEARCH(SETTINGS!$K$8,D325)),SETTINGS!$L$8,IF(ISNUMBER(SEARCH(SETTINGS!$K$9,D325)),SETTINGS!$L$9,IF(ISNUMBER(SEARCH(SETTINGS!$K$10,D325)),SETTINGS!$L$10,IF(ISNUMBER(SEARCH(SETTINGS!$K$11,D325)),SETTINGS!$L$11,IF(ISNUMBER(SEARCH(SETTINGS!$K$12,D325)),SETTINGS!$L$12,IF(ISNUMBER(SEARCH(SETTINGS!$K$13,D325)),SETTINGS!$L$13,IF(ISNUMBER(SEARCH(SETTINGS!$K$14,D325)),SETTINGS!$L$14,IF(ISNUMBER(SEARCH(SETTINGS!$K$15,D325)),SETTINGS!$L$15,IF(ISNUMBER(SEARCH(SETTINGS!$K$16,D325)),SETTINGS!$L$16,IF(ISNUMBER(SEARCH(SETTINGS!$K$17,D325)),SETTINGS!$L$17,IF(ISNUMBER(SEARCH(SETTINGS!$K$18,D325)),SETTINGS!$L$18,"Miscellaneous"))))))))))))))))</f>
        <v/>
      </c>
      <c r="I325" s="44" t="str">
        <f t="shared" si="32"/>
        <v/>
      </c>
      <c r="J325" s="9"/>
      <c r="K325" s="9"/>
      <c r="L325" s="9"/>
      <c r="M325" s="9"/>
      <c r="N325" s="9"/>
      <c r="O325" s="9"/>
      <c r="P325" s="13"/>
      <c r="Q325" s="9"/>
      <c r="R325" s="9"/>
      <c r="S325" s="9"/>
      <c r="T325" s="11"/>
      <c r="U325" s="44" t="str">
        <f t="shared" si="33"/>
        <v/>
      </c>
      <c r="V325" s="44" t="str">
        <f t="shared" si="34"/>
        <v/>
      </c>
      <c r="W325" s="44" t="str">
        <f t="shared" si="35"/>
        <v/>
      </c>
      <c r="X325" s="44" t="str">
        <f t="shared" si="36"/>
        <v/>
      </c>
      <c r="Y325" s="44" t="str">
        <f t="shared" si="37"/>
        <v/>
      </c>
      <c r="Z325" s="44" t="str">
        <f t="shared" si="38"/>
        <v/>
      </c>
      <c r="AA325" s="50" t="str">
        <f t="shared" si="39"/>
        <v/>
      </c>
      <c r="AB325" s="50" t="str">
        <f>IF(OR(B325="",C325&lt;&gt;"Expense"),"",IF(E325&gt;IFERROR(AVERAGEIFS($E$8:$E$1007,$I$8:$I$1007,I325,$C$8:$C$1007,"Expense")*SETTINGS!$B$20,0),"Unusually High","Normal"))</f>
        <v/>
      </c>
      <c r="AC325" s="51"/>
      <c r="AD325" s="51"/>
      <c r="AE325" s="51"/>
      <c r="AF325" s="50" t="str">
        <f>IF(A325&lt;&gt;"Yes","No",IF(AND(AC325="Yes",SETTINGS!$B$16="No"),"No","Yes"))</f>
        <v>No</v>
      </c>
      <c r="AG325" s="50" t="str">
        <f>IF(A325&lt;&gt;"Yes","",IF(OR(B325="",D325="",E325&lt;=0,F325="",I325=""),"Check Required Fields",IF(AA325="Possible Duplicate","Possible Duplicate",IF(E325&gt;SETTINGS!$B$22,"Review Extreme Value","OK"))))</f>
        <v/>
      </c>
    </row>
    <row r="326" spans="1:33" ht="14.4">
      <c r="A326" s="9"/>
      <c r="B326" s="13"/>
      <c r="C326" s="9"/>
      <c r="D326" s="9"/>
      <c r="E326" s="11"/>
      <c r="F326" s="9"/>
      <c r="G326" s="9"/>
      <c r="H326" s="44" t="str">
        <f>IF(D326="","",IF(ISNUMBER(SEARCH(SETTINGS!$K$4,D326)),SETTINGS!$L$4,IF(ISNUMBER(SEARCH(SETTINGS!$K$5,D326)),SETTINGS!$L$5,IF(ISNUMBER(SEARCH(SETTINGS!$K$6,D326)),SETTINGS!$L$6,IF(ISNUMBER(SEARCH(SETTINGS!$K$7,D326)),SETTINGS!$L$7,IF(ISNUMBER(SEARCH(SETTINGS!$K$8,D326)),SETTINGS!$L$8,IF(ISNUMBER(SEARCH(SETTINGS!$K$9,D326)),SETTINGS!$L$9,IF(ISNUMBER(SEARCH(SETTINGS!$K$10,D326)),SETTINGS!$L$10,IF(ISNUMBER(SEARCH(SETTINGS!$K$11,D326)),SETTINGS!$L$11,IF(ISNUMBER(SEARCH(SETTINGS!$K$12,D326)),SETTINGS!$L$12,IF(ISNUMBER(SEARCH(SETTINGS!$K$13,D326)),SETTINGS!$L$13,IF(ISNUMBER(SEARCH(SETTINGS!$K$14,D326)),SETTINGS!$L$14,IF(ISNUMBER(SEARCH(SETTINGS!$K$15,D326)),SETTINGS!$L$15,IF(ISNUMBER(SEARCH(SETTINGS!$K$16,D326)),SETTINGS!$L$16,IF(ISNUMBER(SEARCH(SETTINGS!$K$17,D326)),SETTINGS!$L$17,IF(ISNUMBER(SEARCH(SETTINGS!$K$18,D326)),SETTINGS!$L$18,"Miscellaneous"))))))))))))))))</f>
        <v/>
      </c>
      <c r="I326" s="44" t="str">
        <f t="shared" si="32"/>
        <v/>
      </c>
      <c r="J326" s="9"/>
      <c r="K326" s="9"/>
      <c r="L326" s="9"/>
      <c r="M326" s="9"/>
      <c r="N326" s="9"/>
      <c r="O326" s="9"/>
      <c r="P326" s="13"/>
      <c r="Q326" s="9"/>
      <c r="R326" s="9"/>
      <c r="S326" s="9"/>
      <c r="T326" s="11"/>
      <c r="U326" s="44" t="str">
        <f t="shared" si="33"/>
        <v/>
      </c>
      <c r="V326" s="44" t="str">
        <f t="shared" si="34"/>
        <v/>
      </c>
      <c r="W326" s="44" t="str">
        <f t="shared" si="35"/>
        <v/>
      </c>
      <c r="X326" s="44" t="str">
        <f t="shared" si="36"/>
        <v/>
      </c>
      <c r="Y326" s="44" t="str">
        <f t="shared" si="37"/>
        <v/>
      </c>
      <c r="Z326" s="44" t="str">
        <f t="shared" si="38"/>
        <v/>
      </c>
      <c r="AA326" s="50" t="str">
        <f t="shared" si="39"/>
        <v/>
      </c>
      <c r="AB326" s="50" t="str">
        <f>IF(OR(B326="",C326&lt;&gt;"Expense"),"",IF(E326&gt;IFERROR(AVERAGEIFS($E$8:$E$1007,$I$8:$I$1007,I326,$C$8:$C$1007,"Expense")*SETTINGS!$B$20,0),"Unusually High","Normal"))</f>
        <v/>
      </c>
      <c r="AC326" s="51"/>
      <c r="AD326" s="51"/>
      <c r="AE326" s="51"/>
      <c r="AF326" s="50" t="str">
        <f>IF(A326&lt;&gt;"Yes","No",IF(AND(AC326="Yes",SETTINGS!$B$16="No"),"No","Yes"))</f>
        <v>No</v>
      </c>
      <c r="AG326" s="50" t="str">
        <f>IF(A326&lt;&gt;"Yes","",IF(OR(B326="",D326="",E326&lt;=0,F326="",I326=""),"Check Required Fields",IF(AA326="Possible Duplicate","Possible Duplicate",IF(E326&gt;SETTINGS!$B$22,"Review Extreme Value","OK"))))</f>
        <v/>
      </c>
    </row>
    <row r="327" spans="1:33" ht="14.4">
      <c r="A327" s="9"/>
      <c r="B327" s="13"/>
      <c r="C327" s="9"/>
      <c r="D327" s="9"/>
      <c r="E327" s="11"/>
      <c r="F327" s="9"/>
      <c r="G327" s="9"/>
      <c r="H327" s="44" t="str">
        <f>IF(D327="","",IF(ISNUMBER(SEARCH(SETTINGS!$K$4,D327)),SETTINGS!$L$4,IF(ISNUMBER(SEARCH(SETTINGS!$K$5,D327)),SETTINGS!$L$5,IF(ISNUMBER(SEARCH(SETTINGS!$K$6,D327)),SETTINGS!$L$6,IF(ISNUMBER(SEARCH(SETTINGS!$K$7,D327)),SETTINGS!$L$7,IF(ISNUMBER(SEARCH(SETTINGS!$K$8,D327)),SETTINGS!$L$8,IF(ISNUMBER(SEARCH(SETTINGS!$K$9,D327)),SETTINGS!$L$9,IF(ISNUMBER(SEARCH(SETTINGS!$K$10,D327)),SETTINGS!$L$10,IF(ISNUMBER(SEARCH(SETTINGS!$K$11,D327)),SETTINGS!$L$11,IF(ISNUMBER(SEARCH(SETTINGS!$K$12,D327)),SETTINGS!$L$12,IF(ISNUMBER(SEARCH(SETTINGS!$K$13,D327)),SETTINGS!$L$13,IF(ISNUMBER(SEARCH(SETTINGS!$K$14,D327)),SETTINGS!$L$14,IF(ISNUMBER(SEARCH(SETTINGS!$K$15,D327)),SETTINGS!$L$15,IF(ISNUMBER(SEARCH(SETTINGS!$K$16,D327)),SETTINGS!$L$16,IF(ISNUMBER(SEARCH(SETTINGS!$K$17,D327)),SETTINGS!$L$17,IF(ISNUMBER(SEARCH(SETTINGS!$K$18,D327)),SETTINGS!$L$18,"Miscellaneous"))))))))))))))))</f>
        <v/>
      </c>
      <c r="I327" s="44" t="str">
        <f t="shared" si="32"/>
        <v/>
      </c>
      <c r="J327" s="9"/>
      <c r="K327" s="9"/>
      <c r="L327" s="9"/>
      <c r="M327" s="9"/>
      <c r="N327" s="9"/>
      <c r="O327" s="9"/>
      <c r="P327" s="13"/>
      <c r="Q327" s="9"/>
      <c r="R327" s="9"/>
      <c r="S327" s="9"/>
      <c r="T327" s="11"/>
      <c r="U327" s="44" t="str">
        <f t="shared" si="33"/>
        <v/>
      </c>
      <c r="V327" s="44" t="str">
        <f t="shared" si="34"/>
        <v/>
      </c>
      <c r="W327" s="44" t="str">
        <f t="shared" si="35"/>
        <v/>
      </c>
      <c r="X327" s="44" t="str">
        <f t="shared" si="36"/>
        <v/>
      </c>
      <c r="Y327" s="44" t="str">
        <f t="shared" si="37"/>
        <v/>
      </c>
      <c r="Z327" s="44" t="str">
        <f t="shared" si="38"/>
        <v/>
      </c>
      <c r="AA327" s="50" t="str">
        <f t="shared" si="39"/>
        <v/>
      </c>
      <c r="AB327" s="50" t="str">
        <f>IF(OR(B327="",C327&lt;&gt;"Expense"),"",IF(E327&gt;IFERROR(AVERAGEIFS($E$8:$E$1007,$I$8:$I$1007,I327,$C$8:$C$1007,"Expense")*SETTINGS!$B$20,0),"Unusually High","Normal"))</f>
        <v/>
      </c>
      <c r="AC327" s="51"/>
      <c r="AD327" s="51"/>
      <c r="AE327" s="51"/>
      <c r="AF327" s="50" t="str">
        <f>IF(A327&lt;&gt;"Yes","No",IF(AND(AC327="Yes",SETTINGS!$B$16="No"),"No","Yes"))</f>
        <v>No</v>
      </c>
      <c r="AG327" s="50" t="str">
        <f>IF(A327&lt;&gt;"Yes","",IF(OR(B327="",D327="",E327&lt;=0,F327="",I327=""),"Check Required Fields",IF(AA327="Possible Duplicate","Possible Duplicate",IF(E327&gt;SETTINGS!$B$22,"Review Extreme Value","OK"))))</f>
        <v/>
      </c>
    </row>
    <row r="328" spans="1:33" ht="14.4">
      <c r="A328" s="9"/>
      <c r="B328" s="13"/>
      <c r="C328" s="9"/>
      <c r="D328" s="9"/>
      <c r="E328" s="11"/>
      <c r="F328" s="9"/>
      <c r="G328" s="9"/>
      <c r="H328" s="44" t="str">
        <f>IF(D328="","",IF(ISNUMBER(SEARCH(SETTINGS!$K$4,D328)),SETTINGS!$L$4,IF(ISNUMBER(SEARCH(SETTINGS!$K$5,D328)),SETTINGS!$L$5,IF(ISNUMBER(SEARCH(SETTINGS!$K$6,D328)),SETTINGS!$L$6,IF(ISNUMBER(SEARCH(SETTINGS!$K$7,D328)),SETTINGS!$L$7,IF(ISNUMBER(SEARCH(SETTINGS!$K$8,D328)),SETTINGS!$L$8,IF(ISNUMBER(SEARCH(SETTINGS!$K$9,D328)),SETTINGS!$L$9,IF(ISNUMBER(SEARCH(SETTINGS!$K$10,D328)),SETTINGS!$L$10,IF(ISNUMBER(SEARCH(SETTINGS!$K$11,D328)),SETTINGS!$L$11,IF(ISNUMBER(SEARCH(SETTINGS!$K$12,D328)),SETTINGS!$L$12,IF(ISNUMBER(SEARCH(SETTINGS!$K$13,D328)),SETTINGS!$L$13,IF(ISNUMBER(SEARCH(SETTINGS!$K$14,D328)),SETTINGS!$L$14,IF(ISNUMBER(SEARCH(SETTINGS!$K$15,D328)),SETTINGS!$L$15,IF(ISNUMBER(SEARCH(SETTINGS!$K$16,D328)),SETTINGS!$L$16,IF(ISNUMBER(SEARCH(SETTINGS!$K$17,D328)),SETTINGS!$L$17,IF(ISNUMBER(SEARCH(SETTINGS!$K$18,D328)),SETTINGS!$L$18,"Miscellaneous"))))))))))))))))</f>
        <v/>
      </c>
      <c r="I328" s="44" t="str">
        <f t="shared" ref="I328:I391" si="40">IF(B328="","",IF(G328&lt;&gt;"",G328,H328))</f>
        <v/>
      </c>
      <c r="J328" s="9"/>
      <c r="K328" s="9"/>
      <c r="L328" s="9"/>
      <c r="M328" s="9"/>
      <c r="N328" s="9"/>
      <c r="O328" s="9"/>
      <c r="P328" s="13"/>
      <c r="Q328" s="9"/>
      <c r="R328" s="9"/>
      <c r="S328" s="9"/>
      <c r="T328" s="11"/>
      <c r="U328" s="44" t="str">
        <f t="shared" ref="U328:U391" si="41">IF(B328="","",IF(C328="Income","INC-",IF(C328="Expense","EXP-","TRX-"))&amp;TEXT(YEAR(B328),"0000")&amp;"-"&amp;TEXT(ROW()-7,"0000"))</f>
        <v/>
      </c>
      <c r="V328" s="44" t="str">
        <f t="shared" ref="V328:V391" si="42">IF(B328="","",TEXT(B328,"mmmm"))</f>
        <v/>
      </c>
      <c r="W328" s="44" t="str">
        <f t="shared" ref="W328:W391" si="43">IF(B328="","",MONTH(B328))</f>
        <v/>
      </c>
      <c r="X328" s="44" t="str">
        <f t="shared" ref="X328:X391" si="44">IF(B328="","",YEAR(B328))</f>
        <v/>
      </c>
      <c r="Y328" s="44" t="str">
        <f t="shared" ref="Y328:Y391" si="45">IF(B328="","",DAY(B328))</f>
        <v/>
      </c>
      <c r="Z328" s="44" t="str">
        <f t="shared" ref="Z328:Z391" si="46">IF(B328="","",IF(WEEKDAY(B328,2)&gt;5,"Weekend","Weekday"))</f>
        <v/>
      </c>
      <c r="AA328" s="50" t="str">
        <f t="shared" ref="AA328:AA391" si="47">IF(B328="","",IF(COUNTIFS($B$8:$B$1007,B328,$E$8:$E$1007,E328,$D$8:$D$1007,D328,$I$8:$I$1007,I328)&gt;1,"Possible Duplicate","OK"))</f>
        <v/>
      </c>
      <c r="AB328" s="50" t="str">
        <f>IF(OR(B328="",C328&lt;&gt;"Expense"),"",IF(E328&gt;IFERROR(AVERAGEIFS($E$8:$E$1007,$I$8:$I$1007,I328,$C$8:$C$1007,"Expense")*SETTINGS!$B$20,0),"Unusually High","Normal"))</f>
        <v/>
      </c>
      <c r="AC328" s="51"/>
      <c r="AD328" s="51"/>
      <c r="AE328" s="51"/>
      <c r="AF328" s="50" t="str">
        <f>IF(A328&lt;&gt;"Yes","No",IF(AND(AC328="Yes",SETTINGS!$B$16="No"),"No","Yes"))</f>
        <v>No</v>
      </c>
      <c r="AG328" s="50" t="str">
        <f>IF(A328&lt;&gt;"Yes","",IF(OR(B328="",D328="",E328&lt;=0,F328="",I328=""),"Check Required Fields",IF(AA328="Possible Duplicate","Possible Duplicate",IF(E328&gt;SETTINGS!$B$22,"Review Extreme Value","OK"))))</f>
        <v/>
      </c>
    </row>
    <row r="329" spans="1:33" ht="14.4">
      <c r="A329" s="9"/>
      <c r="B329" s="13"/>
      <c r="C329" s="9"/>
      <c r="D329" s="9"/>
      <c r="E329" s="11"/>
      <c r="F329" s="9"/>
      <c r="G329" s="9"/>
      <c r="H329" s="44" t="str">
        <f>IF(D329="","",IF(ISNUMBER(SEARCH(SETTINGS!$K$4,D329)),SETTINGS!$L$4,IF(ISNUMBER(SEARCH(SETTINGS!$K$5,D329)),SETTINGS!$L$5,IF(ISNUMBER(SEARCH(SETTINGS!$K$6,D329)),SETTINGS!$L$6,IF(ISNUMBER(SEARCH(SETTINGS!$K$7,D329)),SETTINGS!$L$7,IF(ISNUMBER(SEARCH(SETTINGS!$K$8,D329)),SETTINGS!$L$8,IF(ISNUMBER(SEARCH(SETTINGS!$K$9,D329)),SETTINGS!$L$9,IF(ISNUMBER(SEARCH(SETTINGS!$K$10,D329)),SETTINGS!$L$10,IF(ISNUMBER(SEARCH(SETTINGS!$K$11,D329)),SETTINGS!$L$11,IF(ISNUMBER(SEARCH(SETTINGS!$K$12,D329)),SETTINGS!$L$12,IF(ISNUMBER(SEARCH(SETTINGS!$K$13,D329)),SETTINGS!$L$13,IF(ISNUMBER(SEARCH(SETTINGS!$K$14,D329)),SETTINGS!$L$14,IF(ISNUMBER(SEARCH(SETTINGS!$K$15,D329)),SETTINGS!$L$15,IF(ISNUMBER(SEARCH(SETTINGS!$K$16,D329)),SETTINGS!$L$16,IF(ISNUMBER(SEARCH(SETTINGS!$K$17,D329)),SETTINGS!$L$17,IF(ISNUMBER(SEARCH(SETTINGS!$K$18,D329)),SETTINGS!$L$18,"Miscellaneous"))))))))))))))))</f>
        <v/>
      </c>
      <c r="I329" s="44" t="str">
        <f t="shared" si="40"/>
        <v/>
      </c>
      <c r="J329" s="9"/>
      <c r="K329" s="9"/>
      <c r="L329" s="9"/>
      <c r="M329" s="9"/>
      <c r="N329" s="9"/>
      <c r="O329" s="9"/>
      <c r="P329" s="13"/>
      <c r="Q329" s="9"/>
      <c r="R329" s="9"/>
      <c r="S329" s="9"/>
      <c r="T329" s="11"/>
      <c r="U329" s="44" t="str">
        <f t="shared" si="41"/>
        <v/>
      </c>
      <c r="V329" s="44" t="str">
        <f t="shared" si="42"/>
        <v/>
      </c>
      <c r="W329" s="44" t="str">
        <f t="shared" si="43"/>
        <v/>
      </c>
      <c r="X329" s="44" t="str">
        <f t="shared" si="44"/>
        <v/>
      </c>
      <c r="Y329" s="44" t="str">
        <f t="shared" si="45"/>
        <v/>
      </c>
      <c r="Z329" s="44" t="str">
        <f t="shared" si="46"/>
        <v/>
      </c>
      <c r="AA329" s="50" t="str">
        <f t="shared" si="47"/>
        <v/>
      </c>
      <c r="AB329" s="50" t="str">
        <f>IF(OR(B329="",C329&lt;&gt;"Expense"),"",IF(E329&gt;IFERROR(AVERAGEIFS($E$8:$E$1007,$I$8:$I$1007,I329,$C$8:$C$1007,"Expense")*SETTINGS!$B$20,0),"Unusually High","Normal"))</f>
        <v/>
      </c>
      <c r="AC329" s="51"/>
      <c r="AD329" s="51"/>
      <c r="AE329" s="51"/>
      <c r="AF329" s="50" t="str">
        <f>IF(A329&lt;&gt;"Yes","No",IF(AND(AC329="Yes",SETTINGS!$B$16="No"),"No","Yes"))</f>
        <v>No</v>
      </c>
      <c r="AG329" s="50" t="str">
        <f>IF(A329&lt;&gt;"Yes","",IF(OR(B329="",D329="",E329&lt;=0,F329="",I329=""),"Check Required Fields",IF(AA329="Possible Duplicate","Possible Duplicate",IF(E329&gt;SETTINGS!$B$22,"Review Extreme Value","OK"))))</f>
        <v/>
      </c>
    </row>
    <row r="330" spans="1:33" ht="14.4">
      <c r="A330" s="9"/>
      <c r="B330" s="13"/>
      <c r="C330" s="9"/>
      <c r="D330" s="9"/>
      <c r="E330" s="11"/>
      <c r="F330" s="9"/>
      <c r="G330" s="9"/>
      <c r="H330" s="44" t="str">
        <f>IF(D330="","",IF(ISNUMBER(SEARCH(SETTINGS!$K$4,D330)),SETTINGS!$L$4,IF(ISNUMBER(SEARCH(SETTINGS!$K$5,D330)),SETTINGS!$L$5,IF(ISNUMBER(SEARCH(SETTINGS!$K$6,D330)),SETTINGS!$L$6,IF(ISNUMBER(SEARCH(SETTINGS!$K$7,D330)),SETTINGS!$L$7,IF(ISNUMBER(SEARCH(SETTINGS!$K$8,D330)),SETTINGS!$L$8,IF(ISNUMBER(SEARCH(SETTINGS!$K$9,D330)),SETTINGS!$L$9,IF(ISNUMBER(SEARCH(SETTINGS!$K$10,D330)),SETTINGS!$L$10,IF(ISNUMBER(SEARCH(SETTINGS!$K$11,D330)),SETTINGS!$L$11,IF(ISNUMBER(SEARCH(SETTINGS!$K$12,D330)),SETTINGS!$L$12,IF(ISNUMBER(SEARCH(SETTINGS!$K$13,D330)),SETTINGS!$L$13,IF(ISNUMBER(SEARCH(SETTINGS!$K$14,D330)),SETTINGS!$L$14,IF(ISNUMBER(SEARCH(SETTINGS!$K$15,D330)),SETTINGS!$L$15,IF(ISNUMBER(SEARCH(SETTINGS!$K$16,D330)),SETTINGS!$L$16,IF(ISNUMBER(SEARCH(SETTINGS!$K$17,D330)),SETTINGS!$L$17,IF(ISNUMBER(SEARCH(SETTINGS!$K$18,D330)),SETTINGS!$L$18,"Miscellaneous"))))))))))))))))</f>
        <v/>
      </c>
      <c r="I330" s="44" t="str">
        <f t="shared" si="40"/>
        <v/>
      </c>
      <c r="J330" s="9"/>
      <c r="K330" s="9"/>
      <c r="L330" s="9"/>
      <c r="M330" s="9"/>
      <c r="N330" s="9"/>
      <c r="O330" s="9"/>
      <c r="P330" s="13"/>
      <c r="Q330" s="9"/>
      <c r="R330" s="9"/>
      <c r="S330" s="9"/>
      <c r="T330" s="11"/>
      <c r="U330" s="44" t="str">
        <f t="shared" si="41"/>
        <v/>
      </c>
      <c r="V330" s="44" t="str">
        <f t="shared" si="42"/>
        <v/>
      </c>
      <c r="W330" s="44" t="str">
        <f t="shared" si="43"/>
        <v/>
      </c>
      <c r="X330" s="44" t="str">
        <f t="shared" si="44"/>
        <v/>
      </c>
      <c r="Y330" s="44" t="str">
        <f t="shared" si="45"/>
        <v/>
      </c>
      <c r="Z330" s="44" t="str">
        <f t="shared" si="46"/>
        <v/>
      </c>
      <c r="AA330" s="50" t="str">
        <f t="shared" si="47"/>
        <v/>
      </c>
      <c r="AB330" s="50" t="str">
        <f>IF(OR(B330="",C330&lt;&gt;"Expense"),"",IF(E330&gt;IFERROR(AVERAGEIFS($E$8:$E$1007,$I$8:$I$1007,I330,$C$8:$C$1007,"Expense")*SETTINGS!$B$20,0),"Unusually High","Normal"))</f>
        <v/>
      </c>
      <c r="AC330" s="51"/>
      <c r="AD330" s="51"/>
      <c r="AE330" s="51"/>
      <c r="AF330" s="50" t="str">
        <f>IF(A330&lt;&gt;"Yes","No",IF(AND(AC330="Yes",SETTINGS!$B$16="No"),"No","Yes"))</f>
        <v>No</v>
      </c>
      <c r="AG330" s="50" t="str">
        <f>IF(A330&lt;&gt;"Yes","",IF(OR(B330="",D330="",E330&lt;=0,F330="",I330=""),"Check Required Fields",IF(AA330="Possible Duplicate","Possible Duplicate",IF(E330&gt;SETTINGS!$B$22,"Review Extreme Value","OK"))))</f>
        <v/>
      </c>
    </row>
    <row r="331" spans="1:33" ht="14.4">
      <c r="A331" s="9"/>
      <c r="B331" s="13"/>
      <c r="C331" s="9"/>
      <c r="D331" s="9"/>
      <c r="E331" s="11"/>
      <c r="F331" s="9"/>
      <c r="G331" s="9"/>
      <c r="H331" s="44" t="str">
        <f>IF(D331="","",IF(ISNUMBER(SEARCH(SETTINGS!$K$4,D331)),SETTINGS!$L$4,IF(ISNUMBER(SEARCH(SETTINGS!$K$5,D331)),SETTINGS!$L$5,IF(ISNUMBER(SEARCH(SETTINGS!$K$6,D331)),SETTINGS!$L$6,IF(ISNUMBER(SEARCH(SETTINGS!$K$7,D331)),SETTINGS!$L$7,IF(ISNUMBER(SEARCH(SETTINGS!$K$8,D331)),SETTINGS!$L$8,IF(ISNUMBER(SEARCH(SETTINGS!$K$9,D331)),SETTINGS!$L$9,IF(ISNUMBER(SEARCH(SETTINGS!$K$10,D331)),SETTINGS!$L$10,IF(ISNUMBER(SEARCH(SETTINGS!$K$11,D331)),SETTINGS!$L$11,IF(ISNUMBER(SEARCH(SETTINGS!$K$12,D331)),SETTINGS!$L$12,IF(ISNUMBER(SEARCH(SETTINGS!$K$13,D331)),SETTINGS!$L$13,IF(ISNUMBER(SEARCH(SETTINGS!$K$14,D331)),SETTINGS!$L$14,IF(ISNUMBER(SEARCH(SETTINGS!$K$15,D331)),SETTINGS!$L$15,IF(ISNUMBER(SEARCH(SETTINGS!$K$16,D331)),SETTINGS!$L$16,IF(ISNUMBER(SEARCH(SETTINGS!$K$17,D331)),SETTINGS!$L$17,IF(ISNUMBER(SEARCH(SETTINGS!$K$18,D331)),SETTINGS!$L$18,"Miscellaneous"))))))))))))))))</f>
        <v/>
      </c>
      <c r="I331" s="44" t="str">
        <f t="shared" si="40"/>
        <v/>
      </c>
      <c r="J331" s="9"/>
      <c r="K331" s="9"/>
      <c r="L331" s="9"/>
      <c r="M331" s="9"/>
      <c r="N331" s="9"/>
      <c r="O331" s="9"/>
      <c r="P331" s="13"/>
      <c r="Q331" s="9"/>
      <c r="R331" s="9"/>
      <c r="S331" s="9"/>
      <c r="T331" s="11"/>
      <c r="U331" s="44" t="str">
        <f t="shared" si="41"/>
        <v/>
      </c>
      <c r="V331" s="44" t="str">
        <f t="shared" si="42"/>
        <v/>
      </c>
      <c r="W331" s="44" t="str">
        <f t="shared" si="43"/>
        <v/>
      </c>
      <c r="X331" s="44" t="str">
        <f t="shared" si="44"/>
        <v/>
      </c>
      <c r="Y331" s="44" t="str">
        <f t="shared" si="45"/>
        <v/>
      </c>
      <c r="Z331" s="44" t="str">
        <f t="shared" si="46"/>
        <v/>
      </c>
      <c r="AA331" s="50" t="str">
        <f t="shared" si="47"/>
        <v/>
      </c>
      <c r="AB331" s="50" t="str">
        <f>IF(OR(B331="",C331&lt;&gt;"Expense"),"",IF(E331&gt;IFERROR(AVERAGEIFS($E$8:$E$1007,$I$8:$I$1007,I331,$C$8:$C$1007,"Expense")*SETTINGS!$B$20,0),"Unusually High","Normal"))</f>
        <v/>
      </c>
      <c r="AC331" s="51"/>
      <c r="AD331" s="51"/>
      <c r="AE331" s="51"/>
      <c r="AF331" s="50" t="str">
        <f>IF(A331&lt;&gt;"Yes","No",IF(AND(AC331="Yes",SETTINGS!$B$16="No"),"No","Yes"))</f>
        <v>No</v>
      </c>
      <c r="AG331" s="50" t="str">
        <f>IF(A331&lt;&gt;"Yes","",IF(OR(B331="",D331="",E331&lt;=0,F331="",I331=""),"Check Required Fields",IF(AA331="Possible Duplicate","Possible Duplicate",IF(E331&gt;SETTINGS!$B$22,"Review Extreme Value","OK"))))</f>
        <v/>
      </c>
    </row>
    <row r="332" spans="1:33" ht="14.4">
      <c r="A332" s="9"/>
      <c r="B332" s="13"/>
      <c r="C332" s="9"/>
      <c r="D332" s="9"/>
      <c r="E332" s="11"/>
      <c r="F332" s="9"/>
      <c r="G332" s="9"/>
      <c r="H332" s="44" t="str">
        <f>IF(D332="","",IF(ISNUMBER(SEARCH(SETTINGS!$K$4,D332)),SETTINGS!$L$4,IF(ISNUMBER(SEARCH(SETTINGS!$K$5,D332)),SETTINGS!$L$5,IF(ISNUMBER(SEARCH(SETTINGS!$K$6,D332)),SETTINGS!$L$6,IF(ISNUMBER(SEARCH(SETTINGS!$K$7,D332)),SETTINGS!$L$7,IF(ISNUMBER(SEARCH(SETTINGS!$K$8,D332)),SETTINGS!$L$8,IF(ISNUMBER(SEARCH(SETTINGS!$K$9,D332)),SETTINGS!$L$9,IF(ISNUMBER(SEARCH(SETTINGS!$K$10,D332)),SETTINGS!$L$10,IF(ISNUMBER(SEARCH(SETTINGS!$K$11,D332)),SETTINGS!$L$11,IF(ISNUMBER(SEARCH(SETTINGS!$K$12,D332)),SETTINGS!$L$12,IF(ISNUMBER(SEARCH(SETTINGS!$K$13,D332)),SETTINGS!$L$13,IF(ISNUMBER(SEARCH(SETTINGS!$K$14,D332)),SETTINGS!$L$14,IF(ISNUMBER(SEARCH(SETTINGS!$K$15,D332)),SETTINGS!$L$15,IF(ISNUMBER(SEARCH(SETTINGS!$K$16,D332)),SETTINGS!$L$16,IF(ISNUMBER(SEARCH(SETTINGS!$K$17,D332)),SETTINGS!$L$17,IF(ISNUMBER(SEARCH(SETTINGS!$K$18,D332)),SETTINGS!$L$18,"Miscellaneous"))))))))))))))))</f>
        <v/>
      </c>
      <c r="I332" s="44" t="str">
        <f t="shared" si="40"/>
        <v/>
      </c>
      <c r="J332" s="9"/>
      <c r="K332" s="9"/>
      <c r="L332" s="9"/>
      <c r="M332" s="9"/>
      <c r="N332" s="9"/>
      <c r="O332" s="9"/>
      <c r="P332" s="13"/>
      <c r="Q332" s="9"/>
      <c r="R332" s="9"/>
      <c r="S332" s="9"/>
      <c r="T332" s="11"/>
      <c r="U332" s="44" t="str">
        <f t="shared" si="41"/>
        <v/>
      </c>
      <c r="V332" s="44" t="str">
        <f t="shared" si="42"/>
        <v/>
      </c>
      <c r="W332" s="44" t="str">
        <f t="shared" si="43"/>
        <v/>
      </c>
      <c r="X332" s="44" t="str">
        <f t="shared" si="44"/>
        <v/>
      </c>
      <c r="Y332" s="44" t="str">
        <f t="shared" si="45"/>
        <v/>
      </c>
      <c r="Z332" s="44" t="str">
        <f t="shared" si="46"/>
        <v/>
      </c>
      <c r="AA332" s="50" t="str">
        <f t="shared" si="47"/>
        <v/>
      </c>
      <c r="AB332" s="50" t="str">
        <f>IF(OR(B332="",C332&lt;&gt;"Expense"),"",IF(E332&gt;IFERROR(AVERAGEIFS($E$8:$E$1007,$I$8:$I$1007,I332,$C$8:$C$1007,"Expense")*SETTINGS!$B$20,0),"Unusually High","Normal"))</f>
        <v/>
      </c>
      <c r="AC332" s="51"/>
      <c r="AD332" s="51"/>
      <c r="AE332" s="51"/>
      <c r="AF332" s="50" t="str">
        <f>IF(A332&lt;&gt;"Yes","No",IF(AND(AC332="Yes",SETTINGS!$B$16="No"),"No","Yes"))</f>
        <v>No</v>
      </c>
      <c r="AG332" s="50" t="str">
        <f>IF(A332&lt;&gt;"Yes","",IF(OR(B332="",D332="",E332&lt;=0,F332="",I332=""),"Check Required Fields",IF(AA332="Possible Duplicate","Possible Duplicate",IF(E332&gt;SETTINGS!$B$22,"Review Extreme Value","OK"))))</f>
        <v/>
      </c>
    </row>
    <row r="333" spans="1:33" ht="14.4">
      <c r="A333" s="9"/>
      <c r="B333" s="13"/>
      <c r="C333" s="9"/>
      <c r="D333" s="9"/>
      <c r="E333" s="11"/>
      <c r="F333" s="9"/>
      <c r="G333" s="9"/>
      <c r="H333" s="44" t="str">
        <f>IF(D333="","",IF(ISNUMBER(SEARCH(SETTINGS!$K$4,D333)),SETTINGS!$L$4,IF(ISNUMBER(SEARCH(SETTINGS!$K$5,D333)),SETTINGS!$L$5,IF(ISNUMBER(SEARCH(SETTINGS!$K$6,D333)),SETTINGS!$L$6,IF(ISNUMBER(SEARCH(SETTINGS!$K$7,D333)),SETTINGS!$L$7,IF(ISNUMBER(SEARCH(SETTINGS!$K$8,D333)),SETTINGS!$L$8,IF(ISNUMBER(SEARCH(SETTINGS!$K$9,D333)),SETTINGS!$L$9,IF(ISNUMBER(SEARCH(SETTINGS!$K$10,D333)),SETTINGS!$L$10,IF(ISNUMBER(SEARCH(SETTINGS!$K$11,D333)),SETTINGS!$L$11,IF(ISNUMBER(SEARCH(SETTINGS!$K$12,D333)),SETTINGS!$L$12,IF(ISNUMBER(SEARCH(SETTINGS!$K$13,D333)),SETTINGS!$L$13,IF(ISNUMBER(SEARCH(SETTINGS!$K$14,D333)),SETTINGS!$L$14,IF(ISNUMBER(SEARCH(SETTINGS!$K$15,D333)),SETTINGS!$L$15,IF(ISNUMBER(SEARCH(SETTINGS!$K$16,D333)),SETTINGS!$L$16,IF(ISNUMBER(SEARCH(SETTINGS!$K$17,D333)),SETTINGS!$L$17,IF(ISNUMBER(SEARCH(SETTINGS!$K$18,D333)),SETTINGS!$L$18,"Miscellaneous"))))))))))))))))</f>
        <v/>
      </c>
      <c r="I333" s="44" t="str">
        <f t="shared" si="40"/>
        <v/>
      </c>
      <c r="J333" s="9"/>
      <c r="K333" s="9"/>
      <c r="L333" s="9"/>
      <c r="M333" s="9"/>
      <c r="N333" s="9"/>
      <c r="O333" s="9"/>
      <c r="P333" s="13"/>
      <c r="Q333" s="9"/>
      <c r="R333" s="9"/>
      <c r="S333" s="9"/>
      <c r="T333" s="11"/>
      <c r="U333" s="44" t="str">
        <f t="shared" si="41"/>
        <v/>
      </c>
      <c r="V333" s="44" t="str">
        <f t="shared" si="42"/>
        <v/>
      </c>
      <c r="W333" s="44" t="str">
        <f t="shared" si="43"/>
        <v/>
      </c>
      <c r="X333" s="44" t="str">
        <f t="shared" si="44"/>
        <v/>
      </c>
      <c r="Y333" s="44" t="str">
        <f t="shared" si="45"/>
        <v/>
      </c>
      <c r="Z333" s="44" t="str">
        <f t="shared" si="46"/>
        <v/>
      </c>
      <c r="AA333" s="50" t="str">
        <f t="shared" si="47"/>
        <v/>
      </c>
      <c r="AB333" s="50" t="str">
        <f>IF(OR(B333="",C333&lt;&gt;"Expense"),"",IF(E333&gt;IFERROR(AVERAGEIFS($E$8:$E$1007,$I$8:$I$1007,I333,$C$8:$C$1007,"Expense")*SETTINGS!$B$20,0),"Unusually High","Normal"))</f>
        <v/>
      </c>
      <c r="AC333" s="51"/>
      <c r="AD333" s="51"/>
      <c r="AE333" s="51"/>
      <c r="AF333" s="50" t="str">
        <f>IF(A333&lt;&gt;"Yes","No",IF(AND(AC333="Yes",SETTINGS!$B$16="No"),"No","Yes"))</f>
        <v>No</v>
      </c>
      <c r="AG333" s="50" t="str">
        <f>IF(A333&lt;&gt;"Yes","",IF(OR(B333="",D333="",E333&lt;=0,F333="",I333=""),"Check Required Fields",IF(AA333="Possible Duplicate","Possible Duplicate",IF(E333&gt;SETTINGS!$B$22,"Review Extreme Value","OK"))))</f>
        <v/>
      </c>
    </row>
    <row r="334" spans="1:33" ht="14.4">
      <c r="A334" s="9"/>
      <c r="B334" s="13"/>
      <c r="C334" s="9"/>
      <c r="D334" s="9"/>
      <c r="E334" s="11"/>
      <c r="F334" s="9"/>
      <c r="G334" s="9"/>
      <c r="H334" s="44" t="str">
        <f>IF(D334="","",IF(ISNUMBER(SEARCH(SETTINGS!$K$4,D334)),SETTINGS!$L$4,IF(ISNUMBER(SEARCH(SETTINGS!$K$5,D334)),SETTINGS!$L$5,IF(ISNUMBER(SEARCH(SETTINGS!$K$6,D334)),SETTINGS!$L$6,IF(ISNUMBER(SEARCH(SETTINGS!$K$7,D334)),SETTINGS!$L$7,IF(ISNUMBER(SEARCH(SETTINGS!$K$8,D334)),SETTINGS!$L$8,IF(ISNUMBER(SEARCH(SETTINGS!$K$9,D334)),SETTINGS!$L$9,IF(ISNUMBER(SEARCH(SETTINGS!$K$10,D334)),SETTINGS!$L$10,IF(ISNUMBER(SEARCH(SETTINGS!$K$11,D334)),SETTINGS!$L$11,IF(ISNUMBER(SEARCH(SETTINGS!$K$12,D334)),SETTINGS!$L$12,IF(ISNUMBER(SEARCH(SETTINGS!$K$13,D334)),SETTINGS!$L$13,IF(ISNUMBER(SEARCH(SETTINGS!$K$14,D334)),SETTINGS!$L$14,IF(ISNUMBER(SEARCH(SETTINGS!$K$15,D334)),SETTINGS!$L$15,IF(ISNUMBER(SEARCH(SETTINGS!$K$16,D334)),SETTINGS!$L$16,IF(ISNUMBER(SEARCH(SETTINGS!$K$17,D334)),SETTINGS!$L$17,IF(ISNUMBER(SEARCH(SETTINGS!$K$18,D334)),SETTINGS!$L$18,"Miscellaneous"))))))))))))))))</f>
        <v/>
      </c>
      <c r="I334" s="44" t="str">
        <f t="shared" si="40"/>
        <v/>
      </c>
      <c r="J334" s="9"/>
      <c r="K334" s="9"/>
      <c r="L334" s="9"/>
      <c r="M334" s="9"/>
      <c r="N334" s="9"/>
      <c r="O334" s="9"/>
      <c r="P334" s="13"/>
      <c r="Q334" s="9"/>
      <c r="R334" s="9"/>
      <c r="S334" s="9"/>
      <c r="T334" s="11"/>
      <c r="U334" s="44" t="str">
        <f t="shared" si="41"/>
        <v/>
      </c>
      <c r="V334" s="44" t="str">
        <f t="shared" si="42"/>
        <v/>
      </c>
      <c r="W334" s="44" t="str">
        <f t="shared" si="43"/>
        <v/>
      </c>
      <c r="X334" s="44" t="str">
        <f t="shared" si="44"/>
        <v/>
      </c>
      <c r="Y334" s="44" t="str">
        <f t="shared" si="45"/>
        <v/>
      </c>
      <c r="Z334" s="44" t="str">
        <f t="shared" si="46"/>
        <v/>
      </c>
      <c r="AA334" s="50" t="str">
        <f t="shared" si="47"/>
        <v/>
      </c>
      <c r="AB334" s="50" t="str">
        <f>IF(OR(B334="",C334&lt;&gt;"Expense"),"",IF(E334&gt;IFERROR(AVERAGEIFS($E$8:$E$1007,$I$8:$I$1007,I334,$C$8:$C$1007,"Expense")*SETTINGS!$B$20,0),"Unusually High","Normal"))</f>
        <v/>
      </c>
      <c r="AC334" s="51"/>
      <c r="AD334" s="51"/>
      <c r="AE334" s="51"/>
      <c r="AF334" s="50" t="str">
        <f>IF(A334&lt;&gt;"Yes","No",IF(AND(AC334="Yes",SETTINGS!$B$16="No"),"No","Yes"))</f>
        <v>No</v>
      </c>
      <c r="AG334" s="50" t="str">
        <f>IF(A334&lt;&gt;"Yes","",IF(OR(B334="",D334="",E334&lt;=0,F334="",I334=""),"Check Required Fields",IF(AA334="Possible Duplicate","Possible Duplicate",IF(E334&gt;SETTINGS!$B$22,"Review Extreme Value","OK"))))</f>
        <v/>
      </c>
    </row>
    <row r="335" spans="1:33" ht="14.4">
      <c r="A335" s="9"/>
      <c r="B335" s="13"/>
      <c r="C335" s="9"/>
      <c r="D335" s="9"/>
      <c r="E335" s="11"/>
      <c r="F335" s="9"/>
      <c r="G335" s="9"/>
      <c r="H335" s="44" t="str">
        <f>IF(D335="","",IF(ISNUMBER(SEARCH(SETTINGS!$K$4,D335)),SETTINGS!$L$4,IF(ISNUMBER(SEARCH(SETTINGS!$K$5,D335)),SETTINGS!$L$5,IF(ISNUMBER(SEARCH(SETTINGS!$K$6,D335)),SETTINGS!$L$6,IF(ISNUMBER(SEARCH(SETTINGS!$K$7,D335)),SETTINGS!$L$7,IF(ISNUMBER(SEARCH(SETTINGS!$K$8,D335)),SETTINGS!$L$8,IF(ISNUMBER(SEARCH(SETTINGS!$K$9,D335)),SETTINGS!$L$9,IF(ISNUMBER(SEARCH(SETTINGS!$K$10,D335)),SETTINGS!$L$10,IF(ISNUMBER(SEARCH(SETTINGS!$K$11,D335)),SETTINGS!$L$11,IF(ISNUMBER(SEARCH(SETTINGS!$K$12,D335)),SETTINGS!$L$12,IF(ISNUMBER(SEARCH(SETTINGS!$K$13,D335)),SETTINGS!$L$13,IF(ISNUMBER(SEARCH(SETTINGS!$K$14,D335)),SETTINGS!$L$14,IF(ISNUMBER(SEARCH(SETTINGS!$K$15,D335)),SETTINGS!$L$15,IF(ISNUMBER(SEARCH(SETTINGS!$K$16,D335)),SETTINGS!$L$16,IF(ISNUMBER(SEARCH(SETTINGS!$K$17,D335)),SETTINGS!$L$17,IF(ISNUMBER(SEARCH(SETTINGS!$K$18,D335)),SETTINGS!$L$18,"Miscellaneous"))))))))))))))))</f>
        <v/>
      </c>
      <c r="I335" s="44" t="str">
        <f t="shared" si="40"/>
        <v/>
      </c>
      <c r="J335" s="9"/>
      <c r="K335" s="9"/>
      <c r="L335" s="9"/>
      <c r="M335" s="9"/>
      <c r="N335" s="9"/>
      <c r="O335" s="9"/>
      <c r="P335" s="13"/>
      <c r="Q335" s="9"/>
      <c r="R335" s="9"/>
      <c r="S335" s="9"/>
      <c r="T335" s="11"/>
      <c r="U335" s="44" t="str">
        <f t="shared" si="41"/>
        <v/>
      </c>
      <c r="V335" s="44" t="str">
        <f t="shared" si="42"/>
        <v/>
      </c>
      <c r="W335" s="44" t="str">
        <f t="shared" si="43"/>
        <v/>
      </c>
      <c r="X335" s="44" t="str">
        <f t="shared" si="44"/>
        <v/>
      </c>
      <c r="Y335" s="44" t="str">
        <f t="shared" si="45"/>
        <v/>
      </c>
      <c r="Z335" s="44" t="str">
        <f t="shared" si="46"/>
        <v/>
      </c>
      <c r="AA335" s="50" t="str">
        <f t="shared" si="47"/>
        <v/>
      </c>
      <c r="AB335" s="50" t="str">
        <f>IF(OR(B335="",C335&lt;&gt;"Expense"),"",IF(E335&gt;IFERROR(AVERAGEIFS($E$8:$E$1007,$I$8:$I$1007,I335,$C$8:$C$1007,"Expense")*SETTINGS!$B$20,0),"Unusually High","Normal"))</f>
        <v/>
      </c>
      <c r="AC335" s="51"/>
      <c r="AD335" s="51"/>
      <c r="AE335" s="51"/>
      <c r="AF335" s="50" t="str">
        <f>IF(A335&lt;&gt;"Yes","No",IF(AND(AC335="Yes",SETTINGS!$B$16="No"),"No","Yes"))</f>
        <v>No</v>
      </c>
      <c r="AG335" s="50" t="str">
        <f>IF(A335&lt;&gt;"Yes","",IF(OR(B335="",D335="",E335&lt;=0,F335="",I335=""),"Check Required Fields",IF(AA335="Possible Duplicate","Possible Duplicate",IF(E335&gt;SETTINGS!$B$22,"Review Extreme Value","OK"))))</f>
        <v/>
      </c>
    </row>
    <row r="336" spans="1:33" ht="14.4">
      <c r="A336" s="9"/>
      <c r="B336" s="13"/>
      <c r="C336" s="9"/>
      <c r="D336" s="9"/>
      <c r="E336" s="11"/>
      <c r="F336" s="9"/>
      <c r="G336" s="9"/>
      <c r="H336" s="44" t="str">
        <f>IF(D336="","",IF(ISNUMBER(SEARCH(SETTINGS!$K$4,D336)),SETTINGS!$L$4,IF(ISNUMBER(SEARCH(SETTINGS!$K$5,D336)),SETTINGS!$L$5,IF(ISNUMBER(SEARCH(SETTINGS!$K$6,D336)),SETTINGS!$L$6,IF(ISNUMBER(SEARCH(SETTINGS!$K$7,D336)),SETTINGS!$L$7,IF(ISNUMBER(SEARCH(SETTINGS!$K$8,D336)),SETTINGS!$L$8,IF(ISNUMBER(SEARCH(SETTINGS!$K$9,D336)),SETTINGS!$L$9,IF(ISNUMBER(SEARCH(SETTINGS!$K$10,D336)),SETTINGS!$L$10,IF(ISNUMBER(SEARCH(SETTINGS!$K$11,D336)),SETTINGS!$L$11,IF(ISNUMBER(SEARCH(SETTINGS!$K$12,D336)),SETTINGS!$L$12,IF(ISNUMBER(SEARCH(SETTINGS!$K$13,D336)),SETTINGS!$L$13,IF(ISNUMBER(SEARCH(SETTINGS!$K$14,D336)),SETTINGS!$L$14,IF(ISNUMBER(SEARCH(SETTINGS!$K$15,D336)),SETTINGS!$L$15,IF(ISNUMBER(SEARCH(SETTINGS!$K$16,D336)),SETTINGS!$L$16,IF(ISNUMBER(SEARCH(SETTINGS!$K$17,D336)),SETTINGS!$L$17,IF(ISNUMBER(SEARCH(SETTINGS!$K$18,D336)),SETTINGS!$L$18,"Miscellaneous"))))))))))))))))</f>
        <v/>
      </c>
      <c r="I336" s="44" t="str">
        <f t="shared" si="40"/>
        <v/>
      </c>
      <c r="J336" s="9"/>
      <c r="K336" s="9"/>
      <c r="L336" s="9"/>
      <c r="M336" s="9"/>
      <c r="N336" s="9"/>
      <c r="O336" s="9"/>
      <c r="P336" s="13"/>
      <c r="Q336" s="9"/>
      <c r="R336" s="9"/>
      <c r="S336" s="9"/>
      <c r="T336" s="11"/>
      <c r="U336" s="44" t="str">
        <f t="shared" si="41"/>
        <v/>
      </c>
      <c r="V336" s="44" t="str">
        <f t="shared" si="42"/>
        <v/>
      </c>
      <c r="W336" s="44" t="str">
        <f t="shared" si="43"/>
        <v/>
      </c>
      <c r="X336" s="44" t="str">
        <f t="shared" si="44"/>
        <v/>
      </c>
      <c r="Y336" s="44" t="str">
        <f t="shared" si="45"/>
        <v/>
      </c>
      <c r="Z336" s="44" t="str">
        <f t="shared" si="46"/>
        <v/>
      </c>
      <c r="AA336" s="50" t="str">
        <f t="shared" si="47"/>
        <v/>
      </c>
      <c r="AB336" s="50" t="str">
        <f>IF(OR(B336="",C336&lt;&gt;"Expense"),"",IF(E336&gt;IFERROR(AVERAGEIFS($E$8:$E$1007,$I$8:$I$1007,I336,$C$8:$C$1007,"Expense")*SETTINGS!$B$20,0),"Unusually High","Normal"))</f>
        <v/>
      </c>
      <c r="AC336" s="51"/>
      <c r="AD336" s="51"/>
      <c r="AE336" s="51"/>
      <c r="AF336" s="50" t="str">
        <f>IF(A336&lt;&gt;"Yes","No",IF(AND(AC336="Yes",SETTINGS!$B$16="No"),"No","Yes"))</f>
        <v>No</v>
      </c>
      <c r="AG336" s="50" t="str">
        <f>IF(A336&lt;&gt;"Yes","",IF(OR(B336="",D336="",E336&lt;=0,F336="",I336=""),"Check Required Fields",IF(AA336="Possible Duplicate","Possible Duplicate",IF(E336&gt;SETTINGS!$B$22,"Review Extreme Value","OK"))))</f>
        <v/>
      </c>
    </row>
    <row r="337" spans="1:33" ht="14.4">
      <c r="A337" s="9"/>
      <c r="B337" s="13"/>
      <c r="C337" s="9"/>
      <c r="D337" s="9"/>
      <c r="E337" s="11"/>
      <c r="F337" s="9"/>
      <c r="G337" s="9"/>
      <c r="H337" s="44" t="str">
        <f>IF(D337="","",IF(ISNUMBER(SEARCH(SETTINGS!$K$4,D337)),SETTINGS!$L$4,IF(ISNUMBER(SEARCH(SETTINGS!$K$5,D337)),SETTINGS!$L$5,IF(ISNUMBER(SEARCH(SETTINGS!$K$6,D337)),SETTINGS!$L$6,IF(ISNUMBER(SEARCH(SETTINGS!$K$7,D337)),SETTINGS!$L$7,IF(ISNUMBER(SEARCH(SETTINGS!$K$8,D337)),SETTINGS!$L$8,IF(ISNUMBER(SEARCH(SETTINGS!$K$9,D337)),SETTINGS!$L$9,IF(ISNUMBER(SEARCH(SETTINGS!$K$10,D337)),SETTINGS!$L$10,IF(ISNUMBER(SEARCH(SETTINGS!$K$11,D337)),SETTINGS!$L$11,IF(ISNUMBER(SEARCH(SETTINGS!$K$12,D337)),SETTINGS!$L$12,IF(ISNUMBER(SEARCH(SETTINGS!$K$13,D337)),SETTINGS!$L$13,IF(ISNUMBER(SEARCH(SETTINGS!$K$14,D337)),SETTINGS!$L$14,IF(ISNUMBER(SEARCH(SETTINGS!$K$15,D337)),SETTINGS!$L$15,IF(ISNUMBER(SEARCH(SETTINGS!$K$16,D337)),SETTINGS!$L$16,IF(ISNUMBER(SEARCH(SETTINGS!$K$17,D337)),SETTINGS!$L$17,IF(ISNUMBER(SEARCH(SETTINGS!$K$18,D337)),SETTINGS!$L$18,"Miscellaneous"))))))))))))))))</f>
        <v/>
      </c>
      <c r="I337" s="44" t="str">
        <f t="shared" si="40"/>
        <v/>
      </c>
      <c r="J337" s="9"/>
      <c r="K337" s="9"/>
      <c r="L337" s="9"/>
      <c r="M337" s="9"/>
      <c r="N337" s="9"/>
      <c r="O337" s="9"/>
      <c r="P337" s="13"/>
      <c r="Q337" s="9"/>
      <c r="R337" s="9"/>
      <c r="S337" s="9"/>
      <c r="T337" s="11"/>
      <c r="U337" s="44" t="str">
        <f t="shared" si="41"/>
        <v/>
      </c>
      <c r="V337" s="44" t="str">
        <f t="shared" si="42"/>
        <v/>
      </c>
      <c r="W337" s="44" t="str">
        <f t="shared" si="43"/>
        <v/>
      </c>
      <c r="X337" s="44" t="str">
        <f t="shared" si="44"/>
        <v/>
      </c>
      <c r="Y337" s="44" t="str">
        <f t="shared" si="45"/>
        <v/>
      </c>
      <c r="Z337" s="44" t="str">
        <f t="shared" si="46"/>
        <v/>
      </c>
      <c r="AA337" s="50" t="str">
        <f t="shared" si="47"/>
        <v/>
      </c>
      <c r="AB337" s="50" t="str">
        <f>IF(OR(B337="",C337&lt;&gt;"Expense"),"",IF(E337&gt;IFERROR(AVERAGEIFS($E$8:$E$1007,$I$8:$I$1007,I337,$C$8:$C$1007,"Expense")*SETTINGS!$B$20,0),"Unusually High","Normal"))</f>
        <v/>
      </c>
      <c r="AC337" s="51"/>
      <c r="AD337" s="51"/>
      <c r="AE337" s="51"/>
      <c r="AF337" s="50" t="str">
        <f>IF(A337&lt;&gt;"Yes","No",IF(AND(AC337="Yes",SETTINGS!$B$16="No"),"No","Yes"))</f>
        <v>No</v>
      </c>
      <c r="AG337" s="50" t="str">
        <f>IF(A337&lt;&gt;"Yes","",IF(OR(B337="",D337="",E337&lt;=0,F337="",I337=""),"Check Required Fields",IF(AA337="Possible Duplicate","Possible Duplicate",IF(E337&gt;SETTINGS!$B$22,"Review Extreme Value","OK"))))</f>
        <v/>
      </c>
    </row>
    <row r="338" spans="1:33" ht="14.4">
      <c r="A338" s="9"/>
      <c r="B338" s="13"/>
      <c r="C338" s="9"/>
      <c r="D338" s="9"/>
      <c r="E338" s="11"/>
      <c r="F338" s="9"/>
      <c r="G338" s="9"/>
      <c r="H338" s="44" t="str">
        <f>IF(D338="","",IF(ISNUMBER(SEARCH(SETTINGS!$K$4,D338)),SETTINGS!$L$4,IF(ISNUMBER(SEARCH(SETTINGS!$K$5,D338)),SETTINGS!$L$5,IF(ISNUMBER(SEARCH(SETTINGS!$K$6,D338)),SETTINGS!$L$6,IF(ISNUMBER(SEARCH(SETTINGS!$K$7,D338)),SETTINGS!$L$7,IF(ISNUMBER(SEARCH(SETTINGS!$K$8,D338)),SETTINGS!$L$8,IF(ISNUMBER(SEARCH(SETTINGS!$K$9,D338)),SETTINGS!$L$9,IF(ISNUMBER(SEARCH(SETTINGS!$K$10,D338)),SETTINGS!$L$10,IF(ISNUMBER(SEARCH(SETTINGS!$K$11,D338)),SETTINGS!$L$11,IF(ISNUMBER(SEARCH(SETTINGS!$K$12,D338)),SETTINGS!$L$12,IF(ISNUMBER(SEARCH(SETTINGS!$K$13,D338)),SETTINGS!$L$13,IF(ISNUMBER(SEARCH(SETTINGS!$K$14,D338)),SETTINGS!$L$14,IF(ISNUMBER(SEARCH(SETTINGS!$K$15,D338)),SETTINGS!$L$15,IF(ISNUMBER(SEARCH(SETTINGS!$K$16,D338)),SETTINGS!$L$16,IF(ISNUMBER(SEARCH(SETTINGS!$K$17,D338)),SETTINGS!$L$17,IF(ISNUMBER(SEARCH(SETTINGS!$K$18,D338)),SETTINGS!$L$18,"Miscellaneous"))))))))))))))))</f>
        <v/>
      </c>
      <c r="I338" s="44" t="str">
        <f t="shared" si="40"/>
        <v/>
      </c>
      <c r="J338" s="9"/>
      <c r="K338" s="9"/>
      <c r="L338" s="9"/>
      <c r="M338" s="9"/>
      <c r="N338" s="9"/>
      <c r="O338" s="9"/>
      <c r="P338" s="13"/>
      <c r="Q338" s="9"/>
      <c r="R338" s="9"/>
      <c r="S338" s="9"/>
      <c r="T338" s="11"/>
      <c r="U338" s="44" t="str">
        <f t="shared" si="41"/>
        <v/>
      </c>
      <c r="V338" s="44" t="str">
        <f t="shared" si="42"/>
        <v/>
      </c>
      <c r="W338" s="44" t="str">
        <f t="shared" si="43"/>
        <v/>
      </c>
      <c r="X338" s="44" t="str">
        <f t="shared" si="44"/>
        <v/>
      </c>
      <c r="Y338" s="44" t="str">
        <f t="shared" si="45"/>
        <v/>
      </c>
      <c r="Z338" s="44" t="str">
        <f t="shared" si="46"/>
        <v/>
      </c>
      <c r="AA338" s="50" t="str">
        <f t="shared" si="47"/>
        <v/>
      </c>
      <c r="AB338" s="50" t="str">
        <f>IF(OR(B338="",C338&lt;&gt;"Expense"),"",IF(E338&gt;IFERROR(AVERAGEIFS($E$8:$E$1007,$I$8:$I$1007,I338,$C$8:$C$1007,"Expense")*SETTINGS!$B$20,0),"Unusually High","Normal"))</f>
        <v/>
      </c>
      <c r="AC338" s="51"/>
      <c r="AD338" s="51"/>
      <c r="AE338" s="51"/>
      <c r="AF338" s="50" t="str">
        <f>IF(A338&lt;&gt;"Yes","No",IF(AND(AC338="Yes",SETTINGS!$B$16="No"),"No","Yes"))</f>
        <v>No</v>
      </c>
      <c r="AG338" s="50" t="str">
        <f>IF(A338&lt;&gt;"Yes","",IF(OR(B338="",D338="",E338&lt;=0,F338="",I338=""),"Check Required Fields",IF(AA338="Possible Duplicate","Possible Duplicate",IF(E338&gt;SETTINGS!$B$22,"Review Extreme Value","OK"))))</f>
        <v/>
      </c>
    </row>
    <row r="339" spans="1:33" ht="14.4">
      <c r="A339" s="9"/>
      <c r="B339" s="13"/>
      <c r="C339" s="9"/>
      <c r="D339" s="9"/>
      <c r="E339" s="11"/>
      <c r="F339" s="9"/>
      <c r="G339" s="9"/>
      <c r="H339" s="44" t="str">
        <f>IF(D339="","",IF(ISNUMBER(SEARCH(SETTINGS!$K$4,D339)),SETTINGS!$L$4,IF(ISNUMBER(SEARCH(SETTINGS!$K$5,D339)),SETTINGS!$L$5,IF(ISNUMBER(SEARCH(SETTINGS!$K$6,D339)),SETTINGS!$L$6,IF(ISNUMBER(SEARCH(SETTINGS!$K$7,D339)),SETTINGS!$L$7,IF(ISNUMBER(SEARCH(SETTINGS!$K$8,D339)),SETTINGS!$L$8,IF(ISNUMBER(SEARCH(SETTINGS!$K$9,D339)),SETTINGS!$L$9,IF(ISNUMBER(SEARCH(SETTINGS!$K$10,D339)),SETTINGS!$L$10,IF(ISNUMBER(SEARCH(SETTINGS!$K$11,D339)),SETTINGS!$L$11,IF(ISNUMBER(SEARCH(SETTINGS!$K$12,D339)),SETTINGS!$L$12,IF(ISNUMBER(SEARCH(SETTINGS!$K$13,D339)),SETTINGS!$L$13,IF(ISNUMBER(SEARCH(SETTINGS!$K$14,D339)),SETTINGS!$L$14,IF(ISNUMBER(SEARCH(SETTINGS!$K$15,D339)),SETTINGS!$L$15,IF(ISNUMBER(SEARCH(SETTINGS!$K$16,D339)),SETTINGS!$L$16,IF(ISNUMBER(SEARCH(SETTINGS!$K$17,D339)),SETTINGS!$L$17,IF(ISNUMBER(SEARCH(SETTINGS!$K$18,D339)),SETTINGS!$L$18,"Miscellaneous"))))))))))))))))</f>
        <v/>
      </c>
      <c r="I339" s="44" t="str">
        <f t="shared" si="40"/>
        <v/>
      </c>
      <c r="J339" s="9"/>
      <c r="K339" s="9"/>
      <c r="L339" s="9"/>
      <c r="M339" s="9"/>
      <c r="N339" s="9"/>
      <c r="O339" s="9"/>
      <c r="P339" s="13"/>
      <c r="Q339" s="9"/>
      <c r="R339" s="9"/>
      <c r="S339" s="9"/>
      <c r="T339" s="11"/>
      <c r="U339" s="44" t="str">
        <f t="shared" si="41"/>
        <v/>
      </c>
      <c r="V339" s="44" t="str">
        <f t="shared" si="42"/>
        <v/>
      </c>
      <c r="W339" s="44" t="str">
        <f t="shared" si="43"/>
        <v/>
      </c>
      <c r="X339" s="44" t="str">
        <f t="shared" si="44"/>
        <v/>
      </c>
      <c r="Y339" s="44" t="str">
        <f t="shared" si="45"/>
        <v/>
      </c>
      <c r="Z339" s="44" t="str">
        <f t="shared" si="46"/>
        <v/>
      </c>
      <c r="AA339" s="50" t="str">
        <f t="shared" si="47"/>
        <v/>
      </c>
      <c r="AB339" s="50" t="str">
        <f>IF(OR(B339="",C339&lt;&gt;"Expense"),"",IF(E339&gt;IFERROR(AVERAGEIFS($E$8:$E$1007,$I$8:$I$1007,I339,$C$8:$C$1007,"Expense")*SETTINGS!$B$20,0),"Unusually High","Normal"))</f>
        <v/>
      </c>
      <c r="AC339" s="51"/>
      <c r="AD339" s="51"/>
      <c r="AE339" s="51"/>
      <c r="AF339" s="50" t="str">
        <f>IF(A339&lt;&gt;"Yes","No",IF(AND(AC339="Yes",SETTINGS!$B$16="No"),"No","Yes"))</f>
        <v>No</v>
      </c>
      <c r="AG339" s="50" t="str">
        <f>IF(A339&lt;&gt;"Yes","",IF(OR(B339="",D339="",E339&lt;=0,F339="",I339=""),"Check Required Fields",IF(AA339="Possible Duplicate","Possible Duplicate",IF(E339&gt;SETTINGS!$B$22,"Review Extreme Value","OK"))))</f>
        <v/>
      </c>
    </row>
    <row r="340" spans="1:33" ht="14.4">
      <c r="A340" s="9"/>
      <c r="B340" s="13"/>
      <c r="C340" s="9"/>
      <c r="D340" s="9"/>
      <c r="E340" s="11"/>
      <c r="F340" s="9"/>
      <c r="G340" s="9"/>
      <c r="H340" s="44" t="str">
        <f>IF(D340="","",IF(ISNUMBER(SEARCH(SETTINGS!$K$4,D340)),SETTINGS!$L$4,IF(ISNUMBER(SEARCH(SETTINGS!$K$5,D340)),SETTINGS!$L$5,IF(ISNUMBER(SEARCH(SETTINGS!$K$6,D340)),SETTINGS!$L$6,IF(ISNUMBER(SEARCH(SETTINGS!$K$7,D340)),SETTINGS!$L$7,IF(ISNUMBER(SEARCH(SETTINGS!$K$8,D340)),SETTINGS!$L$8,IF(ISNUMBER(SEARCH(SETTINGS!$K$9,D340)),SETTINGS!$L$9,IF(ISNUMBER(SEARCH(SETTINGS!$K$10,D340)),SETTINGS!$L$10,IF(ISNUMBER(SEARCH(SETTINGS!$K$11,D340)),SETTINGS!$L$11,IF(ISNUMBER(SEARCH(SETTINGS!$K$12,D340)),SETTINGS!$L$12,IF(ISNUMBER(SEARCH(SETTINGS!$K$13,D340)),SETTINGS!$L$13,IF(ISNUMBER(SEARCH(SETTINGS!$K$14,D340)),SETTINGS!$L$14,IF(ISNUMBER(SEARCH(SETTINGS!$K$15,D340)),SETTINGS!$L$15,IF(ISNUMBER(SEARCH(SETTINGS!$K$16,D340)),SETTINGS!$L$16,IF(ISNUMBER(SEARCH(SETTINGS!$K$17,D340)),SETTINGS!$L$17,IF(ISNUMBER(SEARCH(SETTINGS!$K$18,D340)),SETTINGS!$L$18,"Miscellaneous"))))))))))))))))</f>
        <v/>
      </c>
      <c r="I340" s="44" t="str">
        <f t="shared" si="40"/>
        <v/>
      </c>
      <c r="J340" s="9"/>
      <c r="K340" s="9"/>
      <c r="L340" s="9"/>
      <c r="M340" s="9"/>
      <c r="N340" s="9"/>
      <c r="O340" s="9"/>
      <c r="P340" s="13"/>
      <c r="Q340" s="9"/>
      <c r="R340" s="9"/>
      <c r="S340" s="9"/>
      <c r="T340" s="11"/>
      <c r="U340" s="44" t="str">
        <f t="shared" si="41"/>
        <v/>
      </c>
      <c r="V340" s="44" t="str">
        <f t="shared" si="42"/>
        <v/>
      </c>
      <c r="W340" s="44" t="str">
        <f t="shared" si="43"/>
        <v/>
      </c>
      <c r="X340" s="44" t="str">
        <f t="shared" si="44"/>
        <v/>
      </c>
      <c r="Y340" s="44" t="str">
        <f t="shared" si="45"/>
        <v/>
      </c>
      <c r="Z340" s="44" t="str">
        <f t="shared" si="46"/>
        <v/>
      </c>
      <c r="AA340" s="50" t="str">
        <f t="shared" si="47"/>
        <v/>
      </c>
      <c r="AB340" s="50" t="str">
        <f>IF(OR(B340="",C340&lt;&gt;"Expense"),"",IF(E340&gt;IFERROR(AVERAGEIFS($E$8:$E$1007,$I$8:$I$1007,I340,$C$8:$C$1007,"Expense")*SETTINGS!$B$20,0),"Unusually High","Normal"))</f>
        <v/>
      </c>
      <c r="AC340" s="51"/>
      <c r="AD340" s="51"/>
      <c r="AE340" s="51"/>
      <c r="AF340" s="50" t="str">
        <f>IF(A340&lt;&gt;"Yes","No",IF(AND(AC340="Yes",SETTINGS!$B$16="No"),"No","Yes"))</f>
        <v>No</v>
      </c>
      <c r="AG340" s="50" t="str">
        <f>IF(A340&lt;&gt;"Yes","",IF(OR(B340="",D340="",E340&lt;=0,F340="",I340=""),"Check Required Fields",IF(AA340="Possible Duplicate","Possible Duplicate",IF(E340&gt;SETTINGS!$B$22,"Review Extreme Value","OK"))))</f>
        <v/>
      </c>
    </row>
    <row r="341" spans="1:33" ht="14.4">
      <c r="A341" s="9"/>
      <c r="B341" s="13"/>
      <c r="C341" s="9"/>
      <c r="D341" s="9"/>
      <c r="E341" s="11"/>
      <c r="F341" s="9"/>
      <c r="G341" s="9"/>
      <c r="H341" s="44" t="str">
        <f>IF(D341="","",IF(ISNUMBER(SEARCH(SETTINGS!$K$4,D341)),SETTINGS!$L$4,IF(ISNUMBER(SEARCH(SETTINGS!$K$5,D341)),SETTINGS!$L$5,IF(ISNUMBER(SEARCH(SETTINGS!$K$6,D341)),SETTINGS!$L$6,IF(ISNUMBER(SEARCH(SETTINGS!$K$7,D341)),SETTINGS!$L$7,IF(ISNUMBER(SEARCH(SETTINGS!$K$8,D341)),SETTINGS!$L$8,IF(ISNUMBER(SEARCH(SETTINGS!$K$9,D341)),SETTINGS!$L$9,IF(ISNUMBER(SEARCH(SETTINGS!$K$10,D341)),SETTINGS!$L$10,IF(ISNUMBER(SEARCH(SETTINGS!$K$11,D341)),SETTINGS!$L$11,IF(ISNUMBER(SEARCH(SETTINGS!$K$12,D341)),SETTINGS!$L$12,IF(ISNUMBER(SEARCH(SETTINGS!$K$13,D341)),SETTINGS!$L$13,IF(ISNUMBER(SEARCH(SETTINGS!$K$14,D341)),SETTINGS!$L$14,IF(ISNUMBER(SEARCH(SETTINGS!$K$15,D341)),SETTINGS!$L$15,IF(ISNUMBER(SEARCH(SETTINGS!$K$16,D341)),SETTINGS!$L$16,IF(ISNUMBER(SEARCH(SETTINGS!$K$17,D341)),SETTINGS!$L$17,IF(ISNUMBER(SEARCH(SETTINGS!$K$18,D341)),SETTINGS!$L$18,"Miscellaneous"))))))))))))))))</f>
        <v/>
      </c>
      <c r="I341" s="44" t="str">
        <f t="shared" si="40"/>
        <v/>
      </c>
      <c r="J341" s="9"/>
      <c r="K341" s="9"/>
      <c r="L341" s="9"/>
      <c r="M341" s="9"/>
      <c r="N341" s="9"/>
      <c r="O341" s="9"/>
      <c r="P341" s="13"/>
      <c r="Q341" s="9"/>
      <c r="R341" s="9"/>
      <c r="S341" s="9"/>
      <c r="T341" s="11"/>
      <c r="U341" s="44" t="str">
        <f t="shared" si="41"/>
        <v/>
      </c>
      <c r="V341" s="44" t="str">
        <f t="shared" si="42"/>
        <v/>
      </c>
      <c r="W341" s="44" t="str">
        <f t="shared" si="43"/>
        <v/>
      </c>
      <c r="X341" s="44" t="str">
        <f t="shared" si="44"/>
        <v/>
      </c>
      <c r="Y341" s="44" t="str">
        <f t="shared" si="45"/>
        <v/>
      </c>
      <c r="Z341" s="44" t="str">
        <f t="shared" si="46"/>
        <v/>
      </c>
      <c r="AA341" s="50" t="str">
        <f t="shared" si="47"/>
        <v/>
      </c>
      <c r="AB341" s="50" t="str">
        <f>IF(OR(B341="",C341&lt;&gt;"Expense"),"",IF(E341&gt;IFERROR(AVERAGEIFS($E$8:$E$1007,$I$8:$I$1007,I341,$C$8:$C$1007,"Expense")*SETTINGS!$B$20,0),"Unusually High","Normal"))</f>
        <v/>
      </c>
      <c r="AC341" s="51"/>
      <c r="AD341" s="51"/>
      <c r="AE341" s="51"/>
      <c r="AF341" s="50" t="str">
        <f>IF(A341&lt;&gt;"Yes","No",IF(AND(AC341="Yes",SETTINGS!$B$16="No"),"No","Yes"))</f>
        <v>No</v>
      </c>
      <c r="AG341" s="50" t="str">
        <f>IF(A341&lt;&gt;"Yes","",IF(OR(B341="",D341="",E341&lt;=0,F341="",I341=""),"Check Required Fields",IF(AA341="Possible Duplicate","Possible Duplicate",IF(E341&gt;SETTINGS!$B$22,"Review Extreme Value","OK"))))</f>
        <v/>
      </c>
    </row>
    <row r="342" spans="1:33" ht="14.4">
      <c r="A342" s="9"/>
      <c r="B342" s="13"/>
      <c r="C342" s="9"/>
      <c r="D342" s="9"/>
      <c r="E342" s="11"/>
      <c r="F342" s="9"/>
      <c r="G342" s="9"/>
      <c r="H342" s="44" t="str">
        <f>IF(D342="","",IF(ISNUMBER(SEARCH(SETTINGS!$K$4,D342)),SETTINGS!$L$4,IF(ISNUMBER(SEARCH(SETTINGS!$K$5,D342)),SETTINGS!$L$5,IF(ISNUMBER(SEARCH(SETTINGS!$K$6,D342)),SETTINGS!$L$6,IF(ISNUMBER(SEARCH(SETTINGS!$K$7,D342)),SETTINGS!$L$7,IF(ISNUMBER(SEARCH(SETTINGS!$K$8,D342)),SETTINGS!$L$8,IF(ISNUMBER(SEARCH(SETTINGS!$K$9,D342)),SETTINGS!$L$9,IF(ISNUMBER(SEARCH(SETTINGS!$K$10,D342)),SETTINGS!$L$10,IF(ISNUMBER(SEARCH(SETTINGS!$K$11,D342)),SETTINGS!$L$11,IF(ISNUMBER(SEARCH(SETTINGS!$K$12,D342)),SETTINGS!$L$12,IF(ISNUMBER(SEARCH(SETTINGS!$K$13,D342)),SETTINGS!$L$13,IF(ISNUMBER(SEARCH(SETTINGS!$K$14,D342)),SETTINGS!$L$14,IF(ISNUMBER(SEARCH(SETTINGS!$K$15,D342)),SETTINGS!$L$15,IF(ISNUMBER(SEARCH(SETTINGS!$K$16,D342)),SETTINGS!$L$16,IF(ISNUMBER(SEARCH(SETTINGS!$K$17,D342)),SETTINGS!$L$17,IF(ISNUMBER(SEARCH(SETTINGS!$K$18,D342)),SETTINGS!$L$18,"Miscellaneous"))))))))))))))))</f>
        <v/>
      </c>
      <c r="I342" s="44" t="str">
        <f t="shared" si="40"/>
        <v/>
      </c>
      <c r="J342" s="9"/>
      <c r="K342" s="9"/>
      <c r="L342" s="9"/>
      <c r="M342" s="9"/>
      <c r="N342" s="9"/>
      <c r="O342" s="9"/>
      <c r="P342" s="13"/>
      <c r="Q342" s="9"/>
      <c r="R342" s="9"/>
      <c r="S342" s="9"/>
      <c r="T342" s="11"/>
      <c r="U342" s="44" t="str">
        <f t="shared" si="41"/>
        <v/>
      </c>
      <c r="V342" s="44" t="str">
        <f t="shared" si="42"/>
        <v/>
      </c>
      <c r="W342" s="44" t="str">
        <f t="shared" si="43"/>
        <v/>
      </c>
      <c r="X342" s="44" t="str">
        <f t="shared" si="44"/>
        <v/>
      </c>
      <c r="Y342" s="44" t="str">
        <f t="shared" si="45"/>
        <v/>
      </c>
      <c r="Z342" s="44" t="str">
        <f t="shared" si="46"/>
        <v/>
      </c>
      <c r="AA342" s="50" t="str">
        <f t="shared" si="47"/>
        <v/>
      </c>
      <c r="AB342" s="50" t="str">
        <f>IF(OR(B342="",C342&lt;&gt;"Expense"),"",IF(E342&gt;IFERROR(AVERAGEIFS($E$8:$E$1007,$I$8:$I$1007,I342,$C$8:$C$1007,"Expense")*SETTINGS!$B$20,0),"Unusually High","Normal"))</f>
        <v/>
      </c>
      <c r="AC342" s="51"/>
      <c r="AD342" s="51"/>
      <c r="AE342" s="51"/>
      <c r="AF342" s="50" t="str">
        <f>IF(A342&lt;&gt;"Yes","No",IF(AND(AC342="Yes",SETTINGS!$B$16="No"),"No","Yes"))</f>
        <v>No</v>
      </c>
      <c r="AG342" s="50" t="str">
        <f>IF(A342&lt;&gt;"Yes","",IF(OR(B342="",D342="",E342&lt;=0,F342="",I342=""),"Check Required Fields",IF(AA342="Possible Duplicate","Possible Duplicate",IF(E342&gt;SETTINGS!$B$22,"Review Extreme Value","OK"))))</f>
        <v/>
      </c>
    </row>
    <row r="343" spans="1:33" ht="14.4">
      <c r="A343" s="9"/>
      <c r="B343" s="13"/>
      <c r="C343" s="9"/>
      <c r="D343" s="9"/>
      <c r="E343" s="11"/>
      <c r="F343" s="9"/>
      <c r="G343" s="9"/>
      <c r="H343" s="44" t="str">
        <f>IF(D343="","",IF(ISNUMBER(SEARCH(SETTINGS!$K$4,D343)),SETTINGS!$L$4,IF(ISNUMBER(SEARCH(SETTINGS!$K$5,D343)),SETTINGS!$L$5,IF(ISNUMBER(SEARCH(SETTINGS!$K$6,D343)),SETTINGS!$L$6,IF(ISNUMBER(SEARCH(SETTINGS!$K$7,D343)),SETTINGS!$L$7,IF(ISNUMBER(SEARCH(SETTINGS!$K$8,D343)),SETTINGS!$L$8,IF(ISNUMBER(SEARCH(SETTINGS!$K$9,D343)),SETTINGS!$L$9,IF(ISNUMBER(SEARCH(SETTINGS!$K$10,D343)),SETTINGS!$L$10,IF(ISNUMBER(SEARCH(SETTINGS!$K$11,D343)),SETTINGS!$L$11,IF(ISNUMBER(SEARCH(SETTINGS!$K$12,D343)),SETTINGS!$L$12,IF(ISNUMBER(SEARCH(SETTINGS!$K$13,D343)),SETTINGS!$L$13,IF(ISNUMBER(SEARCH(SETTINGS!$K$14,D343)),SETTINGS!$L$14,IF(ISNUMBER(SEARCH(SETTINGS!$K$15,D343)),SETTINGS!$L$15,IF(ISNUMBER(SEARCH(SETTINGS!$K$16,D343)),SETTINGS!$L$16,IF(ISNUMBER(SEARCH(SETTINGS!$K$17,D343)),SETTINGS!$L$17,IF(ISNUMBER(SEARCH(SETTINGS!$K$18,D343)),SETTINGS!$L$18,"Miscellaneous"))))))))))))))))</f>
        <v/>
      </c>
      <c r="I343" s="44" t="str">
        <f t="shared" si="40"/>
        <v/>
      </c>
      <c r="J343" s="9"/>
      <c r="K343" s="9"/>
      <c r="L343" s="9"/>
      <c r="M343" s="9"/>
      <c r="N343" s="9"/>
      <c r="O343" s="9"/>
      <c r="P343" s="13"/>
      <c r="Q343" s="9"/>
      <c r="R343" s="9"/>
      <c r="S343" s="9"/>
      <c r="T343" s="11"/>
      <c r="U343" s="44" t="str">
        <f t="shared" si="41"/>
        <v/>
      </c>
      <c r="V343" s="44" t="str">
        <f t="shared" si="42"/>
        <v/>
      </c>
      <c r="W343" s="44" t="str">
        <f t="shared" si="43"/>
        <v/>
      </c>
      <c r="X343" s="44" t="str">
        <f t="shared" si="44"/>
        <v/>
      </c>
      <c r="Y343" s="44" t="str">
        <f t="shared" si="45"/>
        <v/>
      </c>
      <c r="Z343" s="44" t="str">
        <f t="shared" si="46"/>
        <v/>
      </c>
      <c r="AA343" s="50" t="str">
        <f t="shared" si="47"/>
        <v/>
      </c>
      <c r="AB343" s="50" t="str">
        <f>IF(OR(B343="",C343&lt;&gt;"Expense"),"",IF(E343&gt;IFERROR(AVERAGEIFS($E$8:$E$1007,$I$8:$I$1007,I343,$C$8:$C$1007,"Expense")*SETTINGS!$B$20,0),"Unusually High","Normal"))</f>
        <v/>
      </c>
      <c r="AC343" s="51"/>
      <c r="AD343" s="51"/>
      <c r="AE343" s="51"/>
      <c r="AF343" s="50" t="str">
        <f>IF(A343&lt;&gt;"Yes","No",IF(AND(AC343="Yes",SETTINGS!$B$16="No"),"No","Yes"))</f>
        <v>No</v>
      </c>
      <c r="AG343" s="50" t="str">
        <f>IF(A343&lt;&gt;"Yes","",IF(OR(B343="",D343="",E343&lt;=0,F343="",I343=""),"Check Required Fields",IF(AA343="Possible Duplicate","Possible Duplicate",IF(E343&gt;SETTINGS!$B$22,"Review Extreme Value","OK"))))</f>
        <v/>
      </c>
    </row>
    <row r="344" spans="1:33" ht="14.4">
      <c r="A344" s="9"/>
      <c r="B344" s="13"/>
      <c r="C344" s="9"/>
      <c r="D344" s="9"/>
      <c r="E344" s="11"/>
      <c r="F344" s="9"/>
      <c r="G344" s="9"/>
      <c r="H344" s="44" t="str">
        <f>IF(D344="","",IF(ISNUMBER(SEARCH(SETTINGS!$K$4,D344)),SETTINGS!$L$4,IF(ISNUMBER(SEARCH(SETTINGS!$K$5,D344)),SETTINGS!$L$5,IF(ISNUMBER(SEARCH(SETTINGS!$K$6,D344)),SETTINGS!$L$6,IF(ISNUMBER(SEARCH(SETTINGS!$K$7,D344)),SETTINGS!$L$7,IF(ISNUMBER(SEARCH(SETTINGS!$K$8,D344)),SETTINGS!$L$8,IF(ISNUMBER(SEARCH(SETTINGS!$K$9,D344)),SETTINGS!$L$9,IF(ISNUMBER(SEARCH(SETTINGS!$K$10,D344)),SETTINGS!$L$10,IF(ISNUMBER(SEARCH(SETTINGS!$K$11,D344)),SETTINGS!$L$11,IF(ISNUMBER(SEARCH(SETTINGS!$K$12,D344)),SETTINGS!$L$12,IF(ISNUMBER(SEARCH(SETTINGS!$K$13,D344)),SETTINGS!$L$13,IF(ISNUMBER(SEARCH(SETTINGS!$K$14,D344)),SETTINGS!$L$14,IF(ISNUMBER(SEARCH(SETTINGS!$K$15,D344)),SETTINGS!$L$15,IF(ISNUMBER(SEARCH(SETTINGS!$K$16,D344)),SETTINGS!$L$16,IF(ISNUMBER(SEARCH(SETTINGS!$K$17,D344)),SETTINGS!$L$17,IF(ISNUMBER(SEARCH(SETTINGS!$K$18,D344)),SETTINGS!$L$18,"Miscellaneous"))))))))))))))))</f>
        <v/>
      </c>
      <c r="I344" s="44" t="str">
        <f t="shared" si="40"/>
        <v/>
      </c>
      <c r="J344" s="9"/>
      <c r="K344" s="9"/>
      <c r="L344" s="9"/>
      <c r="M344" s="9"/>
      <c r="N344" s="9"/>
      <c r="O344" s="9"/>
      <c r="P344" s="13"/>
      <c r="Q344" s="9"/>
      <c r="R344" s="9"/>
      <c r="S344" s="9"/>
      <c r="T344" s="11"/>
      <c r="U344" s="44" t="str">
        <f t="shared" si="41"/>
        <v/>
      </c>
      <c r="V344" s="44" t="str">
        <f t="shared" si="42"/>
        <v/>
      </c>
      <c r="W344" s="44" t="str">
        <f t="shared" si="43"/>
        <v/>
      </c>
      <c r="X344" s="44" t="str">
        <f t="shared" si="44"/>
        <v/>
      </c>
      <c r="Y344" s="44" t="str">
        <f t="shared" si="45"/>
        <v/>
      </c>
      <c r="Z344" s="44" t="str">
        <f t="shared" si="46"/>
        <v/>
      </c>
      <c r="AA344" s="50" t="str">
        <f t="shared" si="47"/>
        <v/>
      </c>
      <c r="AB344" s="50" t="str">
        <f>IF(OR(B344="",C344&lt;&gt;"Expense"),"",IF(E344&gt;IFERROR(AVERAGEIFS($E$8:$E$1007,$I$8:$I$1007,I344,$C$8:$C$1007,"Expense")*SETTINGS!$B$20,0),"Unusually High","Normal"))</f>
        <v/>
      </c>
      <c r="AC344" s="51"/>
      <c r="AD344" s="51"/>
      <c r="AE344" s="51"/>
      <c r="AF344" s="50" t="str">
        <f>IF(A344&lt;&gt;"Yes","No",IF(AND(AC344="Yes",SETTINGS!$B$16="No"),"No","Yes"))</f>
        <v>No</v>
      </c>
      <c r="AG344" s="50" t="str">
        <f>IF(A344&lt;&gt;"Yes","",IF(OR(B344="",D344="",E344&lt;=0,F344="",I344=""),"Check Required Fields",IF(AA344="Possible Duplicate","Possible Duplicate",IF(E344&gt;SETTINGS!$B$22,"Review Extreme Value","OK"))))</f>
        <v/>
      </c>
    </row>
    <row r="345" spans="1:33" ht="14.4">
      <c r="A345" s="9"/>
      <c r="B345" s="13"/>
      <c r="C345" s="9"/>
      <c r="D345" s="9"/>
      <c r="E345" s="11"/>
      <c r="F345" s="9"/>
      <c r="G345" s="9"/>
      <c r="H345" s="44" t="str">
        <f>IF(D345="","",IF(ISNUMBER(SEARCH(SETTINGS!$K$4,D345)),SETTINGS!$L$4,IF(ISNUMBER(SEARCH(SETTINGS!$K$5,D345)),SETTINGS!$L$5,IF(ISNUMBER(SEARCH(SETTINGS!$K$6,D345)),SETTINGS!$L$6,IF(ISNUMBER(SEARCH(SETTINGS!$K$7,D345)),SETTINGS!$L$7,IF(ISNUMBER(SEARCH(SETTINGS!$K$8,D345)),SETTINGS!$L$8,IF(ISNUMBER(SEARCH(SETTINGS!$K$9,D345)),SETTINGS!$L$9,IF(ISNUMBER(SEARCH(SETTINGS!$K$10,D345)),SETTINGS!$L$10,IF(ISNUMBER(SEARCH(SETTINGS!$K$11,D345)),SETTINGS!$L$11,IF(ISNUMBER(SEARCH(SETTINGS!$K$12,D345)),SETTINGS!$L$12,IF(ISNUMBER(SEARCH(SETTINGS!$K$13,D345)),SETTINGS!$L$13,IF(ISNUMBER(SEARCH(SETTINGS!$K$14,D345)),SETTINGS!$L$14,IF(ISNUMBER(SEARCH(SETTINGS!$K$15,D345)),SETTINGS!$L$15,IF(ISNUMBER(SEARCH(SETTINGS!$K$16,D345)),SETTINGS!$L$16,IF(ISNUMBER(SEARCH(SETTINGS!$K$17,D345)),SETTINGS!$L$17,IF(ISNUMBER(SEARCH(SETTINGS!$K$18,D345)),SETTINGS!$L$18,"Miscellaneous"))))))))))))))))</f>
        <v/>
      </c>
      <c r="I345" s="44" t="str">
        <f t="shared" si="40"/>
        <v/>
      </c>
      <c r="J345" s="9"/>
      <c r="K345" s="9"/>
      <c r="L345" s="9"/>
      <c r="M345" s="9"/>
      <c r="N345" s="9"/>
      <c r="O345" s="9"/>
      <c r="P345" s="13"/>
      <c r="Q345" s="9"/>
      <c r="R345" s="9"/>
      <c r="S345" s="9"/>
      <c r="T345" s="11"/>
      <c r="U345" s="44" t="str">
        <f t="shared" si="41"/>
        <v/>
      </c>
      <c r="V345" s="44" t="str">
        <f t="shared" si="42"/>
        <v/>
      </c>
      <c r="W345" s="44" t="str">
        <f t="shared" si="43"/>
        <v/>
      </c>
      <c r="X345" s="44" t="str">
        <f t="shared" si="44"/>
        <v/>
      </c>
      <c r="Y345" s="44" t="str">
        <f t="shared" si="45"/>
        <v/>
      </c>
      <c r="Z345" s="44" t="str">
        <f t="shared" si="46"/>
        <v/>
      </c>
      <c r="AA345" s="50" t="str">
        <f t="shared" si="47"/>
        <v/>
      </c>
      <c r="AB345" s="50" t="str">
        <f>IF(OR(B345="",C345&lt;&gt;"Expense"),"",IF(E345&gt;IFERROR(AVERAGEIFS($E$8:$E$1007,$I$8:$I$1007,I345,$C$8:$C$1007,"Expense")*SETTINGS!$B$20,0),"Unusually High","Normal"))</f>
        <v/>
      </c>
      <c r="AC345" s="51"/>
      <c r="AD345" s="51"/>
      <c r="AE345" s="51"/>
      <c r="AF345" s="50" t="str">
        <f>IF(A345&lt;&gt;"Yes","No",IF(AND(AC345="Yes",SETTINGS!$B$16="No"),"No","Yes"))</f>
        <v>No</v>
      </c>
      <c r="AG345" s="50" t="str">
        <f>IF(A345&lt;&gt;"Yes","",IF(OR(B345="",D345="",E345&lt;=0,F345="",I345=""),"Check Required Fields",IF(AA345="Possible Duplicate","Possible Duplicate",IF(E345&gt;SETTINGS!$B$22,"Review Extreme Value","OK"))))</f>
        <v/>
      </c>
    </row>
    <row r="346" spans="1:33" ht="14.4">
      <c r="A346" s="9"/>
      <c r="B346" s="13"/>
      <c r="C346" s="9"/>
      <c r="D346" s="9"/>
      <c r="E346" s="11"/>
      <c r="F346" s="9"/>
      <c r="G346" s="9"/>
      <c r="H346" s="44" t="str">
        <f>IF(D346="","",IF(ISNUMBER(SEARCH(SETTINGS!$K$4,D346)),SETTINGS!$L$4,IF(ISNUMBER(SEARCH(SETTINGS!$K$5,D346)),SETTINGS!$L$5,IF(ISNUMBER(SEARCH(SETTINGS!$K$6,D346)),SETTINGS!$L$6,IF(ISNUMBER(SEARCH(SETTINGS!$K$7,D346)),SETTINGS!$L$7,IF(ISNUMBER(SEARCH(SETTINGS!$K$8,D346)),SETTINGS!$L$8,IF(ISNUMBER(SEARCH(SETTINGS!$K$9,D346)),SETTINGS!$L$9,IF(ISNUMBER(SEARCH(SETTINGS!$K$10,D346)),SETTINGS!$L$10,IF(ISNUMBER(SEARCH(SETTINGS!$K$11,D346)),SETTINGS!$L$11,IF(ISNUMBER(SEARCH(SETTINGS!$K$12,D346)),SETTINGS!$L$12,IF(ISNUMBER(SEARCH(SETTINGS!$K$13,D346)),SETTINGS!$L$13,IF(ISNUMBER(SEARCH(SETTINGS!$K$14,D346)),SETTINGS!$L$14,IF(ISNUMBER(SEARCH(SETTINGS!$K$15,D346)),SETTINGS!$L$15,IF(ISNUMBER(SEARCH(SETTINGS!$K$16,D346)),SETTINGS!$L$16,IF(ISNUMBER(SEARCH(SETTINGS!$K$17,D346)),SETTINGS!$L$17,IF(ISNUMBER(SEARCH(SETTINGS!$K$18,D346)),SETTINGS!$L$18,"Miscellaneous"))))))))))))))))</f>
        <v/>
      </c>
      <c r="I346" s="44" t="str">
        <f t="shared" si="40"/>
        <v/>
      </c>
      <c r="J346" s="9"/>
      <c r="K346" s="9"/>
      <c r="L346" s="9"/>
      <c r="M346" s="9"/>
      <c r="N346" s="9"/>
      <c r="O346" s="9"/>
      <c r="P346" s="13"/>
      <c r="Q346" s="9"/>
      <c r="R346" s="9"/>
      <c r="S346" s="9"/>
      <c r="T346" s="11"/>
      <c r="U346" s="44" t="str">
        <f t="shared" si="41"/>
        <v/>
      </c>
      <c r="V346" s="44" t="str">
        <f t="shared" si="42"/>
        <v/>
      </c>
      <c r="W346" s="44" t="str">
        <f t="shared" si="43"/>
        <v/>
      </c>
      <c r="X346" s="44" t="str">
        <f t="shared" si="44"/>
        <v/>
      </c>
      <c r="Y346" s="44" t="str">
        <f t="shared" si="45"/>
        <v/>
      </c>
      <c r="Z346" s="44" t="str">
        <f t="shared" si="46"/>
        <v/>
      </c>
      <c r="AA346" s="50" t="str">
        <f t="shared" si="47"/>
        <v/>
      </c>
      <c r="AB346" s="50" t="str">
        <f>IF(OR(B346="",C346&lt;&gt;"Expense"),"",IF(E346&gt;IFERROR(AVERAGEIFS($E$8:$E$1007,$I$8:$I$1007,I346,$C$8:$C$1007,"Expense")*SETTINGS!$B$20,0),"Unusually High","Normal"))</f>
        <v/>
      </c>
      <c r="AC346" s="51"/>
      <c r="AD346" s="51"/>
      <c r="AE346" s="51"/>
      <c r="AF346" s="50" t="str">
        <f>IF(A346&lt;&gt;"Yes","No",IF(AND(AC346="Yes",SETTINGS!$B$16="No"),"No","Yes"))</f>
        <v>No</v>
      </c>
      <c r="AG346" s="50" t="str">
        <f>IF(A346&lt;&gt;"Yes","",IF(OR(B346="",D346="",E346&lt;=0,F346="",I346=""),"Check Required Fields",IF(AA346="Possible Duplicate","Possible Duplicate",IF(E346&gt;SETTINGS!$B$22,"Review Extreme Value","OK"))))</f>
        <v/>
      </c>
    </row>
    <row r="347" spans="1:33" ht="14.4">
      <c r="A347" s="9"/>
      <c r="B347" s="13"/>
      <c r="C347" s="9"/>
      <c r="D347" s="9"/>
      <c r="E347" s="11"/>
      <c r="F347" s="9"/>
      <c r="G347" s="9"/>
      <c r="H347" s="44" t="str">
        <f>IF(D347="","",IF(ISNUMBER(SEARCH(SETTINGS!$K$4,D347)),SETTINGS!$L$4,IF(ISNUMBER(SEARCH(SETTINGS!$K$5,D347)),SETTINGS!$L$5,IF(ISNUMBER(SEARCH(SETTINGS!$K$6,D347)),SETTINGS!$L$6,IF(ISNUMBER(SEARCH(SETTINGS!$K$7,D347)),SETTINGS!$L$7,IF(ISNUMBER(SEARCH(SETTINGS!$K$8,D347)),SETTINGS!$L$8,IF(ISNUMBER(SEARCH(SETTINGS!$K$9,D347)),SETTINGS!$L$9,IF(ISNUMBER(SEARCH(SETTINGS!$K$10,D347)),SETTINGS!$L$10,IF(ISNUMBER(SEARCH(SETTINGS!$K$11,D347)),SETTINGS!$L$11,IF(ISNUMBER(SEARCH(SETTINGS!$K$12,D347)),SETTINGS!$L$12,IF(ISNUMBER(SEARCH(SETTINGS!$K$13,D347)),SETTINGS!$L$13,IF(ISNUMBER(SEARCH(SETTINGS!$K$14,D347)),SETTINGS!$L$14,IF(ISNUMBER(SEARCH(SETTINGS!$K$15,D347)),SETTINGS!$L$15,IF(ISNUMBER(SEARCH(SETTINGS!$K$16,D347)),SETTINGS!$L$16,IF(ISNUMBER(SEARCH(SETTINGS!$K$17,D347)),SETTINGS!$L$17,IF(ISNUMBER(SEARCH(SETTINGS!$K$18,D347)),SETTINGS!$L$18,"Miscellaneous"))))))))))))))))</f>
        <v/>
      </c>
      <c r="I347" s="44" t="str">
        <f t="shared" si="40"/>
        <v/>
      </c>
      <c r="J347" s="9"/>
      <c r="K347" s="9"/>
      <c r="L347" s="9"/>
      <c r="M347" s="9"/>
      <c r="N347" s="9"/>
      <c r="O347" s="9"/>
      <c r="P347" s="13"/>
      <c r="Q347" s="9"/>
      <c r="R347" s="9"/>
      <c r="S347" s="9"/>
      <c r="T347" s="11"/>
      <c r="U347" s="44" t="str">
        <f t="shared" si="41"/>
        <v/>
      </c>
      <c r="V347" s="44" t="str">
        <f t="shared" si="42"/>
        <v/>
      </c>
      <c r="W347" s="44" t="str">
        <f t="shared" si="43"/>
        <v/>
      </c>
      <c r="X347" s="44" t="str">
        <f t="shared" si="44"/>
        <v/>
      </c>
      <c r="Y347" s="44" t="str">
        <f t="shared" si="45"/>
        <v/>
      </c>
      <c r="Z347" s="44" t="str">
        <f t="shared" si="46"/>
        <v/>
      </c>
      <c r="AA347" s="50" t="str">
        <f t="shared" si="47"/>
        <v/>
      </c>
      <c r="AB347" s="50" t="str">
        <f>IF(OR(B347="",C347&lt;&gt;"Expense"),"",IF(E347&gt;IFERROR(AVERAGEIFS($E$8:$E$1007,$I$8:$I$1007,I347,$C$8:$C$1007,"Expense")*SETTINGS!$B$20,0),"Unusually High","Normal"))</f>
        <v/>
      </c>
      <c r="AC347" s="51"/>
      <c r="AD347" s="51"/>
      <c r="AE347" s="51"/>
      <c r="AF347" s="50" t="str">
        <f>IF(A347&lt;&gt;"Yes","No",IF(AND(AC347="Yes",SETTINGS!$B$16="No"),"No","Yes"))</f>
        <v>No</v>
      </c>
      <c r="AG347" s="50" t="str">
        <f>IF(A347&lt;&gt;"Yes","",IF(OR(B347="",D347="",E347&lt;=0,F347="",I347=""),"Check Required Fields",IF(AA347="Possible Duplicate","Possible Duplicate",IF(E347&gt;SETTINGS!$B$22,"Review Extreme Value","OK"))))</f>
        <v/>
      </c>
    </row>
    <row r="348" spans="1:33" ht="14.4">
      <c r="A348" s="9"/>
      <c r="B348" s="13"/>
      <c r="C348" s="9"/>
      <c r="D348" s="9"/>
      <c r="E348" s="11"/>
      <c r="F348" s="9"/>
      <c r="G348" s="9"/>
      <c r="H348" s="44" t="str">
        <f>IF(D348="","",IF(ISNUMBER(SEARCH(SETTINGS!$K$4,D348)),SETTINGS!$L$4,IF(ISNUMBER(SEARCH(SETTINGS!$K$5,D348)),SETTINGS!$L$5,IF(ISNUMBER(SEARCH(SETTINGS!$K$6,D348)),SETTINGS!$L$6,IF(ISNUMBER(SEARCH(SETTINGS!$K$7,D348)),SETTINGS!$L$7,IF(ISNUMBER(SEARCH(SETTINGS!$K$8,D348)),SETTINGS!$L$8,IF(ISNUMBER(SEARCH(SETTINGS!$K$9,D348)),SETTINGS!$L$9,IF(ISNUMBER(SEARCH(SETTINGS!$K$10,D348)),SETTINGS!$L$10,IF(ISNUMBER(SEARCH(SETTINGS!$K$11,D348)),SETTINGS!$L$11,IF(ISNUMBER(SEARCH(SETTINGS!$K$12,D348)),SETTINGS!$L$12,IF(ISNUMBER(SEARCH(SETTINGS!$K$13,D348)),SETTINGS!$L$13,IF(ISNUMBER(SEARCH(SETTINGS!$K$14,D348)),SETTINGS!$L$14,IF(ISNUMBER(SEARCH(SETTINGS!$K$15,D348)),SETTINGS!$L$15,IF(ISNUMBER(SEARCH(SETTINGS!$K$16,D348)),SETTINGS!$L$16,IF(ISNUMBER(SEARCH(SETTINGS!$K$17,D348)),SETTINGS!$L$17,IF(ISNUMBER(SEARCH(SETTINGS!$K$18,D348)),SETTINGS!$L$18,"Miscellaneous"))))))))))))))))</f>
        <v/>
      </c>
      <c r="I348" s="44" t="str">
        <f t="shared" si="40"/>
        <v/>
      </c>
      <c r="J348" s="9"/>
      <c r="K348" s="9"/>
      <c r="L348" s="9"/>
      <c r="M348" s="9"/>
      <c r="N348" s="9"/>
      <c r="O348" s="9"/>
      <c r="P348" s="13"/>
      <c r="Q348" s="9"/>
      <c r="R348" s="9"/>
      <c r="S348" s="9"/>
      <c r="T348" s="11"/>
      <c r="U348" s="44" t="str">
        <f t="shared" si="41"/>
        <v/>
      </c>
      <c r="V348" s="44" t="str">
        <f t="shared" si="42"/>
        <v/>
      </c>
      <c r="W348" s="44" t="str">
        <f t="shared" si="43"/>
        <v/>
      </c>
      <c r="X348" s="44" t="str">
        <f t="shared" si="44"/>
        <v/>
      </c>
      <c r="Y348" s="44" t="str">
        <f t="shared" si="45"/>
        <v/>
      </c>
      <c r="Z348" s="44" t="str">
        <f t="shared" si="46"/>
        <v/>
      </c>
      <c r="AA348" s="50" t="str">
        <f t="shared" si="47"/>
        <v/>
      </c>
      <c r="AB348" s="50" t="str">
        <f>IF(OR(B348="",C348&lt;&gt;"Expense"),"",IF(E348&gt;IFERROR(AVERAGEIFS($E$8:$E$1007,$I$8:$I$1007,I348,$C$8:$C$1007,"Expense")*SETTINGS!$B$20,0),"Unusually High","Normal"))</f>
        <v/>
      </c>
      <c r="AC348" s="51"/>
      <c r="AD348" s="51"/>
      <c r="AE348" s="51"/>
      <c r="AF348" s="50" t="str">
        <f>IF(A348&lt;&gt;"Yes","No",IF(AND(AC348="Yes",SETTINGS!$B$16="No"),"No","Yes"))</f>
        <v>No</v>
      </c>
      <c r="AG348" s="50" t="str">
        <f>IF(A348&lt;&gt;"Yes","",IF(OR(B348="",D348="",E348&lt;=0,F348="",I348=""),"Check Required Fields",IF(AA348="Possible Duplicate","Possible Duplicate",IF(E348&gt;SETTINGS!$B$22,"Review Extreme Value","OK"))))</f>
        <v/>
      </c>
    </row>
    <row r="349" spans="1:33" ht="14.4">
      <c r="A349" s="9"/>
      <c r="B349" s="13"/>
      <c r="C349" s="9"/>
      <c r="D349" s="9"/>
      <c r="E349" s="11"/>
      <c r="F349" s="9"/>
      <c r="G349" s="9"/>
      <c r="H349" s="44" t="str">
        <f>IF(D349="","",IF(ISNUMBER(SEARCH(SETTINGS!$K$4,D349)),SETTINGS!$L$4,IF(ISNUMBER(SEARCH(SETTINGS!$K$5,D349)),SETTINGS!$L$5,IF(ISNUMBER(SEARCH(SETTINGS!$K$6,D349)),SETTINGS!$L$6,IF(ISNUMBER(SEARCH(SETTINGS!$K$7,D349)),SETTINGS!$L$7,IF(ISNUMBER(SEARCH(SETTINGS!$K$8,D349)),SETTINGS!$L$8,IF(ISNUMBER(SEARCH(SETTINGS!$K$9,D349)),SETTINGS!$L$9,IF(ISNUMBER(SEARCH(SETTINGS!$K$10,D349)),SETTINGS!$L$10,IF(ISNUMBER(SEARCH(SETTINGS!$K$11,D349)),SETTINGS!$L$11,IF(ISNUMBER(SEARCH(SETTINGS!$K$12,D349)),SETTINGS!$L$12,IF(ISNUMBER(SEARCH(SETTINGS!$K$13,D349)),SETTINGS!$L$13,IF(ISNUMBER(SEARCH(SETTINGS!$K$14,D349)),SETTINGS!$L$14,IF(ISNUMBER(SEARCH(SETTINGS!$K$15,D349)),SETTINGS!$L$15,IF(ISNUMBER(SEARCH(SETTINGS!$K$16,D349)),SETTINGS!$L$16,IF(ISNUMBER(SEARCH(SETTINGS!$K$17,D349)),SETTINGS!$L$17,IF(ISNUMBER(SEARCH(SETTINGS!$K$18,D349)),SETTINGS!$L$18,"Miscellaneous"))))))))))))))))</f>
        <v/>
      </c>
      <c r="I349" s="44" t="str">
        <f t="shared" si="40"/>
        <v/>
      </c>
      <c r="J349" s="9"/>
      <c r="K349" s="9"/>
      <c r="L349" s="9"/>
      <c r="M349" s="9"/>
      <c r="N349" s="9"/>
      <c r="O349" s="9"/>
      <c r="P349" s="13"/>
      <c r="Q349" s="9"/>
      <c r="R349" s="9"/>
      <c r="S349" s="9"/>
      <c r="T349" s="11"/>
      <c r="U349" s="44" t="str">
        <f t="shared" si="41"/>
        <v/>
      </c>
      <c r="V349" s="44" t="str">
        <f t="shared" si="42"/>
        <v/>
      </c>
      <c r="W349" s="44" t="str">
        <f t="shared" si="43"/>
        <v/>
      </c>
      <c r="X349" s="44" t="str">
        <f t="shared" si="44"/>
        <v/>
      </c>
      <c r="Y349" s="44" t="str">
        <f t="shared" si="45"/>
        <v/>
      </c>
      <c r="Z349" s="44" t="str">
        <f t="shared" si="46"/>
        <v/>
      </c>
      <c r="AA349" s="50" t="str">
        <f t="shared" si="47"/>
        <v/>
      </c>
      <c r="AB349" s="50" t="str">
        <f>IF(OR(B349="",C349&lt;&gt;"Expense"),"",IF(E349&gt;IFERROR(AVERAGEIFS($E$8:$E$1007,$I$8:$I$1007,I349,$C$8:$C$1007,"Expense")*SETTINGS!$B$20,0),"Unusually High","Normal"))</f>
        <v/>
      </c>
      <c r="AC349" s="51"/>
      <c r="AD349" s="51"/>
      <c r="AE349" s="51"/>
      <c r="AF349" s="50" t="str">
        <f>IF(A349&lt;&gt;"Yes","No",IF(AND(AC349="Yes",SETTINGS!$B$16="No"),"No","Yes"))</f>
        <v>No</v>
      </c>
      <c r="AG349" s="50" t="str">
        <f>IF(A349&lt;&gt;"Yes","",IF(OR(B349="",D349="",E349&lt;=0,F349="",I349=""),"Check Required Fields",IF(AA349="Possible Duplicate","Possible Duplicate",IF(E349&gt;SETTINGS!$B$22,"Review Extreme Value","OK"))))</f>
        <v/>
      </c>
    </row>
    <row r="350" spans="1:33" ht="14.4">
      <c r="A350" s="9"/>
      <c r="B350" s="13"/>
      <c r="C350" s="9"/>
      <c r="D350" s="9"/>
      <c r="E350" s="11"/>
      <c r="F350" s="9"/>
      <c r="G350" s="9"/>
      <c r="H350" s="44" t="str">
        <f>IF(D350="","",IF(ISNUMBER(SEARCH(SETTINGS!$K$4,D350)),SETTINGS!$L$4,IF(ISNUMBER(SEARCH(SETTINGS!$K$5,D350)),SETTINGS!$L$5,IF(ISNUMBER(SEARCH(SETTINGS!$K$6,D350)),SETTINGS!$L$6,IF(ISNUMBER(SEARCH(SETTINGS!$K$7,D350)),SETTINGS!$L$7,IF(ISNUMBER(SEARCH(SETTINGS!$K$8,D350)),SETTINGS!$L$8,IF(ISNUMBER(SEARCH(SETTINGS!$K$9,D350)),SETTINGS!$L$9,IF(ISNUMBER(SEARCH(SETTINGS!$K$10,D350)),SETTINGS!$L$10,IF(ISNUMBER(SEARCH(SETTINGS!$K$11,D350)),SETTINGS!$L$11,IF(ISNUMBER(SEARCH(SETTINGS!$K$12,D350)),SETTINGS!$L$12,IF(ISNUMBER(SEARCH(SETTINGS!$K$13,D350)),SETTINGS!$L$13,IF(ISNUMBER(SEARCH(SETTINGS!$K$14,D350)),SETTINGS!$L$14,IF(ISNUMBER(SEARCH(SETTINGS!$K$15,D350)),SETTINGS!$L$15,IF(ISNUMBER(SEARCH(SETTINGS!$K$16,D350)),SETTINGS!$L$16,IF(ISNUMBER(SEARCH(SETTINGS!$K$17,D350)),SETTINGS!$L$17,IF(ISNUMBER(SEARCH(SETTINGS!$K$18,D350)),SETTINGS!$L$18,"Miscellaneous"))))))))))))))))</f>
        <v/>
      </c>
      <c r="I350" s="44" t="str">
        <f t="shared" si="40"/>
        <v/>
      </c>
      <c r="J350" s="9"/>
      <c r="K350" s="9"/>
      <c r="L350" s="9"/>
      <c r="M350" s="9"/>
      <c r="N350" s="9"/>
      <c r="O350" s="9"/>
      <c r="P350" s="13"/>
      <c r="Q350" s="9"/>
      <c r="R350" s="9"/>
      <c r="S350" s="9"/>
      <c r="T350" s="11"/>
      <c r="U350" s="44" t="str">
        <f t="shared" si="41"/>
        <v/>
      </c>
      <c r="V350" s="44" t="str">
        <f t="shared" si="42"/>
        <v/>
      </c>
      <c r="W350" s="44" t="str">
        <f t="shared" si="43"/>
        <v/>
      </c>
      <c r="X350" s="44" t="str">
        <f t="shared" si="44"/>
        <v/>
      </c>
      <c r="Y350" s="44" t="str">
        <f t="shared" si="45"/>
        <v/>
      </c>
      <c r="Z350" s="44" t="str">
        <f t="shared" si="46"/>
        <v/>
      </c>
      <c r="AA350" s="50" t="str">
        <f t="shared" si="47"/>
        <v/>
      </c>
      <c r="AB350" s="50" t="str">
        <f>IF(OR(B350="",C350&lt;&gt;"Expense"),"",IF(E350&gt;IFERROR(AVERAGEIFS($E$8:$E$1007,$I$8:$I$1007,I350,$C$8:$C$1007,"Expense")*SETTINGS!$B$20,0),"Unusually High","Normal"))</f>
        <v/>
      </c>
      <c r="AC350" s="51"/>
      <c r="AD350" s="51"/>
      <c r="AE350" s="51"/>
      <c r="AF350" s="50" t="str">
        <f>IF(A350&lt;&gt;"Yes","No",IF(AND(AC350="Yes",SETTINGS!$B$16="No"),"No","Yes"))</f>
        <v>No</v>
      </c>
      <c r="AG350" s="50" t="str">
        <f>IF(A350&lt;&gt;"Yes","",IF(OR(B350="",D350="",E350&lt;=0,F350="",I350=""),"Check Required Fields",IF(AA350="Possible Duplicate","Possible Duplicate",IF(E350&gt;SETTINGS!$B$22,"Review Extreme Value","OK"))))</f>
        <v/>
      </c>
    </row>
    <row r="351" spans="1:33" ht="14.4">
      <c r="A351" s="9"/>
      <c r="B351" s="13"/>
      <c r="C351" s="9"/>
      <c r="D351" s="9"/>
      <c r="E351" s="11"/>
      <c r="F351" s="9"/>
      <c r="G351" s="9"/>
      <c r="H351" s="44" t="str">
        <f>IF(D351="","",IF(ISNUMBER(SEARCH(SETTINGS!$K$4,D351)),SETTINGS!$L$4,IF(ISNUMBER(SEARCH(SETTINGS!$K$5,D351)),SETTINGS!$L$5,IF(ISNUMBER(SEARCH(SETTINGS!$K$6,D351)),SETTINGS!$L$6,IF(ISNUMBER(SEARCH(SETTINGS!$K$7,D351)),SETTINGS!$L$7,IF(ISNUMBER(SEARCH(SETTINGS!$K$8,D351)),SETTINGS!$L$8,IF(ISNUMBER(SEARCH(SETTINGS!$K$9,D351)),SETTINGS!$L$9,IF(ISNUMBER(SEARCH(SETTINGS!$K$10,D351)),SETTINGS!$L$10,IF(ISNUMBER(SEARCH(SETTINGS!$K$11,D351)),SETTINGS!$L$11,IF(ISNUMBER(SEARCH(SETTINGS!$K$12,D351)),SETTINGS!$L$12,IF(ISNUMBER(SEARCH(SETTINGS!$K$13,D351)),SETTINGS!$L$13,IF(ISNUMBER(SEARCH(SETTINGS!$K$14,D351)),SETTINGS!$L$14,IF(ISNUMBER(SEARCH(SETTINGS!$K$15,D351)),SETTINGS!$L$15,IF(ISNUMBER(SEARCH(SETTINGS!$K$16,D351)),SETTINGS!$L$16,IF(ISNUMBER(SEARCH(SETTINGS!$K$17,D351)),SETTINGS!$L$17,IF(ISNUMBER(SEARCH(SETTINGS!$K$18,D351)),SETTINGS!$L$18,"Miscellaneous"))))))))))))))))</f>
        <v/>
      </c>
      <c r="I351" s="44" t="str">
        <f t="shared" si="40"/>
        <v/>
      </c>
      <c r="J351" s="9"/>
      <c r="K351" s="9"/>
      <c r="L351" s="9"/>
      <c r="M351" s="9"/>
      <c r="N351" s="9"/>
      <c r="O351" s="9"/>
      <c r="P351" s="13"/>
      <c r="Q351" s="9"/>
      <c r="R351" s="9"/>
      <c r="S351" s="9"/>
      <c r="T351" s="11"/>
      <c r="U351" s="44" t="str">
        <f t="shared" si="41"/>
        <v/>
      </c>
      <c r="V351" s="44" t="str">
        <f t="shared" si="42"/>
        <v/>
      </c>
      <c r="W351" s="44" t="str">
        <f t="shared" si="43"/>
        <v/>
      </c>
      <c r="X351" s="44" t="str">
        <f t="shared" si="44"/>
        <v/>
      </c>
      <c r="Y351" s="44" t="str">
        <f t="shared" si="45"/>
        <v/>
      </c>
      <c r="Z351" s="44" t="str">
        <f t="shared" si="46"/>
        <v/>
      </c>
      <c r="AA351" s="50" t="str">
        <f t="shared" si="47"/>
        <v/>
      </c>
      <c r="AB351" s="50" t="str">
        <f>IF(OR(B351="",C351&lt;&gt;"Expense"),"",IF(E351&gt;IFERROR(AVERAGEIFS($E$8:$E$1007,$I$8:$I$1007,I351,$C$8:$C$1007,"Expense")*SETTINGS!$B$20,0),"Unusually High","Normal"))</f>
        <v/>
      </c>
      <c r="AC351" s="51"/>
      <c r="AD351" s="51"/>
      <c r="AE351" s="51"/>
      <c r="AF351" s="50" t="str">
        <f>IF(A351&lt;&gt;"Yes","No",IF(AND(AC351="Yes",SETTINGS!$B$16="No"),"No","Yes"))</f>
        <v>No</v>
      </c>
      <c r="AG351" s="50" t="str">
        <f>IF(A351&lt;&gt;"Yes","",IF(OR(B351="",D351="",E351&lt;=0,F351="",I351=""),"Check Required Fields",IF(AA351="Possible Duplicate","Possible Duplicate",IF(E351&gt;SETTINGS!$B$22,"Review Extreme Value","OK"))))</f>
        <v/>
      </c>
    </row>
    <row r="352" spans="1:33" ht="14.4">
      <c r="A352" s="9"/>
      <c r="B352" s="13"/>
      <c r="C352" s="9"/>
      <c r="D352" s="9"/>
      <c r="E352" s="11"/>
      <c r="F352" s="9"/>
      <c r="G352" s="9"/>
      <c r="H352" s="44" t="str">
        <f>IF(D352="","",IF(ISNUMBER(SEARCH(SETTINGS!$K$4,D352)),SETTINGS!$L$4,IF(ISNUMBER(SEARCH(SETTINGS!$K$5,D352)),SETTINGS!$L$5,IF(ISNUMBER(SEARCH(SETTINGS!$K$6,D352)),SETTINGS!$L$6,IF(ISNUMBER(SEARCH(SETTINGS!$K$7,D352)),SETTINGS!$L$7,IF(ISNUMBER(SEARCH(SETTINGS!$K$8,D352)),SETTINGS!$L$8,IF(ISNUMBER(SEARCH(SETTINGS!$K$9,D352)),SETTINGS!$L$9,IF(ISNUMBER(SEARCH(SETTINGS!$K$10,D352)),SETTINGS!$L$10,IF(ISNUMBER(SEARCH(SETTINGS!$K$11,D352)),SETTINGS!$L$11,IF(ISNUMBER(SEARCH(SETTINGS!$K$12,D352)),SETTINGS!$L$12,IF(ISNUMBER(SEARCH(SETTINGS!$K$13,D352)),SETTINGS!$L$13,IF(ISNUMBER(SEARCH(SETTINGS!$K$14,D352)),SETTINGS!$L$14,IF(ISNUMBER(SEARCH(SETTINGS!$K$15,D352)),SETTINGS!$L$15,IF(ISNUMBER(SEARCH(SETTINGS!$K$16,D352)),SETTINGS!$L$16,IF(ISNUMBER(SEARCH(SETTINGS!$K$17,D352)),SETTINGS!$L$17,IF(ISNUMBER(SEARCH(SETTINGS!$K$18,D352)),SETTINGS!$L$18,"Miscellaneous"))))))))))))))))</f>
        <v/>
      </c>
      <c r="I352" s="44" t="str">
        <f t="shared" si="40"/>
        <v/>
      </c>
      <c r="J352" s="9"/>
      <c r="K352" s="9"/>
      <c r="L352" s="9"/>
      <c r="M352" s="9"/>
      <c r="N352" s="9"/>
      <c r="O352" s="9"/>
      <c r="P352" s="13"/>
      <c r="Q352" s="9"/>
      <c r="R352" s="9"/>
      <c r="S352" s="9"/>
      <c r="T352" s="11"/>
      <c r="U352" s="44" t="str">
        <f t="shared" si="41"/>
        <v/>
      </c>
      <c r="V352" s="44" t="str">
        <f t="shared" si="42"/>
        <v/>
      </c>
      <c r="W352" s="44" t="str">
        <f t="shared" si="43"/>
        <v/>
      </c>
      <c r="X352" s="44" t="str">
        <f t="shared" si="44"/>
        <v/>
      </c>
      <c r="Y352" s="44" t="str">
        <f t="shared" si="45"/>
        <v/>
      </c>
      <c r="Z352" s="44" t="str">
        <f t="shared" si="46"/>
        <v/>
      </c>
      <c r="AA352" s="50" t="str">
        <f t="shared" si="47"/>
        <v/>
      </c>
      <c r="AB352" s="50" t="str">
        <f>IF(OR(B352="",C352&lt;&gt;"Expense"),"",IF(E352&gt;IFERROR(AVERAGEIFS($E$8:$E$1007,$I$8:$I$1007,I352,$C$8:$C$1007,"Expense")*SETTINGS!$B$20,0),"Unusually High","Normal"))</f>
        <v/>
      </c>
      <c r="AC352" s="51"/>
      <c r="AD352" s="51"/>
      <c r="AE352" s="51"/>
      <c r="AF352" s="50" t="str">
        <f>IF(A352&lt;&gt;"Yes","No",IF(AND(AC352="Yes",SETTINGS!$B$16="No"),"No","Yes"))</f>
        <v>No</v>
      </c>
      <c r="AG352" s="50" t="str">
        <f>IF(A352&lt;&gt;"Yes","",IF(OR(B352="",D352="",E352&lt;=0,F352="",I352=""),"Check Required Fields",IF(AA352="Possible Duplicate","Possible Duplicate",IF(E352&gt;SETTINGS!$B$22,"Review Extreme Value","OK"))))</f>
        <v/>
      </c>
    </row>
    <row r="353" spans="1:33" ht="14.4">
      <c r="A353" s="9"/>
      <c r="B353" s="13"/>
      <c r="C353" s="9"/>
      <c r="D353" s="9"/>
      <c r="E353" s="11"/>
      <c r="F353" s="9"/>
      <c r="G353" s="9"/>
      <c r="H353" s="44" t="str">
        <f>IF(D353="","",IF(ISNUMBER(SEARCH(SETTINGS!$K$4,D353)),SETTINGS!$L$4,IF(ISNUMBER(SEARCH(SETTINGS!$K$5,D353)),SETTINGS!$L$5,IF(ISNUMBER(SEARCH(SETTINGS!$K$6,D353)),SETTINGS!$L$6,IF(ISNUMBER(SEARCH(SETTINGS!$K$7,D353)),SETTINGS!$L$7,IF(ISNUMBER(SEARCH(SETTINGS!$K$8,D353)),SETTINGS!$L$8,IF(ISNUMBER(SEARCH(SETTINGS!$K$9,D353)),SETTINGS!$L$9,IF(ISNUMBER(SEARCH(SETTINGS!$K$10,D353)),SETTINGS!$L$10,IF(ISNUMBER(SEARCH(SETTINGS!$K$11,D353)),SETTINGS!$L$11,IF(ISNUMBER(SEARCH(SETTINGS!$K$12,D353)),SETTINGS!$L$12,IF(ISNUMBER(SEARCH(SETTINGS!$K$13,D353)),SETTINGS!$L$13,IF(ISNUMBER(SEARCH(SETTINGS!$K$14,D353)),SETTINGS!$L$14,IF(ISNUMBER(SEARCH(SETTINGS!$K$15,D353)),SETTINGS!$L$15,IF(ISNUMBER(SEARCH(SETTINGS!$K$16,D353)),SETTINGS!$L$16,IF(ISNUMBER(SEARCH(SETTINGS!$K$17,D353)),SETTINGS!$L$17,IF(ISNUMBER(SEARCH(SETTINGS!$K$18,D353)),SETTINGS!$L$18,"Miscellaneous"))))))))))))))))</f>
        <v/>
      </c>
      <c r="I353" s="44" t="str">
        <f t="shared" si="40"/>
        <v/>
      </c>
      <c r="J353" s="9"/>
      <c r="K353" s="9"/>
      <c r="L353" s="9"/>
      <c r="M353" s="9"/>
      <c r="N353" s="9"/>
      <c r="O353" s="9"/>
      <c r="P353" s="13"/>
      <c r="Q353" s="9"/>
      <c r="R353" s="9"/>
      <c r="S353" s="9"/>
      <c r="T353" s="11"/>
      <c r="U353" s="44" t="str">
        <f t="shared" si="41"/>
        <v/>
      </c>
      <c r="V353" s="44" t="str">
        <f t="shared" si="42"/>
        <v/>
      </c>
      <c r="W353" s="44" t="str">
        <f t="shared" si="43"/>
        <v/>
      </c>
      <c r="X353" s="44" t="str">
        <f t="shared" si="44"/>
        <v/>
      </c>
      <c r="Y353" s="44" t="str">
        <f t="shared" si="45"/>
        <v/>
      </c>
      <c r="Z353" s="44" t="str">
        <f t="shared" si="46"/>
        <v/>
      </c>
      <c r="AA353" s="50" t="str">
        <f t="shared" si="47"/>
        <v/>
      </c>
      <c r="AB353" s="50" t="str">
        <f>IF(OR(B353="",C353&lt;&gt;"Expense"),"",IF(E353&gt;IFERROR(AVERAGEIFS($E$8:$E$1007,$I$8:$I$1007,I353,$C$8:$C$1007,"Expense")*SETTINGS!$B$20,0),"Unusually High","Normal"))</f>
        <v/>
      </c>
      <c r="AC353" s="51"/>
      <c r="AD353" s="51"/>
      <c r="AE353" s="51"/>
      <c r="AF353" s="50" t="str">
        <f>IF(A353&lt;&gt;"Yes","No",IF(AND(AC353="Yes",SETTINGS!$B$16="No"),"No","Yes"))</f>
        <v>No</v>
      </c>
      <c r="AG353" s="50" t="str">
        <f>IF(A353&lt;&gt;"Yes","",IF(OR(B353="",D353="",E353&lt;=0,F353="",I353=""),"Check Required Fields",IF(AA353="Possible Duplicate","Possible Duplicate",IF(E353&gt;SETTINGS!$B$22,"Review Extreme Value","OK"))))</f>
        <v/>
      </c>
    </row>
    <row r="354" spans="1:33" ht="14.4">
      <c r="A354" s="9"/>
      <c r="B354" s="13"/>
      <c r="C354" s="9"/>
      <c r="D354" s="9"/>
      <c r="E354" s="11"/>
      <c r="F354" s="9"/>
      <c r="G354" s="9"/>
      <c r="H354" s="44" t="str">
        <f>IF(D354="","",IF(ISNUMBER(SEARCH(SETTINGS!$K$4,D354)),SETTINGS!$L$4,IF(ISNUMBER(SEARCH(SETTINGS!$K$5,D354)),SETTINGS!$L$5,IF(ISNUMBER(SEARCH(SETTINGS!$K$6,D354)),SETTINGS!$L$6,IF(ISNUMBER(SEARCH(SETTINGS!$K$7,D354)),SETTINGS!$L$7,IF(ISNUMBER(SEARCH(SETTINGS!$K$8,D354)),SETTINGS!$L$8,IF(ISNUMBER(SEARCH(SETTINGS!$K$9,D354)),SETTINGS!$L$9,IF(ISNUMBER(SEARCH(SETTINGS!$K$10,D354)),SETTINGS!$L$10,IF(ISNUMBER(SEARCH(SETTINGS!$K$11,D354)),SETTINGS!$L$11,IF(ISNUMBER(SEARCH(SETTINGS!$K$12,D354)),SETTINGS!$L$12,IF(ISNUMBER(SEARCH(SETTINGS!$K$13,D354)),SETTINGS!$L$13,IF(ISNUMBER(SEARCH(SETTINGS!$K$14,D354)),SETTINGS!$L$14,IF(ISNUMBER(SEARCH(SETTINGS!$K$15,D354)),SETTINGS!$L$15,IF(ISNUMBER(SEARCH(SETTINGS!$K$16,D354)),SETTINGS!$L$16,IF(ISNUMBER(SEARCH(SETTINGS!$K$17,D354)),SETTINGS!$L$17,IF(ISNUMBER(SEARCH(SETTINGS!$K$18,D354)),SETTINGS!$L$18,"Miscellaneous"))))))))))))))))</f>
        <v/>
      </c>
      <c r="I354" s="44" t="str">
        <f t="shared" si="40"/>
        <v/>
      </c>
      <c r="J354" s="9"/>
      <c r="K354" s="9"/>
      <c r="L354" s="9"/>
      <c r="M354" s="9"/>
      <c r="N354" s="9"/>
      <c r="O354" s="9"/>
      <c r="P354" s="13"/>
      <c r="Q354" s="9"/>
      <c r="R354" s="9"/>
      <c r="S354" s="9"/>
      <c r="T354" s="11"/>
      <c r="U354" s="44" t="str">
        <f t="shared" si="41"/>
        <v/>
      </c>
      <c r="V354" s="44" t="str">
        <f t="shared" si="42"/>
        <v/>
      </c>
      <c r="W354" s="44" t="str">
        <f t="shared" si="43"/>
        <v/>
      </c>
      <c r="X354" s="44" t="str">
        <f t="shared" si="44"/>
        <v/>
      </c>
      <c r="Y354" s="44" t="str">
        <f t="shared" si="45"/>
        <v/>
      </c>
      <c r="Z354" s="44" t="str">
        <f t="shared" si="46"/>
        <v/>
      </c>
      <c r="AA354" s="50" t="str">
        <f t="shared" si="47"/>
        <v/>
      </c>
      <c r="AB354" s="50" t="str">
        <f>IF(OR(B354="",C354&lt;&gt;"Expense"),"",IF(E354&gt;IFERROR(AVERAGEIFS($E$8:$E$1007,$I$8:$I$1007,I354,$C$8:$C$1007,"Expense")*SETTINGS!$B$20,0),"Unusually High","Normal"))</f>
        <v/>
      </c>
      <c r="AC354" s="51"/>
      <c r="AD354" s="51"/>
      <c r="AE354" s="51"/>
      <c r="AF354" s="50" t="str">
        <f>IF(A354&lt;&gt;"Yes","No",IF(AND(AC354="Yes",SETTINGS!$B$16="No"),"No","Yes"))</f>
        <v>No</v>
      </c>
      <c r="AG354" s="50" t="str">
        <f>IF(A354&lt;&gt;"Yes","",IF(OR(B354="",D354="",E354&lt;=0,F354="",I354=""),"Check Required Fields",IF(AA354="Possible Duplicate","Possible Duplicate",IF(E354&gt;SETTINGS!$B$22,"Review Extreme Value","OK"))))</f>
        <v/>
      </c>
    </row>
    <row r="355" spans="1:33" ht="14.4">
      <c r="A355" s="9"/>
      <c r="B355" s="13"/>
      <c r="C355" s="9"/>
      <c r="D355" s="9"/>
      <c r="E355" s="11"/>
      <c r="F355" s="9"/>
      <c r="G355" s="9"/>
      <c r="H355" s="44" t="str">
        <f>IF(D355="","",IF(ISNUMBER(SEARCH(SETTINGS!$K$4,D355)),SETTINGS!$L$4,IF(ISNUMBER(SEARCH(SETTINGS!$K$5,D355)),SETTINGS!$L$5,IF(ISNUMBER(SEARCH(SETTINGS!$K$6,D355)),SETTINGS!$L$6,IF(ISNUMBER(SEARCH(SETTINGS!$K$7,D355)),SETTINGS!$L$7,IF(ISNUMBER(SEARCH(SETTINGS!$K$8,D355)),SETTINGS!$L$8,IF(ISNUMBER(SEARCH(SETTINGS!$K$9,D355)),SETTINGS!$L$9,IF(ISNUMBER(SEARCH(SETTINGS!$K$10,D355)),SETTINGS!$L$10,IF(ISNUMBER(SEARCH(SETTINGS!$K$11,D355)),SETTINGS!$L$11,IF(ISNUMBER(SEARCH(SETTINGS!$K$12,D355)),SETTINGS!$L$12,IF(ISNUMBER(SEARCH(SETTINGS!$K$13,D355)),SETTINGS!$L$13,IF(ISNUMBER(SEARCH(SETTINGS!$K$14,D355)),SETTINGS!$L$14,IF(ISNUMBER(SEARCH(SETTINGS!$K$15,D355)),SETTINGS!$L$15,IF(ISNUMBER(SEARCH(SETTINGS!$K$16,D355)),SETTINGS!$L$16,IF(ISNUMBER(SEARCH(SETTINGS!$K$17,D355)),SETTINGS!$L$17,IF(ISNUMBER(SEARCH(SETTINGS!$K$18,D355)),SETTINGS!$L$18,"Miscellaneous"))))))))))))))))</f>
        <v/>
      </c>
      <c r="I355" s="44" t="str">
        <f t="shared" si="40"/>
        <v/>
      </c>
      <c r="J355" s="9"/>
      <c r="K355" s="9"/>
      <c r="L355" s="9"/>
      <c r="M355" s="9"/>
      <c r="N355" s="9"/>
      <c r="O355" s="9"/>
      <c r="P355" s="13"/>
      <c r="Q355" s="9"/>
      <c r="R355" s="9"/>
      <c r="S355" s="9"/>
      <c r="T355" s="11"/>
      <c r="U355" s="44" t="str">
        <f t="shared" si="41"/>
        <v/>
      </c>
      <c r="V355" s="44" t="str">
        <f t="shared" si="42"/>
        <v/>
      </c>
      <c r="W355" s="44" t="str">
        <f t="shared" si="43"/>
        <v/>
      </c>
      <c r="X355" s="44" t="str">
        <f t="shared" si="44"/>
        <v/>
      </c>
      <c r="Y355" s="44" t="str">
        <f t="shared" si="45"/>
        <v/>
      </c>
      <c r="Z355" s="44" t="str">
        <f t="shared" si="46"/>
        <v/>
      </c>
      <c r="AA355" s="50" t="str">
        <f t="shared" si="47"/>
        <v/>
      </c>
      <c r="AB355" s="50" t="str">
        <f>IF(OR(B355="",C355&lt;&gt;"Expense"),"",IF(E355&gt;IFERROR(AVERAGEIFS($E$8:$E$1007,$I$8:$I$1007,I355,$C$8:$C$1007,"Expense")*SETTINGS!$B$20,0),"Unusually High","Normal"))</f>
        <v/>
      </c>
      <c r="AC355" s="51"/>
      <c r="AD355" s="51"/>
      <c r="AE355" s="51"/>
      <c r="AF355" s="50" t="str">
        <f>IF(A355&lt;&gt;"Yes","No",IF(AND(AC355="Yes",SETTINGS!$B$16="No"),"No","Yes"))</f>
        <v>No</v>
      </c>
      <c r="AG355" s="50" t="str">
        <f>IF(A355&lt;&gt;"Yes","",IF(OR(B355="",D355="",E355&lt;=0,F355="",I355=""),"Check Required Fields",IF(AA355="Possible Duplicate","Possible Duplicate",IF(E355&gt;SETTINGS!$B$22,"Review Extreme Value","OK"))))</f>
        <v/>
      </c>
    </row>
    <row r="356" spans="1:33" ht="14.4">
      <c r="A356" s="9"/>
      <c r="B356" s="13"/>
      <c r="C356" s="9"/>
      <c r="D356" s="9"/>
      <c r="E356" s="11"/>
      <c r="F356" s="9"/>
      <c r="G356" s="9"/>
      <c r="H356" s="44" t="str">
        <f>IF(D356="","",IF(ISNUMBER(SEARCH(SETTINGS!$K$4,D356)),SETTINGS!$L$4,IF(ISNUMBER(SEARCH(SETTINGS!$K$5,D356)),SETTINGS!$L$5,IF(ISNUMBER(SEARCH(SETTINGS!$K$6,D356)),SETTINGS!$L$6,IF(ISNUMBER(SEARCH(SETTINGS!$K$7,D356)),SETTINGS!$L$7,IF(ISNUMBER(SEARCH(SETTINGS!$K$8,D356)),SETTINGS!$L$8,IF(ISNUMBER(SEARCH(SETTINGS!$K$9,D356)),SETTINGS!$L$9,IF(ISNUMBER(SEARCH(SETTINGS!$K$10,D356)),SETTINGS!$L$10,IF(ISNUMBER(SEARCH(SETTINGS!$K$11,D356)),SETTINGS!$L$11,IF(ISNUMBER(SEARCH(SETTINGS!$K$12,D356)),SETTINGS!$L$12,IF(ISNUMBER(SEARCH(SETTINGS!$K$13,D356)),SETTINGS!$L$13,IF(ISNUMBER(SEARCH(SETTINGS!$K$14,D356)),SETTINGS!$L$14,IF(ISNUMBER(SEARCH(SETTINGS!$K$15,D356)),SETTINGS!$L$15,IF(ISNUMBER(SEARCH(SETTINGS!$K$16,D356)),SETTINGS!$L$16,IF(ISNUMBER(SEARCH(SETTINGS!$K$17,D356)),SETTINGS!$L$17,IF(ISNUMBER(SEARCH(SETTINGS!$K$18,D356)),SETTINGS!$L$18,"Miscellaneous"))))))))))))))))</f>
        <v/>
      </c>
      <c r="I356" s="44" t="str">
        <f t="shared" si="40"/>
        <v/>
      </c>
      <c r="J356" s="9"/>
      <c r="K356" s="9"/>
      <c r="L356" s="9"/>
      <c r="M356" s="9"/>
      <c r="N356" s="9"/>
      <c r="O356" s="9"/>
      <c r="P356" s="13"/>
      <c r="Q356" s="9"/>
      <c r="R356" s="9"/>
      <c r="S356" s="9"/>
      <c r="T356" s="11"/>
      <c r="U356" s="44" t="str">
        <f t="shared" si="41"/>
        <v/>
      </c>
      <c r="V356" s="44" t="str">
        <f t="shared" si="42"/>
        <v/>
      </c>
      <c r="W356" s="44" t="str">
        <f t="shared" si="43"/>
        <v/>
      </c>
      <c r="X356" s="44" t="str">
        <f t="shared" si="44"/>
        <v/>
      </c>
      <c r="Y356" s="44" t="str">
        <f t="shared" si="45"/>
        <v/>
      </c>
      <c r="Z356" s="44" t="str">
        <f t="shared" si="46"/>
        <v/>
      </c>
      <c r="AA356" s="50" t="str">
        <f t="shared" si="47"/>
        <v/>
      </c>
      <c r="AB356" s="50" t="str">
        <f>IF(OR(B356="",C356&lt;&gt;"Expense"),"",IF(E356&gt;IFERROR(AVERAGEIFS($E$8:$E$1007,$I$8:$I$1007,I356,$C$8:$C$1007,"Expense")*SETTINGS!$B$20,0),"Unusually High","Normal"))</f>
        <v/>
      </c>
      <c r="AC356" s="51"/>
      <c r="AD356" s="51"/>
      <c r="AE356" s="51"/>
      <c r="AF356" s="50" t="str">
        <f>IF(A356&lt;&gt;"Yes","No",IF(AND(AC356="Yes",SETTINGS!$B$16="No"),"No","Yes"))</f>
        <v>No</v>
      </c>
      <c r="AG356" s="50" t="str">
        <f>IF(A356&lt;&gt;"Yes","",IF(OR(B356="",D356="",E356&lt;=0,F356="",I356=""),"Check Required Fields",IF(AA356="Possible Duplicate","Possible Duplicate",IF(E356&gt;SETTINGS!$B$22,"Review Extreme Value","OK"))))</f>
        <v/>
      </c>
    </row>
    <row r="357" spans="1:33" ht="14.4">
      <c r="A357" s="9"/>
      <c r="B357" s="13"/>
      <c r="C357" s="9"/>
      <c r="D357" s="9"/>
      <c r="E357" s="11"/>
      <c r="F357" s="9"/>
      <c r="G357" s="9"/>
      <c r="H357" s="44" t="str">
        <f>IF(D357="","",IF(ISNUMBER(SEARCH(SETTINGS!$K$4,D357)),SETTINGS!$L$4,IF(ISNUMBER(SEARCH(SETTINGS!$K$5,D357)),SETTINGS!$L$5,IF(ISNUMBER(SEARCH(SETTINGS!$K$6,D357)),SETTINGS!$L$6,IF(ISNUMBER(SEARCH(SETTINGS!$K$7,D357)),SETTINGS!$L$7,IF(ISNUMBER(SEARCH(SETTINGS!$K$8,D357)),SETTINGS!$L$8,IF(ISNUMBER(SEARCH(SETTINGS!$K$9,D357)),SETTINGS!$L$9,IF(ISNUMBER(SEARCH(SETTINGS!$K$10,D357)),SETTINGS!$L$10,IF(ISNUMBER(SEARCH(SETTINGS!$K$11,D357)),SETTINGS!$L$11,IF(ISNUMBER(SEARCH(SETTINGS!$K$12,D357)),SETTINGS!$L$12,IF(ISNUMBER(SEARCH(SETTINGS!$K$13,D357)),SETTINGS!$L$13,IF(ISNUMBER(SEARCH(SETTINGS!$K$14,D357)),SETTINGS!$L$14,IF(ISNUMBER(SEARCH(SETTINGS!$K$15,D357)),SETTINGS!$L$15,IF(ISNUMBER(SEARCH(SETTINGS!$K$16,D357)),SETTINGS!$L$16,IF(ISNUMBER(SEARCH(SETTINGS!$K$17,D357)),SETTINGS!$L$17,IF(ISNUMBER(SEARCH(SETTINGS!$K$18,D357)),SETTINGS!$L$18,"Miscellaneous"))))))))))))))))</f>
        <v/>
      </c>
      <c r="I357" s="44" t="str">
        <f t="shared" si="40"/>
        <v/>
      </c>
      <c r="J357" s="9"/>
      <c r="K357" s="9"/>
      <c r="L357" s="9"/>
      <c r="M357" s="9"/>
      <c r="N357" s="9"/>
      <c r="O357" s="9"/>
      <c r="P357" s="13"/>
      <c r="Q357" s="9"/>
      <c r="R357" s="9"/>
      <c r="S357" s="9"/>
      <c r="T357" s="11"/>
      <c r="U357" s="44" t="str">
        <f t="shared" si="41"/>
        <v/>
      </c>
      <c r="V357" s="44" t="str">
        <f t="shared" si="42"/>
        <v/>
      </c>
      <c r="W357" s="44" t="str">
        <f t="shared" si="43"/>
        <v/>
      </c>
      <c r="X357" s="44" t="str">
        <f t="shared" si="44"/>
        <v/>
      </c>
      <c r="Y357" s="44" t="str">
        <f t="shared" si="45"/>
        <v/>
      </c>
      <c r="Z357" s="44" t="str">
        <f t="shared" si="46"/>
        <v/>
      </c>
      <c r="AA357" s="50" t="str">
        <f t="shared" si="47"/>
        <v/>
      </c>
      <c r="AB357" s="50" t="str">
        <f>IF(OR(B357="",C357&lt;&gt;"Expense"),"",IF(E357&gt;IFERROR(AVERAGEIFS($E$8:$E$1007,$I$8:$I$1007,I357,$C$8:$C$1007,"Expense")*SETTINGS!$B$20,0),"Unusually High","Normal"))</f>
        <v/>
      </c>
      <c r="AC357" s="51"/>
      <c r="AD357" s="51"/>
      <c r="AE357" s="51"/>
      <c r="AF357" s="50" t="str">
        <f>IF(A357&lt;&gt;"Yes","No",IF(AND(AC357="Yes",SETTINGS!$B$16="No"),"No","Yes"))</f>
        <v>No</v>
      </c>
      <c r="AG357" s="50" t="str">
        <f>IF(A357&lt;&gt;"Yes","",IF(OR(B357="",D357="",E357&lt;=0,F357="",I357=""),"Check Required Fields",IF(AA357="Possible Duplicate","Possible Duplicate",IF(E357&gt;SETTINGS!$B$22,"Review Extreme Value","OK"))))</f>
        <v/>
      </c>
    </row>
    <row r="358" spans="1:33" ht="14.4">
      <c r="A358" s="9"/>
      <c r="B358" s="13"/>
      <c r="C358" s="9"/>
      <c r="D358" s="9"/>
      <c r="E358" s="11"/>
      <c r="F358" s="9"/>
      <c r="G358" s="9"/>
      <c r="H358" s="44" t="str">
        <f>IF(D358="","",IF(ISNUMBER(SEARCH(SETTINGS!$K$4,D358)),SETTINGS!$L$4,IF(ISNUMBER(SEARCH(SETTINGS!$K$5,D358)),SETTINGS!$L$5,IF(ISNUMBER(SEARCH(SETTINGS!$K$6,D358)),SETTINGS!$L$6,IF(ISNUMBER(SEARCH(SETTINGS!$K$7,D358)),SETTINGS!$L$7,IF(ISNUMBER(SEARCH(SETTINGS!$K$8,D358)),SETTINGS!$L$8,IF(ISNUMBER(SEARCH(SETTINGS!$K$9,D358)),SETTINGS!$L$9,IF(ISNUMBER(SEARCH(SETTINGS!$K$10,D358)),SETTINGS!$L$10,IF(ISNUMBER(SEARCH(SETTINGS!$K$11,D358)),SETTINGS!$L$11,IF(ISNUMBER(SEARCH(SETTINGS!$K$12,D358)),SETTINGS!$L$12,IF(ISNUMBER(SEARCH(SETTINGS!$K$13,D358)),SETTINGS!$L$13,IF(ISNUMBER(SEARCH(SETTINGS!$K$14,D358)),SETTINGS!$L$14,IF(ISNUMBER(SEARCH(SETTINGS!$K$15,D358)),SETTINGS!$L$15,IF(ISNUMBER(SEARCH(SETTINGS!$K$16,D358)),SETTINGS!$L$16,IF(ISNUMBER(SEARCH(SETTINGS!$K$17,D358)),SETTINGS!$L$17,IF(ISNUMBER(SEARCH(SETTINGS!$K$18,D358)),SETTINGS!$L$18,"Miscellaneous"))))))))))))))))</f>
        <v/>
      </c>
      <c r="I358" s="44" t="str">
        <f t="shared" si="40"/>
        <v/>
      </c>
      <c r="J358" s="9"/>
      <c r="K358" s="9"/>
      <c r="L358" s="9"/>
      <c r="M358" s="9"/>
      <c r="N358" s="9"/>
      <c r="O358" s="9"/>
      <c r="P358" s="13"/>
      <c r="Q358" s="9"/>
      <c r="R358" s="9"/>
      <c r="S358" s="9"/>
      <c r="T358" s="11"/>
      <c r="U358" s="44" t="str">
        <f t="shared" si="41"/>
        <v/>
      </c>
      <c r="V358" s="44" t="str">
        <f t="shared" si="42"/>
        <v/>
      </c>
      <c r="W358" s="44" t="str">
        <f t="shared" si="43"/>
        <v/>
      </c>
      <c r="X358" s="44" t="str">
        <f t="shared" si="44"/>
        <v/>
      </c>
      <c r="Y358" s="44" t="str">
        <f t="shared" si="45"/>
        <v/>
      </c>
      <c r="Z358" s="44" t="str">
        <f t="shared" si="46"/>
        <v/>
      </c>
      <c r="AA358" s="50" t="str">
        <f t="shared" si="47"/>
        <v/>
      </c>
      <c r="AB358" s="50" t="str">
        <f>IF(OR(B358="",C358&lt;&gt;"Expense"),"",IF(E358&gt;IFERROR(AVERAGEIFS($E$8:$E$1007,$I$8:$I$1007,I358,$C$8:$C$1007,"Expense")*SETTINGS!$B$20,0),"Unusually High","Normal"))</f>
        <v/>
      </c>
      <c r="AC358" s="51"/>
      <c r="AD358" s="51"/>
      <c r="AE358" s="51"/>
      <c r="AF358" s="50" t="str">
        <f>IF(A358&lt;&gt;"Yes","No",IF(AND(AC358="Yes",SETTINGS!$B$16="No"),"No","Yes"))</f>
        <v>No</v>
      </c>
      <c r="AG358" s="50" t="str">
        <f>IF(A358&lt;&gt;"Yes","",IF(OR(B358="",D358="",E358&lt;=0,F358="",I358=""),"Check Required Fields",IF(AA358="Possible Duplicate","Possible Duplicate",IF(E358&gt;SETTINGS!$B$22,"Review Extreme Value","OK"))))</f>
        <v/>
      </c>
    </row>
    <row r="359" spans="1:33" ht="14.4">
      <c r="A359" s="9"/>
      <c r="B359" s="13"/>
      <c r="C359" s="9"/>
      <c r="D359" s="9"/>
      <c r="E359" s="11"/>
      <c r="F359" s="9"/>
      <c r="G359" s="9"/>
      <c r="H359" s="44" t="str">
        <f>IF(D359="","",IF(ISNUMBER(SEARCH(SETTINGS!$K$4,D359)),SETTINGS!$L$4,IF(ISNUMBER(SEARCH(SETTINGS!$K$5,D359)),SETTINGS!$L$5,IF(ISNUMBER(SEARCH(SETTINGS!$K$6,D359)),SETTINGS!$L$6,IF(ISNUMBER(SEARCH(SETTINGS!$K$7,D359)),SETTINGS!$L$7,IF(ISNUMBER(SEARCH(SETTINGS!$K$8,D359)),SETTINGS!$L$8,IF(ISNUMBER(SEARCH(SETTINGS!$K$9,D359)),SETTINGS!$L$9,IF(ISNUMBER(SEARCH(SETTINGS!$K$10,D359)),SETTINGS!$L$10,IF(ISNUMBER(SEARCH(SETTINGS!$K$11,D359)),SETTINGS!$L$11,IF(ISNUMBER(SEARCH(SETTINGS!$K$12,D359)),SETTINGS!$L$12,IF(ISNUMBER(SEARCH(SETTINGS!$K$13,D359)),SETTINGS!$L$13,IF(ISNUMBER(SEARCH(SETTINGS!$K$14,D359)),SETTINGS!$L$14,IF(ISNUMBER(SEARCH(SETTINGS!$K$15,D359)),SETTINGS!$L$15,IF(ISNUMBER(SEARCH(SETTINGS!$K$16,D359)),SETTINGS!$L$16,IF(ISNUMBER(SEARCH(SETTINGS!$K$17,D359)),SETTINGS!$L$17,IF(ISNUMBER(SEARCH(SETTINGS!$K$18,D359)),SETTINGS!$L$18,"Miscellaneous"))))))))))))))))</f>
        <v/>
      </c>
      <c r="I359" s="44" t="str">
        <f t="shared" si="40"/>
        <v/>
      </c>
      <c r="J359" s="9"/>
      <c r="K359" s="9"/>
      <c r="L359" s="9"/>
      <c r="M359" s="9"/>
      <c r="N359" s="9"/>
      <c r="O359" s="9"/>
      <c r="P359" s="13"/>
      <c r="Q359" s="9"/>
      <c r="R359" s="9"/>
      <c r="S359" s="9"/>
      <c r="T359" s="11"/>
      <c r="U359" s="44" t="str">
        <f t="shared" si="41"/>
        <v/>
      </c>
      <c r="V359" s="44" t="str">
        <f t="shared" si="42"/>
        <v/>
      </c>
      <c r="W359" s="44" t="str">
        <f t="shared" si="43"/>
        <v/>
      </c>
      <c r="X359" s="44" t="str">
        <f t="shared" si="44"/>
        <v/>
      </c>
      <c r="Y359" s="44" t="str">
        <f t="shared" si="45"/>
        <v/>
      </c>
      <c r="Z359" s="44" t="str">
        <f t="shared" si="46"/>
        <v/>
      </c>
      <c r="AA359" s="50" t="str">
        <f t="shared" si="47"/>
        <v/>
      </c>
      <c r="AB359" s="50" t="str">
        <f>IF(OR(B359="",C359&lt;&gt;"Expense"),"",IF(E359&gt;IFERROR(AVERAGEIFS($E$8:$E$1007,$I$8:$I$1007,I359,$C$8:$C$1007,"Expense")*SETTINGS!$B$20,0),"Unusually High","Normal"))</f>
        <v/>
      </c>
      <c r="AC359" s="51"/>
      <c r="AD359" s="51"/>
      <c r="AE359" s="51"/>
      <c r="AF359" s="50" t="str">
        <f>IF(A359&lt;&gt;"Yes","No",IF(AND(AC359="Yes",SETTINGS!$B$16="No"),"No","Yes"))</f>
        <v>No</v>
      </c>
      <c r="AG359" s="50" t="str">
        <f>IF(A359&lt;&gt;"Yes","",IF(OR(B359="",D359="",E359&lt;=0,F359="",I359=""),"Check Required Fields",IF(AA359="Possible Duplicate","Possible Duplicate",IF(E359&gt;SETTINGS!$B$22,"Review Extreme Value","OK"))))</f>
        <v/>
      </c>
    </row>
    <row r="360" spans="1:33" ht="14.4">
      <c r="A360" s="9"/>
      <c r="B360" s="13"/>
      <c r="C360" s="9"/>
      <c r="D360" s="9"/>
      <c r="E360" s="11"/>
      <c r="F360" s="9"/>
      <c r="G360" s="9"/>
      <c r="H360" s="44" t="str">
        <f>IF(D360="","",IF(ISNUMBER(SEARCH(SETTINGS!$K$4,D360)),SETTINGS!$L$4,IF(ISNUMBER(SEARCH(SETTINGS!$K$5,D360)),SETTINGS!$L$5,IF(ISNUMBER(SEARCH(SETTINGS!$K$6,D360)),SETTINGS!$L$6,IF(ISNUMBER(SEARCH(SETTINGS!$K$7,D360)),SETTINGS!$L$7,IF(ISNUMBER(SEARCH(SETTINGS!$K$8,D360)),SETTINGS!$L$8,IF(ISNUMBER(SEARCH(SETTINGS!$K$9,D360)),SETTINGS!$L$9,IF(ISNUMBER(SEARCH(SETTINGS!$K$10,D360)),SETTINGS!$L$10,IF(ISNUMBER(SEARCH(SETTINGS!$K$11,D360)),SETTINGS!$L$11,IF(ISNUMBER(SEARCH(SETTINGS!$K$12,D360)),SETTINGS!$L$12,IF(ISNUMBER(SEARCH(SETTINGS!$K$13,D360)),SETTINGS!$L$13,IF(ISNUMBER(SEARCH(SETTINGS!$K$14,D360)),SETTINGS!$L$14,IF(ISNUMBER(SEARCH(SETTINGS!$K$15,D360)),SETTINGS!$L$15,IF(ISNUMBER(SEARCH(SETTINGS!$K$16,D360)),SETTINGS!$L$16,IF(ISNUMBER(SEARCH(SETTINGS!$K$17,D360)),SETTINGS!$L$17,IF(ISNUMBER(SEARCH(SETTINGS!$K$18,D360)),SETTINGS!$L$18,"Miscellaneous"))))))))))))))))</f>
        <v/>
      </c>
      <c r="I360" s="44" t="str">
        <f t="shared" si="40"/>
        <v/>
      </c>
      <c r="J360" s="9"/>
      <c r="K360" s="9"/>
      <c r="L360" s="9"/>
      <c r="M360" s="9"/>
      <c r="N360" s="9"/>
      <c r="O360" s="9"/>
      <c r="P360" s="13"/>
      <c r="Q360" s="9"/>
      <c r="R360" s="9"/>
      <c r="S360" s="9"/>
      <c r="T360" s="11"/>
      <c r="U360" s="44" t="str">
        <f t="shared" si="41"/>
        <v/>
      </c>
      <c r="V360" s="44" t="str">
        <f t="shared" si="42"/>
        <v/>
      </c>
      <c r="W360" s="44" t="str">
        <f t="shared" si="43"/>
        <v/>
      </c>
      <c r="X360" s="44" t="str">
        <f t="shared" si="44"/>
        <v/>
      </c>
      <c r="Y360" s="44" t="str">
        <f t="shared" si="45"/>
        <v/>
      </c>
      <c r="Z360" s="44" t="str">
        <f t="shared" si="46"/>
        <v/>
      </c>
      <c r="AA360" s="50" t="str">
        <f t="shared" si="47"/>
        <v/>
      </c>
      <c r="AB360" s="50" t="str">
        <f>IF(OR(B360="",C360&lt;&gt;"Expense"),"",IF(E360&gt;IFERROR(AVERAGEIFS($E$8:$E$1007,$I$8:$I$1007,I360,$C$8:$C$1007,"Expense")*SETTINGS!$B$20,0),"Unusually High","Normal"))</f>
        <v/>
      </c>
      <c r="AC360" s="51"/>
      <c r="AD360" s="51"/>
      <c r="AE360" s="51"/>
      <c r="AF360" s="50" t="str">
        <f>IF(A360&lt;&gt;"Yes","No",IF(AND(AC360="Yes",SETTINGS!$B$16="No"),"No","Yes"))</f>
        <v>No</v>
      </c>
      <c r="AG360" s="50" t="str">
        <f>IF(A360&lt;&gt;"Yes","",IF(OR(B360="",D360="",E360&lt;=0,F360="",I360=""),"Check Required Fields",IF(AA360="Possible Duplicate","Possible Duplicate",IF(E360&gt;SETTINGS!$B$22,"Review Extreme Value","OK"))))</f>
        <v/>
      </c>
    </row>
    <row r="361" spans="1:33" ht="14.4">
      <c r="A361" s="9"/>
      <c r="B361" s="13"/>
      <c r="C361" s="9"/>
      <c r="D361" s="9"/>
      <c r="E361" s="11"/>
      <c r="F361" s="9"/>
      <c r="G361" s="9"/>
      <c r="H361" s="44" t="str">
        <f>IF(D361="","",IF(ISNUMBER(SEARCH(SETTINGS!$K$4,D361)),SETTINGS!$L$4,IF(ISNUMBER(SEARCH(SETTINGS!$K$5,D361)),SETTINGS!$L$5,IF(ISNUMBER(SEARCH(SETTINGS!$K$6,D361)),SETTINGS!$L$6,IF(ISNUMBER(SEARCH(SETTINGS!$K$7,D361)),SETTINGS!$L$7,IF(ISNUMBER(SEARCH(SETTINGS!$K$8,D361)),SETTINGS!$L$8,IF(ISNUMBER(SEARCH(SETTINGS!$K$9,D361)),SETTINGS!$L$9,IF(ISNUMBER(SEARCH(SETTINGS!$K$10,D361)),SETTINGS!$L$10,IF(ISNUMBER(SEARCH(SETTINGS!$K$11,D361)),SETTINGS!$L$11,IF(ISNUMBER(SEARCH(SETTINGS!$K$12,D361)),SETTINGS!$L$12,IF(ISNUMBER(SEARCH(SETTINGS!$K$13,D361)),SETTINGS!$L$13,IF(ISNUMBER(SEARCH(SETTINGS!$K$14,D361)),SETTINGS!$L$14,IF(ISNUMBER(SEARCH(SETTINGS!$K$15,D361)),SETTINGS!$L$15,IF(ISNUMBER(SEARCH(SETTINGS!$K$16,D361)),SETTINGS!$L$16,IF(ISNUMBER(SEARCH(SETTINGS!$K$17,D361)),SETTINGS!$L$17,IF(ISNUMBER(SEARCH(SETTINGS!$K$18,D361)),SETTINGS!$L$18,"Miscellaneous"))))))))))))))))</f>
        <v/>
      </c>
      <c r="I361" s="44" t="str">
        <f t="shared" si="40"/>
        <v/>
      </c>
      <c r="J361" s="9"/>
      <c r="K361" s="9"/>
      <c r="L361" s="9"/>
      <c r="M361" s="9"/>
      <c r="N361" s="9"/>
      <c r="O361" s="9"/>
      <c r="P361" s="13"/>
      <c r="Q361" s="9"/>
      <c r="R361" s="9"/>
      <c r="S361" s="9"/>
      <c r="T361" s="11"/>
      <c r="U361" s="44" t="str">
        <f t="shared" si="41"/>
        <v/>
      </c>
      <c r="V361" s="44" t="str">
        <f t="shared" si="42"/>
        <v/>
      </c>
      <c r="W361" s="44" t="str">
        <f t="shared" si="43"/>
        <v/>
      </c>
      <c r="X361" s="44" t="str">
        <f t="shared" si="44"/>
        <v/>
      </c>
      <c r="Y361" s="44" t="str">
        <f t="shared" si="45"/>
        <v/>
      </c>
      <c r="Z361" s="44" t="str">
        <f t="shared" si="46"/>
        <v/>
      </c>
      <c r="AA361" s="50" t="str">
        <f t="shared" si="47"/>
        <v/>
      </c>
      <c r="AB361" s="50" t="str">
        <f>IF(OR(B361="",C361&lt;&gt;"Expense"),"",IF(E361&gt;IFERROR(AVERAGEIFS($E$8:$E$1007,$I$8:$I$1007,I361,$C$8:$C$1007,"Expense")*SETTINGS!$B$20,0),"Unusually High","Normal"))</f>
        <v/>
      </c>
      <c r="AC361" s="51"/>
      <c r="AD361" s="51"/>
      <c r="AE361" s="51"/>
      <c r="AF361" s="50" t="str">
        <f>IF(A361&lt;&gt;"Yes","No",IF(AND(AC361="Yes",SETTINGS!$B$16="No"),"No","Yes"))</f>
        <v>No</v>
      </c>
      <c r="AG361" s="50" t="str">
        <f>IF(A361&lt;&gt;"Yes","",IF(OR(B361="",D361="",E361&lt;=0,F361="",I361=""),"Check Required Fields",IF(AA361="Possible Duplicate","Possible Duplicate",IF(E361&gt;SETTINGS!$B$22,"Review Extreme Value","OK"))))</f>
        <v/>
      </c>
    </row>
    <row r="362" spans="1:33" ht="14.4">
      <c r="A362" s="9"/>
      <c r="B362" s="13"/>
      <c r="C362" s="9"/>
      <c r="D362" s="9"/>
      <c r="E362" s="11"/>
      <c r="F362" s="9"/>
      <c r="G362" s="9"/>
      <c r="H362" s="44" t="str">
        <f>IF(D362="","",IF(ISNUMBER(SEARCH(SETTINGS!$K$4,D362)),SETTINGS!$L$4,IF(ISNUMBER(SEARCH(SETTINGS!$K$5,D362)),SETTINGS!$L$5,IF(ISNUMBER(SEARCH(SETTINGS!$K$6,D362)),SETTINGS!$L$6,IF(ISNUMBER(SEARCH(SETTINGS!$K$7,D362)),SETTINGS!$L$7,IF(ISNUMBER(SEARCH(SETTINGS!$K$8,D362)),SETTINGS!$L$8,IF(ISNUMBER(SEARCH(SETTINGS!$K$9,D362)),SETTINGS!$L$9,IF(ISNUMBER(SEARCH(SETTINGS!$K$10,D362)),SETTINGS!$L$10,IF(ISNUMBER(SEARCH(SETTINGS!$K$11,D362)),SETTINGS!$L$11,IF(ISNUMBER(SEARCH(SETTINGS!$K$12,D362)),SETTINGS!$L$12,IF(ISNUMBER(SEARCH(SETTINGS!$K$13,D362)),SETTINGS!$L$13,IF(ISNUMBER(SEARCH(SETTINGS!$K$14,D362)),SETTINGS!$L$14,IF(ISNUMBER(SEARCH(SETTINGS!$K$15,D362)),SETTINGS!$L$15,IF(ISNUMBER(SEARCH(SETTINGS!$K$16,D362)),SETTINGS!$L$16,IF(ISNUMBER(SEARCH(SETTINGS!$K$17,D362)),SETTINGS!$L$17,IF(ISNUMBER(SEARCH(SETTINGS!$K$18,D362)),SETTINGS!$L$18,"Miscellaneous"))))))))))))))))</f>
        <v/>
      </c>
      <c r="I362" s="44" t="str">
        <f t="shared" si="40"/>
        <v/>
      </c>
      <c r="J362" s="9"/>
      <c r="K362" s="9"/>
      <c r="L362" s="9"/>
      <c r="M362" s="9"/>
      <c r="N362" s="9"/>
      <c r="O362" s="9"/>
      <c r="P362" s="13"/>
      <c r="Q362" s="9"/>
      <c r="R362" s="9"/>
      <c r="S362" s="9"/>
      <c r="T362" s="11"/>
      <c r="U362" s="44" t="str">
        <f t="shared" si="41"/>
        <v/>
      </c>
      <c r="V362" s="44" t="str">
        <f t="shared" si="42"/>
        <v/>
      </c>
      <c r="W362" s="44" t="str">
        <f t="shared" si="43"/>
        <v/>
      </c>
      <c r="X362" s="44" t="str">
        <f t="shared" si="44"/>
        <v/>
      </c>
      <c r="Y362" s="44" t="str">
        <f t="shared" si="45"/>
        <v/>
      </c>
      <c r="Z362" s="44" t="str">
        <f t="shared" si="46"/>
        <v/>
      </c>
      <c r="AA362" s="50" t="str">
        <f t="shared" si="47"/>
        <v/>
      </c>
      <c r="AB362" s="50" t="str">
        <f>IF(OR(B362="",C362&lt;&gt;"Expense"),"",IF(E362&gt;IFERROR(AVERAGEIFS($E$8:$E$1007,$I$8:$I$1007,I362,$C$8:$C$1007,"Expense")*SETTINGS!$B$20,0),"Unusually High","Normal"))</f>
        <v/>
      </c>
      <c r="AC362" s="51"/>
      <c r="AD362" s="51"/>
      <c r="AE362" s="51"/>
      <c r="AF362" s="50" t="str">
        <f>IF(A362&lt;&gt;"Yes","No",IF(AND(AC362="Yes",SETTINGS!$B$16="No"),"No","Yes"))</f>
        <v>No</v>
      </c>
      <c r="AG362" s="50" t="str">
        <f>IF(A362&lt;&gt;"Yes","",IF(OR(B362="",D362="",E362&lt;=0,F362="",I362=""),"Check Required Fields",IF(AA362="Possible Duplicate","Possible Duplicate",IF(E362&gt;SETTINGS!$B$22,"Review Extreme Value","OK"))))</f>
        <v/>
      </c>
    </row>
    <row r="363" spans="1:33" ht="14.4">
      <c r="A363" s="9"/>
      <c r="B363" s="13"/>
      <c r="C363" s="9"/>
      <c r="D363" s="9"/>
      <c r="E363" s="11"/>
      <c r="F363" s="9"/>
      <c r="G363" s="9"/>
      <c r="H363" s="44" t="str">
        <f>IF(D363="","",IF(ISNUMBER(SEARCH(SETTINGS!$K$4,D363)),SETTINGS!$L$4,IF(ISNUMBER(SEARCH(SETTINGS!$K$5,D363)),SETTINGS!$L$5,IF(ISNUMBER(SEARCH(SETTINGS!$K$6,D363)),SETTINGS!$L$6,IF(ISNUMBER(SEARCH(SETTINGS!$K$7,D363)),SETTINGS!$L$7,IF(ISNUMBER(SEARCH(SETTINGS!$K$8,D363)),SETTINGS!$L$8,IF(ISNUMBER(SEARCH(SETTINGS!$K$9,D363)),SETTINGS!$L$9,IF(ISNUMBER(SEARCH(SETTINGS!$K$10,D363)),SETTINGS!$L$10,IF(ISNUMBER(SEARCH(SETTINGS!$K$11,D363)),SETTINGS!$L$11,IF(ISNUMBER(SEARCH(SETTINGS!$K$12,D363)),SETTINGS!$L$12,IF(ISNUMBER(SEARCH(SETTINGS!$K$13,D363)),SETTINGS!$L$13,IF(ISNUMBER(SEARCH(SETTINGS!$K$14,D363)),SETTINGS!$L$14,IF(ISNUMBER(SEARCH(SETTINGS!$K$15,D363)),SETTINGS!$L$15,IF(ISNUMBER(SEARCH(SETTINGS!$K$16,D363)),SETTINGS!$L$16,IF(ISNUMBER(SEARCH(SETTINGS!$K$17,D363)),SETTINGS!$L$17,IF(ISNUMBER(SEARCH(SETTINGS!$K$18,D363)),SETTINGS!$L$18,"Miscellaneous"))))))))))))))))</f>
        <v/>
      </c>
      <c r="I363" s="44" t="str">
        <f t="shared" si="40"/>
        <v/>
      </c>
      <c r="J363" s="9"/>
      <c r="K363" s="9"/>
      <c r="L363" s="9"/>
      <c r="M363" s="9"/>
      <c r="N363" s="9"/>
      <c r="O363" s="9"/>
      <c r="P363" s="13"/>
      <c r="Q363" s="9"/>
      <c r="R363" s="9"/>
      <c r="S363" s="9"/>
      <c r="T363" s="11"/>
      <c r="U363" s="44" t="str">
        <f t="shared" si="41"/>
        <v/>
      </c>
      <c r="V363" s="44" t="str">
        <f t="shared" si="42"/>
        <v/>
      </c>
      <c r="W363" s="44" t="str">
        <f t="shared" si="43"/>
        <v/>
      </c>
      <c r="X363" s="44" t="str">
        <f t="shared" si="44"/>
        <v/>
      </c>
      <c r="Y363" s="44" t="str">
        <f t="shared" si="45"/>
        <v/>
      </c>
      <c r="Z363" s="44" t="str">
        <f t="shared" si="46"/>
        <v/>
      </c>
      <c r="AA363" s="50" t="str">
        <f t="shared" si="47"/>
        <v/>
      </c>
      <c r="AB363" s="50" t="str">
        <f>IF(OR(B363="",C363&lt;&gt;"Expense"),"",IF(E363&gt;IFERROR(AVERAGEIFS($E$8:$E$1007,$I$8:$I$1007,I363,$C$8:$C$1007,"Expense")*SETTINGS!$B$20,0),"Unusually High","Normal"))</f>
        <v/>
      </c>
      <c r="AC363" s="51"/>
      <c r="AD363" s="51"/>
      <c r="AE363" s="51"/>
      <c r="AF363" s="50" t="str">
        <f>IF(A363&lt;&gt;"Yes","No",IF(AND(AC363="Yes",SETTINGS!$B$16="No"),"No","Yes"))</f>
        <v>No</v>
      </c>
      <c r="AG363" s="50" t="str">
        <f>IF(A363&lt;&gt;"Yes","",IF(OR(B363="",D363="",E363&lt;=0,F363="",I363=""),"Check Required Fields",IF(AA363="Possible Duplicate","Possible Duplicate",IF(E363&gt;SETTINGS!$B$22,"Review Extreme Value","OK"))))</f>
        <v/>
      </c>
    </row>
    <row r="364" spans="1:33" ht="14.4">
      <c r="A364" s="9"/>
      <c r="B364" s="13"/>
      <c r="C364" s="9"/>
      <c r="D364" s="9"/>
      <c r="E364" s="11"/>
      <c r="F364" s="9"/>
      <c r="G364" s="9"/>
      <c r="H364" s="44" t="str">
        <f>IF(D364="","",IF(ISNUMBER(SEARCH(SETTINGS!$K$4,D364)),SETTINGS!$L$4,IF(ISNUMBER(SEARCH(SETTINGS!$K$5,D364)),SETTINGS!$L$5,IF(ISNUMBER(SEARCH(SETTINGS!$K$6,D364)),SETTINGS!$L$6,IF(ISNUMBER(SEARCH(SETTINGS!$K$7,D364)),SETTINGS!$L$7,IF(ISNUMBER(SEARCH(SETTINGS!$K$8,D364)),SETTINGS!$L$8,IF(ISNUMBER(SEARCH(SETTINGS!$K$9,D364)),SETTINGS!$L$9,IF(ISNUMBER(SEARCH(SETTINGS!$K$10,D364)),SETTINGS!$L$10,IF(ISNUMBER(SEARCH(SETTINGS!$K$11,D364)),SETTINGS!$L$11,IF(ISNUMBER(SEARCH(SETTINGS!$K$12,D364)),SETTINGS!$L$12,IF(ISNUMBER(SEARCH(SETTINGS!$K$13,D364)),SETTINGS!$L$13,IF(ISNUMBER(SEARCH(SETTINGS!$K$14,D364)),SETTINGS!$L$14,IF(ISNUMBER(SEARCH(SETTINGS!$K$15,D364)),SETTINGS!$L$15,IF(ISNUMBER(SEARCH(SETTINGS!$K$16,D364)),SETTINGS!$L$16,IF(ISNUMBER(SEARCH(SETTINGS!$K$17,D364)),SETTINGS!$L$17,IF(ISNUMBER(SEARCH(SETTINGS!$K$18,D364)),SETTINGS!$L$18,"Miscellaneous"))))))))))))))))</f>
        <v/>
      </c>
      <c r="I364" s="44" t="str">
        <f t="shared" si="40"/>
        <v/>
      </c>
      <c r="J364" s="9"/>
      <c r="K364" s="9"/>
      <c r="L364" s="9"/>
      <c r="M364" s="9"/>
      <c r="N364" s="9"/>
      <c r="O364" s="9"/>
      <c r="P364" s="13"/>
      <c r="Q364" s="9"/>
      <c r="R364" s="9"/>
      <c r="S364" s="9"/>
      <c r="T364" s="11"/>
      <c r="U364" s="44" t="str">
        <f t="shared" si="41"/>
        <v/>
      </c>
      <c r="V364" s="44" t="str">
        <f t="shared" si="42"/>
        <v/>
      </c>
      <c r="W364" s="44" t="str">
        <f t="shared" si="43"/>
        <v/>
      </c>
      <c r="X364" s="44" t="str">
        <f t="shared" si="44"/>
        <v/>
      </c>
      <c r="Y364" s="44" t="str">
        <f t="shared" si="45"/>
        <v/>
      </c>
      <c r="Z364" s="44" t="str">
        <f t="shared" si="46"/>
        <v/>
      </c>
      <c r="AA364" s="50" t="str">
        <f t="shared" si="47"/>
        <v/>
      </c>
      <c r="AB364" s="50" t="str">
        <f>IF(OR(B364="",C364&lt;&gt;"Expense"),"",IF(E364&gt;IFERROR(AVERAGEIFS($E$8:$E$1007,$I$8:$I$1007,I364,$C$8:$C$1007,"Expense")*SETTINGS!$B$20,0),"Unusually High","Normal"))</f>
        <v/>
      </c>
      <c r="AC364" s="51"/>
      <c r="AD364" s="51"/>
      <c r="AE364" s="51"/>
      <c r="AF364" s="50" t="str">
        <f>IF(A364&lt;&gt;"Yes","No",IF(AND(AC364="Yes",SETTINGS!$B$16="No"),"No","Yes"))</f>
        <v>No</v>
      </c>
      <c r="AG364" s="50" t="str">
        <f>IF(A364&lt;&gt;"Yes","",IF(OR(B364="",D364="",E364&lt;=0,F364="",I364=""),"Check Required Fields",IF(AA364="Possible Duplicate","Possible Duplicate",IF(E364&gt;SETTINGS!$B$22,"Review Extreme Value","OK"))))</f>
        <v/>
      </c>
    </row>
    <row r="365" spans="1:33" ht="14.4">
      <c r="A365" s="9"/>
      <c r="B365" s="13"/>
      <c r="C365" s="9"/>
      <c r="D365" s="9"/>
      <c r="E365" s="11"/>
      <c r="F365" s="9"/>
      <c r="G365" s="9"/>
      <c r="H365" s="44" t="str">
        <f>IF(D365="","",IF(ISNUMBER(SEARCH(SETTINGS!$K$4,D365)),SETTINGS!$L$4,IF(ISNUMBER(SEARCH(SETTINGS!$K$5,D365)),SETTINGS!$L$5,IF(ISNUMBER(SEARCH(SETTINGS!$K$6,D365)),SETTINGS!$L$6,IF(ISNUMBER(SEARCH(SETTINGS!$K$7,D365)),SETTINGS!$L$7,IF(ISNUMBER(SEARCH(SETTINGS!$K$8,D365)),SETTINGS!$L$8,IF(ISNUMBER(SEARCH(SETTINGS!$K$9,D365)),SETTINGS!$L$9,IF(ISNUMBER(SEARCH(SETTINGS!$K$10,D365)),SETTINGS!$L$10,IF(ISNUMBER(SEARCH(SETTINGS!$K$11,D365)),SETTINGS!$L$11,IF(ISNUMBER(SEARCH(SETTINGS!$K$12,D365)),SETTINGS!$L$12,IF(ISNUMBER(SEARCH(SETTINGS!$K$13,D365)),SETTINGS!$L$13,IF(ISNUMBER(SEARCH(SETTINGS!$K$14,D365)),SETTINGS!$L$14,IF(ISNUMBER(SEARCH(SETTINGS!$K$15,D365)),SETTINGS!$L$15,IF(ISNUMBER(SEARCH(SETTINGS!$K$16,D365)),SETTINGS!$L$16,IF(ISNUMBER(SEARCH(SETTINGS!$K$17,D365)),SETTINGS!$L$17,IF(ISNUMBER(SEARCH(SETTINGS!$K$18,D365)),SETTINGS!$L$18,"Miscellaneous"))))))))))))))))</f>
        <v/>
      </c>
      <c r="I365" s="44" t="str">
        <f t="shared" si="40"/>
        <v/>
      </c>
      <c r="J365" s="9"/>
      <c r="K365" s="9"/>
      <c r="L365" s="9"/>
      <c r="M365" s="9"/>
      <c r="N365" s="9"/>
      <c r="O365" s="9"/>
      <c r="P365" s="13"/>
      <c r="Q365" s="9"/>
      <c r="R365" s="9"/>
      <c r="S365" s="9"/>
      <c r="T365" s="11"/>
      <c r="U365" s="44" t="str">
        <f t="shared" si="41"/>
        <v/>
      </c>
      <c r="V365" s="44" t="str">
        <f t="shared" si="42"/>
        <v/>
      </c>
      <c r="W365" s="44" t="str">
        <f t="shared" si="43"/>
        <v/>
      </c>
      <c r="X365" s="44" t="str">
        <f t="shared" si="44"/>
        <v/>
      </c>
      <c r="Y365" s="44" t="str">
        <f t="shared" si="45"/>
        <v/>
      </c>
      <c r="Z365" s="44" t="str">
        <f t="shared" si="46"/>
        <v/>
      </c>
      <c r="AA365" s="50" t="str">
        <f t="shared" si="47"/>
        <v/>
      </c>
      <c r="AB365" s="50" t="str">
        <f>IF(OR(B365="",C365&lt;&gt;"Expense"),"",IF(E365&gt;IFERROR(AVERAGEIFS($E$8:$E$1007,$I$8:$I$1007,I365,$C$8:$C$1007,"Expense")*SETTINGS!$B$20,0),"Unusually High","Normal"))</f>
        <v/>
      </c>
      <c r="AC365" s="51"/>
      <c r="AD365" s="51"/>
      <c r="AE365" s="51"/>
      <c r="AF365" s="50" t="str">
        <f>IF(A365&lt;&gt;"Yes","No",IF(AND(AC365="Yes",SETTINGS!$B$16="No"),"No","Yes"))</f>
        <v>No</v>
      </c>
      <c r="AG365" s="50" t="str">
        <f>IF(A365&lt;&gt;"Yes","",IF(OR(B365="",D365="",E365&lt;=0,F365="",I365=""),"Check Required Fields",IF(AA365="Possible Duplicate","Possible Duplicate",IF(E365&gt;SETTINGS!$B$22,"Review Extreme Value","OK"))))</f>
        <v/>
      </c>
    </row>
    <row r="366" spans="1:33" ht="14.4">
      <c r="A366" s="9"/>
      <c r="B366" s="13"/>
      <c r="C366" s="9"/>
      <c r="D366" s="9"/>
      <c r="E366" s="11"/>
      <c r="F366" s="9"/>
      <c r="G366" s="9"/>
      <c r="H366" s="44" t="str">
        <f>IF(D366="","",IF(ISNUMBER(SEARCH(SETTINGS!$K$4,D366)),SETTINGS!$L$4,IF(ISNUMBER(SEARCH(SETTINGS!$K$5,D366)),SETTINGS!$L$5,IF(ISNUMBER(SEARCH(SETTINGS!$K$6,D366)),SETTINGS!$L$6,IF(ISNUMBER(SEARCH(SETTINGS!$K$7,D366)),SETTINGS!$L$7,IF(ISNUMBER(SEARCH(SETTINGS!$K$8,D366)),SETTINGS!$L$8,IF(ISNUMBER(SEARCH(SETTINGS!$K$9,D366)),SETTINGS!$L$9,IF(ISNUMBER(SEARCH(SETTINGS!$K$10,D366)),SETTINGS!$L$10,IF(ISNUMBER(SEARCH(SETTINGS!$K$11,D366)),SETTINGS!$L$11,IF(ISNUMBER(SEARCH(SETTINGS!$K$12,D366)),SETTINGS!$L$12,IF(ISNUMBER(SEARCH(SETTINGS!$K$13,D366)),SETTINGS!$L$13,IF(ISNUMBER(SEARCH(SETTINGS!$K$14,D366)),SETTINGS!$L$14,IF(ISNUMBER(SEARCH(SETTINGS!$K$15,D366)),SETTINGS!$L$15,IF(ISNUMBER(SEARCH(SETTINGS!$K$16,D366)),SETTINGS!$L$16,IF(ISNUMBER(SEARCH(SETTINGS!$K$17,D366)),SETTINGS!$L$17,IF(ISNUMBER(SEARCH(SETTINGS!$K$18,D366)),SETTINGS!$L$18,"Miscellaneous"))))))))))))))))</f>
        <v/>
      </c>
      <c r="I366" s="44" t="str">
        <f t="shared" si="40"/>
        <v/>
      </c>
      <c r="J366" s="9"/>
      <c r="K366" s="9"/>
      <c r="L366" s="9"/>
      <c r="M366" s="9"/>
      <c r="N366" s="9"/>
      <c r="O366" s="9"/>
      <c r="P366" s="13"/>
      <c r="Q366" s="9"/>
      <c r="R366" s="9"/>
      <c r="S366" s="9"/>
      <c r="T366" s="11"/>
      <c r="U366" s="44" t="str">
        <f t="shared" si="41"/>
        <v/>
      </c>
      <c r="V366" s="44" t="str">
        <f t="shared" si="42"/>
        <v/>
      </c>
      <c r="W366" s="44" t="str">
        <f t="shared" si="43"/>
        <v/>
      </c>
      <c r="X366" s="44" t="str">
        <f t="shared" si="44"/>
        <v/>
      </c>
      <c r="Y366" s="44" t="str">
        <f t="shared" si="45"/>
        <v/>
      </c>
      <c r="Z366" s="44" t="str">
        <f t="shared" si="46"/>
        <v/>
      </c>
      <c r="AA366" s="50" t="str">
        <f t="shared" si="47"/>
        <v/>
      </c>
      <c r="AB366" s="50" t="str">
        <f>IF(OR(B366="",C366&lt;&gt;"Expense"),"",IF(E366&gt;IFERROR(AVERAGEIFS($E$8:$E$1007,$I$8:$I$1007,I366,$C$8:$C$1007,"Expense")*SETTINGS!$B$20,0),"Unusually High","Normal"))</f>
        <v/>
      </c>
      <c r="AC366" s="51"/>
      <c r="AD366" s="51"/>
      <c r="AE366" s="51"/>
      <c r="AF366" s="50" t="str">
        <f>IF(A366&lt;&gt;"Yes","No",IF(AND(AC366="Yes",SETTINGS!$B$16="No"),"No","Yes"))</f>
        <v>No</v>
      </c>
      <c r="AG366" s="50" t="str">
        <f>IF(A366&lt;&gt;"Yes","",IF(OR(B366="",D366="",E366&lt;=0,F366="",I366=""),"Check Required Fields",IF(AA366="Possible Duplicate","Possible Duplicate",IF(E366&gt;SETTINGS!$B$22,"Review Extreme Value","OK"))))</f>
        <v/>
      </c>
    </row>
    <row r="367" spans="1:33" ht="14.4">
      <c r="A367" s="9"/>
      <c r="B367" s="13"/>
      <c r="C367" s="9"/>
      <c r="D367" s="9"/>
      <c r="E367" s="11"/>
      <c r="F367" s="9"/>
      <c r="G367" s="9"/>
      <c r="H367" s="44" t="str">
        <f>IF(D367="","",IF(ISNUMBER(SEARCH(SETTINGS!$K$4,D367)),SETTINGS!$L$4,IF(ISNUMBER(SEARCH(SETTINGS!$K$5,D367)),SETTINGS!$L$5,IF(ISNUMBER(SEARCH(SETTINGS!$K$6,D367)),SETTINGS!$L$6,IF(ISNUMBER(SEARCH(SETTINGS!$K$7,D367)),SETTINGS!$L$7,IF(ISNUMBER(SEARCH(SETTINGS!$K$8,D367)),SETTINGS!$L$8,IF(ISNUMBER(SEARCH(SETTINGS!$K$9,D367)),SETTINGS!$L$9,IF(ISNUMBER(SEARCH(SETTINGS!$K$10,D367)),SETTINGS!$L$10,IF(ISNUMBER(SEARCH(SETTINGS!$K$11,D367)),SETTINGS!$L$11,IF(ISNUMBER(SEARCH(SETTINGS!$K$12,D367)),SETTINGS!$L$12,IF(ISNUMBER(SEARCH(SETTINGS!$K$13,D367)),SETTINGS!$L$13,IF(ISNUMBER(SEARCH(SETTINGS!$K$14,D367)),SETTINGS!$L$14,IF(ISNUMBER(SEARCH(SETTINGS!$K$15,D367)),SETTINGS!$L$15,IF(ISNUMBER(SEARCH(SETTINGS!$K$16,D367)),SETTINGS!$L$16,IF(ISNUMBER(SEARCH(SETTINGS!$K$17,D367)),SETTINGS!$L$17,IF(ISNUMBER(SEARCH(SETTINGS!$K$18,D367)),SETTINGS!$L$18,"Miscellaneous"))))))))))))))))</f>
        <v/>
      </c>
      <c r="I367" s="44" t="str">
        <f t="shared" si="40"/>
        <v/>
      </c>
      <c r="J367" s="9"/>
      <c r="K367" s="9"/>
      <c r="L367" s="9"/>
      <c r="M367" s="9"/>
      <c r="N367" s="9"/>
      <c r="O367" s="9"/>
      <c r="P367" s="13"/>
      <c r="Q367" s="9"/>
      <c r="R367" s="9"/>
      <c r="S367" s="9"/>
      <c r="T367" s="11"/>
      <c r="U367" s="44" t="str">
        <f t="shared" si="41"/>
        <v/>
      </c>
      <c r="V367" s="44" t="str">
        <f t="shared" si="42"/>
        <v/>
      </c>
      <c r="W367" s="44" t="str">
        <f t="shared" si="43"/>
        <v/>
      </c>
      <c r="X367" s="44" t="str">
        <f t="shared" si="44"/>
        <v/>
      </c>
      <c r="Y367" s="44" t="str">
        <f t="shared" si="45"/>
        <v/>
      </c>
      <c r="Z367" s="44" t="str">
        <f t="shared" si="46"/>
        <v/>
      </c>
      <c r="AA367" s="50" t="str">
        <f t="shared" si="47"/>
        <v/>
      </c>
      <c r="AB367" s="50" t="str">
        <f>IF(OR(B367="",C367&lt;&gt;"Expense"),"",IF(E367&gt;IFERROR(AVERAGEIFS($E$8:$E$1007,$I$8:$I$1007,I367,$C$8:$C$1007,"Expense")*SETTINGS!$B$20,0),"Unusually High","Normal"))</f>
        <v/>
      </c>
      <c r="AC367" s="51"/>
      <c r="AD367" s="51"/>
      <c r="AE367" s="51"/>
      <c r="AF367" s="50" t="str">
        <f>IF(A367&lt;&gt;"Yes","No",IF(AND(AC367="Yes",SETTINGS!$B$16="No"),"No","Yes"))</f>
        <v>No</v>
      </c>
      <c r="AG367" s="50" t="str">
        <f>IF(A367&lt;&gt;"Yes","",IF(OR(B367="",D367="",E367&lt;=0,F367="",I367=""),"Check Required Fields",IF(AA367="Possible Duplicate","Possible Duplicate",IF(E367&gt;SETTINGS!$B$22,"Review Extreme Value","OK"))))</f>
        <v/>
      </c>
    </row>
    <row r="368" spans="1:33" ht="14.4">
      <c r="A368" s="9"/>
      <c r="B368" s="13"/>
      <c r="C368" s="9"/>
      <c r="D368" s="9"/>
      <c r="E368" s="11"/>
      <c r="F368" s="9"/>
      <c r="G368" s="9"/>
      <c r="H368" s="44" t="str">
        <f>IF(D368="","",IF(ISNUMBER(SEARCH(SETTINGS!$K$4,D368)),SETTINGS!$L$4,IF(ISNUMBER(SEARCH(SETTINGS!$K$5,D368)),SETTINGS!$L$5,IF(ISNUMBER(SEARCH(SETTINGS!$K$6,D368)),SETTINGS!$L$6,IF(ISNUMBER(SEARCH(SETTINGS!$K$7,D368)),SETTINGS!$L$7,IF(ISNUMBER(SEARCH(SETTINGS!$K$8,D368)),SETTINGS!$L$8,IF(ISNUMBER(SEARCH(SETTINGS!$K$9,D368)),SETTINGS!$L$9,IF(ISNUMBER(SEARCH(SETTINGS!$K$10,D368)),SETTINGS!$L$10,IF(ISNUMBER(SEARCH(SETTINGS!$K$11,D368)),SETTINGS!$L$11,IF(ISNUMBER(SEARCH(SETTINGS!$K$12,D368)),SETTINGS!$L$12,IF(ISNUMBER(SEARCH(SETTINGS!$K$13,D368)),SETTINGS!$L$13,IF(ISNUMBER(SEARCH(SETTINGS!$K$14,D368)),SETTINGS!$L$14,IF(ISNUMBER(SEARCH(SETTINGS!$K$15,D368)),SETTINGS!$L$15,IF(ISNUMBER(SEARCH(SETTINGS!$K$16,D368)),SETTINGS!$L$16,IF(ISNUMBER(SEARCH(SETTINGS!$K$17,D368)),SETTINGS!$L$17,IF(ISNUMBER(SEARCH(SETTINGS!$K$18,D368)),SETTINGS!$L$18,"Miscellaneous"))))))))))))))))</f>
        <v/>
      </c>
      <c r="I368" s="44" t="str">
        <f t="shared" si="40"/>
        <v/>
      </c>
      <c r="J368" s="9"/>
      <c r="K368" s="9"/>
      <c r="L368" s="9"/>
      <c r="M368" s="9"/>
      <c r="N368" s="9"/>
      <c r="O368" s="9"/>
      <c r="P368" s="13"/>
      <c r="Q368" s="9"/>
      <c r="R368" s="9"/>
      <c r="S368" s="9"/>
      <c r="T368" s="11"/>
      <c r="U368" s="44" t="str">
        <f t="shared" si="41"/>
        <v/>
      </c>
      <c r="V368" s="44" t="str">
        <f t="shared" si="42"/>
        <v/>
      </c>
      <c r="W368" s="44" t="str">
        <f t="shared" si="43"/>
        <v/>
      </c>
      <c r="X368" s="44" t="str">
        <f t="shared" si="44"/>
        <v/>
      </c>
      <c r="Y368" s="44" t="str">
        <f t="shared" si="45"/>
        <v/>
      </c>
      <c r="Z368" s="44" t="str">
        <f t="shared" si="46"/>
        <v/>
      </c>
      <c r="AA368" s="50" t="str">
        <f t="shared" si="47"/>
        <v/>
      </c>
      <c r="AB368" s="50" t="str">
        <f>IF(OR(B368="",C368&lt;&gt;"Expense"),"",IF(E368&gt;IFERROR(AVERAGEIFS($E$8:$E$1007,$I$8:$I$1007,I368,$C$8:$C$1007,"Expense")*SETTINGS!$B$20,0),"Unusually High","Normal"))</f>
        <v/>
      </c>
      <c r="AC368" s="51"/>
      <c r="AD368" s="51"/>
      <c r="AE368" s="51"/>
      <c r="AF368" s="50" t="str">
        <f>IF(A368&lt;&gt;"Yes","No",IF(AND(AC368="Yes",SETTINGS!$B$16="No"),"No","Yes"))</f>
        <v>No</v>
      </c>
      <c r="AG368" s="50" t="str">
        <f>IF(A368&lt;&gt;"Yes","",IF(OR(B368="",D368="",E368&lt;=0,F368="",I368=""),"Check Required Fields",IF(AA368="Possible Duplicate","Possible Duplicate",IF(E368&gt;SETTINGS!$B$22,"Review Extreme Value","OK"))))</f>
        <v/>
      </c>
    </row>
    <row r="369" spans="1:33" ht="14.4">
      <c r="A369" s="9"/>
      <c r="B369" s="13"/>
      <c r="C369" s="9"/>
      <c r="D369" s="9"/>
      <c r="E369" s="11"/>
      <c r="F369" s="9"/>
      <c r="G369" s="9"/>
      <c r="H369" s="44" t="str">
        <f>IF(D369="","",IF(ISNUMBER(SEARCH(SETTINGS!$K$4,D369)),SETTINGS!$L$4,IF(ISNUMBER(SEARCH(SETTINGS!$K$5,D369)),SETTINGS!$L$5,IF(ISNUMBER(SEARCH(SETTINGS!$K$6,D369)),SETTINGS!$L$6,IF(ISNUMBER(SEARCH(SETTINGS!$K$7,D369)),SETTINGS!$L$7,IF(ISNUMBER(SEARCH(SETTINGS!$K$8,D369)),SETTINGS!$L$8,IF(ISNUMBER(SEARCH(SETTINGS!$K$9,D369)),SETTINGS!$L$9,IF(ISNUMBER(SEARCH(SETTINGS!$K$10,D369)),SETTINGS!$L$10,IF(ISNUMBER(SEARCH(SETTINGS!$K$11,D369)),SETTINGS!$L$11,IF(ISNUMBER(SEARCH(SETTINGS!$K$12,D369)),SETTINGS!$L$12,IF(ISNUMBER(SEARCH(SETTINGS!$K$13,D369)),SETTINGS!$L$13,IF(ISNUMBER(SEARCH(SETTINGS!$K$14,D369)),SETTINGS!$L$14,IF(ISNUMBER(SEARCH(SETTINGS!$K$15,D369)),SETTINGS!$L$15,IF(ISNUMBER(SEARCH(SETTINGS!$K$16,D369)),SETTINGS!$L$16,IF(ISNUMBER(SEARCH(SETTINGS!$K$17,D369)),SETTINGS!$L$17,IF(ISNUMBER(SEARCH(SETTINGS!$K$18,D369)),SETTINGS!$L$18,"Miscellaneous"))))))))))))))))</f>
        <v/>
      </c>
      <c r="I369" s="44" t="str">
        <f t="shared" si="40"/>
        <v/>
      </c>
      <c r="J369" s="9"/>
      <c r="K369" s="9"/>
      <c r="L369" s="9"/>
      <c r="M369" s="9"/>
      <c r="N369" s="9"/>
      <c r="O369" s="9"/>
      <c r="P369" s="13"/>
      <c r="Q369" s="9"/>
      <c r="R369" s="9"/>
      <c r="S369" s="9"/>
      <c r="T369" s="11"/>
      <c r="U369" s="44" t="str">
        <f t="shared" si="41"/>
        <v/>
      </c>
      <c r="V369" s="44" t="str">
        <f t="shared" si="42"/>
        <v/>
      </c>
      <c r="W369" s="44" t="str">
        <f t="shared" si="43"/>
        <v/>
      </c>
      <c r="X369" s="44" t="str">
        <f t="shared" si="44"/>
        <v/>
      </c>
      <c r="Y369" s="44" t="str">
        <f t="shared" si="45"/>
        <v/>
      </c>
      <c r="Z369" s="44" t="str">
        <f t="shared" si="46"/>
        <v/>
      </c>
      <c r="AA369" s="50" t="str">
        <f t="shared" si="47"/>
        <v/>
      </c>
      <c r="AB369" s="50" t="str">
        <f>IF(OR(B369="",C369&lt;&gt;"Expense"),"",IF(E369&gt;IFERROR(AVERAGEIFS($E$8:$E$1007,$I$8:$I$1007,I369,$C$8:$C$1007,"Expense")*SETTINGS!$B$20,0),"Unusually High","Normal"))</f>
        <v/>
      </c>
      <c r="AC369" s="51"/>
      <c r="AD369" s="51"/>
      <c r="AE369" s="51"/>
      <c r="AF369" s="50" t="str">
        <f>IF(A369&lt;&gt;"Yes","No",IF(AND(AC369="Yes",SETTINGS!$B$16="No"),"No","Yes"))</f>
        <v>No</v>
      </c>
      <c r="AG369" s="50" t="str">
        <f>IF(A369&lt;&gt;"Yes","",IF(OR(B369="",D369="",E369&lt;=0,F369="",I369=""),"Check Required Fields",IF(AA369="Possible Duplicate","Possible Duplicate",IF(E369&gt;SETTINGS!$B$22,"Review Extreme Value","OK"))))</f>
        <v/>
      </c>
    </row>
    <row r="370" spans="1:33" ht="14.4">
      <c r="A370" s="9"/>
      <c r="B370" s="13"/>
      <c r="C370" s="9"/>
      <c r="D370" s="9"/>
      <c r="E370" s="11"/>
      <c r="F370" s="9"/>
      <c r="G370" s="9"/>
      <c r="H370" s="44" t="str">
        <f>IF(D370="","",IF(ISNUMBER(SEARCH(SETTINGS!$K$4,D370)),SETTINGS!$L$4,IF(ISNUMBER(SEARCH(SETTINGS!$K$5,D370)),SETTINGS!$L$5,IF(ISNUMBER(SEARCH(SETTINGS!$K$6,D370)),SETTINGS!$L$6,IF(ISNUMBER(SEARCH(SETTINGS!$K$7,D370)),SETTINGS!$L$7,IF(ISNUMBER(SEARCH(SETTINGS!$K$8,D370)),SETTINGS!$L$8,IF(ISNUMBER(SEARCH(SETTINGS!$K$9,D370)),SETTINGS!$L$9,IF(ISNUMBER(SEARCH(SETTINGS!$K$10,D370)),SETTINGS!$L$10,IF(ISNUMBER(SEARCH(SETTINGS!$K$11,D370)),SETTINGS!$L$11,IF(ISNUMBER(SEARCH(SETTINGS!$K$12,D370)),SETTINGS!$L$12,IF(ISNUMBER(SEARCH(SETTINGS!$K$13,D370)),SETTINGS!$L$13,IF(ISNUMBER(SEARCH(SETTINGS!$K$14,D370)),SETTINGS!$L$14,IF(ISNUMBER(SEARCH(SETTINGS!$K$15,D370)),SETTINGS!$L$15,IF(ISNUMBER(SEARCH(SETTINGS!$K$16,D370)),SETTINGS!$L$16,IF(ISNUMBER(SEARCH(SETTINGS!$K$17,D370)),SETTINGS!$L$17,IF(ISNUMBER(SEARCH(SETTINGS!$K$18,D370)),SETTINGS!$L$18,"Miscellaneous"))))))))))))))))</f>
        <v/>
      </c>
      <c r="I370" s="44" t="str">
        <f t="shared" si="40"/>
        <v/>
      </c>
      <c r="J370" s="9"/>
      <c r="K370" s="9"/>
      <c r="L370" s="9"/>
      <c r="M370" s="9"/>
      <c r="N370" s="9"/>
      <c r="O370" s="9"/>
      <c r="P370" s="13"/>
      <c r="Q370" s="9"/>
      <c r="R370" s="9"/>
      <c r="S370" s="9"/>
      <c r="T370" s="11"/>
      <c r="U370" s="44" t="str">
        <f t="shared" si="41"/>
        <v/>
      </c>
      <c r="V370" s="44" t="str">
        <f t="shared" si="42"/>
        <v/>
      </c>
      <c r="W370" s="44" t="str">
        <f t="shared" si="43"/>
        <v/>
      </c>
      <c r="X370" s="44" t="str">
        <f t="shared" si="44"/>
        <v/>
      </c>
      <c r="Y370" s="44" t="str">
        <f t="shared" si="45"/>
        <v/>
      </c>
      <c r="Z370" s="44" t="str">
        <f t="shared" si="46"/>
        <v/>
      </c>
      <c r="AA370" s="50" t="str">
        <f t="shared" si="47"/>
        <v/>
      </c>
      <c r="AB370" s="50" t="str">
        <f>IF(OR(B370="",C370&lt;&gt;"Expense"),"",IF(E370&gt;IFERROR(AVERAGEIFS($E$8:$E$1007,$I$8:$I$1007,I370,$C$8:$C$1007,"Expense")*SETTINGS!$B$20,0),"Unusually High","Normal"))</f>
        <v/>
      </c>
      <c r="AC370" s="51"/>
      <c r="AD370" s="51"/>
      <c r="AE370" s="51"/>
      <c r="AF370" s="50" t="str">
        <f>IF(A370&lt;&gt;"Yes","No",IF(AND(AC370="Yes",SETTINGS!$B$16="No"),"No","Yes"))</f>
        <v>No</v>
      </c>
      <c r="AG370" s="50" t="str">
        <f>IF(A370&lt;&gt;"Yes","",IF(OR(B370="",D370="",E370&lt;=0,F370="",I370=""),"Check Required Fields",IF(AA370="Possible Duplicate","Possible Duplicate",IF(E370&gt;SETTINGS!$B$22,"Review Extreme Value","OK"))))</f>
        <v/>
      </c>
    </row>
    <row r="371" spans="1:33" ht="14.4">
      <c r="A371" s="9"/>
      <c r="B371" s="13"/>
      <c r="C371" s="9"/>
      <c r="D371" s="9"/>
      <c r="E371" s="11"/>
      <c r="F371" s="9"/>
      <c r="G371" s="9"/>
      <c r="H371" s="44" t="str">
        <f>IF(D371="","",IF(ISNUMBER(SEARCH(SETTINGS!$K$4,D371)),SETTINGS!$L$4,IF(ISNUMBER(SEARCH(SETTINGS!$K$5,D371)),SETTINGS!$L$5,IF(ISNUMBER(SEARCH(SETTINGS!$K$6,D371)),SETTINGS!$L$6,IF(ISNUMBER(SEARCH(SETTINGS!$K$7,D371)),SETTINGS!$L$7,IF(ISNUMBER(SEARCH(SETTINGS!$K$8,D371)),SETTINGS!$L$8,IF(ISNUMBER(SEARCH(SETTINGS!$K$9,D371)),SETTINGS!$L$9,IF(ISNUMBER(SEARCH(SETTINGS!$K$10,D371)),SETTINGS!$L$10,IF(ISNUMBER(SEARCH(SETTINGS!$K$11,D371)),SETTINGS!$L$11,IF(ISNUMBER(SEARCH(SETTINGS!$K$12,D371)),SETTINGS!$L$12,IF(ISNUMBER(SEARCH(SETTINGS!$K$13,D371)),SETTINGS!$L$13,IF(ISNUMBER(SEARCH(SETTINGS!$K$14,D371)),SETTINGS!$L$14,IF(ISNUMBER(SEARCH(SETTINGS!$K$15,D371)),SETTINGS!$L$15,IF(ISNUMBER(SEARCH(SETTINGS!$K$16,D371)),SETTINGS!$L$16,IF(ISNUMBER(SEARCH(SETTINGS!$K$17,D371)),SETTINGS!$L$17,IF(ISNUMBER(SEARCH(SETTINGS!$K$18,D371)),SETTINGS!$L$18,"Miscellaneous"))))))))))))))))</f>
        <v/>
      </c>
      <c r="I371" s="44" t="str">
        <f t="shared" si="40"/>
        <v/>
      </c>
      <c r="J371" s="9"/>
      <c r="K371" s="9"/>
      <c r="L371" s="9"/>
      <c r="M371" s="9"/>
      <c r="N371" s="9"/>
      <c r="O371" s="9"/>
      <c r="P371" s="13"/>
      <c r="Q371" s="9"/>
      <c r="R371" s="9"/>
      <c r="S371" s="9"/>
      <c r="T371" s="11"/>
      <c r="U371" s="44" t="str">
        <f t="shared" si="41"/>
        <v/>
      </c>
      <c r="V371" s="44" t="str">
        <f t="shared" si="42"/>
        <v/>
      </c>
      <c r="W371" s="44" t="str">
        <f t="shared" si="43"/>
        <v/>
      </c>
      <c r="X371" s="44" t="str">
        <f t="shared" si="44"/>
        <v/>
      </c>
      <c r="Y371" s="44" t="str">
        <f t="shared" si="45"/>
        <v/>
      </c>
      <c r="Z371" s="44" t="str">
        <f t="shared" si="46"/>
        <v/>
      </c>
      <c r="AA371" s="50" t="str">
        <f t="shared" si="47"/>
        <v/>
      </c>
      <c r="AB371" s="50" t="str">
        <f>IF(OR(B371="",C371&lt;&gt;"Expense"),"",IF(E371&gt;IFERROR(AVERAGEIFS($E$8:$E$1007,$I$8:$I$1007,I371,$C$8:$C$1007,"Expense")*SETTINGS!$B$20,0),"Unusually High","Normal"))</f>
        <v/>
      </c>
      <c r="AC371" s="51"/>
      <c r="AD371" s="51"/>
      <c r="AE371" s="51"/>
      <c r="AF371" s="50" t="str">
        <f>IF(A371&lt;&gt;"Yes","No",IF(AND(AC371="Yes",SETTINGS!$B$16="No"),"No","Yes"))</f>
        <v>No</v>
      </c>
      <c r="AG371" s="50" t="str">
        <f>IF(A371&lt;&gt;"Yes","",IF(OR(B371="",D371="",E371&lt;=0,F371="",I371=""),"Check Required Fields",IF(AA371="Possible Duplicate","Possible Duplicate",IF(E371&gt;SETTINGS!$B$22,"Review Extreme Value","OK"))))</f>
        <v/>
      </c>
    </row>
    <row r="372" spans="1:33" ht="14.4">
      <c r="A372" s="9"/>
      <c r="B372" s="13"/>
      <c r="C372" s="9"/>
      <c r="D372" s="9"/>
      <c r="E372" s="11"/>
      <c r="F372" s="9"/>
      <c r="G372" s="9"/>
      <c r="H372" s="44" t="str">
        <f>IF(D372="","",IF(ISNUMBER(SEARCH(SETTINGS!$K$4,D372)),SETTINGS!$L$4,IF(ISNUMBER(SEARCH(SETTINGS!$K$5,D372)),SETTINGS!$L$5,IF(ISNUMBER(SEARCH(SETTINGS!$K$6,D372)),SETTINGS!$L$6,IF(ISNUMBER(SEARCH(SETTINGS!$K$7,D372)),SETTINGS!$L$7,IF(ISNUMBER(SEARCH(SETTINGS!$K$8,D372)),SETTINGS!$L$8,IF(ISNUMBER(SEARCH(SETTINGS!$K$9,D372)),SETTINGS!$L$9,IF(ISNUMBER(SEARCH(SETTINGS!$K$10,D372)),SETTINGS!$L$10,IF(ISNUMBER(SEARCH(SETTINGS!$K$11,D372)),SETTINGS!$L$11,IF(ISNUMBER(SEARCH(SETTINGS!$K$12,D372)),SETTINGS!$L$12,IF(ISNUMBER(SEARCH(SETTINGS!$K$13,D372)),SETTINGS!$L$13,IF(ISNUMBER(SEARCH(SETTINGS!$K$14,D372)),SETTINGS!$L$14,IF(ISNUMBER(SEARCH(SETTINGS!$K$15,D372)),SETTINGS!$L$15,IF(ISNUMBER(SEARCH(SETTINGS!$K$16,D372)),SETTINGS!$L$16,IF(ISNUMBER(SEARCH(SETTINGS!$K$17,D372)),SETTINGS!$L$17,IF(ISNUMBER(SEARCH(SETTINGS!$K$18,D372)),SETTINGS!$L$18,"Miscellaneous"))))))))))))))))</f>
        <v/>
      </c>
      <c r="I372" s="44" t="str">
        <f t="shared" si="40"/>
        <v/>
      </c>
      <c r="J372" s="9"/>
      <c r="K372" s="9"/>
      <c r="L372" s="9"/>
      <c r="M372" s="9"/>
      <c r="N372" s="9"/>
      <c r="O372" s="9"/>
      <c r="P372" s="13"/>
      <c r="Q372" s="9"/>
      <c r="R372" s="9"/>
      <c r="S372" s="9"/>
      <c r="T372" s="11"/>
      <c r="U372" s="44" t="str">
        <f t="shared" si="41"/>
        <v/>
      </c>
      <c r="V372" s="44" t="str">
        <f t="shared" si="42"/>
        <v/>
      </c>
      <c r="W372" s="44" t="str">
        <f t="shared" si="43"/>
        <v/>
      </c>
      <c r="X372" s="44" t="str">
        <f t="shared" si="44"/>
        <v/>
      </c>
      <c r="Y372" s="44" t="str">
        <f t="shared" si="45"/>
        <v/>
      </c>
      <c r="Z372" s="44" t="str">
        <f t="shared" si="46"/>
        <v/>
      </c>
      <c r="AA372" s="50" t="str">
        <f t="shared" si="47"/>
        <v/>
      </c>
      <c r="AB372" s="50" t="str">
        <f>IF(OR(B372="",C372&lt;&gt;"Expense"),"",IF(E372&gt;IFERROR(AVERAGEIFS($E$8:$E$1007,$I$8:$I$1007,I372,$C$8:$C$1007,"Expense")*SETTINGS!$B$20,0),"Unusually High","Normal"))</f>
        <v/>
      </c>
      <c r="AC372" s="51"/>
      <c r="AD372" s="51"/>
      <c r="AE372" s="51"/>
      <c r="AF372" s="50" t="str">
        <f>IF(A372&lt;&gt;"Yes","No",IF(AND(AC372="Yes",SETTINGS!$B$16="No"),"No","Yes"))</f>
        <v>No</v>
      </c>
      <c r="AG372" s="50" t="str">
        <f>IF(A372&lt;&gt;"Yes","",IF(OR(B372="",D372="",E372&lt;=0,F372="",I372=""),"Check Required Fields",IF(AA372="Possible Duplicate","Possible Duplicate",IF(E372&gt;SETTINGS!$B$22,"Review Extreme Value","OK"))))</f>
        <v/>
      </c>
    </row>
    <row r="373" spans="1:33" ht="14.4">
      <c r="A373" s="9"/>
      <c r="B373" s="13"/>
      <c r="C373" s="9"/>
      <c r="D373" s="9"/>
      <c r="E373" s="11"/>
      <c r="F373" s="9"/>
      <c r="G373" s="9"/>
      <c r="H373" s="44" t="str">
        <f>IF(D373="","",IF(ISNUMBER(SEARCH(SETTINGS!$K$4,D373)),SETTINGS!$L$4,IF(ISNUMBER(SEARCH(SETTINGS!$K$5,D373)),SETTINGS!$L$5,IF(ISNUMBER(SEARCH(SETTINGS!$K$6,D373)),SETTINGS!$L$6,IF(ISNUMBER(SEARCH(SETTINGS!$K$7,D373)),SETTINGS!$L$7,IF(ISNUMBER(SEARCH(SETTINGS!$K$8,D373)),SETTINGS!$L$8,IF(ISNUMBER(SEARCH(SETTINGS!$K$9,D373)),SETTINGS!$L$9,IF(ISNUMBER(SEARCH(SETTINGS!$K$10,D373)),SETTINGS!$L$10,IF(ISNUMBER(SEARCH(SETTINGS!$K$11,D373)),SETTINGS!$L$11,IF(ISNUMBER(SEARCH(SETTINGS!$K$12,D373)),SETTINGS!$L$12,IF(ISNUMBER(SEARCH(SETTINGS!$K$13,D373)),SETTINGS!$L$13,IF(ISNUMBER(SEARCH(SETTINGS!$K$14,D373)),SETTINGS!$L$14,IF(ISNUMBER(SEARCH(SETTINGS!$K$15,D373)),SETTINGS!$L$15,IF(ISNUMBER(SEARCH(SETTINGS!$K$16,D373)),SETTINGS!$L$16,IF(ISNUMBER(SEARCH(SETTINGS!$K$17,D373)),SETTINGS!$L$17,IF(ISNUMBER(SEARCH(SETTINGS!$K$18,D373)),SETTINGS!$L$18,"Miscellaneous"))))))))))))))))</f>
        <v/>
      </c>
      <c r="I373" s="44" t="str">
        <f t="shared" si="40"/>
        <v/>
      </c>
      <c r="J373" s="9"/>
      <c r="K373" s="9"/>
      <c r="L373" s="9"/>
      <c r="M373" s="9"/>
      <c r="N373" s="9"/>
      <c r="O373" s="9"/>
      <c r="P373" s="13"/>
      <c r="Q373" s="9"/>
      <c r="R373" s="9"/>
      <c r="S373" s="9"/>
      <c r="T373" s="11"/>
      <c r="U373" s="44" t="str">
        <f t="shared" si="41"/>
        <v/>
      </c>
      <c r="V373" s="44" t="str">
        <f t="shared" si="42"/>
        <v/>
      </c>
      <c r="W373" s="44" t="str">
        <f t="shared" si="43"/>
        <v/>
      </c>
      <c r="X373" s="44" t="str">
        <f t="shared" si="44"/>
        <v/>
      </c>
      <c r="Y373" s="44" t="str">
        <f t="shared" si="45"/>
        <v/>
      </c>
      <c r="Z373" s="44" t="str">
        <f t="shared" si="46"/>
        <v/>
      </c>
      <c r="AA373" s="50" t="str">
        <f t="shared" si="47"/>
        <v/>
      </c>
      <c r="AB373" s="50" t="str">
        <f>IF(OR(B373="",C373&lt;&gt;"Expense"),"",IF(E373&gt;IFERROR(AVERAGEIFS($E$8:$E$1007,$I$8:$I$1007,I373,$C$8:$C$1007,"Expense")*SETTINGS!$B$20,0),"Unusually High","Normal"))</f>
        <v/>
      </c>
      <c r="AC373" s="51"/>
      <c r="AD373" s="51"/>
      <c r="AE373" s="51"/>
      <c r="AF373" s="50" t="str">
        <f>IF(A373&lt;&gt;"Yes","No",IF(AND(AC373="Yes",SETTINGS!$B$16="No"),"No","Yes"))</f>
        <v>No</v>
      </c>
      <c r="AG373" s="50" t="str">
        <f>IF(A373&lt;&gt;"Yes","",IF(OR(B373="",D373="",E373&lt;=0,F373="",I373=""),"Check Required Fields",IF(AA373="Possible Duplicate","Possible Duplicate",IF(E373&gt;SETTINGS!$B$22,"Review Extreme Value","OK"))))</f>
        <v/>
      </c>
    </row>
    <row r="374" spans="1:33" ht="14.4">
      <c r="A374" s="9"/>
      <c r="B374" s="13"/>
      <c r="C374" s="9"/>
      <c r="D374" s="9"/>
      <c r="E374" s="11"/>
      <c r="F374" s="9"/>
      <c r="G374" s="9"/>
      <c r="H374" s="44" t="str">
        <f>IF(D374="","",IF(ISNUMBER(SEARCH(SETTINGS!$K$4,D374)),SETTINGS!$L$4,IF(ISNUMBER(SEARCH(SETTINGS!$K$5,D374)),SETTINGS!$L$5,IF(ISNUMBER(SEARCH(SETTINGS!$K$6,D374)),SETTINGS!$L$6,IF(ISNUMBER(SEARCH(SETTINGS!$K$7,D374)),SETTINGS!$L$7,IF(ISNUMBER(SEARCH(SETTINGS!$K$8,D374)),SETTINGS!$L$8,IF(ISNUMBER(SEARCH(SETTINGS!$K$9,D374)),SETTINGS!$L$9,IF(ISNUMBER(SEARCH(SETTINGS!$K$10,D374)),SETTINGS!$L$10,IF(ISNUMBER(SEARCH(SETTINGS!$K$11,D374)),SETTINGS!$L$11,IF(ISNUMBER(SEARCH(SETTINGS!$K$12,D374)),SETTINGS!$L$12,IF(ISNUMBER(SEARCH(SETTINGS!$K$13,D374)),SETTINGS!$L$13,IF(ISNUMBER(SEARCH(SETTINGS!$K$14,D374)),SETTINGS!$L$14,IF(ISNUMBER(SEARCH(SETTINGS!$K$15,D374)),SETTINGS!$L$15,IF(ISNUMBER(SEARCH(SETTINGS!$K$16,D374)),SETTINGS!$L$16,IF(ISNUMBER(SEARCH(SETTINGS!$K$17,D374)),SETTINGS!$L$17,IF(ISNUMBER(SEARCH(SETTINGS!$K$18,D374)),SETTINGS!$L$18,"Miscellaneous"))))))))))))))))</f>
        <v/>
      </c>
      <c r="I374" s="44" t="str">
        <f t="shared" si="40"/>
        <v/>
      </c>
      <c r="J374" s="9"/>
      <c r="K374" s="9"/>
      <c r="L374" s="9"/>
      <c r="M374" s="9"/>
      <c r="N374" s="9"/>
      <c r="O374" s="9"/>
      <c r="P374" s="13"/>
      <c r="Q374" s="9"/>
      <c r="R374" s="9"/>
      <c r="S374" s="9"/>
      <c r="T374" s="11"/>
      <c r="U374" s="44" t="str">
        <f t="shared" si="41"/>
        <v/>
      </c>
      <c r="V374" s="44" t="str">
        <f t="shared" si="42"/>
        <v/>
      </c>
      <c r="W374" s="44" t="str">
        <f t="shared" si="43"/>
        <v/>
      </c>
      <c r="X374" s="44" t="str">
        <f t="shared" si="44"/>
        <v/>
      </c>
      <c r="Y374" s="44" t="str">
        <f t="shared" si="45"/>
        <v/>
      </c>
      <c r="Z374" s="44" t="str">
        <f t="shared" si="46"/>
        <v/>
      </c>
      <c r="AA374" s="50" t="str">
        <f t="shared" si="47"/>
        <v/>
      </c>
      <c r="AB374" s="50" t="str">
        <f>IF(OR(B374="",C374&lt;&gt;"Expense"),"",IF(E374&gt;IFERROR(AVERAGEIFS($E$8:$E$1007,$I$8:$I$1007,I374,$C$8:$C$1007,"Expense")*SETTINGS!$B$20,0),"Unusually High","Normal"))</f>
        <v/>
      </c>
      <c r="AC374" s="51"/>
      <c r="AD374" s="51"/>
      <c r="AE374" s="51"/>
      <c r="AF374" s="50" t="str">
        <f>IF(A374&lt;&gt;"Yes","No",IF(AND(AC374="Yes",SETTINGS!$B$16="No"),"No","Yes"))</f>
        <v>No</v>
      </c>
      <c r="AG374" s="50" t="str">
        <f>IF(A374&lt;&gt;"Yes","",IF(OR(B374="",D374="",E374&lt;=0,F374="",I374=""),"Check Required Fields",IF(AA374="Possible Duplicate","Possible Duplicate",IF(E374&gt;SETTINGS!$B$22,"Review Extreme Value","OK"))))</f>
        <v/>
      </c>
    </row>
    <row r="375" spans="1:33" ht="14.4">
      <c r="A375" s="9"/>
      <c r="B375" s="13"/>
      <c r="C375" s="9"/>
      <c r="D375" s="9"/>
      <c r="E375" s="11"/>
      <c r="F375" s="9"/>
      <c r="G375" s="9"/>
      <c r="H375" s="44" t="str">
        <f>IF(D375="","",IF(ISNUMBER(SEARCH(SETTINGS!$K$4,D375)),SETTINGS!$L$4,IF(ISNUMBER(SEARCH(SETTINGS!$K$5,D375)),SETTINGS!$L$5,IF(ISNUMBER(SEARCH(SETTINGS!$K$6,D375)),SETTINGS!$L$6,IF(ISNUMBER(SEARCH(SETTINGS!$K$7,D375)),SETTINGS!$L$7,IF(ISNUMBER(SEARCH(SETTINGS!$K$8,D375)),SETTINGS!$L$8,IF(ISNUMBER(SEARCH(SETTINGS!$K$9,D375)),SETTINGS!$L$9,IF(ISNUMBER(SEARCH(SETTINGS!$K$10,D375)),SETTINGS!$L$10,IF(ISNUMBER(SEARCH(SETTINGS!$K$11,D375)),SETTINGS!$L$11,IF(ISNUMBER(SEARCH(SETTINGS!$K$12,D375)),SETTINGS!$L$12,IF(ISNUMBER(SEARCH(SETTINGS!$K$13,D375)),SETTINGS!$L$13,IF(ISNUMBER(SEARCH(SETTINGS!$K$14,D375)),SETTINGS!$L$14,IF(ISNUMBER(SEARCH(SETTINGS!$K$15,D375)),SETTINGS!$L$15,IF(ISNUMBER(SEARCH(SETTINGS!$K$16,D375)),SETTINGS!$L$16,IF(ISNUMBER(SEARCH(SETTINGS!$K$17,D375)),SETTINGS!$L$17,IF(ISNUMBER(SEARCH(SETTINGS!$K$18,D375)),SETTINGS!$L$18,"Miscellaneous"))))))))))))))))</f>
        <v/>
      </c>
      <c r="I375" s="44" t="str">
        <f t="shared" si="40"/>
        <v/>
      </c>
      <c r="J375" s="9"/>
      <c r="K375" s="9"/>
      <c r="L375" s="9"/>
      <c r="M375" s="9"/>
      <c r="N375" s="9"/>
      <c r="O375" s="9"/>
      <c r="P375" s="13"/>
      <c r="Q375" s="9"/>
      <c r="R375" s="9"/>
      <c r="S375" s="9"/>
      <c r="T375" s="11"/>
      <c r="U375" s="44" t="str">
        <f t="shared" si="41"/>
        <v/>
      </c>
      <c r="V375" s="44" t="str">
        <f t="shared" si="42"/>
        <v/>
      </c>
      <c r="W375" s="44" t="str">
        <f t="shared" si="43"/>
        <v/>
      </c>
      <c r="X375" s="44" t="str">
        <f t="shared" si="44"/>
        <v/>
      </c>
      <c r="Y375" s="44" t="str">
        <f t="shared" si="45"/>
        <v/>
      </c>
      <c r="Z375" s="44" t="str">
        <f t="shared" si="46"/>
        <v/>
      </c>
      <c r="AA375" s="50" t="str">
        <f t="shared" si="47"/>
        <v/>
      </c>
      <c r="AB375" s="50" t="str">
        <f>IF(OR(B375="",C375&lt;&gt;"Expense"),"",IF(E375&gt;IFERROR(AVERAGEIFS($E$8:$E$1007,$I$8:$I$1007,I375,$C$8:$C$1007,"Expense")*SETTINGS!$B$20,0),"Unusually High","Normal"))</f>
        <v/>
      </c>
      <c r="AC375" s="51"/>
      <c r="AD375" s="51"/>
      <c r="AE375" s="51"/>
      <c r="AF375" s="50" t="str">
        <f>IF(A375&lt;&gt;"Yes","No",IF(AND(AC375="Yes",SETTINGS!$B$16="No"),"No","Yes"))</f>
        <v>No</v>
      </c>
      <c r="AG375" s="50" t="str">
        <f>IF(A375&lt;&gt;"Yes","",IF(OR(B375="",D375="",E375&lt;=0,F375="",I375=""),"Check Required Fields",IF(AA375="Possible Duplicate","Possible Duplicate",IF(E375&gt;SETTINGS!$B$22,"Review Extreme Value","OK"))))</f>
        <v/>
      </c>
    </row>
    <row r="376" spans="1:33" ht="14.4">
      <c r="A376" s="9"/>
      <c r="B376" s="13"/>
      <c r="C376" s="9"/>
      <c r="D376" s="9"/>
      <c r="E376" s="11"/>
      <c r="F376" s="9"/>
      <c r="G376" s="9"/>
      <c r="H376" s="44" t="str">
        <f>IF(D376="","",IF(ISNUMBER(SEARCH(SETTINGS!$K$4,D376)),SETTINGS!$L$4,IF(ISNUMBER(SEARCH(SETTINGS!$K$5,D376)),SETTINGS!$L$5,IF(ISNUMBER(SEARCH(SETTINGS!$K$6,D376)),SETTINGS!$L$6,IF(ISNUMBER(SEARCH(SETTINGS!$K$7,D376)),SETTINGS!$L$7,IF(ISNUMBER(SEARCH(SETTINGS!$K$8,D376)),SETTINGS!$L$8,IF(ISNUMBER(SEARCH(SETTINGS!$K$9,D376)),SETTINGS!$L$9,IF(ISNUMBER(SEARCH(SETTINGS!$K$10,D376)),SETTINGS!$L$10,IF(ISNUMBER(SEARCH(SETTINGS!$K$11,D376)),SETTINGS!$L$11,IF(ISNUMBER(SEARCH(SETTINGS!$K$12,D376)),SETTINGS!$L$12,IF(ISNUMBER(SEARCH(SETTINGS!$K$13,D376)),SETTINGS!$L$13,IF(ISNUMBER(SEARCH(SETTINGS!$K$14,D376)),SETTINGS!$L$14,IF(ISNUMBER(SEARCH(SETTINGS!$K$15,D376)),SETTINGS!$L$15,IF(ISNUMBER(SEARCH(SETTINGS!$K$16,D376)),SETTINGS!$L$16,IF(ISNUMBER(SEARCH(SETTINGS!$K$17,D376)),SETTINGS!$L$17,IF(ISNUMBER(SEARCH(SETTINGS!$K$18,D376)),SETTINGS!$L$18,"Miscellaneous"))))))))))))))))</f>
        <v/>
      </c>
      <c r="I376" s="44" t="str">
        <f t="shared" si="40"/>
        <v/>
      </c>
      <c r="J376" s="9"/>
      <c r="K376" s="9"/>
      <c r="L376" s="9"/>
      <c r="M376" s="9"/>
      <c r="N376" s="9"/>
      <c r="O376" s="9"/>
      <c r="P376" s="13"/>
      <c r="Q376" s="9"/>
      <c r="R376" s="9"/>
      <c r="S376" s="9"/>
      <c r="T376" s="11"/>
      <c r="U376" s="44" t="str">
        <f t="shared" si="41"/>
        <v/>
      </c>
      <c r="V376" s="44" t="str">
        <f t="shared" si="42"/>
        <v/>
      </c>
      <c r="W376" s="44" t="str">
        <f t="shared" si="43"/>
        <v/>
      </c>
      <c r="X376" s="44" t="str">
        <f t="shared" si="44"/>
        <v/>
      </c>
      <c r="Y376" s="44" t="str">
        <f t="shared" si="45"/>
        <v/>
      </c>
      <c r="Z376" s="44" t="str">
        <f t="shared" si="46"/>
        <v/>
      </c>
      <c r="AA376" s="50" t="str">
        <f t="shared" si="47"/>
        <v/>
      </c>
      <c r="AB376" s="50" t="str">
        <f>IF(OR(B376="",C376&lt;&gt;"Expense"),"",IF(E376&gt;IFERROR(AVERAGEIFS($E$8:$E$1007,$I$8:$I$1007,I376,$C$8:$C$1007,"Expense")*SETTINGS!$B$20,0),"Unusually High","Normal"))</f>
        <v/>
      </c>
      <c r="AC376" s="51"/>
      <c r="AD376" s="51"/>
      <c r="AE376" s="51"/>
      <c r="AF376" s="50" t="str">
        <f>IF(A376&lt;&gt;"Yes","No",IF(AND(AC376="Yes",SETTINGS!$B$16="No"),"No","Yes"))</f>
        <v>No</v>
      </c>
      <c r="AG376" s="50" t="str">
        <f>IF(A376&lt;&gt;"Yes","",IF(OR(B376="",D376="",E376&lt;=0,F376="",I376=""),"Check Required Fields",IF(AA376="Possible Duplicate","Possible Duplicate",IF(E376&gt;SETTINGS!$B$22,"Review Extreme Value","OK"))))</f>
        <v/>
      </c>
    </row>
    <row r="377" spans="1:33" ht="14.4">
      <c r="A377" s="9"/>
      <c r="B377" s="13"/>
      <c r="C377" s="9"/>
      <c r="D377" s="9"/>
      <c r="E377" s="11"/>
      <c r="F377" s="9"/>
      <c r="G377" s="9"/>
      <c r="H377" s="44" t="str">
        <f>IF(D377="","",IF(ISNUMBER(SEARCH(SETTINGS!$K$4,D377)),SETTINGS!$L$4,IF(ISNUMBER(SEARCH(SETTINGS!$K$5,D377)),SETTINGS!$L$5,IF(ISNUMBER(SEARCH(SETTINGS!$K$6,D377)),SETTINGS!$L$6,IF(ISNUMBER(SEARCH(SETTINGS!$K$7,D377)),SETTINGS!$L$7,IF(ISNUMBER(SEARCH(SETTINGS!$K$8,D377)),SETTINGS!$L$8,IF(ISNUMBER(SEARCH(SETTINGS!$K$9,D377)),SETTINGS!$L$9,IF(ISNUMBER(SEARCH(SETTINGS!$K$10,D377)),SETTINGS!$L$10,IF(ISNUMBER(SEARCH(SETTINGS!$K$11,D377)),SETTINGS!$L$11,IF(ISNUMBER(SEARCH(SETTINGS!$K$12,D377)),SETTINGS!$L$12,IF(ISNUMBER(SEARCH(SETTINGS!$K$13,D377)),SETTINGS!$L$13,IF(ISNUMBER(SEARCH(SETTINGS!$K$14,D377)),SETTINGS!$L$14,IF(ISNUMBER(SEARCH(SETTINGS!$K$15,D377)),SETTINGS!$L$15,IF(ISNUMBER(SEARCH(SETTINGS!$K$16,D377)),SETTINGS!$L$16,IF(ISNUMBER(SEARCH(SETTINGS!$K$17,D377)),SETTINGS!$L$17,IF(ISNUMBER(SEARCH(SETTINGS!$K$18,D377)),SETTINGS!$L$18,"Miscellaneous"))))))))))))))))</f>
        <v/>
      </c>
      <c r="I377" s="44" t="str">
        <f t="shared" si="40"/>
        <v/>
      </c>
      <c r="J377" s="9"/>
      <c r="K377" s="9"/>
      <c r="L377" s="9"/>
      <c r="M377" s="9"/>
      <c r="N377" s="9"/>
      <c r="O377" s="9"/>
      <c r="P377" s="13"/>
      <c r="Q377" s="9"/>
      <c r="R377" s="9"/>
      <c r="S377" s="9"/>
      <c r="T377" s="11"/>
      <c r="U377" s="44" t="str">
        <f t="shared" si="41"/>
        <v/>
      </c>
      <c r="V377" s="44" t="str">
        <f t="shared" si="42"/>
        <v/>
      </c>
      <c r="W377" s="44" t="str">
        <f t="shared" si="43"/>
        <v/>
      </c>
      <c r="X377" s="44" t="str">
        <f t="shared" si="44"/>
        <v/>
      </c>
      <c r="Y377" s="44" t="str">
        <f t="shared" si="45"/>
        <v/>
      </c>
      <c r="Z377" s="44" t="str">
        <f t="shared" si="46"/>
        <v/>
      </c>
      <c r="AA377" s="50" t="str">
        <f t="shared" si="47"/>
        <v/>
      </c>
      <c r="AB377" s="50" t="str">
        <f>IF(OR(B377="",C377&lt;&gt;"Expense"),"",IF(E377&gt;IFERROR(AVERAGEIFS($E$8:$E$1007,$I$8:$I$1007,I377,$C$8:$C$1007,"Expense")*SETTINGS!$B$20,0),"Unusually High","Normal"))</f>
        <v/>
      </c>
      <c r="AC377" s="51"/>
      <c r="AD377" s="51"/>
      <c r="AE377" s="51"/>
      <c r="AF377" s="50" t="str">
        <f>IF(A377&lt;&gt;"Yes","No",IF(AND(AC377="Yes",SETTINGS!$B$16="No"),"No","Yes"))</f>
        <v>No</v>
      </c>
      <c r="AG377" s="50" t="str">
        <f>IF(A377&lt;&gt;"Yes","",IF(OR(B377="",D377="",E377&lt;=0,F377="",I377=""),"Check Required Fields",IF(AA377="Possible Duplicate","Possible Duplicate",IF(E377&gt;SETTINGS!$B$22,"Review Extreme Value","OK"))))</f>
        <v/>
      </c>
    </row>
    <row r="378" spans="1:33" ht="14.4">
      <c r="A378" s="9"/>
      <c r="B378" s="13"/>
      <c r="C378" s="9"/>
      <c r="D378" s="9"/>
      <c r="E378" s="11"/>
      <c r="F378" s="9"/>
      <c r="G378" s="9"/>
      <c r="H378" s="44" t="str">
        <f>IF(D378="","",IF(ISNUMBER(SEARCH(SETTINGS!$K$4,D378)),SETTINGS!$L$4,IF(ISNUMBER(SEARCH(SETTINGS!$K$5,D378)),SETTINGS!$L$5,IF(ISNUMBER(SEARCH(SETTINGS!$K$6,D378)),SETTINGS!$L$6,IF(ISNUMBER(SEARCH(SETTINGS!$K$7,D378)),SETTINGS!$L$7,IF(ISNUMBER(SEARCH(SETTINGS!$K$8,D378)),SETTINGS!$L$8,IF(ISNUMBER(SEARCH(SETTINGS!$K$9,D378)),SETTINGS!$L$9,IF(ISNUMBER(SEARCH(SETTINGS!$K$10,D378)),SETTINGS!$L$10,IF(ISNUMBER(SEARCH(SETTINGS!$K$11,D378)),SETTINGS!$L$11,IF(ISNUMBER(SEARCH(SETTINGS!$K$12,D378)),SETTINGS!$L$12,IF(ISNUMBER(SEARCH(SETTINGS!$K$13,D378)),SETTINGS!$L$13,IF(ISNUMBER(SEARCH(SETTINGS!$K$14,D378)),SETTINGS!$L$14,IF(ISNUMBER(SEARCH(SETTINGS!$K$15,D378)),SETTINGS!$L$15,IF(ISNUMBER(SEARCH(SETTINGS!$K$16,D378)),SETTINGS!$L$16,IF(ISNUMBER(SEARCH(SETTINGS!$K$17,D378)),SETTINGS!$L$17,IF(ISNUMBER(SEARCH(SETTINGS!$K$18,D378)),SETTINGS!$L$18,"Miscellaneous"))))))))))))))))</f>
        <v/>
      </c>
      <c r="I378" s="44" t="str">
        <f t="shared" si="40"/>
        <v/>
      </c>
      <c r="J378" s="9"/>
      <c r="K378" s="9"/>
      <c r="L378" s="9"/>
      <c r="M378" s="9"/>
      <c r="N378" s="9"/>
      <c r="O378" s="9"/>
      <c r="P378" s="13"/>
      <c r="Q378" s="9"/>
      <c r="R378" s="9"/>
      <c r="S378" s="9"/>
      <c r="T378" s="11"/>
      <c r="U378" s="44" t="str">
        <f t="shared" si="41"/>
        <v/>
      </c>
      <c r="V378" s="44" t="str">
        <f t="shared" si="42"/>
        <v/>
      </c>
      <c r="W378" s="44" t="str">
        <f t="shared" si="43"/>
        <v/>
      </c>
      <c r="X378" s="44" t="str">
        <f t="shared" si="44"/>
        <v/>
      </c>
      <c r="Y378" s="44" t="str">
        <f t="shared" si="45"/>
        <v/>
      </c>
      <c r="Z378" s="44" t="str">
        <f t="shared" si="46"/>
        <v/>
      </c>
      <c r="AA378" s="50" t="str">
        <f t="shared" si="47"/>
        <v/>
      </c>
      <c r="AB378" s="50" t="str">
        <f>IF(OR(B378="",C378&lt;&gt;"Expense"),"",IF(E378&gt;IFERROR(AVERAGEIFS($E$8:$E$1007,$I$8:$I$1007,I378,$C$8:$C$1007,"Expense")*SETTINGS!$B$20,0),"Unusually High","Normal"))</f>
        <v/>
      </c>
      <c r="AC378" s="51"/>
      <c r="AD378" s="51"/>
      <c r="AE378" s="51"/>
      <c r="AF378" s="50" t="str">
        <f>IF(A378&lt;&gt;"Yes","No",IF(AND(AC378="Yes",SETTINGS!$B$16="No"),"No","Yes"))</f>
        <v>No</v>
      </c>
      <c r="AG378" s="50" t="str">
        <f>IF(A378&lt;&gt;"Yes","",IF(OR(B378="",D378="",E378&lt;=0,F378="",I378=""),"Check Required Fields",IF(AA378="Possible Duplicate","Possible Duplicate",IF(E378&gt;SETTINGS!$B$22,"Review Extreme Value","OK"))))</f>
        <v/>
      </c>
    </row>
    <row r="379" spans="1:33" ht="14.4">
      <c r="A379" s="9"/>
      <c r="B379" s="13"/>
      <c r="C379" s="9"/>
      <c r="D379" s="9"/>
      <c r="E379" s="11"/>
      <c r="F379" s="9"/>
      <c r="G379" s="9"/>
      <c r="H379" s="44" t="str">
        <f>IF(D379="","",IF(ISNUMBER(SEARCH(SETTINGS!$K$4,D379)),SETTINGS!$L$4,IF(ISNUMBER(SEARCH(SETTINGS!$K$5,D379)),SETTINGS!$L$5,IF(ISNUMBER(SEARCH(SETTINGS!$K$6,D379)),SETTINGS!$L$6,IF(ISNUMBER(SEARCH(SETTINGS!$K$7,D379)),SETTINGS!$L$7,IF(ISNUMBER(SEARCH(SETTINGS!$K$8,D379)),SETTINGS!$L$8,IF(ISNUMBER(SEARCH(SETTINGS!$K$9,D379)),SETTINGS!$L$9,IF(ISNUMBER(SEARCH(SETTINGS!$K$10,D379)),SETTINGS!$L$10,IF(ISNUMBER(SEARCH(SETTINGS!$K$11,D379)),SETTINGS!$L$11,IF(ISNUMBER(SEARCH(SETTINGS!$K$12,D379)),SETTINGS!$L$12,IF(ISNUMBER(SEARCH(SETTINGS!$K$13,D379)),SETTINGS!$L$13,IF(ISNUMBER(SEARCH(SETTINGS!$K$14,D379)),SETTINGS!$L$14,IF(ISNUMBER(SEARCH(SETTINGS!$K$15,D379)),SETTINGS!$L$15,IF(ISNUMBER(SEARCH(SETTINGS!$K$16,D379)),SETTINGS!$L$16,IF(ISNUMBER(SEARCH(SETTINGS!$K$17,D379)),SETTINGS!$L$17,IF(ISNUMBER(SEARCH(SETTINGS!$K$18,D379)),SETTINGS!$L$18,"Miscellaneous"))))))))))))))))</f>
        <v/>
      </c>
      <c r="I379" s="44" t="str">
        <f t="shared" si="40"/>
        <v/>
      </c>
      <c r="J379" s="9"/>
      <c r="K379" s="9"/>
      <c r="L379" s="9"/>
      <c r="M379" s="9"/>
      <c r="N379" s="9"/>
      <c r="O379" s="9"/>
      <c r="P379" s="13"/>
      <c r="Q379" s="9"/>
      <c r="R379" s="9"/>
      <c r="S379" s="9"/>
      <c r="T379" s="11"/>
      <c r="U379" s="44" t="str">
        <f t="shared" si="41"/>
        <v/>
      </c>
      <c r="V379" s="44" t="str">
        <f t="shared" si="42"/>
        <v/>
      </c>
      <c r="W379" s="44" t="str">
        <f t="shared" si="43"/>
        <v/>
      </c>
      <c r="X379" s="44" t="str">
        <f t="shared" si="44"/>
        <v/>
      </c>
      <c r="Y379" s="44" t="str">
        <f t="shared" si="45"/>
        <v/>
      </c>
      <c r="Z379" s="44" t="str">
        <f t="shared" si="46"/>
        <v/>
      </c>
      <c r="AA379" s="50" t="str">
        <f t="shared" si="47"/>
        <v/>
      </c>
      <c r="AB379" s="50" t="str">
        <f>IF(OR(B379="",C379&lt;&gt;"Expense"),"",IF(E379&gt;IFERROR(AVERAGEIFS($E$8:$E$1007,$I$8:$I$1007,I379,$C$8:$C$1007,"Expense")*SETTINGS!$B$20,0),"Unusually High","Normal"))</f>
        <v/>
      </c>
      <c r="AC379" s="51"/>
      <c r="AD379" s="51"/>
      <c r="AE379" s="51"/>
      <c r="AF379" s="50" t="str">
        <f>IF(A379&lt;&gt;"Yes","No",IF(AND(AC379="Yes",SETTINGS!$B$16="No"),"No","Yes"))</f>
        <v>No</v>
      </c>
      <c r="AG379" s="50" t="str">
        <f>IF(A379&lt;&gt;"Yes","",IF(OR(B379="",D379="",E379&lt;=0,F379="",I379=""),"Check Required Fields",IF(AA379="Possible Duplicate","Possible Duplicate",IF(E379&gt;SETTINGS!$B$22,"Review Extreme Value","OK"))))</f>
        <v/>
      </c>
    </row>
    <row r="380" spans="1:33" ht="14.4">
      <c r="A380" s="9"/>
      <c r="B380" s="13"/>
      <c r="C380" s="9"/>
      <c r="D380" s="9"/>
      <c r="E380" s="11"/>
      <c r="F380" s="9"/>
      <c r="G380" s="9"/>
      <c r="H380" s="44" t="str">
        <f>IF(D380="","",IF(ISNUMBER(SEARCH(SETTINGS!$K$4,D380)),SETTINGS!$L$4,IF(ISNUMBER(SEARCH(SETTINGS!$K$5,D380)),SETTINGS!$L$5,IF(ISNUMBER(SEARCH(SETTINGS!$K$6,D380)),SETTINGS!$L$6,IF(ISNUMBER(SEARCH(SETTINGS!$K$7,D380)),SETTINGS!$L$7,IF(ISNUMBER(SEARCH(SETTINGS!$K$8,D380)),SETTINGS!$L$8,IF(ISNUMBER(SEARCH(SETTINGS!$K$9,D380)),SETTINGS!$L$9,IF(ISNUMBER(SEARCH(SETTINGS!$K$10,D380)),SETTINGS!$L$10,IF(ISNUMBER(SEARCH(SETTINGS!$K$11,D380)),SETTINGS!$L$11,IF(ISNUMBER(SEARCH(SETTINGS!$K$12,D380)),SETTINGS!$L$12,IF(ISNUMBER(SEARCH(SETTINGS!$K$13,D380)),SETTINGS!$L$13,IF(ISNUMBER(SEARCH(SETTINGS!$K$14,D380)),SETTINGS!$L$14,IF(ISNUMBER(SEARCH(SETTINGS!$K$15,D380)),SETTINGS!$L$15,IF(ISNUMBER(SEARCH(SETTINGS!$K$16,D380)),SETTINGS!$L$16,IF(ISNUMBER(SEARCH(SETTINGS!$K$17,D380)),SETTINGS!$L$17,IF(ISNUMBER(SEARCH(SETTINGS!$K$18,D380)),SETTINGS!$L$18,"Miscellaneous"))))))))))))))))</f>
        <v/>
      </c>
      <c r="I380" s="44" t="str">
        <f t="shared" si="40"/>
        <v/>
      </c>
      <c r="J380" s="9"/>
      <c r="K380" s="9"/>
      <c r="L380" s="9"/>
      <c r="M380" s="9"/>
      <c r="N380" s="9"/>
      <c r="O380" s="9"/>
      <c r="P380" s="13"/>
      <c r="Q380" s="9"/>
      <c r="R380" s="9"/>
      <c r="S380" s="9"/>
      <c r="T380" s="11"/>
      <c r="U380" s="44" t="str">
        <f t="shared" si="41"/>
        <v/>
      </c>
      <c r="V380" s="44" t="str">
        <f t="shared" si="42"/>
        <v/>
      </c>
      <c r="W380" s="44" t="str">
        <f t="shared" si="43"/>
        <v/>
      </c>
      <c r="X380" s="44" t="str">
        <f t="shared" si="44"/>
        <v/>
      </c>
      <c r="Y380" s="44" t="str">
        <f t="shared" si="45"/>
        <v/>
      </c>
      <c r="Z380" s="44" t="str">
        <f t="shared" si="46"/>
        <v/>
      </c>
      <c r="AA380" s="50" t="str">
        <f t="shared" si="47"/>
        <v/>
      </c>
      <c r="AB380" s="50" t="str">
        <f>IF(OR(B380="",C380&lt;&gt;"Expense"),"",IF(E380&gt;IFERROR(AVERAGEIFS($E$8:$E$1007,$I$8:$I$1007,I380,$C$8:$C$1007,"Expense")*SETTINGS!$B$20,0),"Unusually High","Normal"))</f>
        <v/>
      </c>
      <c r="AC380" s="51"/>
      <c r="AD380" s="51"/>
      <c r="AE380" s="51"/>
      <c r="AF380" s="50" t="str">
        <f>IF(A380&lt;&gt;"Yes","No",IF(AND(AC380="Yes",SETTINGS!$B$16="No"),"No","Yes"))</f>
        <v>No</v>
      </c>
      <c r="AG380" s="50" t="str">
        <f>IF(A380&lt;&gt;"Yes","",IF(OR(B380="",D380="",E380&lt;=0,F380="",I380=""),"Check Required Fields",IF(AA380="Possible Duplicate","Possible Duplicate",IF(E380&gt;SETTINGS!$B$22,"Review Extreme Value","OK"))))</f>
        <v/>
      </c>
    </row>
    <row r="381" spans="1:33" ht="14.4">
      <c r="A381" s="9"/>
      <c r="B381" s="13"/>
      <c r="C381" s="9"/>
      <c r="D381" s="9"/>
      <c r="E381" s="11"/>
      <c r="F381" s="9"/>
      <c r="G381" s="9"/>
      <c r="H381" s="44" t="str">
        <f>IF(D381="","",IF(ISNUMBER(SEARCH(SETTINGS!$K$4,D381)),SETTINGS!$L$4,IF(ISNUMBER(SEARCH(SETTINGS!$K$5,D381)),SETTINGS!$L$5,IF(ISNUMBER(SEARCH(SETTINGS!$K$6,D381)),SETTINGS!$L$6,IF(ISNUMBER(SEARCH(SETTINGS!$K$7,D381)),SETTINGS!$L$7,IF(ISNUMBER(SEARCH(SETTINGS!$K$8,D381)),SETTINGS!$L$8,IF(ISNUMBER(SEARCH(SETTINGS!$K$9,D381)),SETTINGS!$L$9,IF(ISNUMBER(SEARCH(SETTINGS!$K$10,D381)),SETTINGS!$L$10,IF(ISNUMBER(SEARCH(SETTINGS!$K$11,D381)),SETTINGS!$L$11,IF(ISNUMBER(SEARCH(SETTINGS!$K$12,D381)),SETTINGS!$L$12,IF(ISNUMBER(SEARCH(SETTINGS!$K$13,D381)),SETTINGS!$L$13,IF(ISNUMBER(SEARCH(SETTINGS!$K$14,D381)),SETTINGS!$L$14,IF(ISNUMBER(SEARCH(SETTINGS!$K$15,D381)),SETTINGS!$L$15,IF(ISNUMBER(SEARCH(SETTINGS!$K$16,D381)),SETTINGS!$L$16,IF(ISNUMBER(SEARCH(SETTINGS!$K$17,D381)),SETTINGS!$L$17,IF(ISNUMBER(SEARCH(SETTINGS!$K$18,D381)),SETTINGS!$L$18,"Miscellaneous"))))))))))))))))</f>
        <v/>
      </c>
      <c r="I381" s="44" t="str">
        <f t="shared" si="40"/>
        <v/>
      </c>
      <c r="J381" s="9"/>
      <c r="K381" s="9"/>
      <c r="L381" s="9"/>
      <c r="M381" s="9"/>
      <c r="N381" s="9"/>
      <c r="O381" s="9"/>
      <c r="P381" s="13"/>
      <c r="Q381" s="9"/>
      <c r="R381" s="9"/>
      <c r="S381" s="9"/>
      <c r="T381" s="11"/>
      <c r="U381" s="44" t="str">
        <f t="shared" si="41"/>
        <v/>
      </c>
      <c r="V381" s="44" t="str">
        <f t="shared" si="42"/>
        <v/>
      </c>
      <c r="W381" s="44" t="str">
        <f t="shared" si="43"/>
        <v/>
      </c>
      <c r="X381" s="44" t="str">
        <f t="shared" si="44"/>
        <v/>
      </c>
      <c r="Y381" s="44" t="str">
        <f t="shared" si="45"/>
        <v/>
      </c>
      <c r="Z381" s="44" t="str">
        <f t="shared" si="46"/>
        <v/>
      </c>
      <c r="AA381" s="50" t="str">
        <f t="shared" si="47"/>
        <v/>
      </c>
      <c r="AB381" s="50" t="str">
        <f>IF(OR(B381="",C381&lt;&gt;"Expense"),"",IF(E381&gt;IFERROR(AVERAGEIFS($E$8:$E$1007,$I$8:$I$1007,I381,$C$8:$C$1007,"Expense")*SETTINGS!$B$20,0),"Unusually High","Normal"))</f>
        <v/>
      </c>
      <c r="AC381" s="51"/>
      <c r="AD381" s="51"/>
      <c r="AE381" s="51"/>
      <c r="AF381" s="50" t="str">
        <f>IF(A381&lt;&gt;"Yes","No",IF(AND(AC381="Yes",SETTINGS!$B$16="No"),"No","Yes"))</f>
        <v>No</v>
      </c>
      <c r="AG381" s="50" t="str">
        <f>IF(A381&lt;&gt;"Yes","",IF(OR(B381="",D381="",E381&lt;=0,F381="",I381=""),"Check Required Fields",IF(AA381="Possible Duplicate","Possible Duplicate",IF(E381&gt;SETTINGS!$B$22,"Review Extreme Value","OK"))))</f>
        <v/>
      </c>
    </row>
    <row r="382" spans="1:33" ht="14.4">
      <c r="A382" s="9"/>
      <c r="B382" s="13"/>
      <c r="C382" s="9"/>
      <c r="D382" s="9"/>
      <c r="E382" s="11"/>
      <c r="F382" s="9"/>
      <c r="G382" s="9"/>
      <c r="H382" s="44" t="str">
        <f>IF(D382="","",IF(ISNUMBER(SEARCH(SETTINGS!$K$4,D382)),SETTINGS!$L$4,IF(ISNUMBER(SEARCH(SETTINGS!$K$5,D382)),SETTINGS!$L$5,IF(ISNUMBER(SEARCH(SETTINGS!$K$6,D382)),SETTINGS!$L$6,IF(ISNUMBER(SEARCH(SETTINGS!$K$7,D382)),SETTINGS!$L$7,IF(ISNUMBER(SEARCH(SETTINGS!$K$8,D382)),SETTINGS!$L$8,IF(ISNUMBER(SEARCH(SETTINGS!$K$9,D382)),SETTINGS!$L$9,IF(ISNUMBER(SEARCH(SETTINGS!$K$10,D382)),SETTINGS!$L$10,IF(ISNUMBER(SEARCH(SETTINGS!$K$11,D382)),SETTINGS!$L$11,IF(ISNUMBER(SEARCH(SETTINGS!$K$12,D382)),SETTINGS!$L$12,IF(ISNUMBER(SEARCH(SETTINGS!$K$13,D382)),SETTINGS!$L$13,IF(ISNUMBER(SEARCH(SETTINGS!$K$14,D382)),SETTINGS!$L$14,IF(ISNUMBER(SEARCH(SETTINGS!$K$15,D382)),SETTINGS!$L$15,IF(ISNUMBER(SEARCH(SETTINGS!$K$16,D382)),SETTINGS!$L$16,IF(ISNUMBER(SEARCH(SETTINGS!$K$17,D382)),SETTINGS!$L$17,IF(ISNUMBER(SEARCH(SETTINGS!$K$18,D382)),SETTINGS!$L$18,"Miscellaneous"))))))))))))))))</f>
        <v/>
      </c>
      <c r="I382" s="44" t="str">
        <f t="shared" si="40"/>
        <v/>
      </c>
      <c r="J382" s="9"/>
      <c r="K382" s="9"/>
      <c r="L382" s="9"/>
      <c r="M382" s="9"/>
      <c r="N382" s="9"/>
      <c r="O382" s="9"/>
      <c r="P382" s="13"/>
      <c r="Q382" s="9"/>
      <c r="R382" s="9"/>
      <c r="S382" s="9"/>
      <c r="T382" s="11"/>
      <c r="U382" s="44" t="str">
        <f t="shared" si="41"/>
        <v/>
      </c>
      <c r="V382" s="44" t="str">
        <f t="shared" si="42"/>
        <v/>
      </c>
      <c r="W382" s="44" t="str">
        <f t="shared" si="43"/>
        <v/>
      </c>
      <c r="X382" s="44" t="str">
        <f t="shared" si="44"/>
        <v/>
      </c>
      <c r="Y382" s="44" t="str">
        <f t="shared" si="45"/>
        <v/>
      </c>
      <c r="Z382" s="44" t="str">
        <f t="shared" si="46"/>
        <v/>
      </c>
      <c r="AA382" s="50" t="str">
        <f t="shared" si="47"/>
        <v/>
      </c>
      <c r="AB382" s="50" t="str">
        <f>IF(OR(B382="",C382&lt;&gt;"Expense"),"",IF(E382&gt;IFERROR(AVERAGEIFS($E$8:$E$1007,$I$8:$I$1007,I382,$C$8:$C$1007,"Expense")*SETTINGS!$B$20,0),"Unusually High","Normal"))</f>
        <v/>
      </c>
      <c r="AC382" s="51"/>
      <c r="AD382" s="51"/>
      <c r="AE382" s="51"/>
      <c r="AF382" s="50" t="str">
        <f>IF(A382&lt;&gt;"Yes","No",IF(AND(AC382="Yes",SETTINGS!$B$16="No"),"No","Yes"))</f>
        <v>No</v>
      </c>
      <c r="AG382" s="50" t="str">
        <f>IF(A382&lt;&gt;"Yes","",IF(OR(B382="",D382="",E382&lt;=0,F382="",I382=""),"Check Required Fields",IF(AA382="Possible Duplicate","Possible Duplicate",IF(E382&gt;SETTINGS!$B$22,"Review Extreme Value","OK"))))</f>
        <v/>
      </c>
    </row>
    <row r="383" spans="1:33" ht="14.4">
      <c r="A383" s="9"/>
      <c r="B383" s="13"/>
      <c r="C383" s="9"/>
      <c r="D383" s="9"/>
      <c r="E383" s="11"/>
      <c r="F383" s="9"/>
      <c r="G383" s="9"/>
      <c r="H383" s="44" t="str">
        <f>IF(D383="","",IF(ISNUMBER(SEARCH(SETTINGS!$K$4,D383)),SETTINGS!$L$4,IF(ISNUMBER(SEARCH(SETTINGS!$K$5,D383)),SETTINGS!$L$5,IF(ISNUMBER(SEARCH(SETTINGS!$K$6,D383)),SETTINGS!$L$6,IF(ISNUMBER(SEARCH(SETTINGS!$K$7,D383)),SETTINGS!$L$7,IF(ISNUMBER(SEARCH(SETTINGS!$K$8,D383)),SETTINGS!$L$8,IF(ISNUMBER(SEARCH(SETTINGS!$K$9,D383)),SETTINGS!$L$9,IF(ISNUMBER(SEARCH(SETTINGS!$K$10,D383)),SETTINGS!$L$10,IF(ISNUMBER(SEARCH(SETTINGS!$K$11,D383)),SETTINGS!$L$11,IF(ISNUMBER(SEARCH(SETTINGS!$K$12,D383)),SETTINGS!$L$12,IF(ISNUMBER(SEARCH(SETTINGS!$K$13,D383)),SETTINGS!$L$13,IF(ISNUMBER(SEARCH(SETTINGS!$K$14,D383)),SETTINGS!$L$14,IF(ISNUMBER(SEARCH(SETTINGS!$K$15,D383)),SETTINGS!$L$15,IF(ISNUMBER(SEARCH(SETTINGS!$K$16,D383)),SETTINGS!$L$16,IF(ISNUMBER(SEARCH(SETTINGS!$K$17,D383)),SETTINGS!$L$17,IF(ISNUMBER(SEARCH(SETTINGS!$K$18,D383)),SETTINGS!$L$18,"Miscellaneous"))))))))))))))))</f>
        <v/>
      </c>
      <c r="I383" s="44" t="str">
        <f t="shared" si="40"/>
        <v/>
      </c>
      <c r="J383" s="9"/>
      <c r="K383" s="9"/>
      <c r="L383" s="9"/>
      <c r="M383" s="9"/>
      <c r="N383" s="9"/>
      <c r="O383" s="9"/>
      <c r="P383" s="13"/>
      <c r="Q383" s="9"/>
      <c r="R383" s="9"/>
      <c r="S383" s="9"/>
      <c r="T383" s="11"/>
      <c r="U383" s="44" t="str">
        <f t="shared" si="41"/>
        <v/>
      </c>
      <c r="V383" s="44" t="str">
        <f t="shared" si="42"/>
        <v/>
      </c>
      <c r="W383" s="44" t="str">
        <f t="shared" si="43"/>
        <v/>
      </c>
      <c r="X383" s="44" t="str">
        <f t="shared" si="44"/>
        <v/>
      </c>
      <c r="Y383" s="44" t="str">
        <f t="shared" si="45"/>
        <v/>
      </c>
      <c r="Z383" s="44" t="str">
        <f t="shared" si="46"/>
        <v/>
      </c>
      <c r="AA383" s="50" t="str">
        <f t="shared" si="47"/>
        <v/>
      </c>
      <c r="AB383" s="50" t="str">
        <f>IF(OR(B383="",C383&lt;&gt;"Expense"),"",IF(E383&gt;IFERROR(AVERAGEIFS($E$8:$E$1007,$I$8:$I$1007,I383,$C$8:$C$1007,"Expense")*SETTINGS!$B$20,0),"Unusually High","Normal"))</f>
        <v/>
      </c>
      <c r="AC383" s="51"/>
      <c r="AD383" s="51"/>
      <c r="AE383" s="51"/>
      <c r="AF383" s="50" t="str">
        <f>IF(A383&lt;&gt;"Yes","No",IF(AND(AC383="Yes",SETTINGS!$B$16="No"),"No","Yes"))</f>
        <v>No</v>
      </c>
      <c r="AG383" s="50" t="str">
        <f>IF(A383&lt;&gt;"Yes","",IF(OR(B383="",D383="",E383&lt;=0,F383="",I383=""),"Check Required Fields",IF(AA383="Possible Duplicate","Possible Duplicate",IF(E383&gt;SETTINGS!$B$22,"Review Extreme Value","OK"))))</f>
        <v/>
      </c>
    </row>
    <row r="384" spans="1:33" ht="14.4">
      <c r="A384" s="9"/>
      <c r="B384" s="13"/>
      <c r="C384" s="9"/>
      <c r="D384" s="9"/>
      <c r="E384" s="11"/>
      <c r="F384" s="9"/>
      <c r="G384" s="9"/>
      <c r="H384" s="44" t="str">
        <f>IF(D384="","",IF(ISNUMBER(SEARCH(SETTINGS!$K$4,D384)),SETTINGS!$L$4,IF(ISNUMBER(SEARCH(SETTINGS!$K$5,D384)),SETTINGS!$L$5,IF(ISNUMBER(SEARCH(SETTINGS!$K$6,D384)),SETTINGS!$L$6,IF(ISNUMBER(SEARCH(SETTINGS!$K$7,D384)),SETTINGS!$L$7,IF(ISNUMBER(SEARCH(SETTINGS!$K$8,D384)),SETTINGS!$L$8,IF(ISNUMBER(SEARCH(SETTINGS!$K$9,D384)),SETTINGS!$L$9,IF(ISNUMBER(SEARCH(SETTINGS!$K$10,D384)),SETTINGS!$L$10,IF(ISNUMBER(SEARCH(SETTINGS!$K$11,D384)),SETTINGS!$L$11,IF(ISNUMBER(SEARCH(SETTINGS!$K$12,D384)),SETTINGS!$L$12,IF(ISNUMBER(SEARCH(SETTINGS!$K$13,D384)),SETTINGS!$L$13,IF(ISNUMBER(SEARCH(SETTINGS!$K$14,D384)),SETTINGS!$L$14,IF(ISNUMBER(SEARCH(SETTINGS!$K$15,D384)),SETTINGS!$L$15,IF(ISNUMBER(SEARCH(SETTINGS!$K$16,D384)),SETTINGS!$L$16,IF(ISNUMBER(SEARCH(SETTINGS!$K$17,D384)),SETTINGS!$L$17,IF(ISNUMBER(SEARCH(SETTINGS!$K$18,D384)),SETTINGS!$L$18,"Miscellaneous"))))))))))))))))</f>
        <v/>
      </c>
      <c r="I384" s="44" t="str">
        <f t="shared" si="40"/>
        <v/>
      </c>
      <c r="J384" s="9"/>
      <c r="K384" s="9"/>
      <c r="L384" s="9"/>
      <c r="M384" s="9"/>
      <c r="N384" s="9"/>
      <c r="O384" s="9"/>
      <c r="P384" s="13"/>
      <c r="Q384" s="9"/>
      <c r="R384" s="9"/>
      <c r="S384" s="9"/>
      <c r="T384" s="11"/>
      <c r="U384" s="44" t="str">
        <f t="shared" si="41"/>
        <v/>
      </c>
      <c r="V384" s="44" t="str">
        <f t="shared" si="42"/>
        <v/>
      </c>
      <c r="W384" s="44" t="str">
        <f t="shared" si="43"/>
        <v/>
      </c>
      <c r="X384" s="44" t="str">
        <f t="shared" si="44"/>
        <v/>
      </c>
      <c r="Y384" s="44" t="str">
        <f t="shared" si="45"/>
        <v/>
      </c>
      <c r="Z384" s="44" t="str">
        <f t="shared" si="46"/>
        <v/>
      </c>
      <c r="AA384" s="50" t="str">
        <f t="shared" si="47"/>
        <v/>
      </c>
      <c r="AB384" s="50" t="str">
        <f>IF(OR(B384="",C384&lt;&gt;"Expense"),"",IF(E384&gt;IFERROR(AVERAGEIFS($E$8:$E$1007,$I$8:$I$1007,I384,$C$8:$C$1007,"Expense")*SETTINGS!$B$20,0),"Unusually High","Normal"))</f>
        <v/>
      </c>
      <c r="AC384" s="51"/>
      <c r="AD384" s="51"/>
      <c r="AE384" s="51"/>
      <c r="AF384" s="50" t="str">
        <f>IF(A384&lt;&gt;"Yes","No",IF(AND(AC384="Yes",SETTINGS!$B$16="No"),"No","Yes"))</f>
        <v>No</v>
      </c>
      <c r="AG384" s="50" t="str">
        <f>IF(A384&lt;&gt;"Yes","",IF(OR(B384="",D384="",E384&lt;=0,F384="",I384=""),"Check Required Fields",IF(AA384="Possible Duplicate","Possible Duplicate",IF(E384&gt;SETTINGS!$B$22,"Review Extreme Value","OK"))))</f>
        <v/>
      </c>
    </row>
    <row r="385" spans="1:33" ht="14.4">
      <c r="A385" s="9"/>
      <c r="B385" s="13"/>
      <c r="C385" s="9"/>
      <c r="D385" s="9"/>
      <c r="E385" s="11"/>
      <c r="F385" s="9"/>
      <c r="G385" s="9"/>
      <c r="H385" s="44" t="str">
        <f>IF(D385="","",IF(ISNUMBER(SEARCH(SETTINGS!$K$4,D385)),SETTINGS!$L$4,IF(ISNUMBER(SEARCH(SETTINGS!$K$5,D385)),SETTINGS!$L$5,IF(ISNUMBER(SEARCH(SETTINGS!$K$6,D385)),SETTINGS!$L$6,IF(ISNUMBER(SEARCH(SETTINGS!$K$7,D385)),SETTINGS!$L$7,IF(ISNUMBER(SEARCH(SETTINGS!$K$8,D385)),SETTINGS!$L$8,IF(ISNUMBER(SEARCH(SETTINGS!$K$9,D385)),SETTINGS!$L$9,IF(ISNUMBER(SEARCH(SETTINGS!$K$10,D385)),SETTINGS!$L$10,IF(ISNUMBER(SEARCH(SETTINGS!$K$11,D385)),SETTINGS!$L$11,IF(ISNUMBER(SEARCH(SETTINGS!$K$12,D385)),SETTINGS!$L$12,IF(ISNUMBER(SEARCH(SETTINGS!$K$13,D385)),SETTINGS!$L$13,IF(ISNUMBER(SEARCH(SETTINGS!$K$14,D385)),SETTINGS!$L$14,IF(ISNUMBER(SEARCH(SETTINGS!$K$15,D385)),SETTINGS!$L$15,IF(ISNUMBER(SEARCH(SETTINGS!$K$16,D385)),SETTINGS!$L$16,IF(ISNUMBER(SEARCH(SETTINGS!$K$17,D385)),SETTINGS!$L$17,IF(ISNUMBER(SEARCH(SETTINGS!$K$18,D385)),SETTINGS!$L$18,"Miscellaneous"))))))))))))))))</f>
        <v/>
      </c>
      <c r="I385" s="44" t="str">
        <f t="shared" si="40"/>
        <v/>
      </c>
      <c r="J385" s="9"/>
      <c r="K385" s="9"/>
      <c r="L385" s="9"/>
      <c r="M385" s="9"/>
      <c r="N385" s="9"/>
      <c r="O385" s="9"/>
      <c r="P385" s="13"/>
      <c r="Q385" s="9"/>
      <c r="R385" s="9"/>
      <c r="S385" s="9"/>
      <c r="T385" s="11"/>
      <c r="U385" s="44" t="str">
        <f t="shared" si="41"/>
        <v/>
      </c>
      <c r="V385" s="44" t="str">
        <f t="shared" si="42"/>
        <v/>
      </c>
      <c r="W385" s="44" t="str">
        <f t="shared" si="43"/>
        <v/>
      </c>
      <c r="X385" s="44" t="str">
        <f t="shared" si="44"/>
        <v/>
      </c>
      <c r="Y385" s="44" t="str">
        <f t="shared" si="45"/>
        <v/>
      </c>
      <c r="Z385" s="44" t="str">
        <f t="shared" si="46"/>
        <v/>
      </c>
      <c r="AA385" s="50" t="str">
        <f t="shared" si="47"/>
        <v/>
      </c>
      <c r="AB385" s="50" t="str">
        <f>IF(OR(B385="",C385&lt;&gt;"Expense"),"",IF(E385&gt;IFERROR(AVERAGEIFS($E$8:$E$1007,$I$8:$I$1007,I385,$C$8:$C$1007,"Expense")*SETTINGS!$B$20,0),"Unusually High","Normal"))</f>
        <v/>
      </c>
      <c r="AC385" s="51"/>
      <c r="AD385" s="51"/>
      <c r="AE385" s="51"/>
      <c r="AF385" s="50" t="str">
        <f>IF(A385&lt;&gt;"Yes","No",IF(AND(AC385="Yes",SETTINGS!$B$16="No"),"No","Yes"))</f>
        <v>No</v>
      </c>
      <c r="AG385" s="50" t="str">
        <f>IF(A385&lt;&gt;"Yes","",IF(OR(B385="",D385="",E385&lt;=0,F385="",I385=""),"Check Required Fields",IF(AA385="Possible Duplicate","Possible Duplicate",IF(E385&gt;SETTINGS!$B$22,"Review Extreme Value","OK"))))</f>
        <v/>
      </c>
    </row>
    <row r="386" spans="1:33" ht="14.4">
      <c r="A386" s="9"/>
      <c r="B386" s="13"/>
      <c r="C386" s="9"/>
      <c r="D386" s="9"/>
      <c r="E386" s="11"/>
      <c r="F386" s="9"/>
      <c r="G386" s="9"/>
      <c r="H386" s="44" t="str">
        <f>IF(D386="","",IF(ISNUMBER(SEARCH(SETTINGS!$K$4,D386)),SETTINGS!$L$4,IF(ISNUMBER(SEARCH(SETTINGS!$K$5,D386)),SETTINGS!$L$5,IF(ISNUMBER(SEARCH(SETTINGS!$K$6,D386)),SETTINGS!$L$6,IF(ISNUMBER(SEARCH(SETTINGS!$K$7,D386)),SETTINGS!$L$7,IF(ISNUMBER(SEARCH(SETTINGS!$K$8,D386)),SETTINGS!$L$8,IF(ISNUMBER(SEARCH(SETTINGS!$K$9,D386)),SETTINGS!$L$9,IF(ISNUMBER(SEARCH(SETTINGS!$K$10,D386)),SETTINGS!$L$10,IF(ISNUMBER(SEARCH(SETTINGS!$K$11,D386)),SETTINGS!$L$11,IF(ISNUMBER(SEARCH(SETTINGS!$K$12,D386)),SETTINGS!$L$12,IF(ISNUMBER(SEARCH(SETTINGS!$K$13,D386)),SETTINGS!$L$13,IF(ISNUMBER(SEARCH(SETTINGS!$K$14,D386)),SETTINGS!$L$14,IF(ISNUMBER(SEARCH(SETTINGS!$K$15,D386)),SETTINGS!$L$15,IF(ISNUMBER(SEARCH(SETTINGS!$K$16,D386)),SETTINGS!$L$16,IF(ISNUMBER(SEARCH(SETTINGS!$K$17,D386)),SETTINGS!$L$17,IF(ISNUMBER(SEARCH(SETTINGS!$K$18,D386)),SETTINGS!$L$18,"Miscellaneous"))))))))))))))))</f>
        <v/>
      </c>
      <c r="I386" s="44" t="str">
        <f t="shared" si="40"/>
        <v/>
      </c>
      <c r="J386" s="9"/>
      <c r="K386" s="9"/>
      <c r="L386" s="9"/>
      <c r="M386" s="9"/>
      <c r="N386" s="9"/>
      <c r="O386" s="9"/>
      <c r="P386" s="13"/>
      <c r="Q386" s="9"/>
      <c r="R386" s="9"/>
      <c r="S386" s="9"/>
      <c r="T386" s="11"/>
      <c r="U386" s="44" t="str">
        <f t="shared" si="41"/>
        <v/>
      </c>
      <c r="V386" s="44" t="str">
        <f t="shared" si="42"/>
        <v/>
      </c>
      <c r="W386" s="44" t="str">
        <f t="shared" si="43"/>
        <v/>
      </c>
      <c r="X386" s="44" t="str">
        <f t="shared" si="44"/>
        <v/>
      </c>
      <c r="Y386" s="44" t="str">
        <f t="shared" si="45"/>
        <v/>
      </c>
      <c r="Z386" s="44" t="str">
        <f t="shared" si="46"/>
        <v/>
      </c>
      <c r="AA386" s="50" t="str">
        <f t="shared" si="47"/>
        <v/>
      </c>
      <c r="AB386" s="50" t="str">
        <f>IF(OR(B386="",C386&lt;&gt;"Expense"),"",IF(E386&gt;IFERROR(AVERAGEIFS($E$8:$E$1007,$I$8:$I$1007,I386,$C$8:$C$1007,"Expense")*SETTINGS!$B$20,0),"Unusually High","Normal"))</f>
        <v/>
      </c>
      <c r="AC386" s="51"/>
      <c r="AD386" s="51"/>
      <c r="AE386" s="51"/>
      <c r="AF386" s="50" t="str">
        <f>IF(A386&lt;&gt;"Yes","No",IF(AND(AC386="Yes",SETTINGS!$B$16="No"),"No","Yes"))</f>
        <v>No</v>
      </c>
      <c r="AG386" s="50" t="str">
        <f>IF(A386&lt;&gt;"Yes","",IF(OR(B386="",D386="",E386&lt;=0,F386="",I386=""),"Check Required Fields",IF(AA386="Possible Duplicate","Possible Duplicate",IF(E386&gt;SETTINGS!$B$22,"Review Extreme Value","OK"))))</f>
        <v/>
      </c>
    </row>
    <row r="387" spans="1:33" ht="14.4">
      <c r="A387" s="9"/>
      <c r="B387" s="13"/>
      <c r="C387" s="9"/>
      <c r="D387" s="9"/>
      <c r="E387" s="11"/>
      <c r="F387" s="9"/>
      <c r="G387" s="9"/>
      <c r="H387" s="44" t="str">
        <f>IF(D387="","",IF(ISNUMBER(SEARCH(SETTINGS!$K$4,D387)),SETTINGS!$L$4,IF(ISNUMBER(SEARCH(SETTINGS!$K$5,D387)),SETTINGS!$L$5,IF(ISNUMBER(SEARCH(SETTINGS!$K$6,D387)),SETTINGS!$L$6,IF(ISNUMBER(SEARCH(SETTINGS!$K$7,D387)),SETTINGS!$L$7,IF(ISNUMBER(SEARCH(SETTINGS!$K$8,D387)),SETTINGS!$L$8,IF(ISNUMBER(SEARCH(SETTINGS!$K$9,D387)),SETTINGS!$L$9,IF(ISNUMBER(SEARCH(SETTINGS!$K$10,D387)),SETTINGS!$L$10,IF(ISNUMBER(SEARCH(SETTINGS!$K$11,D387)),SETTINGS!$L$11,IF(ISNUMBER(SEARCH(SETTINGS!$K$12,D387)),SETTINGS!$L$12,IF(ISNUMBER(SEARCH(SETTINGS!$K$13,D387)),SETTINGS!$L$13,IF(ISNUMBER(SEARCH(SETTINGS!$K$14,D387)),SETTINGS!$L$14,IF(ISNUMBER(SEARCH(SETTINGS!$K$15,D387)),SETTINGS!$L$15,IF(ISNUMBER(SEARCH(SETTINGS!$K$16,D387)),SETTINGS!$L$16,IF(ISNUMBER(SEARCH(SETTINGS!$K$17,D387)),SETTINGS!$L$17,IF(ISNUMBER(SEARCH(SETTINGS!$K$18,D387)),SETTINGS!$L$18,"Miscellaneous"))))))))))))))))</f>
        <v/>
      </c>
      <c r="I387" s="44" t="str">
        <f t="shared" si="40"/>
        <v/>
      </c>
      <c r="J387" s="9"/>
      <c r="K387" s="9"/>
      <c r="L387" s="9"/>
      <c r="M387" s="9"/>
      <c r="N387" s="9"/>
      <c r="O387" s="9"/>
      <c r="P387" s="13"/>
      <c r="Q387" s="9"/>
      <c r="R387" s="9"/>
      <c r="S387" s="9"/>
      <c r="T387" s="11"/>
      <c r="U387" s="44" t="str">
        <f t="shared" si="41"/>
        <v/>
      </c>
      <c r="V387" s="44" t="str">
        <f t="shared" si="42"/>
        <v/>
      </c>
      <c r="W387" s="44" t="str">
        <f t="shared" si="43"/>
        <v/>
      </c>
      <c r="X387" s="44" t="str">
        <f t="shared" si="44"/>
        <v/>
      </c>
      <c r="Y387" s="44" t="str">
        <f t="shared" si="45"/>
        <v/>
      </c>
      <c r="Z387" s="44" t="str">
        <f t="shared" si="46"/>
        <v/>
      </c>
      <c r="AA387" s="50" t="str">
        <f t="shared" si="47"/>
        <v/>
      </c>
      <c r="AB387" s="50" t="str">
        <f>IF(OR(B387="",C387&lt;&gt;"Expense"),"",IF(E387&gt;IFERROR(AVERAGEIFS($E$8:$E$1007,$I$8:$I$1007,I387,$C$8:$C$1007,"Expense")*SETTINGS!$B$20,0),"Unusually High","Normal"))</f>
        <v/>
      </c>
      <c r="AC387" s="51"/>
      <c r="AD387" s="51"/>
      <c r="AE387" s="51"/>
      <c r="AF387" s="50" t="str">
        <f>IF(A387&lt;&gt;"Yes","No",IF(AND(AC387="Yes",SETTINGS!$B$16="No"),"No","Yes"))</f>
        <v>No</v>
      </c>
      <c r="AG387" s="50" t="str">
        <f>IF(A387&lt;&gt;"Yes","",IF(OR(B387="",D387="",E387&lt;=0,F387="",I387=""),"Check Required Fields",IF(AA387="Possible Duplicate","Possible Duplicate",IF(E387&gt;SETTINGS!$B$22,"Review Extreme Value","OK"))))</f>
        <v/>
      </c>
    </row>
    <row r="388" spans="1:33" ht="14.4">
      <c r="A388" s="9"/>
      <c r="B388" s="13"/>
      <c r="C388" s="9"/>
      <c r="D388" s="9"/>
      <c r="E388" s="11"/>
      <c r="F388" s="9"/>
      <c r="G388" s="9"/>
      <c r="H388" s="44" t="str">
        <f>IF(D388="","",IF(ISNUMBER(SEARCH(SETTINGS!$K$4,D388)),SETTINGS!$L$4,IF(ISNUMBER(SEARCH(SETTINGS!$K$5,D388)),SETTINGS!$L$5,IF(ISNUMBER(SEARCH(SETTINGS!$K$6,D388)),SETTINGS!$L$6,IF(ISNUMBER(SEARCH(SETTINGS!$K$7,D388)),SETTINGS!$L$7,IF(ISNUMBER(SEARCH(SETTINGS!$K$8,D388)),SETTINGS!$L$8,IF(ISNUMBER(SEARCH(SETTINGS!$K$9,D388)),SETTINGS!$L$9,IF(ISNUMBER(SEARCH(SETTINGS!$K$10,D388)),SETTINGS!$L$10,IF(ISNUMBER(SEARCH(SETTINGS!$K$11,D388)),SETTINGS!$L$11,IF(ISNUMBER(SEARCH(SETTINGS!$K$12,D388)),SETTINGS!$L$12,IF(ISNUMBER(SEARCH(SETTINGS!$K$13,D388)),SETTINGS!$L$13,IF(ISNUMBER(SEARCH(SETTINGS!$K$14,D388)),SETTINGS!$L$14,IF(ISNUMBER(SEARCH(SETTINGS!$K$15,D388)),SETTINGS!$L$15,IF(ISNUMBER(SEARCH(SETTINGS!$K$16,D388)),SETTINGS!$L$16,IF(ISNUMBER(SEARCH(SETTINGS!$K$17,D388)),SETTINGS!$L$17,IF(ISNUMBER(SEARCH(SETTINGS!$K$18,D388)),SETTINGS!$L$18,"Miscellaneous"))))))))))))))))</f>
        <v/>
      </c>
      <c r="I388" s="44" t="str">
        <f t="shared" si="40"/>
        <v/>
      </c>
      <c r="J388" s="9"/>
      <c r="K388" s="9"/>
      <c r="L388" s="9"/>
      <c r="M388" s="9"/>
      <c r="N388" s="9"/>
      <c r="O388" s="9"/>
      <c r="P388" s="13"/>
      <c r="Q388" s="9"/>
      <c r="R388" s="9"/>
      <c r="S388" s="9"/>
      <c r="T388" s="11"/>
      <c r="U388" s="44" t="str">
        <f t="shared" si="41"/>
        <v/>
      </c>
      <c r="V388" s="44" t="str">
        <f t="shared" si="42"/>
        <v/>
      </c>
      <c r="W388" s="44" t="str">
        <f t="shared" si="43"/>
        <v/>
      </c>
      <c r="X388" s="44" t="str">
        <f t="shared" si="44"/>
        <v/>
      </c>
      <c r="Y388" s="44" t="str">
        <f t="shared" si="45"/>
        <v/>
      </c>
      <c r="Z388" s="44" t="str">
        <f t="shared" si="46"/>
        <v/>
      </c>
      <c r="AA388" s="50" t="str">
        <f t="shared" si="47"/>
        <v/>
      </c>
      <c r="AB388" s="50" t="str">
        <f>IF(OR(B388="",C388&lt;&gt;"Expense"),"",IF(E388&gt;IFERROR(AVERAGEIFS($E$8:$E$1007,$I$8:$I$1007,I388,$C$8:$C$1007,"Expense")*SETTINGS!$B$20,0),"Unusually High","Normal"))</f>
        <v/>
      </c>
      <c r="AC388" s="51"/>
      <c r="AD388" s="51"/>
      <c r="AE388" s="51"/>
      <c r="AF388" s="50" t="str">
        <f>IF(A388&lt;&gt;"Yes","No",IF(AND(AC388="Yes",SETTINGS!$B$16="No"),"No","Yes"))</f>
        <v>No</v>
      </c>
      <c r="AG388" s="50" t="str">
        <f>IF(A388&lt;&gt;"Yes","",IF(OR(B388="",D388="",E388&lt;=0,F388="",I388=""),"Check Required Fields",IF(AA388="Possible Duplicate","Possible Duplicate",IF(E388&gt;SETTINGS!$B$22,"Review Extreme Value","OK"))))</f>
        <v/>
      </c>
    </row>
    <row r="389" spans="1:33" ht="14.4">
      <c r="A389" s="9"/>
      <c r="B389" s="13"/>
      <c r="C389" s="9"/>
      <c r="D389" s="9"/>
      <c r="E389" s="11"/>
      <c r="F389" s="9"/>
      <c r="G389" s="9"/>
      <c r="H389" s="44" t="str">
        <f>IF(D389="","",IF(ISNUMBER(SEARCH(SETTINGS!$K$4,D389)),SETTINGS!$L$4,IF(ISNUMBER(SEARCH(SETTINGS!$K$5,D389)),SETTINGS!$L$5,IF(ISNUMBER(SEARCH(SETTINGS!$K$6,D389)),SETTINGS!$L$6,IF(ISNUMBER(SEARCH(SETTINGS!$K$7,D389)),SETTINGS!$L$7,IF(ISNUMBER(SEARCH(SETTINGS!$K$8,D389)),SETTINGS!$L$8,IF(ISNUMBER(SEARCH(SETTINGS!$K$9,D389)),SETTINGS!$L$9,IF(ISNUMBER(SEARCH(SETTINGS!$K$10,D389)),SETTINGS!$L$10,IF(ISNUMBER(SEARCH(SETTINGS!$K$11,D389)),SETTINGS!$L$11,IF(ISNUMBER(SEARCH(SETTINGS!$K$12,D389)),SETTINGS!$L$12,IF(ISNUMBER(SEARCH(SETTINGS!$K$13,D389)),SETTINGS!$L$13,IF(ISNUMBER(SEARCH(SETTINGS!$K$14,D389)),SETTINGS!$L$14,IF(ISNUMBER(SEARCH(SETTINGS!$K$15,D389)),SETTINGS!$L$15,IF(ISNUMBER(SEARCH(SETTINGS!$K$16,D389)),SETTINGS!$L$16,IF(ISNUMBER(SEARCH(SETTINGS!$K$17,D389)),SETTINGS!$L$17,IF(ISNUMBER(SEARCH(SETTINGS!$K$18,D389)),SETTINGS!$L$18,"Miscellaneous"))))))))))))))))</f>
        <v/>
      </c>
      <c r="I389" s="44" t="str">
        <f t="shared" si="40"/>
        <v/>
      </c>
      <c r="J389" s="9"/>
      <c r="K389" s="9"/>
      <c r="L389" s="9"/>
      <c r="M389" s="9"/>
      <c r="N389" s="9"/>
      <c r="O389" s="9"/>
      <c r="P389" s="13"/>
      <c r="Q389" s="9"/>
      <c r="R389" s="9"/>
      <c r="S389" s="9"/>
      <c r="T389" s="11"/>
      <c r="U389" s="44" t="str">
        <f t="shared" si="41"/>
        <v/>
      </c>
      <c r="V389" s="44" t="str">
        <f t="shared" si="42"/>
        <v/>
      </c>
      <c r="W389" s="44" t="str">
        <f t="shared" si="43"/>
        <v/>
      </c>
      <c r="X389" s="44" t="str">
        <f t="shared" si="44"/>
        <v/>
      </c>
      <c r="Y389" s="44" t="str">
        <f t="shared" si="45"/>
        <v/>
      </c>
      <c r="Z389" s="44" t="str">
        <f t="shared" si="46"/>
        <v/>
      </c>
      <c r="AA389" s="50" t="str">
        <f t="shared" si="47"/>
        <v/>
      </c>
      <c r="AB389" s="50" t="str">
        <f>IF(OR(B389="",C389&lt;&gt;"Expense"),"",IF(E389&gt;IFERROR(AVERAGEIFS($E$8:$E$1007,$I$8:$I$1007,I389,$C$8:$C$1007,"Expense")*SETTINGS!$B$20,0),"Unusually High","Normal"))</f>
        <v/>
      </c>
      <c r="AC389" s="51"/>
      <c r="AD389" s="51"/>
      <c r="AE389" s="51"/>
      <c r="AF389" s="50" t="str">
        <f>IF(A389&lt;&gt;"Yes","No",IF(AND(AC389="Yes",SETTINGS!$B$16="No"),"No","Yes"))</f>
        <v>No</v>
      </c>
      <c r="AG389" s="50" t="str">
        <f>IF(A389&lt;&gt;"Yes","",IF(OR(B389="",D389="",E389&lt;=0,F389="",I389=""),"Check Required Fields",IF(AA389="Possible Duplicate","Possible Duplicate",IF(E389&gt;SETTINGS!$B$22,"Review Extreme Value","OK"))))</f>
        <v/>
      </c>
    </row>
    <row r="390" spans="1:33" ht="14.4">
      <c r="A390" s="9"/>
      <c r="B390" s="13"/>
      <c r="C390" s="9"/>
      <c r="D390" s="9"/>
      <c r="E390" s="11"/>
      <c r="F390" s="9"/>
      <c r="G390" s="9"/>
      <c r="H390" s="44" t="str">
        <f>IF(D390="","",IF(ISNUMBER(SEARCH(SETTINGS!$K$4,D390)),SETTINGS!$L$4,IF(ISNUMBER(SEARCH(SETTINGS!$K$5,D390)),SETTINGS!$L$5,IF(ISNUMBER(SEARCH(SETTINGS!$K$6,D390)),SETTINGS!$L$6,IF(ISNUMBER(SEARCH(SETTINGS!$K$7,D390)),SETTINGS!$L$7,IF(ISNUMBER(SEARCH(SETTINGS!$K$8,D390)),SETTINGS!$L$8,IF(ISNUMBER(SEARCH(SETTINGS!$K$9,D390)),SETTINGS!$L$9,IF(ISNUMBER(SEARCH(SETTINGS!$K$10,D390)),SETTINGS!$L$10,IF(ISNUMBER(SEARCH(SETTINGS!$K$11,D390)),SETTINGS!$L$11,IF(ISNUMBER(SEARCH(SETTINGS!$K$12,D390)),SETTINGS!$L$12,IF(ISNUMBER(SEARCH(SETTINGS!$K$13,D390)),SETTINGS!$L$13,IF(ISNUMBER(SEARCH(SETTINGS!$K$14,D390)),SETTINGS!$L$14,IF(ISNUMBER(SEARCH(SETTINGS!$K$15,D390)),SETTINGS!$L$15,IF(ISNUMBER(SEARCH(SETTINGS!$K$16,D390)),SETTINGS!$L$16,IF(ISNUMBER(SEARCH(SETTINGS!$K$17,D390)),SETTINGS!$L$17,IF(ISNUMBER(SEARCH(SETTINGS!$K$18,D390)),SETTINGS!$L$18,"Miscellaneous"))))))))))))))))</f>
        <v/>
      </c>
      <c r="I390" s="44" t="str">
        <f t="shared" si="40"/>
        <v/>
      </c>
      <c r="J390" s="9"/>
      <c r="K390" s="9"/>
      <c r="L390" s="9"/>
      <c r="M390" s="9"/>
      <c r="N390" s="9"/>
      <c r="O390" s="9"/>
      <c r="P390" s="13"/>
      <c r="Q390" s="9"/>
      <c r="R390" s="9"/>
      <c r="S390" s="9"/>
      <c r="T390" s="11"/>
      <c r="U390" s="44" t="str">
        <f t="shared" si="41"/>
        <v/>
      </c>
      <c r="V390" s="44" t="str">
        <f t="shared" si="42"/>
        <v/>
      </c>
      <c r="W390" s="44" t="str">
        <f t="shared" si="43"/>
        <v/>
      </c>
      <c r="X390" s="44" t="str">
        <f t="shared" si="44"/>
        <v/>
      </c>
      <c r="Y390" s="44" t="str">
        <f t="shared" si="45"/>
        <v/>
      </c>
      <c r="Z390" s="44" t="str">
        <f t="shared" si="46"/>
        <v/>
      </c>
      <c r="AA390" s="50" t="str">
        <f t="shared" si="47"/>
        <v/>
      </c>
      <c r="AB390" s="50" t="str">
        <f>IF(OR(B390="",C390&lt;&gt;"Expense"),"",IF(E390&gt;IFERROR(AVERAGEIFS($E$8:$E$1007,$I$8:$I$1007,I390,$C$8:$C$1007,"Expense")*SETTINGS!$B$20,0),"Unusually High","Normal"))</f>
        <v/>
      </c>
      <c r="AC390" s="51"/>
      <c r="AD390" s="51"/>
      <c r="AE390" s="51"/>
      <c r="AF390" s="50" t="str">
        <f>IF(A390&lt;&gt;"Yes","No",IF(AND(AC390="Yes",SETTINGS!$B$16="No"),"No","Yes"))</f>
        <v>No</v>
      </c>
      <c r="AG390" s="50" t="str">
        <f>IF(A390&lt;&gt;"Yes","",IF(OR(B390="",D390="",E390&lt;=0,F390="",I390=""),"Check Required Fields",IF(AA390="Possible Duplicate","Possible Duplicate",IF(E390&gt;SETTINGS!$B$22,"Review Extreme Value","OK"))))</f>
        <v/>
      </c>
    </row>
    <row r="391" spans="1:33" ht="14.4">
      <c r="A391" s="9"/>
      <c r="B391" s="13"/>
      <c r="C391" s="9"/>
      <c r="D391" s="9"/>
      <c r="E391" s="11"/>
      <c r="F391" s="9"/>
      <c r="G391" s="9"/>
      <c r="H391" s="44" t="str">
        <f>IF(D391="","",IF(ISNUMBER(SEARCH(SETTINGS!$K$4,D391)),SETTINGS!$L$4,IF(ISNUMBER(SEARCH(SETTINGS!$K$5,D391)),SETTINGS!$L$5,IF(ISNUMBER(SEARCH(SETTINGS!$K$6,D391)),SETTINGS!$L$6,IF(ISNUMBER(SEARCH(SETTINGS!$K$7,D391)),SETTINGS!$L$7,IF(ISNUMBER(SEARCH(SETTINGS!$K$8,D391)),SETTINGS!$L$8,IF(ISNUMBER(SEARCH(SETTINGS!$K$9,D391)),SETTINGS!$L$9,IF(ISNUMBER(SEARCH(SETTINGS!$K$10,D391)),SETTINGS!$L$10,IF(ISNUMBER(SEARCH(SETTINGS!$K$11,D391)),SETTINGS!$L$11,IF(ISNUMBER(SEARCH(SETTINGS!$K$12,D391)),SETTINGS!$L$12,IF(ISNUMBER(SEARCH(SETTINGS!$K$13,D391)),SETTINGS!$L$13,IF(ISNUMBER(SEARCH(SETTINGS!$K$14,D391)),SETTINGS!$L$14,IF(ISNUMBER(SEARCH(SETTINGS!$K$15,D391)),SETTINGS!$L$15,IF(ISNUMBER(SEARCH(SETTINGS!$K$16,D391)),SETTINGS!$L$16,IF(ISNUMBER(SEARCH(SETTINGS!$K$17,D391)),SETTINGS!$L$17,IF(ISNUMBER(SEARCH(SETTINGS!$K$18,D391)),SETTINGS!$L$18,"Miscellaneous"))))))))))))))))</f>
        <v/>
      </c>
      <c r="I391" s="44" t="str">
        <f t="shared" si="40"/>
        <v/>
      </c>
      <c r="J391" s="9"/>
      <c r="K391" s="9"/>
      <c r="L391" s="9"/>
      <c r="M391" s="9"/>
      <c r="N391" s="9"/>
      <c r="O391" s="9"/>
      <c r="P391" s="13"/>
      <c r="Q391" s="9"/>
      <c r="R391" s="9"/>
      <c r="S391" s="9"/>
      <c r="T391" s="11"/>
      <c r="U391" s="44" t="str">
        <f t="shared" si="41"/>
        <v/>
      </c>
      <c r="V391" s="44" t="str">
        <f t="shared" si="42"/>
        <v/>
      </c>
      <c r="W391" s="44" t="str">
        <f t="shared" si="43"/>
        <v/>
      </c>
      <c r="X391" s="44" t="str">
        <f t="shared" si="44"/>
        <v/>
      </c>
      <c r="Y391" s="44" t="str">
        <f t="shared" si="45"/>
        <v/>
      </c>
      <c r="Z391" s="44" t="str">
        <f t="shared" si="46"/>
        <v/>
      </c>
      <c r="AA391" s="50" t="str">
        <f t="shared" si="47"/>
        <v/>
      </c>
      <c r="AB391" s="50" t="str">
        <f>IF(OR(B391="",C391&lt;&gt;"Expense"),"",IF(E391&gt;IFERROR(AVERAGEIFS($E$8:$E$1007,$I$8:$I$1007,I391,$C$8:$C$1007,"Expense")*SETTINGS!$B$20,0),"Unusually High","Normal"))</f>
        <v/>
      </c>
      <c r="AC391" s="51"/>
      <c r="AD391" s="51"/>
      <c r="AE391" s="51"/>
      <c r="AF391" s="50" t="str">
        <f>IF(A391&lt;&gt;"Yes","No",IF(AND(AC391="Yes",SETTINGS!$B$16="No"),"No","Yes"))</f>
        <v>No</v>
      </c>
      <c r="AG391" s="50" t="str">
        <f>IF(A391&lt;&gt;"Yes","",IF(OR(B391="",D391="",E391&lt;=0,F391="",I391=""),"Check Required Fields",IF(AA391="Possible Duplicate","Possible Duplicate",IF(E391&gt;SETTINGS!$B$22,"Review Extreme Value","OK"))))</f>
        <v/>
      </c>
    </row>
    <row r="392" spans="1:33" ht="14.4">
      <c r="A392" s="9"/>
      <c r="B392" s="13"/>
      <c r="C392" s="9"/>
      <c r="D392" s="9"/>
      <c r="E392" s="11"/>
      <c r="F392" s="9"/>
      <c r="G392" s="9"/>
      <c r="H392" s="44" t="str">
        <f>IF(D392="","",IF(ISNUMBER(SEARCH(SETTINGS!$K$4,D392)),SETTINGS!$L$4,IF(ISNUMBER(SEARCH(SETTINGS!$K$5,D392)),SETTINGS!$L$5,IF(ISNUMBER(SEARCH(SETTINGS!$K$6,D392)),SETTINGS!$L$6,IF(ISNUMBER(SEARCH(SETTINGS!$K$7,D392)),SETTINGS!$L$7,IF(ISNUMBER(SEARCH(SETTINGS!$K$8,D392)),SETTINGS!$L$8,IF(ISNUMBER(SEARCH(SETTINGS!$K$9,D392)),SETTINGS!$L$9,IF(ISNUMBER(SEARCH(SETTINGS!$K$10,D392)),SETTINGS!$L$10,IF(ISNUMBER(SEARCH(SETTINGS!$K$11,D392)),SETTINGS!$L$11,IF(ISNUMBER(SEARCH(SETTINGS!$K$12,D392)),SETTINGS!$L$12,IF(ISNUMBER(SEARCH(SETTINGS!$K$13,D392)),SETTINGS!$L$13,IF(ISNUMBER(SEARCH(SETTINGS!$K$14,D392)),SETTINGS!$L$14,IF(ISNUMBER(SEARCH(SETTINGS!$K$15,D392)),SETTINGS!$L$15,IF(ISNUMBER(SEARCH(SETTINGS!$K$16,D392)),SETTINGS!$L$16,IF(ISNUMBER(SEARCH(SETTINGS!$K$17,D392)),SETTINGS!$L$17,IF(ISNUMBER(SEARCH(SETTINGS!$K$18,D392)),SETTINGS!$L$18,"Miscellaneous"))))))))))))))))</f>
        <v/>
      </c>
      <c r="I392" s="44" t="str">
        <f t="shared" ref="I392:I455" si="48">IF(B392="","",IF(G392&lt;&gt;"",G392,H392))</f>
        <v/>
      </c>
      <c r="J392" s="9"/>
      <c r="K392" s="9"/>
      <c r="L392" s="9"/>
      <c r="M392" s="9"/>
      <c r="N392" s="9"/>
      <c r="O392" s="9"/>
      <c r="P392" s="13"/>
      <c r="Q392" s="9"/>
      <c r="R392" s="9"/>
      <c r="S392" s="9"/>
      <c r="T392" s="11"/>
      <c r="U392" s="44" t="str">
        <f t="shared" ref="U392:U455" si="49">IF(B392="","",IF(C392="Income","INC-",IF(C392="Expense","EXP-","TRX-"))&amp;TEXT(YEAR(B392),"0000")&amp;"-"&amp;TEXT(ROW()-7,"0000"))</f>
        <v/>
      </c>
      <c r="V392" s="44" t="str">
        <f t="shared" ref="V392:V455" si="50">IF(B392="","",TEXT(B392,"mmmm"))</f>
        <v/>
      </c>
      <c r="W392" s="44" t="str">
        <f t="shared" ref="W392:W455" si="51">IF(B392="","",MONTH(B392))</f>
        <v/>
      </c>
      <c r="X392" s="44" t="str">
        <f t="shared" ref="X392:X455" si="52">IF(B392="","",YEAR(B392))</f>
        <v/>
      </c>
      <c r="Y392" s="44" t="str">
        <f t="shared" ref="Y392:Y455" si="53">IF(B392="","",DAY(B392))</f>
        <v/>
      </c>
      <c r="Z392" s="44" t="str">
        <f t="shared" ref="Z392:Z455" si="54">IF(B392="","",IF(WEEKDAY(B392,2)&gt;5,"Weekend","Weekday"))</f>
        <v/>
      </c>
      <c r="AA392" s="50" t="str">
        <f t="shared" ref="AA392:AA455" si="55">IF(B392="","",IF(COUNTIFS($B$8:$B$1007,B392,$E$8:$E$1007,E392,$D$8:$D$1007,D392,$I$8:$I$1007,I392)&gt;1,"Possible Duplicate","OK"))</f>
        <v/>
      </c>
      <c r="AB392" s="50" t="str">
        <f>IF(OR(B392="",C392&lt;&gt;"Expense"),"",IF(E392&gt;IFERROR(AVERAGEIFS($E$8:$E$1007,$I$8:$I$1007,I392,$C$8:$C$1007,"Expense")*SETTINGS!$B$20,0),"Unusually High","Normal"))</f>
        <v/>
      </c>
      <c r="AC392" s="51"/>
      <c r="AD392" s="51"/>
      <c r="AE392" s="51"/>
      <c r="AF392" s="50" t="str">
        <f>IF(A392&lt;&gt;"Yes","No",IF(AND(AC392="Yes",SETTINGS!$B$16="No"),"No","Yes"))</f>
        <v>No</v>
      </c>
      <c r="AG392" s="50" t="str">
        <f>IF(A392&lt;&gt;"Yes","",IF(OR(B392="",D392="",E392&lt;=0,F392="",I392=""),"Check Required Fields",IF(AA392="Possible Duplicate","Possible Duplicate",IF(E392&gt;SETTINGS!$B$22,"Review Extreme Value","OK"))))</f>
        <v/>
      </c>
    </row>
    <row r="393" spans="1:33" ht="14.4">
      <c r="A393" s="9"/>
      <c r="B393" s="13"/>
      <c r="C393" s="9"/>
      <c r="D393" s="9"/>
      <c r="E393" s="11"/>
      <c r="F393" s="9"/>
      <c r="G393" s="9"/>
      <c r="H393" s="44" t="str">
        <f>IF(D393="","",IF(ISNUMBER(SEARCH(SETTINGS!$K$4,D393)),SETTINGS!$L$4,IF(ISNUMBER(SEARCH(SETTINGS!$K$5,D393)),SETTINGS!$L$5,IF(ISNUMBER(SEARCH(SETTINGS!$K$6,D393)),SETTINGS!$L$6,IF(ISNUMBER(SEARCH(SETTINGS!$K$7,D393)),SETTINGS!$L$7,IF(ISNUMBER(SEARCH(SETTINGS!$K$8,D393)),SETTINGS!$L$8,IF(ISNUMBER(SEARCH(SETTINGS!$K$9,D393)),SETTINGS!$L$9,IF(ISNUMBER(SEARCH(SETTINGS!$K$10,D393)),SETTINGS!$L$10,IF(ISNUMBER(SEARCH(SETTINGS!$K$11,D393)),SETTINGS!$L$11,IF(ISNUMBER(SEARCH(SETTINGS!$K$12,D393)),SETTINGS!$L$12,IF(ISNUMBER(SEARCH(SETTINGS!$K$13,D393)),SETTINGS!$L$13,IF(ISNUMBER(SEARCH(SETTINGS!$K$14,D393)),SETTINGS!$L$14,IF(ISNUMBER(SEARCH(SETTINGS!$K$15,D393)),SETTINGS!$L$15,IF(ISNUMBER(SEARCH(SETTINGS!$K$16,D393)),SETTINGS!$L$16,IF(ISNUMBER(SEARCH(SETTINGS!$K$17,D393)),SETTINGS!$L$17,IF(ISNUMBER(SEARCH(SETTINGS!$K$18,D393)),SETTINGS!$L$18,"Miscellaneous"))))))))))))))))</f>
        <v/>
      </c>
      <c r="I393" s="44" t="str">
        <f t="shared" si="48"/>
        <v/>
      </c>
      <c r="J393" s="9"/>
      <c r="K393" s="9"/>
      <c r="L393" s="9"/>
      <c r="M393" s="9"/>
      <c r="N393" s="9"/>
      <c r="O393" s="9"/>
      <c r="P393" s="13"/>
      <c r="Q393" s="9"/>
      <c r="R393" s="9"/>
      <c r="S393" s="9"/>
      <c r="T393" s="11"/>
      <c r="U393" s="44" t="str">
        <f t="shared" si="49"/>
        <v/>
      </c>
      <c r="V393" s="44" t="str">
        <f t="shared" si="50"/>
        <v/>
      </c>
      <c r="W393" s="44" t="str">
        <f t="shared" si="51"/>
        <v/>
      </c>
      <c r="X393" s="44" t="str">
        <f t="shared" si="52"/>
        <v/>
      </c>
      <c r="Y393" s="44" t="str">
        <f t="shared" si="53"/>
        <v/>
      </c>
      <c r="Z393" s="44" t="str">
        <f t="shared" si="54"/>
        <v/>
      </c>
      <c r="AA393" s="50" t="str">
        <f t="shared" si="55"/>
        <v/>
      </c>
      <c r="AB393" s="50" t="str">
        <f>IF(OR(B393="",C393&lt;&gt;"Expense"),"",IF(E393&gt;IFERROR(AVERAGEIFS($E$8:$E$1007,$I$8:$I$1007,I393,$C$8:$C$1007,"Expense")*SETTINGS!$B$20,0),"Unusually High","Normal"))</f>
        <v/>
      </c>
      <c r="AC393" s="51"/>
      <c r="AD393" s="51"/>
      <c r="AE393" s="51"/>
      <c r="AF393" s="50" t="str">
        <f>IF(A393&lt;&gt;"Yes","No",IF(AND(AC393="Yes",SETTINGS!$B$16="No"),"No","Yes"))</f>
        <v>No</v>
      </c>
      <c r="AG393" s="50" t="str">
        <f>IF(A393&lt;&gt;"Yes","",IF(OR(B393="",D393="",E393&lt;=0,F393="",I393=""),"Check Required Fields",IF(AA393="Possible Duplicate","Possible Duplicate",IF(E393&gt;SETTINGS!$B$22,"Review Extreme Value","OK"))))</f>
        <v/>
      </c>
    </row>
    <row r="394" spans="1:33" ht="14.4">
      <c r="A394" s="9"/>
      <c r="B394" s="13"/>
      <c r="C394" s="9"/>
      <c r="D394" s="9"/>
      <c r="E394" s="11"/>
      <c r="F394" s="9"/>
      <c r="G394" s="9"/>
      <c r="H394" s="44" t="str">
        <f>IF(D394="","",IF(ISNUMBER(SEARCH(SETTINGS!$K$4,D394)),SETTINGS!$L$4,IF(ISNUMBER(SEARCH(SETTINGS!$K$5,D394)),SETTINGS!$L$5,IF(ISNUMBER(SEARCH(SETTINGS!$K$6,D394)),SETTINGS!$L$6,IF(ISNUMBER(SEARCH(SETTINGS!$K$7,D394)),SETTINGS!$L$7,IF(ISNUMBER(SEARCH(SETTINGS!$K$8,D394)),SETTINGS!$L$8,IF(ISNUMBER(SEARCH(SETTINGS!$K$9,D394)),SETTINGS!$L$9,IF(ISNUMBER(SEARCH(SETTINGS!$K$10,D394)),SETTINGS!$L$10,IF(ISNUMBER(SEARCH(SETTINGS!$K$11,D394)),SETTINGS!$L$11,IF(ISNUMBER(SEARCH(SETTINGS!$K$12,D394)),SETTINGS!$L$12,IF(ISNUMBER(SEARCH(SETTINGS!$K$13,D394)),SETTINGS!$L$13,IF(ISNUMBER(SEARCH(SETTINGS!$K$14,D394)),SETTINGS!$L$14,IF(ISNUMBER(SEARCH(SETTINGS!$K$15,D394)),SETTINGS!$L$15,IF(ISNUMBER(SEARCH(SETTINGS!$K$16,D394)),SETTINGS!$L$16,IF(ISNUMBER(SEARCH(SETTINGS!$K$17,D394)),SETTINGS!$L$17,IF(ISNUMBER(SEARCH(SETTINGS!$K$18,D394)),SETTINGS!$L$18,"Miscellaneous"))))))))))))))))</f>
        <v/>
      </c>
      <c r="I394" s="44" t="str">
        <f t="shared" si="48"/>
        <v/>
      </c>
      <c r="J394" s="9"/>
      <c r="K394" s="9"/>
      <c r="L394" s="9"/>
      <c r="M394" s="9"/>
      <c r="N394" s="9"/>
      <c r="O394" s="9"/>
      <c r="P394" s="13"/>
      <c r="Q394" s="9"/>
      <c r="R394" s="9"/>
      <c r="S394" s="9"/>
      <c r="T394" s="11"/>
      <c r="U394" s="44" t="str">
        <f t="shared" si="49"/>
        <v/>
      </c>
      <c r="V394" s="44" t="str">
        <f t="shared" si="50"/>
        <v/>
      </c>
      <c r="W394" s="44" t="str">
        <f t="shared" si="51"/>
        <v/>
      </c>
      <c r="X394" s="44" t="str">
        <f t="shared" si="52"/>
        <v/>
      </c>
      <c r="Y394" s="44" t="str">
        <f t="shared" si="53"/>
        <v/>
      </c>
      <c r="Z394" s="44" t="str">
        <f t="shared" si="54"/>
        <v/>
      </c>
      <c r="AA394" s="50" t="str">
        <f t="shared" si="55"/>
        <v/>
      </c>
      <c r="AB394" s="50" t="str">
        <f>IF(OR(B394="",C394&lt;&gt;"Expense"),"",IF(E394&gt;IFERROR(AVERAGEIFS($E$8:$E$1007,$I$8:$I$1007,I394,$C$8:$C$1007,"Expense")*SETTINGS!$B$20,0),"Unusually High","Normal"))</f>
        <v/>
      </c>
      <c r="AC394" s="51"/>
      <c r="AD394" s="51"/>
      <c r="AE394" s="51"/>
      <c r="AF394" s="50" t="str">
        <f>IF(A394&lt;&gt;"Yes","No",IF(AND(AC394="Yes",SETTINGS!$B$16="No"),"No","Yes"))</f>
        <v>No</v>
      </c>
      <c r="AG394" s="50" t="str">
        <f>IF(A394&lt;&gt;"Yes","",IF(OR(B394="",D394="",E394&lt;=0,F394="",I394=""),"Check Required Fields",IF(AA394="Possible Duplicate","Possible Duplicate",IF(E394&gt;SETTINGS!$B$22,"Review Extreme Value","OK"))))</f>
        <v/>
      </c>
    </row>
    <row r="395" spans="1:33" ht="14.4">
      <c r="A395" s="9"/>
      <c r="B395" s="13"/>
      <c r="C395" s="9"/>
      <c r="D395" s="9"/>
      <c r="E395" s="11"/>
      <c r="F395" s="9"/>
      <c r="G395" s="9"/>
      <c r="H395" s="44" t="str">
        <f>IF(D395="","",IF(ISNUMBER(SEARCH(SETTINGS!$K$4,D395)),SETTINGS!$L$4,IF(ISNUMBER(SEARCH(SETTINGS!$K$5,D395)),SETTINGS!$L$5,IF(ISNUMBER(SEARCH(SETTINGS!$K$6,D395)),SETTINGS!$L$6,IF(ISNUMBER(SEARCH(SETTINGS!$K$7,D395)),SETTINGS!$L$7,IF(ISNUMBER(SEARCH(SETTINGS!$K$8,D395)),SETTINGS!$L$8,IF(ISNUMBER(SEARCH(SETTINGS!$K$9,D395)),SETTINGS!$L$9,IF(ISNUMBER(SEARCH(SETTINGS!$K$10,D395)),SETTINGS!$L$10,IF(ISNUMBER(SEARCH(SETTINGS!$K$11,D395)),SETTINGS!$L$11,IF(ISNUMBER(SEARCH(SETTINGS!$K$12,D395)),SETTINGS!$L$12,IF(ISNUMBER(SEARCH(SETTINGS!$K$13,D395)),SETTINGS!$L$13,IF(ISNUMBER(SEARCH(SETTINGS!$K$14,D395)),SETTINGS!$L$14,IF(ISNUMBER(SEARCH(SETTINGS!$K$15,D395)),SETTINGS!$L$15,IF(ISNUMBER(SEARCH(SETTINGS!$K$16,D395)),SETTINGS!$L$16,IF(ISNUMBER(SEARCH(SETTINGS!$K$17,D395)),SETTINGS!$L$17,IF(ISNUMBER(SEARCH(SETTINGS!$K$18,D395)),SETTINGS!$L$18,"Miscellaneous"))))))))))))))))</f>
        <v/>
      </c>
      <c r="I395" s="44" t="str">
        <f t="shared" si="48"/>
        <v/>
      </c>
      <c r="J395" s="9"/>
      <c r="K395" s="9"/>
      <c r="L395" s="9"/>
      <c r="M395" s="9"/>
      <c r="N395" s="9"/>
      <c r="O395" s="9"/>
      <c r="P395" s="13"/>
      <c r="Q395" s="9"/>
      <c r="R395" s="9"/>
      <c r="S395" s="9"/>
      <c r="T395" s="11"/>
      <c r="U395" s="44" t="str">
        <f t="shared" si="49"/>
        <v/>
      </c>
      <c r="V395" s="44" t="str">
        <f t="shared" si="50"/>
        <v/>
      </c>
      <c r="W395" s="44" t="str">
        <f t="shared" si="51"/>
        <v/>
      </c>
      <c r="X395" s="44" t="str">
        <f t="shared" si="52"/>
        <v/>
      </c>
      <c r="Y395" s="44" t="str">
        <f t="shared" si="53"/>
        <v/>
      </c>
      <c r="Z395" s="44" t="str">
        <f t="shared" si="54"/>
        <v/>
      </c>
      <c r="AA395" s="50" t="str">
        <f t="shared" si="55"/>
        <v/>
      </c>
      <c r="AB395" s="50" t="str">
        <f>IF(OR(B395="",C395&lt;&gt;"Expense"),"",IF(E395&gt;IFERROR(AVERAGEIFS($E$8:$E$1007,$I$8:$I$1007,I395,$C$8:$C$1007,"Expense")*SETTINGS!$B$20,0),"Unusually High","Normal"))</f>
        <v/>
      </c>
      <c r="AC395" s="51"/>
      <c r="AD395" s="51"/>
      <c r="AE395" s="51"/>
      <c r="AF395" s="50" t="str">
        <f>IF(A395&lt;&gt;"Yes","No",IF(AND(AC395="Yes",SETTINGS!$B$16="No"),"No","Yes"))</f>
        <v>No</v>
      </c>
      <c r="AG395" s="50" t="str">
        <f>IF(A395&lt;&gt;"Yes","",IF(OR(B395="",D395="",E395&lt;=0,F395="",I395=""),"Check Required Fields",IF(AA395="Possible Duplicate","Possible Duplicate",IF(E395&gt;SETTINGS!$B$22,"Review Extreme Value","OK"))))</f>
        <v/>
      </c>
    </row>
    <row r="396" spans="1:33" ht="14.4">
      <c r="A396" s="9"/>
      <c r="B396" s="13"/>
      <c r="C396" s="9"/>
      <c r="D396" s="9"/>
      <c r="E396" s="11"/>
      <c r="F396" s="9"/>
      <c r="G396" s="9"/>
      <c r="H396" s="44" t="str">
        <f>IF(D396="","",IF(ISNUMBER(SEARCH(SETTINGS!$K$4,D396)),SETTINGS!$L$4,IF(ISNUMBER(SEARCH(SETTINGS!$K$5,D396)),SETTINGS!$L$5,IF(ISNUMBER(SEARCH(SETTINGS!$K$6,D396)),SETTINGS!$L$6,IF(ISNUMBER(SEARCH(SETTINGS!$K$7,D396)),SETTINGS!$L$7,IF(ISNUMBER(SEARCH(SETTINGS!$K$8,D396)),SETTINGS!$L$8,IF(ISNUMBER(SEARCH(SETTINGS!$K$9,D396)),SETTINGS!$L$9,IF(ISNUMBER(SEARCH(SETTINGS!$K$10,D396)),SETTINGS!$L$10,IF(ISNUMBER(SEARCH(SETTINGS!$K$11,D396)),SETTINGS!$L$11,IF(ISNUMBER(SEARCH(SETTINGS!$K$12,D396)),SETTINGS!$L$12,IF(ISNUMBER(SEARCH(SETTINGS!$K$13,D396)),SETTINGS!$L$13,IF(ISNUMBER(SEARCH(SETTINGS!$K$14,D396)),SETTINGS!$L$14,IF(ISNUMBER(SEARCH(SETTINGS!$K$15,D396)),SETTINGS!$L$15,IF(ISNUMBER(SEARCH(SETTINGS!$K$16,D396)),SETTINGS!$L$16,IF(ISNUMBER(SEARCH(SETTINGS!$K$17,D396)),SETTINGS!$L$17,IF(ISNUMBER(SEARCH(SETTINGS!$K$18,D396)),SETTINGS!$L$18,"Miscellaneous"))))))))))))))))</f>
        <v/>
      </c>
      <c r="I396" s="44" t="str">
        <f t="shared" si="48"/>
        <v/>
      </c>
      <c r="J396" s="9"/>
      <c r="K396" s="9"/>
      <c r="L396" s="9"/>
      <c r="M396" s="9"/>
      <c r="N396" s="9"/>
      <c r="O396" s="9"/>
      <c r="P396" s="13"/>
      <c r="Q396" s="9"/>
      <c r="R396" s="9"/>
      <c r="S396" s="9"/>
      <c r="T396" s="11"/>
      <c r="U396" s="44" t="str">
        <f t="shared" si="49"/>
        <v/>
      </c>
      <c r="V396" s="44" t="str">
        <f t="shared" si="50"/>
        <v/>
      </c>
      <c r="W396" s="44" t="str">
        <f t="shared" si="51"/>
        <v/>
      </c>
      <c r="X396" s="44" t="str">
        <f t="shared" si="52"/>
        <v/>
      </c>
      <c r="Y396" s="44" t="str">
        <f t="shared" si="53"/>
        <v/>
      </c>
      <c r="Z396" s="44" t="str">
        <f t="shared" si="54"/>
        <v/>
      </c>
      <c r="AA396" s="50" t="str">
        <f t="shared" si="55"/>
        <v/>
      </c>
      <c r="AB396" s="50" t="str">
        <f>IF(OR(B396="",C396&lt;&gt;"Expense"),"",IF(E396&gt;IFERROR(AVERAGEIFS($E$8:$E$1007,$I$8:$I$1007,I396,$C$8:$C$1007,"Expense")*SETTINGS!$B$20,0),"Unusually High","Normal"))</f>
        <v/>
      </c>
      <c r="AC396" s="51"/>
      <c r="AD396" s="51"/>
      <c r="AE396" s="51"/>
      <c r="AF396" s="50" t="str">
        <f>IF(A396&lt;&gt;"Yes","No",IF(AND(AC396="Yes",SETTINGS!$B$16="No"),"No","Yes"))</f>
        <v>No</v>
      </c>
      <c r="AG396" s="50" t="str">
        <f>IF(A396&lt;&gt;"Yes","",IF(OR(B396="",D396="",E396&lt;=0,F396="",I396=""),"Check Required Fields",IF(AA396="Possible Duplicate","Possible Duplicate",IF(E396&gt;SETTINGS!$B$22,"Review Extreme Value","OK"))))</f>
        <v/>
      </c>
    </row>
    <row r="397" spans="1:33" ht="14.4">
      <c r="A397" s="9"/>
      <c r="B397" s="13"/>
      <c r="C397" s="9"/>
      <c r="D397" s="9"/>
      <c r="E397" s="11"/>
      <c r="F397" s="9"/>
      <c r="G397" s="9"/>
      <c r="H397" s="44" t="str">
        <f>IF(D397="","",IF(ISNUMBER(SEARCH(SETTINGS!$K$4,D397)),SETTINGS!$L$4,IF(ISNUMBER(SEARCH(SETTINGS!$K$5,D397)),SETTINGS!$L$5,IF(ISNUMBER(SEARCH(SETTINGS!$K$6,D397)),SETTINGS!$L$6,IF(ISNUMBER(SEARCH(SETTINGS!$K$7,D397)),SETTINGS!$L$7,IF(ISNUMBER(SEARCH(SETTINGS!$K$8,D397)),SETTINGS!$L$8,IF(ISNUMBER(SEARCH(SETTINGS!$K$9,D397)),SETTINGS!$L$9,IF(ISNUMBER(SEARCH(SETTINGS!$K$10,D397)),SETTINGS!$L$10,IF(ISNUMBER(SEARCH(SETTINGS!$K$11,D397)),SETTINGS!$L$11,IF(ISNUMBER(SEARCH(SETTINGS!$K$12,D397)),SETTINGS!$L$12,IF(ISNUMBER(SEARCH(SETTINGS!$K$13,D397)),SETTINGS!$L$13,IF(ISNUMBER(SEARCH(SETTINGS!$K$14,D397)),SETTINGS!$L$14,IF(ISNUMBER(SEARCH(SETTINGS!$K$15,D397)),SETTINGS!$L$15,IF(ISNUMBER(SEARCH(SETTINGS!$K$16,D397)),SETTINGS!$L$16,IF(ISNUMBER(SEARCH(SETTINGS!$K$17,D397)),SETTINGS!$L$17,IF(ISNUMBER(SEARCH(SETTINGS!$K$18,D397)),SETTINGS!$L$18,"Miscellaneous"))))))))))))))))</f>
        <v/>
      </c>
      <c r="I397" s="44" t="str">
        <f t="shared" si="48"/>
        <v/>
      </c>
      <c r="J397" s="9"/>
      <c r="K397" s="9"/>
      <c r="L397" s="9"/>
      <c r="M397" s="9"/>
      <c r="N397" s="9"/>
      <c r="O397" s="9"/>
      <c r="P397" s="13"/>
      <c r="Q397" s="9"/>
      <c r="R397" s="9"/>
      <c r="S397" s="9"/>
      <c r="T397" s="11"/>
      <c r="U397" s="44" t="str">
        <f t="shared" si="49"/>
        <v/>
      </c>
      <c r="V397" s="44" t="str">
        <f t="shared" si="50"/>
        <v/>
      </c>
      <c r="W397" s="44" t="str">
        <f t="shared" si="51"/>
        <v/>
      </c>
      <c r="X397" s="44" t="str">
        <f t="shared" si="52"/>
        <v/>
      </c>
      <c r="Y397" s="44" t="str">
        <f t="shared" si="53"/>
        <v/>
      </c>
      <c r="Z397" s="44" t="str">
        <f t="shared" si="54"/>
        <v/>
      </c>
      <c r="AA397" s="50" t="str">
        <f t="shared" si="55"/>
        <v/>
      </c>
      <c r="AB397" s="50" t="str">
        <f>IF(OR(B397="",C397&lt;&gt;"Expense"),"",IF(E397&gt;IFERROR(AVERAGEIFS($E$8:$E$1007,$I$8:$I$1007,I397,$C$8:$C$1007,"Expense")*SETTINGS!$B$20,0),"Unusually High","Normal"))</f>
        <v/>
      </c>
      <c r="AC397" s="51"/>
      <c r="AD397" s="51"/>
      <c r="AE397" s="51"/>
      <c r="AF397" s="50" t="str">
        <f>IF(A397&lt;&gt;"Yes","No",IF(AND(AC397="Yes",SETTINGS!$B$16="No"),"No","Yes"))</f>
        <v>No</v>
      </c>
      <c r="AG397" s="50" t="str">
        <f>IF(A397&lt;&gt;"Yes","",IF(OR(B397="",D397="",E397&lt;=0,F397="",I397=""),"Check Required Fields",IF(AA397="Possible Duplicate","Possible Duplicate",IF(E397&gt;SETTINGS!$B$22,"Review Extreme Value","OK"))))</f>
        <v/>
      </c>
    </row>
    <row r="398" spans="1:33" ht="14.4">
      <c r="A398" s="9"/>
      <c r="B398" s="13"/>
      <c r="C398" s="9"/>
      <c r="D398" s="9"/>
      <c r="E398" s="11"/>
      <c r="F398" s="9"/>
      <c r="G398" s="9"/>
      <c r="H398" s="44" t="str">
        <f>IF(D398="","",IF(ISNUMBER(SEARCH(SETTINGS!$K$4,D398)),SETTINGS!$L$4,IF(ISNUMBER(SEARCH(SETTINGS!$K$5,D398)),SETTINGS!$L$5,IF(ISNUMBER(SEARCH(SETTINGS!$K$6,D398)),SETTINGS!$L$6,IF(ISNUMBER(SEARCH(SETTINGS!$K$7,D398)),SETTINGS!$L$7,IF(ISNUMBER(SEARCH(SETTINGS!$K$8,D398)),SETTINGS!$L$8,IF(ISNUMBER(SEARCH(SETTINGS!$K$9,D398)),SETTINGS!$L$9,IF(ISNUMBER(SEARCH(SETTINGS!$K$10,D398)),SETTINGS!$L$10,IF(ISNUMBER(SEARCH(SETTINGS!$K$11,D398)),SETTINGS!$L$11,IF(ISNUMBER(SEARCH(SETTINGS!$K$12,D398)),SETTINGS!$L$12,IF(ISNUMBER(SEARCH(SETTINGS!$K$13,D398)),SETTINGS!$L$13,IF(ISNUMBER(SEARCH(SETTINGS!$K$14,D398)),SETTINGS!$L$14,IF(ISNUMBER(SEARCH(SETTINGS!$K$15,D398)),SETTINGS!$L$15,IF(ISNUMBER(SEARCH(SETTINGS!$K$16,D398)),SETTINGS!$L$16,IF(ISNUMBER(SEARCH(SETTINGS!$K$17,D398)),SETTINGS!$L$17,IF(ISNUMBER(SEARCH(SETTINGS!$K$18,D398)),SETTINGS!$L$18,"Miscellaneous"))))))))))))))))</f>
        <v/>
      </c>
      <c r="I398" s="44" t="str">
        <f t="shared" si="48"/>
        <v/>
      </c>
      <c r="J398" s="9"/>
      <c r="K398" s="9"/>
      <c r="L398" s="9"/>
      <c r="M398" s="9"/>
      <c r="N398" s="9"/>
      <c r="O398" s="9"/>
      <c r="P398" s="13"/>
      <c r="Q398" s="9"/>
      <c r="R398" s="9"/>
      <c r="S398" s="9"/>
      <c r="T398" s="11"/>
      <c r="U398" s="44" t="str">
        <f t="shared" si="49"/>
        <v/>
      </c>
      <c r="V398" s="44" t="str">
        <f t="shared" si="50"/>
        <v/>
      </c>
      <c r="W398" s="44" t="str">
        <f t="shared" si="51"/>
        <v/>
      </c>
      <c r="X398" s="44" t="str">
        <f t="shared" si="52"/>
        <v/>
      </c>
      <c r="Y398" s="44" t="str">
        <f t="shared" si="53"/>
        <v/>
      </c>
      <c r="Z398" s="44" t="str">
        <f t="shared" si="54"/>
        <v/>
      </c>
      <c r="AA398" s="50" t="str">
        <f t="shared" si="55"/>
        <v/>
      </c>
      <c r="AB398" s="50" t="str">
        <f>IF(OR(B398="",C398&lt;&gt;"Expense"),"",IF(E398&gt;IFERROR(AVERAGEIFS($E$8:$E$1007,$I$8:$I$1007,I398,$C$8:$C$1007,"Expense")*SETTINGS!$B$20,0),"Unusually High","Normal"))</f>
        <v/>
      </c>
      <c r="AC398" s="51"/>
      <c r="AD398" s="51"/>
      <c r="AE398" s="51"/>
      <c r="AF398" s="50" t="str">
        <f>IF(A398&lt;&gt;"Yes","No",IF(AND(AC398="Yes",SETTINGS!$B$16="No"),"No","Yes"))</f>
        <v>No</v>
      </c>
      <c r="AG398" s="50" t="str">
        <f>IF(A398&lt;&gt;"Yes","",IF(OR(B398="",D398="",E398&lt;=0,F398="",I398=""),"Check Required Fields",IF(AA398="Possible Duplicate","Possible Duplicate",IF(E398&gt;SETTINGS!$B$22,"Review Extreme Value","OK"))))</f>
        <v/>
      </c>
    </row>
    <row r="399" spans="1:33" ht="14.4">
      <c r="A399" s="9"/>
      <c r="B399" s="13"/>
      <c r="C399" s="9"/>
      <c r="D399" s="9"/>
      <c r="E399" s="11"/>
      <c r="F399" s="9"/>
      <c r="G399" s="9"/>
      <c r="H399" s="44" t="str">
        <f>IF(D399="","",IF(ISNUMBER(SEARCH(SETTINGS!$K$4,D399)),SETTINGS!$L$4,IF(ISNUMBER(SEARCH(SETTINGS!$K$5,D399)),SETTINGS!$L$5,IF(ISNUMBER(SEARCH(SETTINGS!$K$6,D399)),SETTINGS!$L$6,IF(ISNUMBER(SEARCH(SETTINGS!$K$7,D399)),SETTINGS!$L$7,IF(ISNUMBER(SEARCH(SETTINGS!$K$8,D399)),SETTINGS!$L$8,IF(ISNUMBER(SEARCH(SETTINGS!$K$9,D399)),SETTINGS!$L$9,IF(ISNUMBER(SEARCH(SETTINGS!$K$10,D399)),SETTINGS!$L$10,IF(ISNUMBER(SEARCH(SETTINGS!$K$11,D399)),SETTINGS!$L$11,IF(ISNUMBER(SEARCH(SETTINGS!$K$12,D399)),SETTINGS!$L$12,IF(ISNUMBER(SEARCH(SETTINGS!$K$13,D399)),SETTINGS!$L$13,IF(ISNUMBER(SEARCH(SETTINGS!$K$14,D399)),SETTINGS!$L$14,IF(ISNUMBER(SEARCH(SETTINGS!$K$15,D399)),SETTINGS!$L$15,IF(ISNUMBER(SEARCH(SETTINGS!$K$16,D399)),SETTINGS!$L$16,IF(ISNUMBER(SEARCH(SETTINGS!$K$17,D399)),SETTINGS!$L$17,IF(ISNUMBER(SEARCH(SETTINGS!$K$18,D399)),SETTINGS!$L$18,"Miscellaneous"))))))))))))))))</f>
        <v/>
      </c>
      <c r="I399" s="44" t="str">
        <f t="shared" si="48"/>
        <v/>
      </c>
      <c r="J399" s="9"/>
      <c r="K399" s="9"/>
      <c r="L399" s="9"/>
      <c r="M399" s="9"/>
      <c r="N399" s="9"/>
      <c r="O399" s="9"/>
      <c r="P399" s="13"/>
      <c r="Q399" s="9"/>
      <c r="R399" s="9"/>
      <c r="S399" s="9"/>
      <c r="T399" s="11"/>
      <c r="U399" s="44" t="str">
        <f t="shared" si="49"/>
        <v/>
      </c>
      <c r="V399" s="44" t="str">
        <f t="shared" si="50"/>
        <v/>
      </c>
      <c r="W399" s="44" t="str">
        <f t="shared" si="51"/>
        <v/>
      </c>
      <c r="X399" s="44" t="str">
        <f t="shared" si="52"/>
        <v/>
      </c>
      <c r="Y399" s="44" t="str">
        <f t="shared" si="53"/>
        <v/>
      </c>
      <c r="Z399" s="44" t="str">
        <f t="shared" si="54"/>
        <v/>
      </c>
      <c r="AA399" s="50" t="str">
        <f t="shared" si="55"/>
        <v/>
      </c>
      <c r="AB399" s="50" t="str">
        <f>IF(OR(B399="",C399&lt;&gt;"Expense"),"",IF(E399&gt;IFERROR(AVERAGEIFS($E$8:$E$1007,$I$8:$I$1007,I399,$C$8:$C$1007,"Expense")*SETTINGS!$B$20,0),"Unusually High","Normal"))</f>
        <v/>
      </c>
      <c r="AC399" s="51"/>
      <c r="AD399" s="51"/>
      <c r="AE399" s="51"/>
      <c r="AF399" s="50" t="str">
        <f>IF(A399&lt;&gt;"Yes","No",IF(AND(AC399="Yes",SETTINGS!$B$16="No"),"No","Yes"))</f>
        <v>No</v>
      </c>
      <c r="AG399" s="50" t="str">
        <f>IF(A399&lt;&gt;"Yes","",IF(OR(B399="",D399="",E399&lt;=0,F399="",I399=""),"Check Required Fields",IF(AA399="Possible Duplicate","Possible Duplicate",IF(E399&gt;SETTINGS!$B$22,"Review Extreme Value","OK"))))</f>
        <v/>
      </c>
    </row>
    <row r="400" spans="1:33" ht="14.4">
      <c r="A400" s="9"/>
      <c r="B400" s="13"/>
      <c r="C400" s="9"/>
      <c r="D400" s="9"/>
      <c r="E400" s="11"/>
      <c r="F400" s="9"/>
      <c r="G400" s="9"/>
      <c r="H400" s="44" t="str">
        <f>IF(D400="","",IF(ISNUMBER(SEARCH(SETTINGS!$K$4,D400)),SETTINGS!$L$4,IF(ISNUMBER(SEARCH(SETTINGS!$K$5,D400)),SETTINGS!$L$5,IF(ISNUMBER(SEARCH(SETTINGS!$K$6,D400)),SETTINGS!$L$6,IF(ISNUMBER(SEARCH(SETTINGS!$K$7,D400)),SETTINGS!$L$7,IF(ISNUMBER(SEARCH(SETTINGS!$K$8,D400)),SETTINGS!$L$8,IF(ISNUMBER(SEARCH(SETTINGS!$K$9,D400)),SETTINGS!$L$9,IF(ISNUMBER(SEARCH(SETTINGS!$K$10,D400)),SETTINGS!$L$10,IF(ISNUMBER(SEARCH(SETTINGS!$K$11,D400)),SETTINGS!$L$11,IF(ISNUMBER(SEARCH(SETTINGS!$K$12,D400)),SETTINGS!$L$12,IF(ISNUMBER(SEARCH(SETTINGS!$K$13,D400)),SETTINGS!$L$13,IF(ISNUMBER(SEARCH(SETTINGS!$K$14,D400)),SETTINGS!$L$14,IF(ISNUMBER(SEARCH(SETTINGS!$K$15,D400)),SETTINGS!$L$15,IF(ISNUMBER(SEARCH(SETTINGS!$K$16,D400)),SETTINGS!$L$16,IF(ISNUMBER(SEARCH(SETTINGS!$K$17,D400)),SETTINGS!$L$17,IF(ISNUMBER(SEARCH(SETTINGS!$K$18,D400)),SETTINGS!$L$18,"Miscellaneous"))))))))))))))))</f>
        <v/>
      </c>
      <c r="I400" s="44" t="str">
        <f t="shared" si="48"/>
        <v/>
      </c>
      <c r="J400" s="9"/>
      <c r="K400" s="9"/>
      <c r="L400" s="9"/>
      <c r="M400" s="9"/>
      <c r="N400" s="9"/>
      <c r="O400" s="9"/>
      <c r="P400" s="13"/>
      <c r="Q400" s="9"/>
      <c r="R400" s="9"/>
      <c r="S400" s="9"/>
      <c r="T400" s="11"/>
      <c r="U400" s="44" t="str">
        <f t="shared" si="49"/>
        <v/>
      </c>
      <c r="V400" s="44" t="str">
        <f t="shared" si="50"/>
        <v/>
      </c>
      <c r="W400" s="44" t="str">
        <f t="shared" si="51"/>
        <v/>
      </c>
      <c r="X400" s="44" t="str">
        <f t="shared" si="52"/>
        <v/>
      </c>
      <c r="Y400" s="44" t="str">
        <f t="shared" si="53"/>
        <v/>
      </c>
      <c r="Z400" s="44" t="str">
        <f t="shared" si="54"/>
        <v/>
      </c>
      <c r="AA400" s="50" t="str">
        <f t="shared" si="55"/>
        <v/>
      </c>
      <c r="AB400" s="50" t="str">
        <f>IF(OR(B400="",C400&lt;&gt;"Expense"),"",IF(E400&gt;IFERROR(AVERAGEIFS($E$8:$E$1007,$I$8:$I$1007,I400,$C$8:$C$1007,"Expense")*SETTINGS!$B$20,0),"Unusually High","Normal"))</f>
        <v/>
      </c>
      <c r="AC400" s="51"/>
      <c r="AD400" s="51"/>
      <c r="AE400" s="51"/>
      <c r="AF400" s="50" t="str">
        <f>IF(A400&lt;&gt;"Yes","No",IF(AND(AC400="Yes",SETTINGS!$B$16="No"),"No","Yes"))</f>
        <v>No</v>
      </c>
      <c r="AG400" s="50" t="str">
        <f>IF(A400&lt;&gt;"Yes","",IF(OR(B400="",D400="",E400&lt;=0,F400="",I400=""),"Check Required Fields",IF(AA400="Possible Duplicate","Possible Duplicate",IF(E400&gt;SETTINGS!$B$22,"Review Extreme Value","OK"))))</f>
        <v/>
      </c>
    </row>
    <row r="401" spans="1:33" ht="14.4">
      <c r="A401" s="9"/>
      <c r="B401" s="13"/>
      <c r="C401" s="9"/>
      <c r="D401" s="9"/>
      <c r="E401" s="11"/>
      <c r="F401" s="9"/>
      <c r="G401" s="9"/>
      <c r="H401" s="44" t="str">
        <f>IF(D401="","",IF(ISNUMBER(SEARCH(SETTINGS!$K$4,D401)),SETTINGS!$L$4,IF(ISNUMBER(SEARCH(SETTINGS!$K$5,D401)),SETTINGS!$L$5,IF(ISNUMBER(SEARCH(SETTINGS!$K$6,D401)),SETTINGS!$L$6,IF(ISNUMBER(SEARCH(SETTINGS!$K$7,D401)),SETTINGS!$L$7,IF(ISNUMBER(SEARCH(SETTINGS!$K$8,D401)),SETTINGS!$L$8,IF(ISNUMBER(SEARCH(SETTINGS!$K$9,D401)),SETTINGS!$L$9,IF(ISNUMBER(SEARCH(SETTINGS!$K$10,D401)),SETTINGS!$L$10,IF(ISNUMBER(SEARCH(SETTINGS!$K$11,D401)),SETTINGS!$L$11,IF(ISNUMBER(SEARCH(SETTINGS!$K$12,D401)),SETTINGS!$L$12,IF(ISNUMBER(SEARCH(SETTINGS!$K$13,D401)),SETTINGS!$L$13,IF(ISNUMBER(SEARCH(SETTINGS!$K$14,D401)),SETTINGS!$L$14,IF(ISNUMBER(SEARCH(SETTINGS!$K$15,D401)),SETTINGS!$L$15,IF(ISNUMBER(SEARCH(SETTINGS!$K$16,D401)),SETTINGS!$L$16,IF(ISNUMBER(SEARCH(SETTINGS!$K$17,D401)),SETTINGS!$L$17,IF(ISNUMBER(SEARCH(SETTINGS!$K$18,D401)),SETTINGS!$L$18,"Miscellaneous"))))))))))))))))</f>
        <v/>
      </c>
      <c r="I401" s="44" t="str">
        <f t="shared" si="48"/>
        <v/>
      </c>
      <c r="J401" s="9"/>
      <c r="K401" s="9"/>
      <c r="L401" s="9"/>
      <c r="M401" s="9"/>
      <c r="N401" s="9"/>
      <c r="O401" s="9"/>
      <c r="P401" s="13"/>
      <c r="Q401" s="9"/>
      <c r="R401" s="9"/>
      <c r="S401" s="9"/>
      <c r="T401" s="11"/>
      <c r="U401" s="44" t="str">
        <f t="shared" si="49"/>
        <v/>
      </c>
      <c r="V401" s="44" t="str">
        <f t="shared" si="50"/>
        <v/>
      </c>
      <c r="W401" s="44" t="str">
        <f t="shared" si="51"/>
        <v/>
      </c>
      <c r="X401" s="44" t="str">
        <f t="shared" si="52"/>
        <v/>
      </c>
      <c r="Y401" s="44" t="str">
        <f t="shared" si="53"/>
        <v/>
      </c>
      <c r="Z401" s="44" t="str">
        <f t="shared" si="54"/>
        <v/>
      </c>
      <c r="AA401" s="50" t="str">
        <f t="shared" si="55"/>
        <v/>
      </c>
      <c r="AB401" s="50" t="str">
        <f>IF(OR(B401="",C401&lt;&gt;"Expense"),"",IF(E401&gt;IFERROR(AVERAGEIFS($E$8:$E$1007,$I$8:$I$1007,I401,$C$8:$C$1007,"Expense")*SETTINGS!$B$20,0),"Unusually High","Normal"))</f>
        <v/>
      </c>
      <c r="AC401" s="51"/>
      <c r="AD401" s="51"/>
      <c r="AE401" s="51"/>
      <c r="AF401" s="50" t="str">
        <f>IF(A401&lt;&gt;"Yes","No",IF(AND(AC401="Yes",SETTINGS!$B$16="No"),"No","Yes"))</f>
        <v>No</v>
      </c>
      <c r="AG401" s="50" t="str">
        <f>IF(A401&lt;&gt;"Yes","",IF(OR(B401="",D401="",E401&lt;=0,F401="",I401=""),"Check Required Fields",IF(AA401="Possible Duplicate","Possible Duplicate",IF(E401&gt;SETTINGS!$B$22,"Review Extreme Value","OK"))))</f>
        <v/>
      </c>
    </row>
    <row r="402" spans="1:33" ht="14.4">
      <c r="A402" s="9"/>
      <c r="B402" s="13"/>
      <c r="C402" s="9"/>
      <c r="D402" s="9"/>
      <c r="E402" s="11"/>
      <c r="F402" s="9"/>
      <c r="G402" s="9"/>
      <c r="H402" s="44" t="str">
        <f>IF(D402="","",IF(ISNUMBER(SEARCH(SETTINGS!$K$4,D402)),SETTINGS!$L$4,IF(ISNUMBER(SEARCH(SETTINGS!$K$5,D402)),SETTINGS!$L$5,IF(ISNUMBER(SEARCH(SETTINGS!$K$6,D402)),SETTINGS!$L$6,IF(ISNUMBER(SEARCH(SETTINGS!$K$7,D402)),SETTINGS!$L$7,IF(ISNUMBER(SEARCH(SETTINGS!$K$8,D402)),SETTINGS!$L$8,IF(ISNUMBER(SEARCH(SETTINGS!$K$9,D402)),SETTINGS!$L$9,IF(ISNUMBER(SEARCH(SETTINGS!$K$10,D402)),SETTINGS!$L$10,IF(ISNUMBER(SEARCH(SETTINGS!$K$11,D402)),SETTINGS!$L$11,IF(ISNUMBER(SEARCH(SETTINGS!$K$12,D402)),SETTINGS!$L$12,IF(ISNUMBER(SEARCH(SETTINGS!$K$13,D402)),SETTINGS!$L$13,IF(ISNUMBER(SEARCH(SETTINGS!$K$14,D402)),SETTINGS!$L$14,IF(ISNUMBER(SEARCH(SETTINGS!$K$15,D402)),SETTINGS!$L$15,IF(ISNUMBER(SEARCH(SETTINGS!$K$16,D402)),SETTINGS!$L$16,IF(ISNUMBER(SEARCH(SETTINGS!$K$17,D402)),SETTINGS!$L$17,IF(ISNUMBER(SEARCH(SETTINGS!$K$18,D402)),SETTINGS!$L$18,"Miscellaneous"))))))))))))))))</f>
        <v/>
      </c>
      <c r="I402" s="44" t="str">
        <f t="shared" si="48"/>
        <v/>
      </c>
      <c r="J402" s="9"/>
      <c r="K402" s="9"/>
      <c r="L402" s="9"/>
      <c r="M402" s="9"/>
      <c r="N402" s="9"/>
      <c r="O402" s="9"/>
      <c r="P402" s="13"/>
      <c r="Q402" s="9"/>
      <c r="R402" s="9"/>
      <c r="S402" s="9"/>
      <c r="T402" s="11"/>
      <c r="U402" s="44" t="str">
        <f t="shared" si="49"/>
        <v/>
      </c>
      <c r="V402" s="44" t="str">
        <f t="shared" si="50"/>
        <v/>
      </c>
      <c r="W402" s="44" t="str">
        <f t="shared" si="51"/>
        <v/>
      </c>
      <c r="X402" s="44" t="str">
        <f t="shared" si="52"/>
        <v/>
      </c>
      <c r="Y402" s="44" t="str">
        <f t="shared" si="53"/>
        <v/>
      </c>
      <c r="Z402" s="44" t="str">
        <f t="shared" si="54"/>
        <v/>
      </c>
      <c r="AA402" s="50" t="str">
        <f t="shared" si="55"/>
        <v/>
      </c>
      <c r="AB402" s="50" t="str">
        <f>IF(OR(B402="",C402&lt;&gt;"Expense"),"",IF(E402&gt;IFERROR(AVERAGEIFS($E$8:$E$1007,$I$8:$I$1007,I402,$C$8:$C$1007,"Expense")*SETTINGS!$B$20,0),"Unusually High","Normal"))</f>
        <v/>
      </c>
      <c r="AC402" s="51"/>
      <c r="AD402" s="51"/>
      <c r="AE402" s="51"/>
      <c r="AF402" s="50" t="str">
        <f>IF(A402&lt;&gt;"Yes","No",IF(AND(AC402="Yes",SETTINGS!$B$16="No"),"No","Yes"))</f>
        <v>No</v>
      </c>
      <c r="AG402" s="50" t="str">
        <f>IF(A402&lt;&gt;"Yes","",IF(OR(B402="",D402="",E402&lt;=0,F402="",I402=""),"Check Required Fields",IF(AA402="Possible Duplicate","Possible Duplicate",IF(E402&gt;SETTINGS!$B$22,"Review Extreme Value","OK"))))</f>
        <v/>
      </c>
    </row>
    <row r="403" spans="1:33" ht="14.4">
      <c r="A403" s="9"/>
      <c r="B403" s="13"/>
      <c r="C403" s="9"/>
      <c r="D403" s="9"/>
      <c r="E403" s="11"/>
      <c r="F403" s="9"/>
      <c r="G403" s="9"/>
      <c r="H403" s="44" t="str">
        <f>IF(D403="","",IF(ISNUMBER(SEARCH(SETTINGS!$K$4,D403)),SETTINGS!$L$4,IF(ISNUMBER(SEARCH(SETTINGS!$K$5,D403)),SETTINGS!$L$5,IF(ISNUMBER(SEARCH(SETTINGS!$K$6,D403)),SETTINGS!$L$6,IF(ISNUMBER(SEARCH(SETTINGS!$K$7,D403)),SETTINGS!$L$7,IF(ISNUMBER(SEARCH(SETTINGS!$K$8,D403)),SETTINGS!$L$8,IF(ISNUMBER(SEARCH(SETTINGS!$K$9,D403)),SETTINGS!$L$9,IF(ISNUMBER(SEARCH(SETTINGS!$K$10,D403)),SETTINGS!$L$10,IF(ISNUMBER(SEARCH(SETTINGS!$K$11,D403)),SETTINGS!$L$11,IF(ISNUMBER(SEARCH(SETTINGS!$K$12,D403)),SETTINGS!$L$12,IF(ISNUMBER(SEARCH(SETTINGS!$K$13,D403)),SETTINGS!$L$13,IF(ISNUMBER(SEARCH(SETTINGS!$K$14,D403)),SETTINGS!$L$14,IF(ISNUMBER(SEARCH(SETTINGS!$K$15,D403)),SETTINGS!$L$15,IF(ISNUMBER(SEARCH(SETTINGS!$K$16,D403)),SETTINGS!$L$16,IF(ISNUMBER(SEARCH(SETTINGS!$K$17,D403)),SETTINGS!$L$17,IF(ISNUMBER(SEARCH(SETTINGS!$K$18,D403)),SETTINGS!$L$18,"Miscellaneous"))))))))))))))))</f>
        <v/>
      </c>
      <c r="I403" s="44" t="str">
        <f t="shared" si="48"/>
        <v/>
      </c>
      <c r="J403" s="9"/>
      <c r="K403" s="9"/>
      <c r="L403" s="9"/>
      <c r="M403" s="9"/>
      <c r="N403" s="9"/>
      <c r="O403" s="9"/>
      <c r="P403" s="13"/>
      <c r="Q403" s="9"/>
      <c r="R403" s="9"/>
      <c r="S403" s="9"/>
      <c r="T403" s="11"/>
      <c r="U403" s="44" t="str">
        <f t="shared" si="49"/>
        <v/>
      </c>
      <c r="V403" s="44" t="str">
        <f t="shared" si="50"/>
        <v/>
      </c>
      <c r="W403" s="44" t="str">
        <f t="shared" si="51"/>
        <v/>
      </c>
      <c r="X403" s="44" t="str">
        <f t="shared" si="52"/>
        <v/>
      </c>
      <c r="Y403" s="44" t="str">
        <f t="shared" si="53"/>
        <v/>
      </c>
      <c r="Z403" s="44" t="str">
        <f t="shared" si="54"/>
        <v/>
      </c>
      <c r="AA403" s="50" t="str">
        <f t="shared" si="55"/>
        <v/>
      </c>
      <c r="AB403" s="50" t="str">
        <f>IF(OR(B403="",C403&lt;&gt;"Expense"),"",IF(E403&gt;IFERROR(AVERAGEIFS($E$8:$E$1007,$I$8:$I$1007,I403,$C$8:$C$1007,"Expense")*SETTINGS!$B$20,0),"Unusually High","Normal"))</f>
        <v/>
      </c>
      <c r="AC403" s="51"/>
      <c r="AD403" s="51"/>
      <c r="AE403" s="51"/>
      <c r="AF403" s="50" t="str">
        <f>IF(A403&lt;&gt;"Yes","No",IF(AND(AC403="Yes",SETTINGS!$B$16="No"),"No","Yes"))</f>
        <v>No</v>
      </c>
      <c r="AG403" s="50" t="str">
        <f>IF(A403&lt;&gt;"Yes","",IF(OR(B403="",D403="",E403&lt;=0,F403="",I403=""),"Check Required Fields",IF(AA403="Possible Duplicate","Possible Duplicate",IF(E403&gt;SETTINGS!$B$22,"Review Extreme Value","OK"))))</f>
        <v/>
      </c>
    </row>
    <row r="404" spans="1:33" ht="14.4">
      <c r="A404" s="9"/>
      <c r="B404" s="13"/>
      <c r="C404" s="9"/>
      <c r="D404" s="9"/>
      <c r="E404" s="11"/>
      <c r="F404" s="9"/>
      <c r="G404" s="9"/>
      <c r="H404" s="44" t="str">
        <f>IF(D404="","",IF(ISNUMBER(SEARCH(SETTINGS!$K$4,D404)),SETTINGS!$L$4,IF(ISNUMBER(SEARCH(SETTINGS!$K$5,D404)),SETTINGS!$L$5,IF(ISNUMBER(SEARCH(SETTINGS!$K$6,D404)),SETTINGS!$L$6,IF(ISNUMBER(SEARCH(SETTINGS!$K$7,D404)),SETTINGS!$L$7,IF(ISNUMBER(SEARCH(SETTINGS!$K$8,D404)),SETTINGS!$L$8,IF(ISNUMBER(SEARCH(SETTINGS!$K$9,D404)),SETTINGS!$L$9,IF(ISNUMBER(SEARCH(SETTINGS!$K$10,D404)),SETTINGS!$L$10,IF(ISNUMBER(SEARCH(SETTINGS!$K$11,D404)),SETTINGS!$L$11,IF(ISNUMBER(SEARCH(SETTINGS!$K$12,D404)),SETTINGS!$L$12,IF(ISNUMBER(SEARCH(SETTINGS!$K$13,D404)),SETTINGS!$L$13,IF(ISNUMBER(SEARCH(SETTINGS!$K$14,D404)),SETTINGS!$L$14,IF(ISNUMBER(SEARCH(SETTINGS!$K$15,D404)),SETTINGS!$L$15,IF(ISNUMBER(SEARCH(SETTINGS!$K$16,D404)),SETTINGS!$L$16,IF(ISNUMBER(SEARCH(SETTINGS!$K$17,D404)),SETTINGS!$L$17,IF(ISNUMBER(SEARCH(SETTINGS!$K$18,D404)),SETTINGS!$L$18,"Miscellaneous"))))))))))))))))</f>
        <v/>
      </c>
      <c r="I404" s="44" t="str">
        <f t="shared" si="48"/>
        <v/>
      </c>
      <c r="J404" s="9"/>
      <c r="K404" s="9"/>
      <c r="L404" s="9"/>
      <c r="M404" s="9"/>
      <c r="N404" s="9"/>
      <c r="O404" s="9"/>
      <c r="P404" s="13"/>
      <c r="Q404" s="9"/>
      <c r="R404" s="9"/>
      <c r="S404" s="9"/>
      <c r="T404" s="11"/>
      <c r="U404" s="44" t="str">
        <f t="shared" si="49"/>
        <v/>
      </c>
      <c r="V404" s="44" t="str">
        <f t="shared" si="50"/>
        <v/>
      </c>
      <c r="W404" s="44" t="str">
        <f t="shared" si="51"/>
        <v/>
      </c>
      <c r="X404" s="44" t="str">
        <f t="shared" si="52"/>
        <v/>
      </c>
      <c r="Y404" s="44" t="str">
        <f t="shared" si="53"/>
        <v/>
      </c>
      <c r="Z404" s="44" t="str">
        <f t="shared" si="54"/>
        <v/>
      </c>
      <c r="AA404" s="50" t="str">
        <f t="shared" si="55"/>
        <v/>
      </c>
      <c r="AB404" s="50" t="str">
        <f>IF(OR(B404="",C404&lt;&gt;"Expense"),"",IF(E404&gt;IFERROR(AVERAGEIFS($E$8:$E$1007,$I$8:$I$1007,I404,$C$8:$C$1007,"Expense")*SETTINGS!$B$20,0),"Unusually High","Normal"))</f>
        <v/>
      </c>
      <c r="AC404" s="51"/>
      <c r="AD404" s="51"/>
      <c r="AE404" s="51"/>
      <c r="AF404" s="50" t="str">
        <f>IF(A404&lt;&gt;"Yes","No",IF(AND(AC404="Yes",SETTINGS!$B$16="No"),"No","Yes"))</f>
        <v>No</v>
      </c>
      <c r="AG404" s="50" t="str">
        <f>IF(A404&lt;&gt;"Yes","",IF(OR(B404="",D404="",E404&lt;=0,F404="",I404=""),"Check Required Fields",IF(AA404="Possible Duplicate","Possible Duplicate",IF(E404&gt;SETTINGS!$B$22,"Review Extreme Value","OK"))))</f>
        <v/>
      </c>
    </row>
    <row r="405" spans="1:33" ht="14.4">
      <c r="A405" s="9"/>
      <c r="B405" s="13"/>
      <c r="C405" s="9"/>
      <c r="D405" s="9"/>
      <c r="E405" s="11"/>
      <c r="F405" s="9"/>
      <c r="G405" s="9"/>
      <c r="H405" s="44" t="str">
        <f>IF(D405="","",IF(ISNUMBER(SEARCH(SETTINGS!$K$4,D405)),SETTINGS!$L$4,IF(ISNUMBER(SEARCH(SETTINGS!$K$5,D405)),SETTINGS!$L$5,IF(ISNUMBER(SEARCH(SETTINGS!$K$6,D405)),SETTINGS!$L$6,IF(ISNUMBER(SEARCH(SETTINGS!$K$7,D405)),SETTINGS!$L$7,IF(ISNUMBER(SEARCH(SETTINGS!$K$8,D405)),SETTINGS!$L$8,IF(ISNUMBER(SEARCH(SETTINGS!$K$9,D405)),SETTINGS!$L$9,IF(ISNUMBER(SEARCH(SETTINGS!$K$10,D405)),SETTINGS!$L$10,IF(ISNUMBER(SEARCH(SETTINGS!$K$11,D405)),SETTINGS!$L$11,IF(ISNUMBER(SEARCH(SETTINGS!$K$12,D405)),SETTINGS!$L$12,IF(ISNUMBER(SEARCH(SETTINGS!$K$13,D405)),SETTINGS!$L$13,IF(ISNUMBER(SEARCH(SETTINGS!$K$14,D405)),SETTINGS!$L$14,IF(ISNUMBER(SEARCH(SETTINGS!$K$15,D405)),SETTINGS!$L$15,IF(ISNUMBER(SEARCH(SETTINGS!$K$16,D405)),SETTINGS!$L$16,IF(ISNUMBER(SEARCH(SETTINGS!$K$17,D405)),SETTINGS!$L$17,IF(ISNUMBER(SEARCH(SETTINGS!$K$18,D405)),SETTINGS!$L$18,"Miscellaneous"))))))))))))))))</f>
        <v/>
      </c>
      <c r="I405" s="44" t="str">
        <f t="shared" si="48"/>
        <v/>
      </c>
      <c r="J405" s="9"/>
      <c r="K405" s="9"/>
      <c r="L405" s="9"/>
      <c r="M405" s="9"/>
      <c r="N405" s="9"/>
      <c r="O405" s="9"/>
      <c r="P405" s="13"/>
      <c r="Q405" s="9"/>
      <c r="R405" s="9"/>
      <c r="S405" s="9"/>
      <c r="T405" s="11"/>
      <c r="U405" s="44" t="str">
        <f t="shared" si="49"/>
        <v/>
      </c>
      <c r="V405" s="44" t="str">
        <f t="shared" si="50"/>
        <v/>
      </c>
      <c r="W405" s="44" t="str">
        <f t="shared" si="51"/>
        <v/>
      </c>
      <c r="X405" s="44" t="str">
        <f t="shared" si="52"/>
        <v/>
      </c>
      <c r="Y405" s="44" t="str">
        <f t="shared" si="53"/>
        <v/>
      </c>
      <c r="Z405" s="44" t="str">
        <f t="shared" si="54"/>
        <v/>
      </c>
      <c r="AA405" s="50" t="str">
        <f t="shared" si="55"/>
        <v/>
      </c>
      <c r="AB405" s="50" t="str">
        <f>IF(OR(B405="",C405&lt;&gt;"Expense"),"",IF(E405&gt;IFERROR(AVERAGEIFS($E$8:$E$1007,$I$8:$I$1007,I405,$C$8:$C$1007,"Expense")*SETTINGS!$B$20,0),"Unusually High","Normal"))</f>
        <v/>
      </c>
      <c r="AC405" s="51"/>
      <c r="AD405" s="51"/>
      <c r="AE405" s="51"/>
      <c r="AF405" s="50" t="str">
        <f>IF(A405&lt;&gt;"Yes","No",IF(AND(AC405="Yes",SETTINGS!$B$16="No"),"No","Yes"))</f>
        <v>No</v>
      </c>
      <c r="AG405" s="50" t="str">
        <f>IF(A405&lt;&gt;"Yes","",IF(OR(B405="",D405="",E405&lt;=0,F405="",I405=""),"Check Required Fields",IF(AA405="Possible Duplicate","Possible Duplicate",IF(E405&gt;SETTINGS!$B$22,"Review Extreme Value","OK"))))</f>
        <v/>
      </c>
    </row>
    <row r="406" spans="1:33" ht="14.4">
      <c r="A406" s="9"/>
      <c r="B406" s="13"/>
      <c r="C406" s="9"/>
      <c r="D406" s="9"/>
      <c r="E406" s="11"/>
      <c r="F406" s="9"/>
      <c r="G406" s="9"/>
      <c r="H406" s="44" t="str">
        <f>IF(D406="","",IF(ISNUMBER(SEARCH(SETTINGS!$K$4,D406)),SETTINGS!$L$4,IF(ISNUMBER(SEARCH(SETTINGS!$K$5,D406)),SETTINGS!$L$5,IF(ISNUMBER(SEARCH(SETTINGS!$K$6,D406)),SETTINGS!$L$6,IF(ISNUMBER(SEARCH(SETTINGS!$K$7,D406)),SETTINGS!$L$7,IF(ISNUMBER(SEARCH(SETTINGS!$K$8,D406)),SETTINGS!$L$8,IF(ISNUMBER(SEARCH(SETTINGS!$K$9,D406)),SETTINGS!$L$9,IF(ISNUMBER(SEARCH(SETTINGS!$K$10,D406)),SETTINGS!$L$10,IF(ISNUMBER(SEARCH(SETTINGS!$K$11,D406)),SETTINGS!$L$11,IF(ISNUMBER(SEARCH(SETTINGS!$K$12,D406)),SETTINGS!$L$12,IF(ISNUMBER(SEARCH(SETTINGS!$K$13,D406)),SETTINGS!$L$13,IF(ISNUMBER(SEARCH(SETTINGS!$K$14,D406)),SETTINGS!$L$14,IF(ISNUMBER(SEARCH(SETTINGS!$K$15,D406)),SETTINGS!$L$15,IF(ISNUMBER(SEARCH(SETTINGS!$K$16,D406)),SETTINGS!$L$16,IF(ISNUMBER(SEARCH(SETTINGS!$K$17,D406)),SETTINGS!$L$17,IF(ISNUMBER(SEARCH(SETTINGS!$K$18,D406)),SETTINGS!$L$18,"Miscellaneous"))))))))))))))))</f>
        <v/>
      </c>
      <c r="I406" s="44" t="str">
        <f t="shared" si="48"/>
        <v/>
      </c>
      <c r="J406" s="9"/>
      <c r="K406" s="9"/>
      <c r="L406" s="9"/>
      <c r="M406" s="9"/>
      <c r="N406" s="9"/>
      <c r="O406" s="9"/>
      <c r="P406" s="13"/>
      <c r="Q406" s="9"/>
      <c r="R406" s="9"/>
      <c r="S406" s="9"/>
      <c r="T406" s="11"/>
      <c r="U406" s="44" t="str">
        <f t="shared" si="49"/>
        <v/>
      </c>
      <c r="V406" s="44" t="str">
        <f t="shared" si="50"/>
        <v/>
      </c>
      <c r="W406" s="44" t="str">
        <f t="shared" si="51"/>
        <v/>
      </c>
      <c r="X406" s="44" t="str">
        <f t="shared" si="52"/>
        <v/>
      </c>
      <c r="Y406" s="44" t="str">
        <f t="shared" si="53"/>
        <v/>
      </c>
      <c r="Z406" s="44" t="str">
        <f t="shared" si="54"/>
        <v/>
      </c>
      <c r="AA406" s="50" t="str">
        <f t="shared" si="55"/>
        <v/>
      </c>
      <c r="AB406" s="50" t="str">
        <f>IF(OR(B406="",C406&lt;&gt;"Expense"),"",IF(E406&gt;IFERROR(AVERAGEIFS($E$8:$E$1007,$I$8:$I$1007,I406,$C$8:$C$1007,"Expense")*SETTINGS!$B$20,0),"Unusually High","Normal"))</f>
        <v/>
      </c>
      <c r="AC406" s="51"/>
      <c r="AD406" s="51"/>
      <c r="AE406" s="51"/>
      <c r="AF406" s="50" t="str">
        <f>IF(A406&lt;&gt;"Yes","No",IF(AND(AC406="Yes",SETTINGS!$B$16="No"),"No","Yes"))</f>
        <v>No</v>
      </c>
      <c r="AG406" s="50" t="str">
        <f>IF(A406&lt;&gt;"Yes","",IF(OR(B406="",D406="",E406&lt;=0,F406="",I406=""),"Check Required Fields",IF(AA406="Possible Duplicate","Possible Duplicate",IF(E406&gt;SETTINGS!$B$22,"Review Extreme Value","OK"))))</f>
        <v/>
      </c>
    </row>
    <row r="407" spans="1:33" ht="14.4">
      <c r="A407" s="9"/>
      <c r="B407" s="13"/>
      <c r="C407" s="9"/>
      <c r="D407" s="9"/>
      <c r="E407" s="11"/>
      <c r="F407" s="9"/>
      <c r="G407" s="9"/>
      <c r="H407" s="44" t="str">
        <f>IF(D407="","",IF(ISNUMBER(SEARCH(SETTINGS!$K$4,D407)),SETTINGS!$L$4,IF(ISNUMBER(SEARCH(SETTINGS!$K$5,D407)),SETTINGS!$L$5,IF(ISNUMBER(SEARCH(SETTINGS!$K$6,D407)),SETTINGS!$L$6,IF(ISNUMBER(SEARCH(SETTINGS!$K$7,D407)),SETTINGS!$L$7,IF(ISNUMBER(SEARCH(SETTINGS!$K$8,D407)),SETTINGS!$L$8,IF(ISNUMBER(SEARCH(SETTINGS!$K$9,D407)),SETTINGS!$L$9,IF(ISNUMBER(SEARCH(SETTINGS!$K$10,D407)),SETTINGS!$L$10,IF(ISNUMBER(SEARCH(SETTINGS!$K$11,D407)),SETTINGS!$L$11,IF(ISNUMBER(SEARCH(SETTINGS!$K$12,D407)),SETTINGS!$L$12,IF(ISNUMBER(SEARCH(SETTINGS!$K$13,D407)),SETTINGS!$L$13,IF(ISNUMBER(SEARCH(SETTINGS!$K$14,D407)),SETTINGS!$L$14,IF(ISNUMBER(SEARCH(SETTINGS!$K$15,D407)),SETTINGS!$L$15,IF(ISNUMBER(SEARCH(SETTINGS!$K$16,D407)),SETTINGS!$L$16,IF(ISNUMBER(SEARCH(SETTINGS!$K$17,D407)),SETTINGS!$L$17,IF(ISNUMBER(SEARCH(SETTINGS!$K$18,D407)),SETTINGS!$L$18,"Miscellaneous"))))))))))))))))</f>
        <v/>
      </c>
      <c r="I407" s="44" t="str">
        <f t="shared" si="48"/>
        <v/>
      </c>
      <c r="J407" s="9"/>
      <c r="K407" s="9"/>
      <c r="L407" s="9"/>
      <c r="M407" s="9"/>
      <c r="N407" s="9"/>
      <c r="O407" s="9"/>
      <c r="P407" s="13"/>
      <c r="Q407" s="9"/>
      <c r="R407" s="9"/>
      <c r="S407" s="9"/>
      <c r="T407" s="11"/>
      <c r="U407" s="44" t="str">
        <f t="shared" si="49"/>
        <v/>
      </c>
      <c r="V407" s="44" t="str">
        <f t="shared" si="50"/>
        <v/>
      </c>
      <c r="W407" s="44" t="str">
        <f t="shared" si="51"/>
        <v/>
      </c>
      <c r="X407" s="44" t="str">
        <f t="shared" si="52"/>
        <v/>
      </c>
      <c r="Y407" s="44" t="str">
        <f t="shared" si="53"/>
        <v/>
      </c>
      <c r="Z407" s="44" t="str">
        <f t="shared" si="54"/>
        <v/>
      </c>
      <c r="AA407" s="50" t="str">
        <f t="shared" si="55"/>
        <v/>
      </c>
      <c r="AB407" s="50" t="str">
        <f>IF(OR(B407="",C407&lt;&gt;"Expense"),"",IF(E407&gt;IFERROR(AVERAGEIFS($E$8:$E$1007,$I$8:$I$1007,I407,$C$8:$C$1007,"Expense")*SETTINGS!$B$20,0),"Unusually High","Normal"))</f>
        <v/>
      </c>
      <c r="AC407" s="51"/>
      <c r="AD407" s="51"/>
      <c r="AE407" s="51"/>
      <c r="AF407" s="50" t="str">
        <f>IF(A407&lt;&gt;"Yes","No",IF(AND(AC407="Yes",SETTINGS!$B$16="No"),"No","Yes"))</f>
        <v>No</v>
      </c>
      <c r="AG407" s="50" t="str">
        <f>IF(A407&lt;&gt;"Yes","",IF(OR(B407="",D407="",E407&lt;=0,F407="",I407=""),"Check Required Fields",IF(AA407="Possible Duplicate","Possible Duplicate",IF(E407&gt;SETTINGS!$B$22,"Review Extreme Value","OK"))))</f>
        <v/>
      </c>
    </row>
    <row r="408" spans="1:33" ht="14.4">
      <c r="A408" s="9"/>
      <c r="B408" s="13"/>
      <c r="C408" s="9"/>
      <c r="D408" s="9"/>
      <c r="E408" s="11"/>
      <c r="F408" s="9"/>
      <c r="G408" s="9"/>
      <c r="H408" s="44" t="str">
        <f>IF(D408="","",IF(ISNUMBER(SEARCH(SETTINGS!$K$4,D408)),SETTINGS!$L$4,IF(ISNUMBER(SEARCH(SETTINGS!$K$5,D408)),SETTINGS!$L$5,IF(ISNUMBER(SEARCH(SETTINGS!$K$6,D408)),SETTINGS!$L$6,IF(ISNUMBER(SEARCH(SETTINGS!$K$7,D408)),SETTINGS!$L$7,IF(ISNUMBER(SEARCH(SETTINGS!$K$8,D408)),SETTINGS!$L$8,IF(ISNUMBER(SEARCH(SETTINGS!$K$9,D408)),SETTINGS!$L$9,IF(ISNUMBER(SEARCH(SETTINGS!$K$10,D408)),SETTINGS!$L$10,IF(ISNUMBER(SEARCH(SETTINGS!$K$11,D408)),SETTINGS!$L$11,IF(ISNUMBER(SEARCH(SETTINGS!$K$12,D408)),SETTINGS!$L$12,IF(ISNUMBER(SEARCH(SETTINGS!$K$13,D408)),SETTINGS!$L$13,IF(ISNUMBER(SEARCH(SETTINGS!$K$14,D408)),SETTINGS!$L$14,IF(ISNUMBER(SEARCH(SETTINGS!$K$15,D408)),SETTINGS!$L$15,IF(ISNUMBER(SEARCH(SETTINGS!$K$16,D408)),SETTINGS!$L$16,IF(ISNUMBER(SEARCH(SETTINGS!$K$17,D408)),SETTINGS!$L$17,IF(ISNUMBER(SEARCH(SETTINGS!$K$18,D408)),SETTINGS!$L$18,"Miscellaneous"))))))))))))))))</f>
        <v/>
      </c>
      <c r="I408" s="44" t="str">
        <f t="shared" si="48"/>
        <v/>
      </c>
      <c r="J408" s="9"/>
      <c r="K408" s="9"/>
      <c r="L408" s="9"/>
      <c r="M408" s="9"/>
      <c r="N408" s="9"/>
      <c r="O408" s="9"/>
      <c r="P408" s="13"/>
      <c r="Q408" s="9"/>
      <c r="R408" s="9"/>
      <c r="S408" s="9"/>
      <c r="T408" s="11"/>
      <c r="U408" s="44" t="str">
        <f t="shared" si="49"/>
        <v/>
      </c>
      <c r="V408" s="44" t="str">
        <f t="shared" si="50"/>
        <v/>
      </c>
      <c r="W408" s="44" t="str">
        <f t="shared" si="51"/>
        <v/>
      </c>
      <c r="X408" s="44" t="str">
        <f t="shared" si="52"/>
        <v/>
      </c>
      <c r="Y408" s="44" t="str">
        <f t="shared" si="53"/>
        <v/>
      </c>
      <c r="Z408" s="44" t="str">
        <f t="shared" si="54"/>
        <v/>
      </c>
      <c r="AA408" s="50" t="str">
        <f t="shared" si="55"/>
        <v/>
      </c>
      <c r="AB408" s="50" t="str">
        <f>IF(OR(B408="",C408&lt;&gt;"Expense"),"",IF(E408&gt;IFERROR(AVERAGEIFS($E$8:$E$1007,$I$8:$I$1007,I408,$C$8:$C$1007,"Expense")*SETTINGS!$B$20,0),"Unusually High","Normal"))</f>
        <v/>
      </c>
      <c r="AC408" s="51"/>
      <c r="AD408" s="51"/>
      <c r="AE408" s="51"/>
      <c r="AF408" s="50" t="str">
        <f>IF(A408&lt;&gt;"Yes","No",IF(AND(AC408="Yes",SETTINGS!$B$16="No"),"No","Yes"))</f>
        <v>No</v>
      </c>
      <c r="AG408" s="50" t="str">
        <f>IF(A408&lt;&gt;"Yes","",IF(OR(B408="",D408="",E408&lt;=0,F408="",I408=""),"Check Required Fields",IF(AA408="Possible Duplicate","Possible Duplicate",IF(E408&gt;SETTINGS!$B$22,"Review Extreme Value","OK"))))</f>
        <v/>
      </c>
    </row>
    <row r="409" spans="1:33" ht="14.4">
      <c r="A409" s="9"/>
      <c r="B409" s="13"/>
      <c r="C409" s="9"/>
      <c r="D409" s="9"/>
      <c r="E409" s="11"/>
      <c r="F409" s="9"/>
      <c r="G409" s="9"/>
      <c r="H409" s="44" t="str">
        <f>IF(D409="","",IF(ISNUMBER(SEARCH(SETTINGS!$K$4,D409)),SETTINGS!$L$4,IF(ISNUMBER(SEARCH(SETTINGS!$K$5,D409)),SETTINGS!$L$5,IF(ISNUMBER(SEARCH(SETTINGS!$K$6,D409)),SETTINGS!$L$6,IF(ISNUMBER(SEARCH(SETTINGS!$K$7,D409)),SETTINGS!$L$7,IF(ISNUMBER(SEARCH(SETTINGS!$K$8,D409)),SETTINGS!$L$8,IF(ISNUMBER(SEARCH(SETTINGS!$K$9,D409)),SETTINGS!$L$9,IF(ISNUMBER(SEARCH(SETTINGS!$K$10,D409)),SETTINGS!$L$10,IF(ISNUMBER(SEARCH(SETTINGS!$K$11,D409)),SETTINGS!$L$11,IF(ISNUMBER(SEARCH(SETTINGS!$K$12,D409)),SETTINGS!$L$12,IF(ISNUMBER(SEARCH(SETTINGS!$K$13,D409)),SETTINGS!$L$13,IF(ISNUMBER(SEARCH(SETTINGS!$K$14,D409)),SETTINGS!$L$14,IF(ISNUMBER(SEARCH(SETTINGS!$K$15,D409)),SETTINGS!$L$15,IF(ISNUMBER(SEARCH(SETTINGS!$K$16,D409)),SETTINGS!$L$16,IF(ISNUMBER(SEARCH(SETTINGS!$K$17,D409)),SETTINGS!$L$17,IF(ISNUMBER(SEARCH(SETTINGS!$K$18,D409)),SETTINGS!$L$18,"Miscellaneous"))))))))))))))))</f>
        <v/>
      </c>
      <c r="I409" s="44" t="str">
        <f t="shared" si="48"/>
        <v/>
      </c>
      <c r="J409" s="9"/>
      <c r="K409" s="9"/>
      <c r="L409" s="9"/>
      <c r="M409" s="9"/>
      <c r="N409" s="9"/>
      <c r="O409" s="9"/>
      <c r="P409" s="13"/>
      <c r="Q409" s="9"/>
      <c r="R409" s="9"/>
      <c r="S409" s="9"/>
      <c r="T409" s="11"/>
      <c r="U409" s="44" t="str">
        <f t="shared" si="49"/>
        <v/>
      </c>
      <c r="V409" s="44" t="str">
        <f t="shared" si="50"/>
        <v/>
      </c>
      <c r="W409" s="44" t="str">
        <f t="shared" si="51"/>
        <v/>
      </c>
      <c r="X409" s="44" t="str">
        <f t="shared" si="52"/>
        <v/>
      </c>
      <c r="Y409" s="44" t="str">
        <f t="shared" si="53"/>
        <v/>
      </c>
      <c r="Z409" s="44" t="str">
        <f t="shared" si="54"/>
        <v/>
      </c>
      <c r="AA409" s="50" t="str">
        <f t="shared" si="55"/>
        <v/>
      </c>
      <c r="AB409" s="50" t="str">
        <f>IF(OR(B409="",C409&lt;&gt;"Expense"),"",IF(E409&gt;IFERROR(AVERAGEIFS($E$8:$E$1007,$I$8:$I$1007,I409,$C$8:$C$1007,"Expense")*SETTINGS!$B$20,0),"Unusually High","Normal"))</f>
        <v/>
      </c>
      <c r="AC409" s="51"/>
      <c r="AD409" s="51"/>
      <c r="AE409" s="51"/>
      <c r="AF409" s="50" t="str">
        <f>IF(A409&lt;&gt;"Yes","No",IF(AND(AC409="Yes",SETTINGS!$B$16="No"),"No","Yes"))</f>
        <v>No</v>
      </c>
      <c r="AG409" s="50" t="str">
        <f>IF(A409&lt;&gt;"Yes","",IF(OR(B409="",D409="",E409&lt;=0,F409="",I409=""),"Check Required Fields",IF(AA409="Possible Duplicate","Possible Duplicate",IF(E409&gt;SETTINGS!$B$22,"Review Extreme Value","OK"))))</f>
        <v/>
      </c>
    </row>
    <row r="410" spans="1:33" ht="14.4">
      <c r="A410" s="9"/>
      <c r="B410" s="13"/>
      <c r="C410" s="9"/>
      <c r="D410" s="9"/>
      <c r="E410" s="11"/>
      <c r="F410" s="9"/>
      <c r="G410" s="9"/>
      <c r="H410" s="44" t="str">
        <f>IF(D410="","",IF(ISNUMBER(SEARCH(SETTINGS!$K$4,D410)),SETTINGS!$L$4,IF(ISNUMBER(SEARCH(SETTINGS!$K$5,D410)),SETTINGS!$L$5,IF(ISNUMBER(SEARCH(SETTINGS!$K$6,D410)),SETTINGS!$L$6,IF(ISNUMBER(SEARCH(SETTINGS!$K$7,D410)),SETTINGS!$L$7,IF(ISNUMBER(SEARCH(SETTINGS!$K$8,D410)),SETTINGS!$L$8,IF(ISNUMBER(SEARCH(SETTINGS!$K$9,D410)),SETTINGS!$L$9,IF(ISNUMBER(SEARCH(SETTINGS!$K$10,D410)),SETTINGS!$L$10,IF(ISNUMBER(SEARCH(SETTINGS!$K$11,D410)),SETTINGS!$L$11,IF(ISNUMBER(SEARCH(SETTINGS!$K$12,D410)),SETTINGS!$L$12,IF(ISNUMBER(SEARCH(SETTINGS!$K$13,D410)),SETTINGS!$L$13,IF(ISNUMBER(SEARCH(SETTINGS!$K$14,D410)),SETTINGS!$L$14,IF(ISNUMBER(SEARCH(SETTINGS!$K$15,D410)),SETTINGS!$L$15,IF(ISNUMBER(SEARCH(SETTINGS!$K$16,D410)),SETTINGS!$L$16,IF(ISNUMBER(SEARCH(SETTINGS!$K$17,D410)),SETTINGS!$L$17,IF(ISNUMBER(SEARCH(SETTINGS!$K$18,D410)),SETTINGS!$L$18,"Miscellaneous"))))))))))))))))</f>
        <v/>
      </c>
      <c r="I410" s="44" t="str">
        <f t="shared" si="48"/>
        <v/>
      </c>
      <c r="J410" s="9"/>
      <c r="K410" s="9"/>
      <c r="L410" s="9"/>
      <c r="M410" s="9"/>
      <c r="N410" s="9"/>
      <c r="O410" s="9"/>
      <c r="P410" s="13"/>
      <c r="Q410" s="9"/>
      <c r="R410" s="9"/>
      <c r="S410" s="9"/>
      <c r="T410" s="11"/>
      <c r="U410" s="44" t="str">
        <f t="shared" si="49"/>
        <v/>
      </c>
      <c r="V410" s="44" t="str">
        <f t="shared" si="50"/>
        <v/>
      </c>
      <c r="W410" s="44" t="str">
        <f t="shared" si="51"/>
        <v/>
      </c>
      <c r="X410" s="44" t="str">
        <f t="shared" si="52"/>
        <v/>
      </c>
      <c r="Y410" s="44" t="str">
        <f t="shared" si="53"/>
        <v/>
      </c>
      <c r="Z410" s="44" t="str">
        <f t="shared" si="54"/>
        <v/>
      </c>
      <c r="AA410" s="50" t="str">
        <f t="shared" si="55"/>
        <v/>
      </c>
      <c r="AB410" s="50" t="str">
        <f>IF(OR(B410="",C410&lt;&gt;"Expense"),"",IF(E410&gt;IFERROR(AVERAGEIFS($E$8:$E$1007,$I$8:$I$1007,I410,$C$8:$C$1007,"Expense")*SETTINGS!$B$20,0),"Unusually High","Normal"))</f>
        <v/>
      </c>
      <c r="AC410" s="51"/>
      <c r="AD410" s="51"/>
      <c r="AE410" s="51"/>
      <c r="AF410" s="50" t="str">
        <f>IF(A410&lt;&gt;"Yes","No",IF(AND(AC410="Yes",SETTINGS!$B$16="No"),"No","Yes"))</f>
        <v>No</v>
      </c>
      <c r="AG410" s="50" t="str">
        <f>IF(A410&lt;&gt;"Yes","",IF(OR(B410="",D410="",E410&lt;=0,F410="",I410=""),"Check Required Fields",IF(AA410="Possible Duplicate","Possible Duplicate",IF(E410&gt;SETTINGS!$B$22,"Review Extreme Value","OK"))))</f>
        <v/>
      </c>
    </row>
    <row r="411" spans="1:33" ht="14.4">
      <c r="A411" s="9"/>
      <c r="B411" s="13"/>
      <c r="C411" s="9"/>
      <c r="D411" s="9"/>
      <c r="E411" s="11"/>
      <c r="F411" s="9"/>
      <c r="G411" s="9"/>
      <c r="H411" s="44" t="str">
        <f>IF(D411="","",IF(ISNUMBER(SEARCH(SETTINGS!$K$4,D411)),SETTINGS!$L$4,IF(ISNUMBER(SEARCH(SETTINGS!$K$5,D411)),SETTINGS!$L$5,IF(ISNUMBER(SEARCH(SETTINGS!$K$6,D411)),SETTINGS!$L$6,IF(ISNUMBER(SEARCH(SETTINGS!$K$7,D411)),SETTINGS!$L$7,IF(ISNUMBER(SEARCH(SETTINGS!$K$8,D411)),SETTINGS!$L$8,IF(ISNUMBER(SEARCH(SETTINGS!$K$9,D411)),SETTINGS!$L$9,IF(ISNUMBER(SEARCH(SETTINGS!$K$10,D411)),SETTINGS!$L$10,IF(ISNUMBER(SEARCH(SETTINGS!$K$11,D411)),SETTINGS!$L$11,IF(ISNUMBER(SEARCH(SETTINGS!$K$12,D411)),SETTINGS!$L$12,IF(ISNUMBER(SEARCH(SETTINGS!$K$13,D411)),SETTINGS!$L$13,IF(ISNUMBER(SEARCH(SETTINGS!$K$14,D411)),SETTINGS!$L$14,IF(ISNUMBER(SEARCH(SETTINGS!$K$15,D411)),SETTINGS!$L$15,IF(ISNUMBER(SEARCH(SETTINGS!$K$16,D411)),SETTINGS!$L$16,IF(ISNUMBER(SEARCH(SETTINGS!$K$17,D411)),SETTINGS!$L$17,IF(ISNUMBER(SEARCH(SETTINGS!$K$18,D411)),SETTINGS!$L$18,"Miscellaneous"))))))))))))))))</f>
        <v/>
      </c>
      <c r="I411" s="44" t="str">
        <f t="shared" si="48"/>
        <v/>
      </c>
      <c r="J411" s="9"/>
      <c r="K411" s="9"/>
      <c r="L411" s="9"/>
      <c r="M411" s="9"/>
      <c r="N411" s="9"/>
      <c r="O411" s="9"/>
      <c r="P411" s="13"/>
      <c r="Q411" s="9"/>
      <c r="R411" s="9"/>
      <c r="S411" s="9"/>
      <c r="T411" s="11"/>
      <c r="U411" s="44" t="str">
        <f t="shared" si="49"/>
        <v/>
      </c>
      <c r="V411" s="44" t="str">
        <f t="shared" si="50"/>
        <v/>
      </c>
      <c r="W411" s="44" t="str">
        <f t="shared" si="51"/>
        <v/>
      </c>
      <c r="X411" s="44" t="str">
        <f t="shared" si="52"/>
        <v/>
      </c>
      <c r="Y411" s="44" t="str">
        <f t="shared" si="53"/>
        <v/>
      </c>
      <c r="Z411" s="44" t="str">
        <f t="shared" si="54"/>
        <v/>
      </c>
      <c r="AA411" s="50" t="str">
        <f t="shared" si="55"/>
        <v/>
      </c>
      <c r="AB411" s="50" t="str">
        <f>IF(OR(B411="",C411&lt;&gt;"Expense"),"",IF(E411&gt;IFERROR(AVERAGEIFS($E$8:$E$1007,$I$8:$I$1007,I411,$C$8:$C$1007,"Expense")*SETTINGS!$B$20,0),"Unusually High","Normal"))</f>
        <v/>
      </c>
      <c r="AC411" s="51"/>
      <c r="AD411" s="51"/>
      <c r="AE411" s="51"/>
      <c r="AF411" s="50" t="str">
        <f>IF(A411&lt;&gt;"Yes","No",IF(AND(AC411="Yes",SETTINGS!$B$16="No"),"No","Yes"))</f>
        <v>No</v>
      </c>
      <c r="AG411" s="50" t="str">
        <f>IF(A411&lt;&gt;"Yes","",IF(OR(B411="",D411="",E411&lt;=0,F411="",I411=""),"Check Required Fields",IF(AA411="Possible Duplicate","Possible Duplicate",IF(E411&gt;SETTINGS!$B$22,"Review Extreme Value","OK"))))</f>
        <v/>
      </c>
    </row>
    <row r="412" spans="1:33" ht="14.4">
      <c r="A412" s="9"/>
      <c r="B412" s="13"/>
      <c r="C412" s="9"/>
      <c r="D412" s="9"/>
      <c r="E412" s="11"/>
      <c r="F412" s="9"/>
      <c r="G412" s="9"/>
      <c r="H412" s="44" t="str">
        <f>IF(D412="","",IF(ISNUMBER(SEARCH(SETTINGS!$K$4,D412)),SETTINGS!$L$4,IF(ISNUMBER(SEARCH(SETTINGS!$K$5,D412)),SETTINGS!$L$5,IF(ISNUMBER(SEARCH(SETTINGS!$K$6,D412)),SETTINGS!$L$6,IF(ISNUMBER(SEARCH(SETTINGS!$K$7,D412)),SETTINGS!$L$7,IF(ISNUMBER(SEARCH(SETTINGS!$K$8,D412)),SETTINGS!$L$8,IF(ISNUMBER(SEARCH(SETTINGS!$K$9,D412)),SETTINGS!$L$9,IF(ISNUMBER(SEARCH(SETTINGS!$K$10,D412)),SETTINGS!$L$10,IF(ISNUMBER(SEARCH(SETTINGS!$K$11,D412)),SETTINGS!$L$11,IF(ISNUMBER(SEARCH(SETTINGS!$K$12,D412)),SETTINGS!$L$12,IF(ISNUMBER(SEARCH(SETTINGS!$K$13,D412)),SETTINGS!$L$13,IF(ISNUMBER(SEARCH(SETTINGS!$K$14,D412)),SETTINGS!$L$14,IF(ISNUMBER(SEARCH(SETTINGS!$K$15,D412)),SETTINGS!$L$15,IF(ISNUMBER(SEARCH(SETTINGS!$K$16,D412)),SETTINGS!$L$16,IF(ISNUMBER(SEARCH(SETTINGS!$K$17,D412)),SETTINGS!$L$17,IF(ISNUMBER(SEARCH(SETTINGS!$K$18,D412)),SETTINGS!$L$18,"Miscellaneous"))))))))))))))))</f>
        <v/>
      </c>
      <c r="I412" s="44" t="str">
        <f t="shared" si="48"/>
        <v/>
      </c>
      <c r="J412" s="9"/>
      <c r="K412" s="9"/>
      <c r="L412" s="9"/>
      <c r="M412" s="9"/>
      <c r="N412" s="9"/>
      <c r="O412" s="9"/>
      <c r="P412" s="13"/>
      <c r="Q412" s="9"/>
      <c r="R412" s="9"/>
      <c r="S412" s="9"/>
      <c r="T412" s="11"/>
      <c r="U412" s="44" t="str">
        <f t="shared" si="49"/>
        <v/>
      </c>
      <c r="V412" s="44" t="str">
        <f t="shared" si="50"/>
        <v/>
      </c>
      <c r="W412" s="44" t="str">
        <f t="shared" si="51"/>
        <v/>
      </c>
      <c r="X412" s="44" t="str">
        <f t="shared" si="52"/>
        <v/>
      </c>
      <c r="Y412" s="44" t="str">
        <f t="shared" si="53"/>
        <v/>
      </c>
      <c r="Z412" s="44" t="str">
        <f t="shared" si="54"/>
        <v/>
      </c>
      <c r="AA412" s="50" t="str">
        <f t="shared" si="55"/>
        <v/>
      </c>
      <c r="AB412" s="50" t="str">
        <f>IF(OR(B412="",C412&lt;&gt;"Expense"),"",IF(E412&gt;IFERROR(AVERAGEIFS($E$8:$E$1007,$I$8:$I$1007,I412,$C$8:$C$1007,"Expense")*SETTINGS!$B$20,0),"Unusually High","Normal"))</f>
        <v/>
      </c>
      <c r="AC412" s="51"/>
      <c r="AD412" s="51"/>
      <c r="AE412" s="51"/>
      <c r="AF412" s="50" t="str">
        <f>IF(A412&lt;&gt;"Yes","No",IF(AND(AC412="Yes",SETTINGS!$B$16="No"),"No","Yes"))</f>
        <v>No</v>
      </c>
      <c r="AG412" s="50" t="str">
        <f>IF(A412&lt;&gt;"Yes","",IF(OR(B412="",D412="",E412&lt;=0,F412="",I412=""),"Check Required Fields",IF(AA412="Possible Duplicate","Possible Duplicate",IF(E412&gt;SETTINGS!$B$22,"Review Extreme Value","OK"))))</f>
        <v/>
      </c>
    </row>
    <row r="413" spans="1:33" ht="14.4">
      <c r="A413" s="9"/>
      <c r="B413" s="13"/>
      <c r="C413" s="9"/>
      <c r="D413" s="9"/>
      <c r="E413" s="11"/>
      <c r="F413" s="9"/>
      <c r="G413" s="9"/>
      <c r="H413" s="44" t="str">
        <f>IF(D413="","",IF(ISNUMBER(SEARCH(SETTINGS!$K$4,D413)),SETTINGS!$L$4,IF(ISNUMBER(SEARCH(SETTINGS!$K$5,D413)),SETTINGS!$L$5,IF(ISNUMBER(SEARCH(SETTINGS!$K$6,D413)),SETTINGS!$L$6,IF(ISNUMBER(SEARCH(SETTINGS!$K$7,D413)),SETTINGS!$L$7,IF(ISNUMBER(SEARCH(SETTINGS!$K$8,D413)),SETTINGS!$L$8,IF(ISNUMBER(SEARCH(SETTINGS!$K$9,D413)),SETTINGS!$L$9,IF(ISNUMBER(SEARCH(SETTINGS!$K$10,D413)),SETTINGS!$L$10,IF(ISNUMBER(SEARCH(SETTINGS!$K$11,D413)),SETTINGS!$L$11,IF(ISNUMBER(SEARCH(SETTINGS!$K$12,D413)),SETTINGS!$L$12,IF(ISNUMBER(SEARCH(SETTINGS!$K$13,D413)),SETTINGS!$L$13,IF(ISNUMBER(SEARCH(SETTINGS!$K$14,D413)),SETTINGS!$L$14,IF(ISNUMBER(SEARCH(SETTINGS!$K$15,D413)),SETTINGS!$L$15,IF(ISNUMBER(SEARCH(SETTINGS!$K$16,D413)),SETTINGS!$L$16,IF(ISNUMBER(SEARCH(SETTINGS!$K$17,D413)),SETTINGS!$L$17,IF(ISNUMBER(SEARCH(SETTINGS!$K$18,D413)),SETTINGS!$L$18,"Miscellaneous"))))))))))))))))</f>
        <v/>
      </c>
      <c r="I413" s="44" t="str">
        <f t="shared" si="48"/>
        <v/>
      </c>
      <c r="J413" s="9"/>
      <c r="K413" s="9"/>
      <c r="L413" s="9"/>
      <c r="M413" s="9"/>
      <c r="N413" s="9"/>
      <c r="O413" s="9"/>
      <c r="P413" s="13"/>
      <c r="Q413" s="9"/>
      <c r="R413" s="9"/>
      <c r="S413" s="9"/>
      <c r="T413" s="11"/>
      <c r="U413" s="44" t="str">
        <f t="shared" si="49"/>
        <v/>
      </c>
      <c r="V413" s="44" t="str">
        <f t="shared" si="50"/>
        <v/>
      </c>
      <c r="W413" s="44" t="str">
        <f t="shared" si="51"/>
        <v/>
      </c>
      <c r="X413" s="44" t="str">
        <f t="shared" si="52"/>
        <v/>
      </c>
      <c r="Y413" s="44" t="str">
        <f t="shared" si="53"/>
        <v/>
      </c>
      <c r="Z413" s="44" t="str">
        <f t="shared" si="54"/>
        <v/>
      </c>
      <c r="AA413" s="50" t="str">
        <f t="shared" si="55"/>
        <v/>
      </c>
      <c r="AB413" s="50" t="str">
        <f>IF(OR(B413="",C413&lt;&gt;"Expense"),"",IF(E413&gt;IFERROR(AVERAGEIFS($E$8:$E$1007,$I$8:$I$1007,I413,$C$8:$C$1007,"Expense")*SETTINGS!$B$20,0),"Unusually High","Normal"))</f>
        <v/>
      </c>
      <c r="AC413" s="51"/>
      <c r="AD413" s="51"/>
      <c r="AE413" s="51"/>
      <c r="AF413" s="50" t="str">
        <f>IF(A413&lt;&gt;"Yes","No",IF(AND(AC413="Yes",SETTINGS!$B$16="No"),"No","Yes"))</f>
        <v>No</v>
      </c>
      <c r="AG413" s="50" t="str">
        <f>IF(A413&lt;&gt;"Yes","",IF(OR(B413="",D413="",E413&lt;=0,F413="",I413=""),"Check Required Fields",IF(AA413="Possible Duplicate","Possible Duplicate",IF(E413&gt;SETTINGS!$B$22,"Review Extreme Value","OK"))))</f>
        <v/>
      </c>
    </row>
    <row r="414" spans="1:33" ht="14.4">
      <c r="A414" s="9"/>
      <c r="B414" s="13"/>
      <c r="C414" s="9"/>
      <c r="D414" s="9"/>
      <c r="E414" s="11"/>
      <c r="F414" s="9"/>
      <c r="G414" s="9"/>
      <c r="H414" s="44" t="str">
        <f>IF(D414="","",IF(ISNUMBER(SEARCH(SETTINGS!$K$4,D414)),SETTINGS!$L$4,IF(ISNUMBER(SEARCH(SETTINGS!$K$5,D414)),SETTINGS!$L$5,IF(ISNUMBER(SEARCH(SETTINGS!$K$6,D414)),SETTINGS!$L$6,IF(ISNUMBER(SEARCH(SETTINGS!$K$7,D414)),SETTINGS!$L$7,IF(ISNUMBER(SEARCH(SETTINGS!$K$8,D414)),SETTINGS!$L$8,IF(ISNUMBER(SEARCH(SETTINGS!$K$9,D414)),SETTINGS!$L$9,IF(ISNUMBER(SEARCH(SETTINGS!$K$10,D414)),SETTINGS!$L$10,IF(ISNUMBER(SEARCH(SETTINGS!$K$11,D414)),SETTINGS!$L$11,IF(ISNUMBER(SEARCH(SETTINGS!$K$12,D414)),SETTINGS!$L$12,IF(ISNUMBER(SEARCH(SETTINGS!$K$13,D414)),SETTINGS!$L$13,IF(ISNUMBER(SEARCH(SETTINGS!$K$14,D414)),SETTINGS!$L$14,IF(ISNUMBER(SEARCH(SETTINGS!$K$15,D414)),SETTINGS!$L$15,IF(ISNUMBER(SEARCH(SETTINGS!$K$16,D414)),SETTINGS!$L$16,IF(ISNUMBER(SEARCH(SETTINGS!$K$17,D414)),SETTINGS!$L$17,IF(ISNUMBER(SEARCH(SETTINGS!$K$18,D414)),SETTINGS!$L$18,"Miscellaneous"))))))))))))))))</f>
        <v/>
      </c>
      <c r="I414" s="44" t="str">
        <f t="shared" si="48"/>
        <v/>
      </c>
      <c r="J414" s="9"/>
      <c r="K414" s="9"/>
      <c r="L414" s="9"/>
      <c r="M414" s="9"/>
      <c r="N414" s="9"/>
      <c r="O414" s="9"/>
      <c r="P414" s="13"/>
      <c r="Q414" s="9"/>
      <c r="R414" s="9"/>
      <c r="S414" s="9"/>
      <c r="T414" s="11"/>
      <c r="U414" s="44" t="str">
        <f t="shared" si="49"/>
        <v/>
      </c>
      <c r="V414" s="44" t="str">
        <f t="shared" si="50"/>
        <v/>
      </c>
      <c r="W414" s="44" t="str">
        <f t="shared" si="51"/>
        <v/>
      </c>
      <c r="X414" s="44" t="str">
        <f t="shared" si="52"/>
        <v/>
      </c>
      <c r="Y414" s="44" t="str">
        <f t="shared" si="53"/>
        <v/>
      </c>
      <c r="Z414" s="44" t="str">
        <f t="shared" si="54"/>
        <v/>
      </c>
      <c r="AA414" s="50" t="str">
        <f t="shared" si="55"/>
        <v/>
      </c>
      <c r="AB414" s="50" t="str">
        <f>IF(OR(B414="",C414&lt;&gt;"Expense"),"",IF(E414&gt;IFERROR(AVERAGEIFS($E$8:$E$1007,$I$8:$I$1007,I414,$C$8:$C$1007,"Expense")*SETTINGS!$B$20,0),"Unusually High","Normal"))</f>
        <v/>
      </c>
      <c r="AC414" s="51"/>
      <c r="AD414" s="51"/>
      <c r="AE414" s="51"/>
      <c r="AF414" s="50" t="str">
        <f>IF(A414&lt;&gt;"Yes","No",IF(AND(AC414="Yes",SETTINGS!$B$16="No"),"No","Yes"))</f>
        <v>No</v>
      </c>
      <c r="AG414" s="50" t="str">
        <f>IF(A414&lt;&gt;"Yes","",IF(OR(B414="",D414="",E414&lt;=0,F414="",I414=""),"Check Required Fields",IF(AA414="Possible Duplicate","Possible Duplicate",IF(E414&gt;SETTINGS!$B$22,"Review Extreme Value","OK"))))</f>
        <v/>
      </c>
    </row>
    <row r="415" spans="1:33" ht="14.4">
      <c r="A415" s="9"/>
      <c r="B415" s="13"/>
      <c r="C415" s="9"/>
      <c r="D415" s="9"/>
      <c r="E415" s="11"/>
      <c r="F415" s="9"/>
      <c r="G415" s="9"/>
      <c r="H415" s="44" t="str">
        <f>IF(D415="","",IF(ISNUMBER(SEARCH(SETTINGS!$K$4,D415)),SETTINGS!$L$4,IF(ISNUMBER(SEARCH(SETTINGS!$K$5,D415)),SETTINGS!$L$5,IF(ISNUMBER(SEARCH(SETTINGS!$K$6,D415)),SETTINGS!$L$6,IF(ISNUMBER(SEARCH(SETTINGS!$K$7,D415)),SETTINGS!$L$7,IF(ISNUMBER(SEARCH(SETTINGS!$K$8,D415)),SETTINGS!$L$8,IF(ISNUMBER(SEARCH(SETTINGS!$K$9,D415)),SETTINGS!$L$9,IF(ISNUMBER(SEARCH(SETTINGS!$K$10,D415)),SETTINGS!$L$10,IF(ISNUMBER(SEARCH(SETTINGS!$K$11,D415)),SETTINGS!$L$11,IF(ISNUMBER(SEARCH(SETTINGS!$K$12,D415)),SETTINGS!$L$12,IF(ISNUMBER(SEARCH(SETTINGS!$K$13,D415)),SETTINGS!$L$13,IF(ISNUMBER(SEARCH(SETTINGS!$K$14,D415)),SETTINGS!$L$14,IF(ISNUMBER(SEARCH(SETTINGS!$K$15,D415)),SETTINGS!$L$15,IF(ISNUMBER(SEARCH(SETTINGS!$K$16,D415)),SETTINGS!$L$16,IF(ISNUMBER(SEARCH(SETTINGS!$K$17,D415)),SETTINGS!$L$17,IF(ISNUMBER(SEARCH(SETTINGS!$K$18,D415)),SETTINGS!$L$18,"Miscellaneous"))))))))))))))))</f>
        <v/>
      </c>
      <c r="I415" s="44" t="str">
        <f t="shared" si="48"/>
        <v/>
      </c>
      <c r="J415" s="9"/>
      <c r="K415" s="9"/>
      <c r="L415" s="9"/>
      <c r="M415" s="9"/>
      <c r="N415" s="9"/>
      <c r="O415" s="9"/>
      <c r="P415" s="13"/>
      <c r="Q415" s="9"/>
      <c r="R415" s="9"/>
      <c r="S415" s="9"/>
      <c r="T415" s="11"/>
      <c r="U415" s="44" t="str">
        <f t="shared" si="49"/>
        <v/>
      </c>
      <c r="V415" s="44" t="str">
        <f t="shared" si="50"/>
        <v/>
      </c>
      <c r="W415" s="44" t="str">
        <f t="shared" si="51"/>
        <v/>
      </c>
      <c r="X415" s="44" t="str">
        <f t="shared" si="52"/>
        <v/>
      </c>
      <c r="Y415" s="44" t="str">
        <f t="shared" si="53"/>
        <v/>
      </c>
      <c r="Z415" s="44" t="str">
        <f t="shared" si="54"/>
        <v/>
      </c>
      <c r="AA415" s="50" t="str">
        <f t="shared" si="55"/>
        <v/>
      </c>
      <c r="AB415" s="50" t="str">
        <f>IF(OR(B415="",C415&lt;&gt;"Expense"),"",IF(E415&gt;IFERROR(AVERAGEIFS($E$8:$E$1007,$I$8:$I$1007,I415,$C$8:$C$1007,"Expense")*SETTINGS!$B$20,0),"Unusually High","Normal"))</f>
        <v/>
      </c>
      <c r="AC415" s="51"/>
      <c r="AD415" s="51"/>
      <c r="AE415" s="51"/>
      <c r="AF415" s="50" t="str">
        <f>IF(A415&lt;&gt;"Yes","No",IF(AND(AC415="Yes",SETTINGS!$B$16="No"),"No","Yes"))</f>
        <v>No</v>
      </c>
      <c r="AG415" s="50" t="str">
        <f>IF(A415&lt;&gt;"Yes","",IF(OR(B415="",D415="",E415&lt;=0,F415="",I415=""),"Check Required Fields",IF(AA415="Possible Duplicate","Possible Duplicate",IF(E415&gt;SETTINGS!$B$22,"Review Extreme Value","OK"))))</f>
        <v/>
      </c>
    </row>
    <row r="416" spans="1:33" ht="14.4">
      <c r="A416" s="9"/>
      <c r="B416" s="13"/>
      <c r="C416" s="9"/>
      <c r="D416" s="9"/>
      <c r="E416" s="11"/>
      <c r="F416" s="9"/>
      <c r="G416" s="9"/>
      <c r="H416" s="44" t="str">
        <f>IF(D416="","",IF(ISNUMBER(SEARCH(SETTINGS!$K$4,D416)),SETTINGS!$L$4,IF(ISNUMBER(SEARCH(SETTINGS!$K$5,D416)),SETTINGS!$L$5,IF(ISNUMBER(SEARCH(SETTINGS!$K$6,D416)),SETTINGS!$L$6,IF(ISNUMBER(SEARCH(SETTINGS!$K$7,D416)),SETTINGS!$L$7,IF(ISNUMBER(SEARCH(SETTINGS!$K$8,D416)),SETTINGS!$L$8,IF(ISNUMBER(SEARCH(SETTINGS!$K$9,D416)),SETTINGS!$L$9,IF(ISNUMBER(SEARCH(SETTINGS!$K$10,D416)),SETTINGS!$L$10,IF(ISNUMBER(SEARCH(SETTINGS!$K$11,D416)),SETTINGS!$L$11,IF(ISNUMBER(SEARCH(SETTINGS!$K$12,D416)),SETTINGS!$L$12,IF(ISNUMBER(SEARCH(SETTINGS!$K$13,D416)),SETTINGS!$L$13,IF(ISNUMBER(SEARCH(SETTINGS!$K$14,D416)),SETTINGS!$L$14,IF(ISNUMBER(SEARCH(SETTINGS!$K$15,D416)),SETTINGS!$L$15,IF(ISNUMBER(SEARCH(SETTINGS!$K$16,D416)),SETTINGS!$L$16,IF(ISNUMBER(SEARCH(SETTINGS!$K$17,D416)),SETTINGS!$L$17,IF(ISNUMBER(SEARCH(SETTINGS!$K$18,D416)),SETTINGS!$L$18,"Miscellaneous"))))))))))))))))</f>
        <v/>
      </c>
      <c r="I416" s="44" t="str">
        <f t="shared" si="48"/>
        <v/>
      </c>
      <c r="J416" s="9"/>
      <c r="K416" s="9"/>
      <c r="L416" s="9"/>
      <c r="M416" s="9"/>
      <c r="N416" s="9"/>
      <c r="O416" s="9"/>
      <c r="P416" s="13"/>
      <c r="Q416" s="9"/>
      <c r="R416" s="9"/>
      <c r="S416" s="9"/>
      <c r="T416" s="11"/>
      <c r="U416" s="44" t="str">
        <f t="shared" si="49"/>
        <v/>
      </c>
      <c r="V416" s="44" t="str">
        <f t="shared" si="50"/>
        <v/>
      </c>
      <c r="W416" s="44" t="str">
        <f t="shared" si="51"/>
        <v/>
      </c>
      <c r="X416" s="44" t="str">
        <f t="shared" si="52"/>
        <v/>
      </c>
      <c r="Y416" s="44" t="str">
        <f t="shared" si="53"/>
        <v/>
      </c>
      <c r="Z416" s="44" t="str">
        <f t="shared" si="54"/>
        <v/>
      </c>
      <c r="AA416" s="50" t="str">
        <f t="shared" si="55"/>
        <v/>
      </c>
      <c r="AB416" s="50" t="str">
        <f>IF(OR(B416="",C416&lt;&gt;"Expense"),"",IF(E416&gt;IFERROR(AVERAGEIFS($E$8:$E$1007,$I$8:$I$1007,I416,$C$8:$C$1007,"Expense")*SETTINGS!$B$20,0),"Unusually High","Normal"))</f>
        <v/>
      </c>
      <c r="AC416" s="51"/>
      <c r="AD416" s="51"/>
      <c r="AE416" s="51"/>
      <c r="AF416" s="50" t="str">
        <f>IF(A416&lt;&gt;"Yes","No",IF(AND(AC416="Yes",SETTINGS!$B$16="No"),"No","Yes"))</f>
        <v>No</v>
      </c>
      <c r="AG416" s="50" t="str">
        <f>IF(A416&lt;&gt;"Yes","",IF(OR(B416="",D416="",E416&lt;=0,F416="",I416=""),"Check Required Fields",IF(AA416="Possible Duplicate","Possible Duplicate",IF(E416&gt;SETTINGS!$B$22,"Review Extreme Value","OK"))))</f>
        <v/>
      </c>
    </row>
    <row r="417" spans="1:33" ht="14.4">
      <c r="A417" s="9"/>
      <c r="B417" s="13"/>
      <c r="C417" s="9"/>
      <c r="D417" s="9"/>
      <c r="E417" s="11"/>
      <c r="F417" s="9"/>
      <c r="G417" s="9"/>
      <c r="H417" s="44" t="str">
        <f>IF(D417="","",IF(ISNUMBER(SEARCH(SETTINGS!$K$4,D417)),SETTINGS!$L$4,IF(ISNUMBER(SEARCH(SETTINGS!$K$5,D417)),SETTINGS!$L$5,IF(ISNUMBER(SEARCH(SETTINGS!$K$6,D417)),SETTINGS!$L$6,IF(ISNUMBER(SEARCH(SETTINGS!$K$7,D417)),SETTINGS!$L$7,IF(ISNUMBER(SEARCH(SETTINGS!$K$8,D417)),SETTINGS!$L$8,IF(ISNUMBER(SEARCH(SETTINGS!$K$9,D417)),SETTINGS!$L$9,IF(ISNUMBER(SEARCH(SETTINGS!$K$10,D417)),SETTINGS!$L$10,IF(ISNUMBER(SEARCH(SETTINGS!$K$11,D417)),SETTINGS!$L$11,IF(ISNUMBER(SEARCH(SETTINGS!$K$12,D417)),SETTINGS!$L$12,IF(ISNUMBER(SEARCH(SETTINGS!$K$13,D417)),SETTINGS!$L$13,IF(ISNUMBER(SEARCH(SETTINGS!$K$14,D417)),SETTINGS!$L$14,IF(ISNUMBER(SEARCH(SETTINGS!$K$15,D417)),SETTINGS!$L$15,IF(ISNUMBER(SEARCH(SETTINGS!$K$16,D417)),SETTINGS!$L$16,IF(ISNUMBER(SEARCH(SETTINGS!$K$17,D417)),SETTINGS!$L$17,IF(ISNUMBER(SEARCH(SETTINGS!$K$18,D417)),SETTINGS!$L$18,"Miscellaneous"))))))))))))))))</f>
        <v/>
      </c>
      <c r="I417" s="44" t="str">
        <f t="shared" si="48"/>
        <v/>
      </c>
      <c r="J417" s="9"/>
      <c r="K417" s="9"/>
      <c r="L417" s="9"/>
      <c r="M417" s="9"/>
      <c r="N417" s="9"/>
      <c r="O417" s="9"/>
      <c r="P417" s="13"/>
      <c r="Q417" s="9"/>
      <c r="R417" s="9"/>
      <c r="S417" s="9"/>
      <c r="T417" s="11"/>
      <c r="U417" s="44" t="str">
        <f t="shared" si="49"/>
        <v/>
      </c>
      <c r="V417" s="44" t="str">
        <f t="shared" si="50"/>
        <v/>
      </c>
      <c r="W417" s="44" t="str">
        <f t="shared" si="51"/>
        <v/>
      </c>
      <c r="X417" s="44" t="str">
        <f t="shared" si="52"/>
        <v/>
      </c>
      <c r="Y417" s="44" t="str">
        <f t="shared" si="53"/>
        <v/>
      </c>
      <c r="Z417" s="44" t="str">
        <f t="shared" si="54"/>
        <v/>
      </c>
      <c r="AA417" s="50" t="str">
        <f t="shared" si="55"/>
        <v/>
      </c>
      <c r="AB417" s="50" t="str">
        <f>IF(OR(B417="",C417&lt;&gt;"Expense"),"",IF(E417&gt;IFERROR(AVERAGEIFS($E$8:$E$1007,$I$8:$I$1007,I417,$C$8:$C$1007,"Expense")*SETTINGS!$B$20,0),"Unusually High","Normal"))</f>
        <v/>
      </c>
      <c r="AC417" s="51"/>
      <c r="AD417" s="51"/>
      <c r="AE417" s="51"/>
      <c r="AF417" s="50" t="str">
        <f>IF(A417&lt;&gt;"Yes","No",IF(AND(AC417="Yes",SETTINGS!$B$16="No"),"No","Yes"))</f>
        <v>No</v>
      </c>
      <c r="AG417" s="50" t="str">
        <f>IF(A417&lt;&gt;"Yes","",IF(OR(B417="",D417="",E417&lt;=0,F417="",I417=""),"Check Required Fields",IF(AA417="Possible Duplicate","Possible Duplicate",IF(E417&gt;SETTINGS!$B$22,"Review Extreme Value","OK"))))</f>
        <v/>
      </c>
    </row>
    <row r="418" spans="1:33" ht="14.4">
      <c r="A418" s="9"/>
      <c r="B418" s="13"/>
      <c r="C418" s="9"/>
      <c r="D418" s="9"/>
      <c r="E418" s="11"/>
      <c r="F418" s="9"/>
      <c r="G418" s="9"/>
      <c r="H418" s="44" t="str">
        <f>IF(D418="","",IF(ISNUMBER(SEARCH(SETTINGS!$K$4,D418)),SETTINGS!$L$4,IF(ISNUMBER(SEARCH(SETTINGS!$K$5,D418)),SETTINGS!$L$5,IF(ISNUMBER(SEARCH(SETTINGS!$K$6,D418)),SETTINGS!$L$6,IF(ISNUMBER(SEARCH(SETTINGS!$K$7,D418)),SETTINGS!$L$7,IF(ISNUMBER(SEARCH(SETTINGS!$K$8,D418)),SETTINGS!$L$8,IF(ISNUMBER(SEARCH(SETTINGS!$K$9,D418)),SETTINGS!$L$9,IF(ISNUMBER(SEARCH(SETTINGS!$K$10,D418)),SETTINGS!$L$10,IF(ISNUMBER(SEARCH(SETTINGS!$K$11,D418)),SETTINGS!$L$11,IF(ISNUMBER(SEARCH(SETTINGS!$K$12,D418)),SETTINGS!$L$12,IF(ISNUMBER(SEARCH(SETTINGS!$K$13,D418)),SETTINGS!$L$13,IF(ISNUMBER(SEARCH(SETTINGS!$K$14,D418)),SETTINGS!$L$14,IF(ISNUMBER(SEARCH(SETTINGS!$K$15,D418)),SETTINGS!$L$15,IF(ISNUMBER(SEARCH(SETTINGS!$K$16,D418)),SETTINGS!$L$16,IF(ISNUMBER(SEARCH(SETTINGS!$K$17,D418)),SETTINGS!$L$17,IF(ISNUMBER(SEARCH(SETTINGS!$K$18,D418)),SETTINGS!$L$18,"Miscellaneous"))))))))))))))))</f>
        <v/>
      </c>
      <c r="I418" s="44" t="str">
        <f t="shared" si="48"/>
        <v/>
      </c>
      <c r="J418" s="9"/>
      <c r="K418" s="9"/>
      <c r="L418" s="9"/>
      <c r="M418" s="9"/>
      <c r="N418" s="9"/>
      <c r="O418" s="9"/>
      <c r="P418" s="13"/>
      <c r="Q418" s="9"/>
      <c r="R418" s="9"/>
      <c r="S418" s="9"/>
      <c r="T418" s="11"/>
      <c r="U418" s="44" t="str">
        <f t="shared" si="49"/>
        <v/>
      </c>
      <c r="V418" s="44" t="str">
        <f t="shared" si="50"/>
        <v/>
      </c>
      <c r="W418" s="44" t="str">
        <f t="shared" si="51"/>
        <v/>
      </c>
      <c r="X418" s="44" t="str">
        <f t="shared" si="52"/>
        <v/>
      </c>
      <c r="Y418" s="44" t="str">
        <f t="shared" si="53"/>
        <v/>
      </c>
      <c r="Z418" s="44" t="str">
        <f t="shared" si="54"/>
        <v/>
      </c>
      <c r="AA418" s="50" t="str">
        <f t="shared" si="55"/>
        <v/>
      </c>
      <c r="AB418" s="50" t="str">
        <f>IF(OR(B418="",C418&lt;&gt;"Expense"),"",IF(E418&gt;IFERROR(AVERAGEIFS($E$8:$E$1007,$I$8:$I$1007,I418,$C$8:$C$1007,"Expense")*SETTINGS!$B$20,0),"Unusually High","Normal"))</f>
        <v/>
      </c>
      <c r="AC418" s="51"/>
      <c r="AD418" s="51"/>
      <c r="AE418" s="51"/>
      <c r="AF418" s="50" t="str">
        <f>IF(A418&lt;&gt;"Yes","No",IF(AND(AC418="Yes",SETTINGS!$B$16="No"),"No","Yes"))</f>
        <v>No</v>
      </c>
      <c r="AG418" s="50" t="str">
        <f>IF(A418&lt;&gt;"Yes","",IF(OR(B418="",D418="",E418&lt;=0,F418="",I418=""),"Check Required Fields",IF(AA418="Possible Duplicate","Possible Duplicate",IF(E418&gt;SETTINGS!$B$22,"Review Extreme Value","OK"))))</f>
        <v/>
      </c>
    </row>
    <row r="419" spans="1:33" ht="14.4">
      <c r="A419" s="9"/>
      <c r="B419" s="13"/>
      <c r="C419" s="9"/>
      <c r="D419" s="9"/>
      <c r="E419" s="11"/>
      <c r="F419" s="9"/>
      <c r="G419" s="9"/>
      <c r="H419" s="44" t="str">
        <f>IF(D419="","",IF(ISNUMBER(SEARCH(SETTINGS!$K$4,D419)),SETTINGS!$L$4,IF(ISNUMBER(SEARCH(SETTINGS!$K$5,D419)),SETTINGS!$L$5,IF(ISNUMBER(SEARCH(SETTINGS!$K$6,D419)),SETTINGS!$L$6,IF(ISNUMBER(SEARCH(SETTINGS!$K$7,D419)),SETTINGS!$L$7,IF(ISNUMBER(SEARCH(SETTINGS!$K$8,D419)),SETTINGS!$L$8,IF(ISNUMBER(SEARCH(SETTINGS!$K$9,D419)),SETTINGS!$L$9,IF(ISNUMBER(SEARCH(SETTINGS!$K$10,D419)),SETTINGS!$L$10,IF(ISNUMBER(SEARCH(SETTINGS!$K$11,D419)),SETTINGS!$L$11,IF(ISNUMBER(SEARCH(SETTINGS!$K$12,D419)),SETTINGS!$L$12,IF(ISNUMBER(SEARCH(SETTINGS!$K$13,D419)),SETTINGS!$L$13,IF(ISNUMBER(SEARCH(SETTINGS!$K$14,D419)),SETTINGS!$L$14,IF(ISNUMBER(SEARCH(SETTINGS!$K$15,D419)),SETTINGS!$L$15,IF(ISNUMBER(SEARCH(SETTINGS!$K$16,D419)),SETTINGS!$L$16,IF(ISNUMBER(SEARCH(SETTINGS!$K$17,D419)),SETTINGS!$L$17,IF(ISNUMBER(SEARCH(SETTINGS!$K$18,D419)),SETTINGS!$L$18,"Miscellaneous"))))))))))))))))</f>
        <v/>
      </c>
      <c r="I419" s="44" t="str">
        <f t="shared" si="48"/>
        <v/>
      </c>
      <c r="J419" s="9"/>
      <c r="K419" s="9"/>
      <c r="L419" s="9"/>
      <c r="M419" s="9"/>
      <c r="N419" s="9"/>
      <c r="O419" s="9"/>
      <c r="P419" s="13"/>
      <c r="Q419" s="9"/>
      <c r="R419" s="9"/>
      <c r="S419" s="9"/>
      <c r="T419" s="11"/>
      <c r="U419" s="44" t="str">
        <f t="shared" si="49"/>
        <v/>
      </c>
      <c r="V419" s="44" t="str">
        <f t="shared" si="50"/>
        <v/>
      </c>
      <c r="W419" s="44" t="str">
        <f t="shared" si="51"/>
        <v/>
      </c>
      <c r="X419" s="44" t="str">
        <f t="shared" si="52"/>
        <v/>
      </c>
      <c r="Y419" s="44" t="str">
        <f t="shared" si="53"/>
        <v/>
      </c>
      <c r="Z419" s="44" t="str">
        <f t="shared" si="54"/>
        <v/>
      </c>
      <c r="AA419" s="50" t="str">
        <f t="shared" si="55"/>
        <v/>
      </c>
      <c r="AB419" s="50" t="str">
        <f>IF(OR(B419="",C419&lt;&gt;"Expense"),"",IF(E419&gt;IFERROR(AVERAGEIFS($E$8:$E$1007,$I$8:$I$1007,I419,$C$8:$C$1007,"Expense")*SETTINGS!$B$20,0),"Unusually High","Normal"))</f>
        <v/>
      </c>
      <c r="AC419" s="51"/>
      <c r="AD419" s="51"/>
      <c r="AE419" s="51"/>
      <c r="AF419" s="50" t="str">
        <f>IF(A419&lt;&gt;"Yes","No",IF(AND(AC419="Yes",SETTINGS!$B$16="No"),"No","Yes"))</f>
        <v>No</v>
      </c>
      <c r="AG419" s="50" t="str">
        <f>IF(A419&lt;&gt;"Yes","",IF(OR(B419="",D419="",E419&lt;=0,F419="",I419=""),"Check Required Fields",IF(AA419="Possible Duplicate","Possible Duplicate",IF(E419&gt;SETTINGS!$B$22,"Review Extreme Value","OK"))))</f>
        <v/>
      </c>
    </row>
    <row r="420" spans="1:33" ht="14.4">
      <c r="A420" s="9"/>
      <c r="B420" s="13"/>
      <c r="C420" s="9"/>
      <c r="D420" s="9"/>
      <c r="E420" s="11"/>
      <c r="F420" s="9"/>
      <c r="G420" s="9"/>
      <c r="H420" s="44" t="str">
        <f>IF(D420="","",IF(ISNUMBER(SEARCH(SETTINGS!$K$4,D420)),SETTINGS!$L$4,IF(ISNUMBER(SEARCH(SETTINGS!$K$5,D420)),SETTINGS!$L$5,IF(ISNUMBER(SEARCH(SETTINGS!$K$6,D420)),SETTINGS!$L$6,IF(ISNUMBER(SEARCH(SETTINGS!$K$7,D420)),SETTINGS!$L$7,IF(ISNUMBER(SEARCH(SETTINGS!$K$8,D420)),SETTINGS!$L$8,IF(ISNUMBER(SEARCH(SETTINGS!$K$9,D420)),SETTINGS!$L$9,IF(ISNUMBER(SEARCH(SETTINGS!$K$10,D420)),SETTINGS!$L$10,IF(ISNUMBER(SEARCH(SETTINGS!$K$11,D420)),SETTINGS!$L$11,IF(ISNUMBER(SEARCH(SETTINGS!$K$12,D420)),SETTINGS!$L$12,IF(ISNUMBER(SEARCH(SETTINGS!$K$13,D420)),SETTINGS!$L$13,IF(ISNUMBER(SEARCH(SETTINGS!$K$14,D420)),SETTINGS!$L$14,IF(ISNUMBER(SEARCH(SETTINGS!$K$15,D420)),SETTINGS!$L$15,IF(ISNUMBER(SEARCH(SETTINGS!$K$16,D420)),SETTINGS!$L$16,IF(ISNUMBER(SEARCH(SETTINGS!$K$17,D420)),SETTINGS!$L$17,IF(ISNUMBER(SEARCH(SETTINGS!$K$18,D420)),SETTINGS!$L$18,"Miscellaneous"))))))))))))))))</f>
        <v/>
      </c>
      <c r="I420" s="44" t="str">
        <f t="shared" si="48"/>
        <v/>
      </c>
      <c r="J420" s="9"/>
      <c r="K420" s="9"/>
      <c r="L420" s="9"/>
      <c r="M420" s="9"/>
      <c r="N420" s="9"/>
      <c r="O420" s="9"/>
      <c r="P420" s="13"/>
      <c r="Q420" s="9"/>
      <c r="R420" s="9"/>
      <c r="S420" s="9"/>
      <c r="T420" s="11"/>
      <c r="U420" s="44" t="str">
        <f t="shared" si="49"/>
        <v/>
      </c>
      <c r="V420" s="44" t="str">
        <f t="shared" si="50"/>
        <v/>
      </c>
      <c r="W420" s="44" t="str">
        <f t="shared" si="51"/>
        <v/>
      </c>
      <c r="X420" s="44" t="str">
        <f t="shared" si="52"/>
        <v/>
      </c>
      <c r="Y420" s="44" t="str">
        <f t="shared" si="53"/>
        <v/>
      </c>
      <c r="Z420" s="44" t="str">
        <f t="shared" si="54"/>
        <v/>
      </c>
      <c r="AA420" s="50" t="str">
        <f t="shared" si="55"/>
        <v/>
      </c>
      <c r="AB420" s="50" t="str">
        <f>IF(OR(B420="",C420&lt;&gt;"Expense"),"",IF(E420&gt;IFERROR(AVERAGEIFS($E$8:$E$1007,$I$8:$I$1007,I420,$C$8:$C$1007,"Expense")*SETTINGS!$B$20,0),"Unusually High","Normal"))</f>
        <v/>
      </c>
      <c r="AC420" s="51"/>
      <c r="AD420" s="51"/>
      <c r="AE420" s="51"/>
      <c r="AF420" s="50" t="str">
        <f>IF(A420&lt;&gt;"Yes","No",IF(AND(AC420="Yes",SETTINGS!$B$16="No"),"No","Yes"))</f>
        <v>No</v>
      </c>
      <c r="AG420" s="50" t="str">
        <f>IF(A420&lt;&gt;"Yes","",IF(OR(B420="",D420="",E420&lt;=0,F420="",I420=""),"Check Required Fields",IF(AA420="Possible Duplicate","Possible Duplicate",IF(E420&gt;SETTINGS!$B$22,"Review Extreme Value","OK"))))</f>
        <v/>
      </c>
    </row>
    <row r="421" spans="1:33" ht="14.4">
      <c r="A421" s="9"/>
      <c r="B421" s="13"/>
      <c r="C421" s="9"/>
      <c r="D421" s="9"/>
      <c r="E421" s="11"/>
      <c r="F421" s="9"/>
      <c r="G421" s="9"/>
      <c r="H421" s="44" t="str">
        <f>IF(D421="","",IF(ISNUMBER(SEARCH(SETTINGS!$K$4,D421)),SETTINGS!$L$4,IF(ISNUMBER(SEARCH(SETTINGS!$K$5,D421)),SETTINGS!$L$5,IF(ISNUMBER(SEARCH(SETTINGS!$K$6,D421)),SETTINGS!$L$6,IF(ISNUMBER(SEARCH(SETTINGS!$K$7,D421)),SETTINGS!$L$7,IF(ISNUMBER(SEARCH(SETTINGS!$K$8,D421)),SETTINGS!$L$8,IF(ISNUMBER(SEARCH(SETTINGS!$K$9,D421)),SETTINGS!$L$9,IF(ISNUMBER(SEARCH(SETTINGS!$K$10,D421)),SETTINGS!$L$10,IF(ISNUMBER(SEARCH(SETTINGS!$K$11,D421)),SETTINGS!$L$11,IF(ISNUMBER(SEARCH(SETTINGS!$K$12,D421)),SETTINGS!$L$12,IF(ISNUMBER(SEARCH(SETTINGS!$K$13,D421)),SETTINGS!$L$13,IF(ISNUMBER(SEARCH(SETTINGS!$K$14,D421)),SETTINGS!$L$14,IF(ISNUMBER(SEARCH(SETTINGS!$K$15,D421)),SETTINGS!$L$15,IF(ISNUMBER(SEARCH(SETTINGS!$K$16,D421)),SETTINGS!$L$16,IF(ISNUMBER(SEARCH(SETTINGS!$K$17,D421)),SETTINGS!$L$17,IF(ISNUMBER(SEARCH(SETTINGS!$K$18,D421)),SETTINGS!$L$18,"Miscellaneous"))))))))))))))))</f>
        <v/>
      </c>
      <c r="I421" s="44" t="str">
        <f t="shared" si="48"/>
        <v/>
      </c>
      <c r="J421" s="9"/>
      <c r="K421" s="9"/>
      <c r="L421" s="9"/>
      <c r="M421" s="9"/>
      <c r="N421" s="9"/>
      <c r="O421" s="9"/>
      <c r="P421" s="13"/>
      <c r="Q421" s="9"/>
      <c r="R421" s="9"/>
      <c r="S421" s="9"/>
      <c r="T421" s="11"/>
      <c r="U421" s="44" t="str">
        <f t="shared" si="49"/>
        <v/>
      </c>
      <c r="V421" s="44" t="str">
        <f t="shared" si="50"/>
        <v/>
      </c>
      <c r="W421" s="44" t="str">
        <f t="shared" si="51"/>
        <v/>
      </c>
      <c r="X421" s="44" t="str">
        <f t="shared" si="52"/>
        <v/>
      </c>
      <c r="Y421" s="44" t="str">
        <f t="shared" si="53"/>
        <v/>
      </c>
      <c r="Z421" s="44" t="str">
        <f t="shared" si="54"/>
        <v/>
      </c>
      <c r="AA421" s="50" t="str">
        <f t="shared" si="55"/>
        <v/>
      </c>
      <c r="AB421" s="50" t="str">
        <f>IF(OR(B421="",C421&lt;&gt;"Expense"),"",IF(E421&gt;IFERROR(AVERAGEIFS($E$8:$E$1007,$I$8:$I$1007,I421,$C$8:$C$1007,"Expense")*SETTINGS!$B$20,0),"Unusually High","Normal"))</f>
        <v/>
      </c>
      <c r="AC421" s="51"/>
      <c r="AD421" s="51"/>
      <c r="AE421" s="51"/>
      <c r="AF421" s="50" t="str">
        <f>IF(A421&lt;&gt;"Yes","No",IF(AND(AC421="Yes",SETTINGS!$B$16="No"),"No","Yes"))</f>
        <v>No</v>
      </c>
      <c r="AG421" s="50" t="str">
        <f>IF(A421&lt;&gt;"Yes","",IF(OR(B421="",D421="",E421&lt;=0,F421="",I421=""),"Check Required Fields",IF(AA421="Possible Duplicate","Possible Duplicate",IF(E421&gt;SETTINGS!$B$22,"Review Extreme Value","OK"))))</f>
        <v/>
      </c>
    </row>
    <row r="422" spans="1:33" ht="14.4">
      <c r="A422" s="9"/>
      <c r="B422" s="13"/>
      <c r="C422" s="9"/>
      <c r="D422" s="9"/>
      <c r="E422" s="11"/>
      <c r="F422" s="9"/>
      <c r="G422" s="9"/>
      <c r="H422" s="44" t="str">
        <f>IF(D422="","",IF(ISNUMBER(SEARCH(SETTINGS!$K$4,D422)),SETTINGS!$L$4,IF(ISNUMBER(SEARCH(SETTINGS!$K$5,D422)),SETTINGS!$L$5,IF(ISNUMBER(SEARCH(SETTINGS!$K$6,D422)),SETTINGS!$L$6,IF(ISNUMBER(SEARCH(SETTINGS!$K$7,D422)),SETTINGS!$L$7,IF(ISNUMBER(SEARCH(SETTINGS!$K$8,D422)),SETTINGS!$L$8,IF(ISNUMBER(SEARCH(SETTINGS!$K$9,D422)),SETTINGS!$L$9,IF(ISNUMBER(SEARCH(SETTINGS!$K$10,D422)),SETTINGS!$L$10,IF(ISNUMBER(SEARCH(SETTINGS!$K$11,D422)),SETTINGS!$L$11,IF(ISNUMBER(SEARCH(SETTINGS!$K$12,D422)),SETTINGS!$L$12,IF(ISNUMBER(SEARCH(SETTINGS!$K$13,D422)),SETTINGS!$L$13,IF(ISNUMBER(SEARCH(SETTINGS!$K$14,D422)),SETTINGS!$L$14,IF(ISNUMBER(SEARCH(SETTINGS!$K$15,D422)),SETTINGS!$L$15,IF(ISNUMBER(SEARCH(SETTINGS!$K$16,D422)),SETTINGS!$L$16,IF(ISNUMBER(SEARCH(SETTINGS!$K$17,D422)),SETTINGS!$L$17,IF(ISNUMBER(SEARCH(SETTINGS!$K$18,D422)),SETTINGS!$L$18,"Miscellaneous"))))))))))))))))</f>
        <v/>
      </c>
      <c r="I422" s="44" t="str">
        <f t="shared" si="48"/>
        <v/>
      </c>
      <c r="J422" s="9"/>
      <c r="K422" s="9"/>
      <c r="L422" s="9"/>
      <c r="M422" s="9"/>
      <c r="N422" s="9"/>
      <c r="O422" s="9"/>
      <c r="P422" s="13"/>
      <c r="Q422" s="9"/>
      <c r="R422" s="9"/>
      <c r="S422" s="9"/>
      <c r="T422" s="11"/>
      <c r="U422" s="44" t="str">
        <f t="shared" si="49"/>
        <v/>
      </c>
      <c r="V422" s="44" t="str">
        <f t="shared" si="50"/>
        <v/>
      </c>
      <c r="W422" s="44" t="str">
        <f t="shared" si="51"/>
        <v/>
      </c>
      <c r="X422" s="44" t="str">
        <f t="shared" si="52"/>
        <v/>
      </c>
      <c r="Y422" s="44" t="str">
        <f t="shared" si="53"/>
        <v/>
      </c>
      <c r="Z422" s="44" t="str">
        <f t="shared" si="54"/>
        <v/>
      </c>
      <c r="AA422" s="50" t="str">
        <f t="shared" si="55"/>
        <v/>
      </c>
      <c r="AB422" s="50" t="str">
        <f>IF(OR(B422="",C422&lt;&gt;"Expense"),"",IF(E422&gt;IFERROR(AVERAGEIFS($E$8:$E$1007,$I$8:$I$1007,I422,$C$8:$C$1007,"Expense")*SETTINGS!$B$20,0),"Unusually High","Normal"))</f>
        <v/>
      </c>
      <c r="AC422" s="51"/>
      <c r="AD422" s="51"/>
      <c r="AE422" s="51"/>
      <c r="AF422" s="50" t="str">
        <f>IF(A422&lt;&gt;"Yes","No",IF(AND(AC422="Yes",SETTINGS!$B$16="No"),"No","Yes"))</f>
        <v>No</v>
      </c>
      <c r="AG422" s="50" t="str">
        <f>IF(A422&lt;&gt;"Yes","",IF(OR(B422="",D422="",E422&lt;=0,F422="",I422=""),"Check Required Fields",IF(AA422="Possible Duplicate","Possible Duplicate",IF(E422&gt;SETTINGS!$B$22,"Review Extreme Value","OK"))))</f>
        <v/>
      </c>
    </row>
    <row r="423" spans="1:33" ht="14.4">
      <c r="A423" s="9"/>
      <c r="B423" s="13"/>
      <c r="C423" s="9"/>
      <c r="D423" s="9"/>
      <c r="E423" s="11"/>
      <c r="F423" s="9"/>
      <c r="G423" s="9"/>
      <c r="H423" s="44" t="str">
        <f>IF(D423="","",IF(ISNUMBER(SEARCH(SETTINGS!$K$4,D423)),SETTINGS!$L$4,IF(ISNUMBER(SEARCH(SETTINGS!$K$5,D423)),SETTINGS!$L$5,IF(ISNUMBER(SEARCH(SETTINGS!$K$6,D423)),SETTINGS!$L$6,IF(ISNUMBER(SEARCH(SETTINGS!$K$7,D423)),SETTINGS!$L$7,IF(ISNUMBER(SEARCH(SETTINGS!$K$8,D423)),SETTINGS!$L$8,IF(ISNUMBER(SEARCH(SETTINGS!$K$9,D423)),SETTINGS!$L$9,IF(ISNUMBER(SEARCH(SETTINGS!$K$10,D423)),SETTINGS!$L$10,IF(ISNUMBER(SEARCH(SETTINGS!$K$11,D423)),SETTINGS!$L$11,IF(ISNUMBER(SEARCH(SETTINGS!$K$12,D423)),SETTINGS!$L$12,IF(ISNUMBER(SEARCH(SETTINGS!$K$13,D423)),SETTINGS!$L$13,IF(ISNUMBER(SEARCH(SETTINGS!$K$14,D423)),SETTINGS!$L$14,IF(ISNUMBER(SEARCH(SETTINGS!$K$15,D423)),SETTINGS!$L$15,IF(ISNUMBER(SEARCH(SETTINGS!$K$16,D423)),SETTINGS!$L$16,IF(ISNUMBER(SEARCH(SETTINGS!$K$17,D423)),SETTINGS!$L$17,IF(ISNUMBER(SEARCH(SETTINGS!$K$18,D423)),SETTINGS!$L$18,"Miscellaneous"))))))))))))))))</f>
        <v/>
      </c>
      <c r="I423" s="44" t="str">
        <f t="shared" si="48"/>
        <v/>
      </c>
      <c r="J423" s="9"/>
      <c r="K423" s="9"/>
      <c r="L423" s="9"/>
      <c r="M423" s="9"/>
      <c r="N423" s="9"/>
      <c r="O423" s="9"/>
      <c r="P423" s="13"/>
      <c r="Q423" s="9"/>
      <c r="R423" s="9"/>
      <c r="S423" s="9"/>
      <c r="T423" s="11"/>
      <c r="U423" s="44" t="str">
        <f t="shared" si="49"/>
        <v/>
      </c>
      <c r="V423" s="44" t="str">
        <f t="shared" si="50"/>
        <v/>
      </c>
      <c r="W423" s="44" t="str">
        <f t="shared" si="51"/>
        <v/>
      </c>
      <c r="X423" s="44" t="str">
        <f t="shared" si="52"/>
        <v/>
      </c>
      <c r="Y423" s="44" t="str">
        <f t="shared" si="53"/>
        <v/>
      </c>
      <c r="Z423" s="44" t="str">
        <f t="shared" si="54"/>
        <v/>
      </c>
      <c r="AA423" s="50" t="str">
        <f t="shared" si="55"/>
        <v/>
      </c>
      <c r="AB423" s="50" t="str">
        <f>IF(OR(B423="",C423&lt;&gt;"Expense"),"",IF(E423&gt;IFERROR(AVERAGEIFS($E$8:$E$1007,$I$8:$I$1007,I423,$C$8:$C$1007,"Expense")*SETTINGS!$B$20,0),"Unusually High","Normal"))</f>
        <v/>
      </c>
      <c r="AC423" s="51"/>
      <c r="AD423" s="51"/>
      <c r="AE423" s="51"/>
      <c r="AF423" s="50" t="str">
        <f>IF(A423&lt;&gt;"Yes","No",IF(AND(AC423="Yes",SETTINGS!$B$16="No"),"No","Yes"))</f>
        <v>No</v>
      </c>
      <c r="AG423" s="50" t="str">
        <f>IF(A423&lt;&gt;"Yes","",IF(OR(B423="",D423="",E423&lt;=0,F423="",I423=""),"Check Required Fields",IF(AA423="Possible Duplicate","Possible Duplicate",IF(E423&gt;SETTINGS!$B$22,"Review Extreme Value","OK"))))</f>
        <v/>
      </c>
    </row>
    <row r="424" spans="1:33" ht="14.4">
      <c r="A424" s="9"/>
      <c r="B424" s="13"/>
      <c r="C424" s="9"/>
      <c r="D424" s="9"/>
      <c r="E424" s="11"/>
      <c r="F424" s="9"/>
      <c r="G424" s="9"/>
      <c r="H424" s="44" t="str">
        <f>IF(D424="","",IF(ISNUMBER(SEARCH(SETTINGS!$K$4,D424)),SETTINGS!$L$4,IF(ISNUMBER(SEARCH(SETTINGS!$K$5,D424)),SETTINGS!$L$5,IF(ISNUMBER(SEARCH(SETTINGS!$K$6,D424)),SETTINGS!$L$6,IF(ISNUMBER(SEARCH(SETTINGS!$K$7,D424)),SETTINGS!$L$7,IF(ISNUMBER(SEARCH(SETTINGS!$K$8,D424)),SETTINGS!$L$8,IF(ISNUMBER(SEARCH(SETTINGS!$K$9,D424)),SETTINGS!$L$9,IF(ISNUMBER(SEARCH(SETTINGS!$K$10,D424)),SETTINGS!$L$10,IF(ISNUMBER(SEARCH(SETTINGS!$K$11,D424)),SETTINGS!$L$11,IF(ISNUMBER(SEARCH(SETTINGS!$K$12,D424)),SETTINGS!$L$12,IF(ISNUMBER(SEARCH(SETTINGS!$K$13,D424)),SETTINGS!$L$13,IF(ISNUMBER(SEARCH(SETTINGS!$K$14,D424)),SETTINGS!$L$14,IF(ISNUMBER(SEARCH(SETTINGS!$K$15,D424)),SETTINGS!$L$15,IF(ISNUMBER(SEARCH(SETTINGS!$K$16,D424)),SETTINGS!$L$16,IF(ISNUMBER(SEARCH(SETTINGS!$K$17,D424)),SETTINGS!$L$17,IF(ISNUMBER(SEARCH(SETTINGS!$K$18,D424)),SETTINGS!$L$18,"Miscellaneous"))))))))))))))))</f>
        <v/>
      </c>
      <c r="I424" s="44" t="str">
        <f t="shared" si="48"/>
        <v/>
      </c>
      <c r="J424" s="9"/>
      <c r="K424" s="9"/>
      <c r="L424" s="9"/>
      <c r="M424" s="9"/>
      <c r="N424" s="9"/>
      <c r="O424" s="9"/>
      <c r="P424" s="13"/>
      <c r="Q424" s="9"/>
      <c r="R424" s="9"/>
      <c r="S424" s="9"/>
      <c r="T424" s="11"/>
      <c r="U424" s="44" t="str">
        <f t="shared" si="49"/>
        <v/>
      </c>
      <c r="V424" s="44" t="str">
        <f t="shared" si="50"/>
        <v/>
      </c>
      <c r="W424" s="44" t="str">
        <f t="shared" si="51"/>
        <v/>
      </c>
      <c r="X424" s="44" t="str">
        <f t="shared" si="52"/>
        <v/>
      </c>
      <c r="Y424" s="44" t="str">
        <f t="shared" si="53"/>
        <v/>
      </c>
      <c r="Z424" s="44" t="str">
        <f t="shared" si="54"/>
        <v/>
      </c>
      <c r="AA424" s="50" t="str">
        <f t="shared" si="55"/>
        <v/>
      </c>
      <c r="AB424" s="50" t="str">
        <f>IF(OR(B424="",C424&lt;&gt;"Expense"),"",IF(E424&gt;IFERROR(AVERAGEIFS($E$8:$E$1007,$I$8:$I$1007,I424,$C$8:$C$1007,"Expense")*SETTINGS!$B$20,0),"Unusually High","Normal"))</f>
        <v/>
      </c>
      <c r="AC424" s="51"/>
      <c r="AD424" s="51"/>
      <c r="AE424" s="51"/>
      <c r="AF424" s="50" t="str">
        <f>IF(A424&lt;&gt;"Yes","No",IF(AND(AC424="Yes",SETTINGS!$B$16="No"),"No","Yes"))</f>
        <v>No</v>
      </c>
      <c r="AG424" s="50" t="str">
        <f>IF(A424&lt;&gt;"Yes","",IF(OR(B424="",D424="",E424&lt;=0,F424="",I424=""),"Check Required Fields",IF(AA424="Possible Duplicate","Possible Duplicate",IF(E424&gt;SETTINGS!$B$22,"Review Extreme Value","OK"))))</f>
        <v/>
      </c>
    </row>
    <row r="425" spans="1:33" ht="14.4">
      <c r="A425" s="9"/>
      <c r="B425" s="13"/>
      <c r="C425" s="9"/>
      <c r="D425" s="9"/>
      <c r="E425" s="11"/>
      <c r="F425" s="9"/>
      <c r="G425" s="9"/>
      <c r="H425" s="44" t="str">
        <f>IF(D425="","",IF(ISNUMBER(SEARCH(SETTINGS!$K$4,D425)),SETTINGS!$L$4,IF(ISNUMBER(SEARCH(SETTINGS!$K$5,D425)),SETTINGS!$L$5,IF(ISNUMBER(SEARCH(SETTINGS!$K$6,D425)),SETTINGS!$L$6,IF(ISNUMBER(SEARCH(SETTINGS!$K$7,D425)),SETTINGS!$L$7,IF(ISNUMBER(SEARCH(SETTINGS!$K$8,D425)),SETTINGS!$L$8,IF(ISNUMBER(SEARCH(SETTINGS!$K$9,D425)),SETTINGS!$L$9,IF(ISNUMBER(SEARCH(SETTINGS!$K$10,D425)),SETTINGS!$L$10,IF(ISNUMBER(SEARCH(SETTINGS!$K$11,D425)),SETTINGS!$L$11,IF(ISNUMBER(SEARCH(SETTINGS!$K$12,D425)),SETTINGS!$L$12,IF(ISNUMBER(SEARCH(SETTINGS!$K$13,D425)),SETTINGS!$L$13,IF(ISNUMBER(SEARCH(SETTINGS!$K$14,D425)),SETTINGS!$L$14,IF(ISNUMBER(SEARCH(SETTINGS!$K$15,D425)),SETTINGS!$L$15,IF(ISNUMBER(SEARCH(SETTINGS!$K$16,D425)),SETTINGS!$L$16,IF(ISNUMBER(SEARCH(SETTINGS!$K$17,D425)),SETTINGS!$L$17,IF(ISNUMBER(SEARCH(SETTINGS!$K$18,D425)),SETTINGS!$L$18,"Miscellaneous"))))))))))))))))</f>
        <v/>
      </c>
      <c r="I425" s="44" t="str">
        <f t="shared" si="48"/>
        <v/>
      </c>
      <c r="J425" s="9"/>
      <c r="K425" s="9"/>
      <c r="L425" s="9"/>
      <c r="M425" s="9"/>
      <c r="N425" s="9"/>
      <c r="O425" s="9"/>
      <c r="P425" s="13"/>
      <c r="Q425" s="9"/>
      <c r="R425" s="9"/>
      <c r="S425" s="9"/>
      <c r="T425" s="11"/>
      <c r="U425" s="44" t="str">
        <f t="shared" si="49"/>
        <v/>
      </c>
      <c r="V425" s="44" t="str">
        <f t="shared" si="50"/>
        <v/>
      </c>
      <c r="W425" s="44" t="str">
        <f t="shared" si="51"/>
        <v/>
      </c>
      <c r="X425" s="44" t="str">
        <f t="shared" si="52"/>
        <v/>
      </c>
      <c r="Y425" s="44" t="str">
        <f t="shared" si="53"/>
        <v/>
      </c>
      <c r="Z425" s="44" t="str">
        <f t="shared" si="54"/>
        <v/>
      </c>
      <c r="AA425" s="50" t="str">
        <f t="shared" si="55"/>
        <v/>
      </c>
      <c r="AB425" s="50" t="str">
        <f>IF(OR(B425="",C425&lt;&gt;"Expense"),"",IF(E425&gt;IFERROR(AVERAGEIFS($E$8:$E$1007,$I$8:$I$1007,I425,$C$8:$C$1007,"Expense")*SETTINGS!$B$20,0),"Unusually High","Normal"))</f>
        <v/>
      </c>
      <c r="AC425" s="51"/>
      <c r="AD425" s="51"/>
      <c r="AE425" s="51"/>
      <c r="AF425" s="50" t="str">
        <f>IF(A425&lt;&gt;"Yes","No",IF(AND(AC425="Yes",SETTINGS!$B$16="No"),"No","Yes"))</f>
        <v>No</v>
      </c>
      <c r="AG425" s="50" t="str">
        <f>IF(A425&lt;&gt;"Yes","",IF(OR(B425="",D425="",E425&lt;=0,F425="",I425=""),"Check Required Fields",IF(AA425="Possible Duplicate","Possible Duplicate",IF(E425&gt;SETTINGS!$B$22,"Review Extreme Value","OK"))))</f>
        <v/>
      </c>
    </row>
    <row r="426" spans="1:33" ht="14.4">
      <c r="A426" s="9"/>
      <c r="B426" s="13"/>
      <c r="C426" s="9"/>
      <c r="D426" s="9"/>
      <c r="E426" s="11"/>
      <c r="F426" s="9"/>
      <c r="G426" s="9"/>
      <c r="H426" s="44" t="str">
        <f>IF(D426="","",IF(ISNUMBER(SEARCH(SETTINGS!$K$4,D426)),SETTINGS!$L$4,IF(ISNUMBER(SEARCH(SETTINGS!$K$5,D426)),SETTINGS!$L$5,IF(ISNUMBER(SEARCH(SETTINGS!$K$6,D426)),SETTINGS!$L$6,IF(ISNUMBER(SEARCH(SETTINGS!$K$7,D426)),SETTINGS!$L$7,IF(ISNUMBER(SEARCH(SETTINGS!$K$8,D426)),SETTINGS!$L$8,IF(ISNUMBER(SEARCH(SETTINGS!$K$9,D426)),SETTINGS!$L$9,IF(ISNUMBER(SEARCH(SETTINGS!$K$10,D426)),SETTINGS!$L$10,IF(ISNUMBER(SEARCH(SETTINGS!$K$11,D426)),SETTINGS!$L$11,IF(ISNUMBER(SEARCH(SETTINGS!$K$12,D426)),SETTINGS!$L$12,IF(ISNUMBER(SEARCH(SETTINGS!$K$13,D426)),SETTINGS!$L$13,IF(ISNUMBER(SEARCH(SETTINGS!$K$14,D426)),SETTINGS!$L$14,IF(ISNUMBER(SEARCH(SETTINGS!$K$15,D426)),SETTINGS!$L$15,IF(ISNUMBER(SEARCH(SETTINGS!$K$16,D426)),SETTINGS!$L$16,IF(ISNUMBER(SEARCH(SETTINGS!$K$17,D426)),SETTINGS!$L$17,IF(ISNUMBER(SEARCH(SETTINGS!$K$18,D426)),SETTINGS!$L$18,"Miscellaneous"))))))))))))))))</f>
        <v/>
      </c>
      <c r="I426" s="44" t="str">
        <f t="shared" si="48"/>
        <v/>
      </c>
      <c r="J426" s="9"/>
      <c r="K426" s="9"/>
      <c r="L426" s="9"/>
      <c r="M426" s="9"/>
      <c r="N426" s="9"/>
      <c r="O426" s="9"/>
      <c r="P426" s="13"/>
      <c r="Q426" s="9"/>
      <c r="R426" s="9"/>
      <c r="S426" s="9"/>
      <c r="T426" s="11"/>
      <c r="U426" s="44" t="str">
        <f t="shared" si="49"/>
        <v/>
      </c>
      <c r="V426" s="44" t="str">
        <f t="shared" si="50"/>
        <v/>
      </c>
      <c r="W426" s="44" t="str">
        <f t="shared" si="51"/>
        <v/>
      </c>
      <c r="X426" s="44" t="str">
        <f t="shared" si="52"/>
        <v/>
      </c>
      <c r="Y426" s="44" t="str">
        <f t="shared" si="53"/>
        <v/>
      </c>
      <c r="Z426" s="44" t="str">
        <f t="shared" si="54"/>
        <v/>
      </c>
      <c r="AA426" s="50" t="str">
        <f t="shared" si="55"/>
        <v/>
      </c>
      <c r="AB426" s="50" t="str">
        <f>IF(OR(B426="",C426&lt;&gt;"Expense"),"",IF(E426&gt;IFERROR(AVERAGEIFS($E$8:$E$1007,$I$8:$I$1007,I426,$C$8:$C$1007,"Expense")*SETTINGS!$B$20,0),"Unusually High","Normal"))</f>
        <v/>
      </c>
      <c r="AC426" s="51"/>
      <c r="AD426" s="51"/>
      <c r="AE426" s="51"/>
      <c r="AF426" s="50" t="str">
        <f>IF(A426&lt;&gt;"Yes","No",IF(AND(AC426="Yes",SETTINGS!$B$16="No"),"No","Yes"))</f>
        <v>No</v>
      </c>
      <c r="AG426" s="50" t="str">
        <f>IF(A426&lt;&gt;"Yes","",IF(OR(B426="",D426="",E426&lt;=0,F426="",I426=""),"Check Required Fields",IF(AA426="Possible Duplicate","Possible Duplicate",IF(E426&gt;SETTINGS!$B$22,"Review Extreme Value","OK"))))</f>
        <v/>
      </c>
    </row>
    <row r="427" spans="1:33" ht="14.4">
      <c r="A427" s="9"/>
      <c r="B427" s="13"/>
      <c r="C427" s="9"/>
      <c r="D427" s="9"/>
      <c r="E427" s="11"/>
      <c r="F427" s="9"/>
      <c r="G427" s="9"/>
      <c r="H427" s="44" t="str">
        <f>IF(D427="","",IF(ISNUMBER(SEARCH(SETTINGS!$K$4,D427)),SETTINGS!$L$4,IF(ISNUMBER(SEARCH(SETTINGS!$K$5,D427)),SETTINGS!$L$5,IF(ISNUMBER(SEARCH(SETTINGS!$K$6,D427)),SETTINGS!$L$6,IF(ISNUMBER(SEARCH(SETTINGS!$K$7,D427)),SETTINGS!$L$7,IF(ISNUMBER(SEARCH(SETTINGS!$K$8,D427)),SETTINGS!$L$8,IF(ISNUMBER(SEARCH(SETTINGS!$K$9,D427)),SETTINGS!$L$9,IF(ISNUMBER(SEARCH(SETTINGS!$K$10,D427)),SETTINGS!$L$10,IF(ISNUMBER(SEARCH(SETTINGS!$K$11,D427)),SETTINGS!$L$11,IF(ISNUMBER(SEARCH(SETTINGS!$K$12,D427)),SETTINGS!$L$12,IF(ISNUMBER(SEARCH(SETTINGS!$K$13,D427)),SETTINGS!$L$13,IF(ISNUMBER(SEARCH(SETTINGS!$K$14,D427)),SETTINGS!$L$14,IF(ISNUMBER(SEARCH(SETTINGS!$K$15,D427)),SETTINGS!$L$15,IF(ISNUMBER(SEARCH(SETTINGS!$K$16,D427)),SETTINGS!$L$16,IF(ISNUMBER(SEARCH(SETTINGS!$K$17,D427)),SETTINGS!$L$17,IF(ISNUMBER(SEARCH(SETTINGS!$K$18,D427)),SETTINGS!$L$18,"Miscellaneous"))))))))))))))))</f>
        <v/>
      </c>
      <c r="I427" s="44" t="str">
        <f t="shared" si="48"/>
        <v/>
      </c>
      <c r="J427" s="9"/>
      <c r="K427" s="9"/>
      <c r="L427" s="9"/>
      <c r="M427" s="9"/>
      <c r="N427" s="9"/>
      <c r="O427" s="9"/>
      <c r="P427" s="13"/>
      <c r="Q427" s="9"/>
      <c r="R427" s="9"/>
      <c r="S427" s="9"/>
      <c r="T427" s="11"/>
      <c r="U427" s="44" t="str">
        <f t="shared" si="49"/>
        <v/>
      </c>
      <c r="V427" s="44" t="str">
        <f t="shared" si="50"/>
        <v/>
      </c>
      <c r="W427" s="44" t="str">
        <f t="shared" si="51"/>
        <v/>
      </c>
      <c r="X427" s="44" t="str">
        <f t="shared" si="52"/>
        <v/>
      </c>
      <c r="Y427" s="44" t="str">
        <f t="shared" si="53"/>
        <v/>
      </c>
      <c r="Z427" s="44" t="str">
        <f t="shared" si="54"/>
        <v/>
      </c>
      <c r="AA427" s="50" t="str">
        <f t="shared" si="55"/>
        <v/>
      </c>
      <c r="AB427" s="50" t="str">
        <f>IF(OR(B427="",C427&lt;&gt;"Expense"),"",IF(E427&gt;IFERROR(AVERAGEIFS($E$8:$E$1007,$I$8:$I$1007,I427,$C$8:$C$1007,"Expense")*SETTINGS!$B$20,0),"Unusually High","Normal"))</f>
        <v/>
      </c>
      <c r="AC427" s="51"/>
      <c r="AD427" s="51"/>
      <c r="AE427" s="51"/>
      <c r="AF427" s="50" t="str">
        <f>IF(A427&lt;&gt;"Yes","No",IF(AND(AC427="Yes",SETTINGS!$B$16="No"),"No","Yes"))</f>
        <v>No</v>
      </c>
      <c r="AG427" s="50" t="str">
        <f>IF(A427&lt;&gt;"Yes","",IF(OR(B427="",D427="",E427&lt;=0,F427="",I427=""),"Check Required Fields",IF(AA427="Possible Duplicate","Possible Duplicate",IF(E427&gt;SETTINGS!$B$22,"Review Extreme Value","OK"))))</f>
        <v/>
      </c>
    </row>
    <row r="428" spans="1:33" ht="14.4">
      <c r="A428" s="9"/>
      <c r="B428" s="13"/>
      <c r="C428" s="9"/>
      <c r="D428" s="9"/>
      <c r="E428" s="11"/>
      <c r="F428" s="9"/>
      <c r="G428" s="9"/>
      <c r="H428" s="44" t="str">
        <f>IF(D428="","",IF(ISNUMBER(SEARCH(SETTINGS!$K$4,D428)),SETTINGS!$L$4,IF(ISNUMBER(SEARCH(SETTINGS!$K$5,D428)),SETTINGS!$L$5,IF(ISNUMBER(SEARCH(SETTINGS!$K$6,D428)),SETTINGS!$L$6,IF(ISNUMBER(SEARCH(SETTINGS!$K$7,D428)),SETTINGS!$L$7,IF(ISNUMBER(SEARCH(SETTINGS!$K$8,D428)),SETTINGS!$L$8,IF(ISNUMBER(SEARCH(SETTINGS!$K$9,D428)),SETTINGS!$L$9,IF(ISNUMBER(SEARCH(SETTINGS!$K$10,D428)),SETTINGS!$L$10,IF(ISNUMBER(SEARCH(SETTINGS!$K$11,D428)),SETTINGS!$L$11,IF(ISNUMBER(SEARCH(SETTINGS!$K$12,D428)),SETTINGS!$L$12,IF(ISNUMBER(SEARCH(SETTINGS!$K$13,D428)),SETTINGS!$L$13,IF(ISNUMBER(SEARCH(SETTINGS!$K$14,D428)),SETTINGS!$L$14,IF(ISNUMBER(SEARCH(SETTINGS!$K$15,D428)),SETTINGS!$L$15,IF(ISNUMBER(SEARCH(SETTINGS!$K$16,D428)),SETTINGS!$L$16,IF(ISNUMBER(SEARCH(SETTINGS!$K$17,D428)),SETTINGS!$L$17,IF(ISNUMBER(SEARCH(SETTINGS!$K$18,D428)),SETTINGS!$L$18,"Miscellaneous"))))))))))))))))</f>
        <v/>
      </c>
      <c r="I428" s="44" t="str">
        <f t="shared" si="48"/>
        <v/>
      </c>
      <c r="J428" s="9"/>
      <c r="K428" s="9"/>
      <c r="L428" s="9"/>
      <c r="M428" s="9"/>
      <c r="N428" s="9"/>
      <c r="O428" s="9"/>
      <c r="P428" s="13"/>
      <c r="Q428" s="9"/>
      <c r="R428" s="9"/>
      <c r="S428" s="9"/>
      <c r="T428" s="11"/>
      <c r="U428" s="44" t="str">
        <f t="shared" si="49"/>
        <v/>
      </c>
      <c r="V428" s="44" t="str">
        <f t="shared" si="50"/>
        <v/>
      </c>
      <c r="W428" s="44" t="str">
        <f t="shared" si="51"/>
        <v/>
      </c>
      <c r="X428" s="44" t="str">
        <f t="shared" si="52"/>
        <v/>
      </c>
      <c r="Y428" s="44" t="str">
        <f t="shared" si="53"/>
        <v/>
      </c>
      <c r="Z428" s="44" t="str">
        <f t="shared" si="54"/>
        <v/>
      </c>
      <c r="AA428" s="50" t="str">
        <f t="shared" si="55"/>
        <v/>
      </c>
      <c r="AB428" s="50" t="str">
        <f>IF(OR(B428="",C428&lt;&gt;"Expense"),"",IF(E428&gt;IFERROR(AVERAGEIFS($E$8:$E$1007,$I$8:$I$1007,I428,$C$8:$C$1007,"Expense")*SETTINGS!$B$20,0),"Unusually High","Normal"))</f>
        <v/>
      </c>
      <c r="AC428" s="51"/>
      <c r="AD428" s="51"/>
      <c r="AE428" s="51"/>
      <c r="AF428" s="50" t="str">
        <f>IF(A428&lt;&gt;"Yes","No",IF(AND(AC428="Yes",SETTINGS!$B$16="No"),"No","Yes"))</f>
        <v>No</v>
      </c>
      <c r="AG428" s="50" t="str">
        <f>IF(A428&lt;&gt;"Yes","",IF(OR(B428="",D428="",E428&lt;=0,F428="",I428=""),"Check Required Fields",IF(AA428="Possible Duplicate","Possible Duplicate",IF(E428&gt;SETTINGS!$B$22,"Review Extreme Value","OK"))))</f>
        <v/>
      </c>
    </row>
    <row r="429" spans="1:33" ht="14.4">
      <c r="A429" s="9"/>
      <c r="B429" s="13"/>
      <c r="C429" s="9"/>
      <c r="D429" s="9"/>
      <c r="E429" s="11"/>
      <c r="F429" s="9"/>
      <c r="G429" s="9"/>
      <c r="H429" s="44" t="str">
        <f>IF(D429="","",IF(ISNUMBER(SEARCH(SETTINGS!$K$4,D429)),SETTINGS!$L$4,IF(ISNUMBER(SEARCH(SETTINGS!$K$5,D429)),SETTINGS!$L$5,IF(ISNUMBER(SEARCH(SETTINGS!$K$6,D429)),SETTINGS!$L$6,IF(ISNUMBER(SEARCH(SETTINGS!$K$7,D429)),SETTINGS!$L$7,IF(ISNUMBER(SEARCH(SETTINGS!$K$8,D429)),SETTINGS!$L$8,IF(ISNUMBER(SEARCH(SETTINGS!$K$9,D429)),SETTINGS!$L$9,IF(ISNUMBER(SEARCH(SETTINGS!$K$10,D429)),SETTINGS!$L$10,IF(ISNUMBER(SEARCH(SETTINGS!$K$11,D429)),SETTINGS!$L$11,IF(ISNUMBER(SEARCH(SETTINGS!$K$12,D429)),SETTINGS!$L$12,IF(ISNUMBER(SEARCH(SETTINGS!$K$13,D429)),SETTINGS!$L$13,IF(ISNUMBER(SEARCH(SETTINGS!$K$14,D429)),SETTINGS!$L$14,IF(ISNUMBER(SEARCH(SETTINGS!$K$15,D429)),SETTINGS!$L$15,IF(ISNUMBER(SEARCH(SETTINGS!$K$16,D429)),SETTINGS!$L$16,IF(ISNUMBER(SEARCH(SETTINGS!$K$17,D429)),SETTINGS!$L$17,IF(ISNUMBER(SEARCH(SETTINGS!$K$18,D429)),SETTINGS!$L$18,"Miscellaneous"))))))))))))))))</f>
        <v/>
      </c>
      <c r="I429" s="44" t="str">
        <f t="shared" si="48"/>
        <v/>
      </c>
      <c r="J429" s="9"/>
      <c r="K429" s="9"/>
      <c r="L429" s="9"/>
      <c r="M429" s="9"/>
      <c r="N429" s="9"/>
      <c r="O429" s="9"/>
      <c r="P429" s="13"/>
      <c r="Q429" s="9"/>
      <c r="R429" s="9"/>
      <c r="S429" s="9"/>
      <c r="T429" s="11"/>
      <c r="U429" s="44" t="str">
        <f t="shared" si="49"/>
        <v/>
      </c>
      <c r="V429" s="44" t="str">
        <f t="shared" si="50"/>
        <v/>
      </c>
      <c r="W429" s="44" t="str">
        <f t="shared" si="51"/>
        <v/>
      </c>
      <c r="X429" s="44" t="str">
        <f t="shared" si="52"/>
        <v/>
      </c>
      <c r="Y429" s="44" t="str">
        <f t="shared" si="53"/>
        <v/>
      </c>
      <c r="Z429" s="44" t="str">
        <f t="shared" si="54"/>
        <v/>
      </c>
      <c r="AA429" s="50" t="str">
        <f t="shared" si="55"/>
        <v/>
      </c>
      <c r="AB429" s="50" t="str">
        <f>IF(OR(B429="",C429&lt;&gt;"Expense"),"",IF(E429&gt;IFERROR(AVERAGEIFS($E$8:$E$1007,$I$8:$I$1007,I429,$C$8:$C$1007,"Expense")*SETTINGS!$B$20,0),"Unusually High","Normal"))</f>
        <v/>
      </c>
      <c r="AC429" s="51"/>
      <c r="AD429" s="51"/>
      <c r="AE429" s="51"/>
      <c r="AF429" s="50" t="str">
        <f>IF(A429&lt;&gt;"Yes","No",IF(AND(AC429="Yes",SETTINGS!$B$16="No"),"No","Yes"))</f>
        <v>No</v>
      </c>
      <c r="AG429" s="50" t="str">
        <f>IF(A429&lt;&gt;"Yes","",IF(OR(B429="",D429="",E429&lt;=0,F429="",I429=""),"Check Required Fields",IF(AA429="Possible Duplicate","Possible Duplicate",IF(E429&gt;SETTINGS!$B$22,"Review Extreme Value","OK"))))</f>
        <v/>
      </c>
    </row>
    <row r="430" spans="1:33" ht="14.4">
      <c r="A430" s="9"/>
      <c r="B430" s="13"/>
      <c r="C430" s="9"/>
      <c r="D430" s="9"/>
      <c r="E430" s="11"/>
      <c r="F430" s="9"/>
      <c r="G430" s="9"/>
      <c r="H430" s="44" t="str">
        <f>IF(D430="","",IF(ISNUMBER(SEARCH(SETTINGS!$K$4,D430)),SETTINGS!$L$4,IF(ISNUMBER(SEARCH(SETTINGS!$K$5,D430)),SETTINGS!$L$5,IF(ISNUMBER(SEARCH(SETTINGS!$K$6,D430)),SETTINGS!$L$6,IF(ISNUMBER(SEARCH(SETTINGS!$K$7,D430)),SETTINGS!$L$7,IF(ISNUMBER(SEARCH(SETTINGS!$K$8,D430)),SETTINGS!$L$8,IF(ISNUMBER(SEARCH(SETTINGS!$K$9,D430)),SETTINGS!$L$9,IF(ISNUMBER(SEARCH(SETTINGS!$K$10,D430)),SETTINGS!$L$10,IF(ISNUMBER(SEARCH(SETTINGS!$K$11,D430)),SETTINGS!$L$11,IF(ISNUMBER(SEARCH(SETTINGS!$K$12,D430)),SETTINGS!$L$12,IF(ISNUMBER(SEARCH(SETTINGS!$K$13,D430)),SETTINGS!$L$13,IF(ISNUMBER(SEARCH(SETTINGS!$K$14,D430)),SETTINGS!$L$14,IF(ISNUMBER(SEARCH(SETTINGS!$K$15,D430)),SETTINGS!$L$15,IF(ISNUMBER(SEARCH(SETTINGS!$K$16,D430)),SETTINGS!$L$16,IF(ISNUMBER(SEARCH(SETTINGS!$K$17,D430)),SETTINGS!$L$17,IF(ISNUMBER(SEARCH(SETTINGS!$K$18,D430)),SETTINGS!$L$18,"Miscellaneous"))))))))))))))))</f>
        <v/>
      </c>
      <c r="I430" s="44" t="str">
        <f t="shared" si="48"/>
        <v/>
      </c>
      <c r="J430" s="9"/>
      <c r="K430" s="9"/>
      <c r="L430" s="9"/>
      <c r="M430" s="9"/>
      <c r="N430" s="9"/>
      <c r="O430" s="9"/>
      <c r="P430" s="13"/>
      <c r="Q430" s="9"/>
      <c r="R430" s="9"/>
      <c r="S430" s="9"/>
      <c r="T430" s="11"/>
      <c r="U430" s="44" t="str">
        <f t="shared" si="49"/>
        <v/>
      </c>
      <c r="V430" s="44" t="str">
        <f t="shared" si="50"/>
        <v/>
      </c>
      <c r="W430" s="44" t="str">
        <f t="shared" si="51"/>
        <v/>
      </c>
      <c r="X430" s="44" t="str">
        <f t="shared" si="52"/>
        <v/>
      </c>
      <c r="Y430" s="44" t="str">
        <f t="shared" si="53"/>
        <v/>
      </c>
      <c r="Z430" s="44" t="str">
        <f t="shared" si="54"/>
        <v/>
      </c>
      <c r="AA430" s="50" t="str">
        <f t="shared" si="55"/>
        <v/>
      </c>
      <c r="AB430" s="50" t="str">
        <f>IF(OR(B430="",C430&lt;&gt;"Expense"),"",IF(E430&gt;IFERROR(AVERAGEIFS($E$8:$E$1007,$I$8:$I$1007,I430,$C$8:$C$1007,"Expense")*SETTINGS!$B$20,0),"Unusually High","Normal"))</f>
        <v/>
      </c>
      <c r="AC430" s="51"/>
      <c r="AD430" s="51"/>
      <c r="AE430" s="51"/>
      <c r="AF430" s="50" t="str">
        <f>IF(A430&lt;&gt;"Yes","No",IF(AND(AC430="Yes",SETTINGS!$B$16="No"),"No","Yes"))</f>
        <v>No</v>
      </c>
      <c r="AG430" s="50" t="str">
        <f>IF(A430&lt;&gt;"Yes","",IF(OR(B430="",D430="",E430&lt;=0,F430="",I430=""),"Check Required Fields",IF(AA430="Possible Duplicate","Possible Duplicate",IF(E430&gt;SETTINGS!$B$22,"Review Extreme Value","OK"))))</f>
        <v/>
      </c>
    </row>
    <row r="431" spans="1:33" ht="14.4">
      <c r="A431" s="9"/>
      <c r="B431" s="13"/>
      <c r="C431" s="9"/>
      <c r="D431" s="9"/>
      <c r="E431" s="11"/>
      <c r="F431" s="9"/>
      <c r="G431" s="9"/>
      <c r="H431" s="44" t="str">
        <f>IF(D431="","",IF(ISNUMBER(SEARCH(SETTINGS!$K$4,D431)),SETTINGS!$L$4,IF(ISNUMBER(SEARCH(SETTINGS!$K$5,D431)),SETTINGS!$L$5,IF(ISNUMBER(SEARCH(SETTINGS!$K$6,D431)),SETTINGS!$L$6,IF(ISNUMBER(SEARCH(SETTINGS!$K$7,D431)),SETTINGS!$L$7,IF(ISNUMBER(SEARCH(SETTINGS!$K$8,D431)),SETTINGS!$L$8,IF(ISNUMBER(SEARCH(SETTINGS!$K$9,D431)),SETTINGS!$L$9,IF(ISNUMBER(SEARCH(SETTINGS!$K$10,D431)),SETTINGS!$L$10,IF(ISNUMBER(SEARCH(SETTINGS!$K$11,D431)),SETTINGS!$L$11,IF(ISNUMBER(SEARCH(SETTINGS!$K$12,D431)),SETTINGS!$L$12,IF(ISNUMBER(SEARCH(SETTINGS!$K$13,D431)),SETTINGS!$L$13,IF(ISNUMBER(SEARCH(SETTINGS!$K$14,D431)),SETTINGS!$L$14,IF(ISNUMBER(SEARCH(SETTINGS!$K$15,D431)),SETTINGS!$L$15,IF(ISNUMBER(SEARCH(SETTINGS!$K$16,D431)),SETTINGS!$L$16,IF(ISNUMBER(SEARCH(SETTINGS!$K$17,D431)),SETTINGS!$L$17,IF(ISNUMBER(SEARCH(SETTINGS!$K$18,D431)),SETTINGS!$L$18,"Miscellaneous"))))))))))))))))</f>
        <v/>
      </c>
      <c r="I431" s="44" t="str">
        <f t="shared" si="48"/>
        <v/>
      </c>
      <c r="J431" s="9"/>
      <c r="K431" s="9"/>
      <c r="L431" s="9"/>
      <c r="M431" s="9"/>
      <c r="N431" s="9"/>
      <c r="O431" s="9"/>
      <c r="P431" s="13"/>
      <c r="Q431" s="9"/>
      <c r="R431" s="9"/>
      <c r="S431" s="9"/>
      <c r="T431" s="11"/>
      <c r="U431" s="44" t="str">
        <f t="shared" si="49"/>
        <v/>
      </c>
      <c r="V431" s="44" t="str">
        <f t="shared" si="50"/>
        <v/>
      </c>
      <c r="W431" s="44" t="str">
        <f t="shared" si="51"/>
        <v/>
      </c>
      <c r="X431" s="44" t="str">
        <f t="shared" si="52"/>
        <v/>
      </c>
      <c r="Y431" s="44" t="str">
        <f t="shared" si="53"/>
        <v/>
      </c>
      <c r="Z431" s="44" t="str">
        <f t="shared" si="54"/>
        <v/>
      </c>
      <c r="AA431" s="50" t="str">
        <f t="shared" si="55"/>
        <v/>
      </c>
      <c r="AB431" s="50" t="str">
        <f>IF(OR(B431="",C431&lt;&gt;"Expense"),"",IF(E431&gt;IFERROR(AVERAGEIFS($E$8:$E$1007,$I$8:$I$1007,I431,$C$8:$C$1007,"Expense")*SETTINGS!$B$20,0),"Unusually High","Normal"))</f>
        <v/>
      </c>
      <c r="AC431" s="51"/>
      <c r="AD431" s="51"/>
      <c r="AE431" s="51"/>
      <c r="AF431" s="50" t="str">
        <f>IF(A431&lt;&gt;"Yes","No",IF(AND(AC431="Yes",SETTINGS!$B$16="No"),"No","Yes"))</f>
        <v>No</v>
      </c>
      <c r="AG431" s="50" t="str">
        <f>IF(A431&lt;&gt;"Yes","",IF(OR(B431="",D431="",E431&lt;=0,F431="",I431=""),"Check Required Fields",IF(AA431="Possible Duplicate","Possible Duplicate",IF(E431&gt;SETTINGS!$B$22,"Review Extreme Value","OK"))))</f>
        <v/>
      </c>
    </row>
    <row r="432" spans="1:33" ht="14.4">
      <c r="A432" s="9"/>
      <c r="B432" s="13"/>
      <c r="C432" s="9"/>
      <c r="D432" s="9"/>
      <c r="E432" s="11"/>
      <c r="F432" s="9"/>
      <c r="G432" s="9"/>
      <c r="H432" s="44" t="str">
        <f>IF(D432="","",IF(ISNUMBER(SEARCH(SETTINGS!$K$4,D432)),SETTINGS!$L$4,IF(ISNUMBER(SEARCH(SETTINGS!$K$5,D432)),SETTINGS!$L$5,IF(ISNUMBER(SEARCH(SETTINGS!$K$6,D432)),SETTINGS!$L$6,IF(ISNUMBER(SEARCH(SETTINGS!$K$7,D432)),SETTINGS!$L$7,IF(ISNUMBER(SEARCH(SETTINGS!$K$8,D432)),SETTINGS!$L$8,IF(ISNUMBER(SEARCH(SETTINGS!$K$9,D432)),SETTINGS!$L$9,IF(ISNUMBER(SEARCH(SETTINGS!$K$10,D432)),SETTINGS!$L$10,IF(ISNUMBER(SEARCH(SETTINGS!$K$11,D432)),SETTINGS!$L$11,IF(ISNUMBER(SEARCH(SETTINGS!$K$12,D432)),SETTINGS!$L$12,IF(ISNUMBER(SEARCH(SETTINGS!$K$13,D432)),SETTINGS!$L$13,IF(ISNUMBER(SEARCH(SETTINGS!$K$14,D432)),SETTINGS!$L$14,IF(ISNUMBER(SEARCH(SETTINGS!$K$15,D432)),SETTINGS!$L$15,IF(ISNUMBER(SEARCH(SETTINGS!$K$16,D432)),SETTINGS!$L$16,IF(ISNUMBER(SEARCH(SETTINGS!$K$17,D432)),SETTINGS!$L$17,IF(ISNUMBER(SEARCH(SETTINGS!$K$18,D432)),SETTINGS!$L$18,"Miscellaneous"))))))))))))))))</f>
        <v/>
      </c>
      <c r="I432" s="44" t="str">
        <f t="shared" si="48"/>
        <v/>
      </c>
      <c r="J432" s="9"/>
      <c r="K432" s="9"/>
      <c r="L432" s="9"/>
      <c r="M432" s="9"/>
      <c r="N432" s="9"/>
      <c r="O432" s="9"/>
      <c r="P432" s="13"/>
      <c r="Q432" s="9"/>
      <c r="R432" s="9"/>
      <c r="S432" s="9"/>
      <c r="T432" s="11"/>
      <c r="U432" s="44" t="str">
        <f t="shared" si="49"/>
        <v/>
      </c>
      <c r="V432" s="44" t="str">
        <f t="shared" si="50"/>
        <v/>
      </c>
      <c r="W432" s="44" t="str">
        <f t="shared" si="51"/>
        <v/>
      </c>
      <c r="X432" s="44" t="str">
        <f t="shared" si="52"/>
        <v/>
      </c>
      <c r="Y432" s="44" t="str">
        <f t="shared" si="53"/>
        <v/>
      </c>
      <c r="Z432" s="44" t="str">
        <f t="shared" si="54"/>
        <v/>
      </c>
      <c r="AA432" s="50" t="str">
        <f t="shared" si="55"/>
        <v/>
      </c>
      <c r="AB432" s="50" t="str">
        <f>IF(OR(B432="",C432&lt;&gt;"Expense"),"",IF(E432&gt;IFERROR(AVERAGEIFS($E$8:$E$1007,$I$8:$I$1007,I432,$C$8:$C$1007,"Expense")*SETTINGS!$B$20,0),"Unusually High","Normal"))</f>
        <v/>
      </c>
      <c r="AC432" s="51"/>
      <c r="AD432" s="51"/>
      <c r="AE432" s="51"/>
      <c r="AF432" s="50" t="str">
        <f>IF(A432&lt;&gt;"Yes","No",IF(AND(AC432="Yes",SETTINGS!$B$16="No"),"No","Yes"))</f>
        <v>No</v>
      </c>
      <c r="AG432" s="50" t="str">
        <f>IF(A432&lt;&gt;"Yes","",IF(OR(B432="",D432="",E432&lt;=0,F432="",I432=""),"Check Required Fields",IF(AA432="Possible Duplicate","Possible Duplicate",IF(E432&gt;SETTINGS!$B$22,"Review Extreme Value","OK"))))</f>
        <v/>
      </c>
    </row>
    <row r="433" spans="1:33" ht="14.4">
      <c r="A433" s="9"/>
      <c r="B433" s="13"/>
      <c r="C433" s="9"/>
      <c r="D433" s="9"/>
      <c r="E433" s="11"/>
      <c r="F433" s="9"/>
      <c r="G433" s="9"/>
      <c r="H433" s="44" t="str">
        <f>IF(D433="","",IF(ISNUMBER(SEARCH(SETTINGS!$K$4,D433)),SETTINGS!$L$4,IF(ISNUMBER(SEARCH(SETTINGS!$K$5,D433)),SETTINGS!$L$5,IF(ISNUMBER(SEARCH(SETTINGS!$K$6,D433)),SETTINGS!$L$6,IF(ISNUMBER(SEARCH(SETTINGS!$K$7,D433)),SETTINGS!$L$7,IF(ISNUMBER(SEARCH(SETTINGS!$K$8,D433)),SETTINGS!$L$8,IF(ISNUMBER(SEARCH(SETTINGS!$K$9,D433)),SETTINGS!$L$9,IF(ISNUMBER(SEARCH(SETTINGS!$K$10,D433)),SETTINGS!$L$10,IF(ISNUMBER(SEARCH(SETTINGS!$K$11,D433)),SETTINGS!$L$11,IF(ISNUMBER(SEARCH(SETTINGS!$K$12,D433)),SETTINGS!$L$12,IF(ISNUMBER(SEARCH(SETTINGS!$K$13,D433)),SETTINGS!$L$13,IF(ISNUMBER(SEARCH(SETTINGS!$K$14,D433)),SETTINGS!$L$14,IF(ISNUMBER(SEARCH(SETTINGS!$K$15,D433)),SETTINGS!$L$15,IF(ISNUMBER(SEARCH(SETTINGS!$K$16,D433)),SETTINGS!$L$16,IF(ISNUMBER(SEARCH(SETTINGS!$K$17,D433)),SETTINGS!$L$17,IF(ISNUMBER(SEARCH(SETTINGS!$K$18,D433)),SETTINGS!$L$18,"Miscellaneous"))))))))))))))))</f>
        <v/>
      </c>
      <c r="I433" s="44" t="str">
        <f t="shared" si="48"/>
        <v/>
      </c>
      <c r="J433" s="9"/>
      <c r="K433" s="9"/>
      <c r="L433" s="9"/>
      <c r="M433" s="9"/>
      <c r="N433" s="9"/>
      <c r="O433" s="9"/>
      <c r="P433" s="13"/>
      <c r="Q433" s="9"/>
      <c r="R433" s="9"/>
      <c r="S433" s="9"/>
      <c r="T433" s="11"/>
      <c r="U433" s="44" t="str">
        <f t="shared" si="49"/>
        <v/>
      </c>
      <c r="V433" s="44" t="str">
        <f t="shared" si="50"/>
        <v/>
      </c>
      <c r="W433" s="44" t="str">
        <f t="shared" si="51"/>
        <v/>
      </c>
      <c r="X433" s="44" t="str">
        <f t="shared" si="52"/>
        <v/>
      </c>
      <c r="Y433" s="44" t="str">
        <f t="shared" si="53"/>
        <v/>
      </c>
      <c r="Z433" s="44" t="str">
        <f t="shared" si="54"/>
        <v/>
      </c>
      <c r="AA433" s="50" t="str">
        <f t="shared" si="55"/>
        <v/>
      </c>
      <c r="AB433" s="50" t="str">
        <f>IF(OR(B433="",C433&lt;&gt;"Expense"),"",IF(E433&gt;IFERROR(AVERAGEIFS($E$8:$E$1007,$I$8:$I$1007,I433,$C$8:$C$1007,"Expense")*SETTINGS!$B$20,0),"Unusually High","Normal"))</f>
        <v/>
      </c>
      <c r="AC433" s="51"/>
      <c r="AD433" s="51"/>
      <c r="AE433" s="51"/>
      <c r="AF433" s="50" t="str">
        <f>IF(A433&lt;&gt;"Yes","No",IF(AND(AC433="Yes",SETTINGS!$B$16="No"),"No","Yes"))</f>
        <v>No</v>
      </c>
      <c r="AG433" s="50" t="str">
        <f>IF(A433&lt;&gt;"Yes","",IF(OR(B433="",D433="",E433&lt;=0,F433="",I433=""),"Check Required Fields",IF(AA433="Possible Duplicate","Possible Duplicate",IF(E433&gt;SETTINGS!$B$22,"Review Extreme Value","OK"))))</f>
        <v/>
      </c>
    </row>
    <row r="434" spans="1:33" ht="14.4">
      <c r="A434" s="9"/>
      <c r="B434" s="13"/>
      <c r="C434" s="9"/>
      <c r="D434" s="9"/>
      <c r="E434" s="11"/>
      <c r="F434" s="9"/>
      <c r="G434" s="9"/>
      <c r="H434" s="44" t="str">
        <f>IF(D434="","",IF(ISNUMBER(SEARCH(SETTINGS!$K$4,D434)),SETTINGS!$L$4,IF(ISNUMBER(SEARCH(SETTINGS!$K$5,D434)),SETTINGS!$L$5,IF(ISNUMBER(SEARCH(SETTINGS!$K$6,D434)),SETTINGS!$L$6,IF(ISNUMBER(SEARCH(SETTINGS!$K$7,D434)),SETTINGS!$L$7,IF(ISNUMBER(SEARCH(SETTINGS!$K$8,D434)),SETTINGS!$L$8,IF(ISNUMBER(SEARCH(SETTINGS!$K$9,D434)),SETTINGS!$L$9,IF(ISNUMBER(SEARCH(SETTINGS!$K$10,D434)),SETTINGS!$L$10,IF(ISNUMBER(SEARCH(SETTINGS!$K$11,D434)),SETTINGS!$L$11,IF(ISNUMBER(SEARCH(SETTINGS!$K$12,D434)),SETTINGS!$L$12,IF(ISNUMBER(SEARCH(SETTINGS!$K$13,D434)),SETTINGS!$L$13,IF(ISNUMBER(SEARCH(SETTINGS!$K$14,D434)),SETTINGS!$L$14,IF(ISNUMBER(SEARCH(SETTINGS!$K$15,D434)),SETTINGS!$L$15,IF(ISNUMBER(SEARCH(SETTINGS!$K$16,D434)),SETTINGS!$L$16,IF(ISNUMBER(SEARCH(SETTINGS!$K$17,D434)),SETTINGS!$L$17,IF(ISNUMBER(SEARCH(SETTINGS!$K$18,D434)),SETTINGS!$L$18,"Miscellaneous"))))))))))))))))</f>
        <v/>
      </c>
      <c r="I434" s="44" t="str">
        <f t="shared" si="48"/>
        <v/>
      </c>
      <c r="J434" s="9"/>
      <c r="K434" s="9"/>
      <c r="L434" s="9"/>
      <c r="M434" s="9"/>
      <c r="N434" s="9"/>
      <c r="O434" s="9"/>
      <c r="P434" s="13"/>
      <c r="Q434" s="9"/>
      <c r="R434" s="9"/>
      <c r="S434" s="9"/>
      <c r="T434" s="11"/>
      <c r="U434" s="44" t="str">
        <f t="shared" si="49"/>
        <v/>
      </c>
      <c r="V434" s="44" t="str">
        <f t="shared" si="50"/>
        <v/>
      </c>
      <c r="W434" s="44" t="str">
        <f t="shared" si="51"/>
        <v/>
      </c>
      <c r="X434" s="44" t="str">
        <f t="shared" si="52"/>
        <v/>
      </c>
      <c r="Y434" s="44" t="str">
        <f t="shared" si="53"/>
        <v/>
      </c>
      <c r="Z434" s="44" t="str">
        <f t="shared" si="54"/>
        <v/>
      </c>
      <c r="AA434" s="50" t="str">
        <f t="shared" si="55"/>
        <v/>
      </c>
      <c r="AB434" s="50" t="str">
        <f>IF(OR(B434="",C434&lt;&gt;"Expense"),"",IF(E434&gt;IFERROR(AVERAGEIFS($E$8:$E$1007,$I$8:$I$1007,I434,$C$8:$C$1007,"Expense")*SETTINGS!$B$20,0),"Unusually High","Normal"))</f>
        <v/>
      </c>
      <c r="AC434" s="51"/>
      <c r="AD434" s="51"/>
      <c r="AE434" s="51"/>
      <c r="AF434" s="50" t="str">
        <f>IF(A434&lt;&gt;"Yes","No",IF(AND(AC434="Yes",SETTINGS!$B$16="No"),"No","Yes"))</f>
        <v>No</v>
      </c>
      <c r="AG434" s="50" t="str">
        <f>IF(A434&lt;&gt;"Yes","",IF(OR(B434="",D434="",E434&lt;=0,F434="",I434=""),"Check Required Fields",IF(AA434="Possible Duplicate","Possible Duplicate",IF(E434&gt;SETTINGS!$B$22,"Review Extreme Value","OK"))))</f>
        <v/>
      </c>
    </row>
    <row r="435" spans="1:33" ht="14.4">
      <c r="A435" s="9"/>
      <c r="B435" s="13"/>
      <c r="C435" s="9"/>
      <c r="D435" s="9"/>
      <c r="E435" s="11"/>
      <c r="F435" s="9"/>
      <c r="G435" s="9"/>
      <c r="H435" s="44" t="str">
        <f>IF(D435="","",IF(ISNUMBER(SEARCH(SETTINGS!$K$4,D435)),SETTINGS!$L$4,IF(ISNUMBER(SEARCH(SETTINGS!$K$5,D435)),SETTINGS!$L$5,IF(ISNUMBER(SEARCH(SETTINGS!$K$6,D435)),SETTINGS!$L$6,IF(ISNUMBER(SEARCH(SETTINGS!$K$7,D435)),SETTINGS!$L$7,IF(ISNUMBER(SEARCH(SETTINGS!$K$8,D435)),SETTINGS!$L$8,IF(ISNUMBER(SEARCH(SETTINGS!$K$9,D435)),SETTINGS!$L$9,IF(ISNUMBER(SEARCH(SETTINGS!$K$10,D435)),SETTINGS!$L$10,IF(ISNUMBER(SEARCH(SETTINGS!$K$11,D435)),SETTINGS!$L$11,IF(ISNUMBER(SEARCH(SETTINGS!$K$12,D435)),SETTINGS!$L$12,IF(ISNUMBER(SEARCH(SETTINGS!$K$13,D435)),SETTINGS!$L$13,IF(ISNUMBER(SEARCH(SETTINGS!$K$14,D435)),SETTINGS!$L$14,IF(ISNUMBER(SEARCH(SETTINGS!$K$15,D435)),SETTINGS!$L$15,IF(ISNUMBER(SEARCH(SETTINGS!$K$16,D435)),SETTINGS!$L$16,IF(ISNUMBER(SEARCH(SETTINGS!$K$17,D435)),SETTINGS!$L$17,IF(ISNUMBER(SEARCH(SETTINGS!$K$18,D435)),SETTINGS!$L$18,"Miscellaneous"))))))))))))))))</f>
        <v/>
      </c>
      <c r="I435" s="44" t="str">
        <f t="shared" si="48"/>
        <v/>
      </c>
      <c r="J435" s="9"/>
      <c r="K435" s="9"/>
      <c r="L435" s="9"/>
      <c r="M435" s="9"/>
      <c r="N435" s="9"/>
      <c r="O435" s="9"/>
      <c r="P435" s="13"/>
      <c r="Q435" s="9"/>
      <c r="R435" s="9"/>
      <c r="S435" s="9"/>
      <c r="T435" s="11"/>
      <c r="U435" s="44" t="str">
        <f t="shared" si="49"/>
        <v/>
      </c>
      <c r="V435" s="44" t="str">
        <f t="shared" si="50"/>
        <v/>
      </c>
      <c r="W435" s="44" t="str">
        <f t="shared" si="51"/>
        <v/>
      </c>
      <c r="X435" s="44" t="str">
        <f t="shared" si="52"/>
        <v/>
      </c>
      <c r="Y435" s="44" t="str">
        <f t="shared" si="53"/>
        <v/>
      </c>
      <c r="Z435" s="44" t="str">
        <f t="shared" si="54"/>
        <v/>
      </c>
      <c r="AA435" s="50" t="str">
        <f t="shared" si="55"/>
        <v/>
      </c>
      <c r="AB435" s="50" t="str">
        <f>IF(OR(B435="",C435&lt;&gt;"Expense"),"",IF(E435&gt;IFERROR(AVERAGEIFS($E$8:$E$1007,$I$8:$I$1007,I435,$C$8:$C$1007,"Expense")*SETTINGS!$B$20,0),"Unusually High","Normal"))</f>
        <v/>
      </c>
      <c r="AC435" s="51"/>
      <c r="AD435" s="51"/>
      <c r="AE435" s="51"/>
      <c r="AF435" s="50" t="str">
        <f>IF(A435&lt;&gt;"Yes","No",IF(AND(AC435="Yes",SETTINGS!$B$16="No"),"No","Yes"))</f>
        <v>No</v>
      </c>
      <c r="AG435" s="50" t="str">
        <f>IF(A435&lt;&gt;"Yes","",IF(OR(B435="",D435="",E435&lt;=0,F435="",I435=""),"Check Required Fields",IF(AA435="Possible Duplicate","Possible Duplicate",IF(E435&gt;SETTINGS!$B$22,"Review Extreme Value","OK"))))</f>
        <v/>
      </c>
    </row>
    <row r="436" spans="1:33" ht="14.4">
      <c r="A436" s="9"/>
      <c r="B436" s="13"/>
      <c r="C436" s="9"/>
      <c r="D436" s="9"/>
      <c r="E436" s="11"/>
      <c r="F436" s="9"/>
      <c r="G436" s="9"/>
      <c r="H436" s="44" t="str">
        <f>IF(D436="","",IF(ISNUMBER(SEARCH(SETTINGS!$K$4,D436)),SETTINGS!$L$4,IF(ISNUMBER(SEARCH(SETTINGS!$K$5,D436)),SETTINGS!$L$5,IF(ISNUMBER(SEARCH(SETTINGS!$K$6,D436)),SETTINGS!$L$6,IF(ISNUMBER(SEARCH(SETTINGS!$K$7,D436)),SETTINGS!$L$7,IF(ISNUMBER(SEARCH(SETTINGS!$K$8,D436)),SETTINGS!$L$8,IF(ISNUMBER(SEARCH(SETTINGS!$K$9,D436)),SETTINGS!$L$9,IF(ISNUMBER(SEARCH(SETTINGS!$K$10,D436)),SETTINGS!$L$10,IF(ISNUMBER(SEARCH(SETTINGS!$K$11,D436)),SETTINGS!$L$11,IF(ISNUMBER(SEARCH(SETTINGS!$K$12,D436)),SETTINGS!$L$12,IF(ISNUMBER(SEARCH(SETTINGS!$K$13,D436)),SETTINGS!$L$13,IF(ISNUMBER(SEARCH(SETTINGS!$K$14,D436)),SETTINGS!$L$14,IF(ISNUMBER(SEARCH(SETTINGS!$K$15,D436)),SETTINGS!$L$15,IF(ISNUMBER(SEARCH(SETTINGS!$K$16,D436)),SETTINGS!$L$16,IF(ISNUMBER(SEARCH(SETTINGS!$K$17,D436)),SETTINGS!$L$17,IF(ISNUMBER(SEARCH(SETTINGS!$K$18,D436)),SETTINGS!$L$18,"Miscellaneous"))))))))))))))))</f>
        <v/>
      </c>
      <c r="I436" s="44" t="str">
        <f t="shared" si="48"/>
        <v/>
      </c>
      <c r="J436" s="9"/>
      <c r="K436" s="9"/>
      <c r="L436" s="9"/>
      <c r="M436" s="9"/>
      <c r="N436" s="9"/>
      <c r="O436" s="9"/>
      <c r="P436" s="13"/>
      <c r="Q436" s="9"/>
      <c r="R436" s="9"/>
      <c r="S436" s="9"/>
      <c r="T436" s="11"/>
      <c r="U436" s="44" t="str">
        <f t="shared" si="49"/>
        <v/>
      </c>
      <c r="V436" s="44" t="str">
        <f t="shared" si="50"/>
        <v/>
      </c>
      <c r="W436" s="44" t="str">
        <f t="shared" si="51"/>
        <v/>
      </c>
      <c r="X436" s="44" t="str">
        <f t="shared" si="52"/>
        <v/>
      </c>
      <c r="Y436" s="44" t="str">
        <f t="shared" si="53"/>
        <v/>
      </c>
      <c r="Z436" s="44" t="str">
        <f t="shared" si="54"/>
        <v/>
      </c>
      <c r="AA436" s="50" t="str">
        <f t="shared" si="55"/>
        <v/>
      </c>
      <c r="AB436" s="50" t="str">
        <f>IF(OR(B436="",C436&lt;&gt;"Expense"),"",IF(E436&gt;IFERROR(AVERAGEIFS($E$8:$E$1007,$I$8:$I$1007,I436,$C$8:$C$1007,"Expense")*SETTINGS!$B$20,0),"Unusually High","Normal"))</f>
        <v/>
      </c>
      <c r="AC436" s="51"/>
      <c r="AD436" s="51"/>
      <c r="AE436" s="51"/>
      <c r="AF436" s="50" t="str">
        <f>IF(A436&lt;&gt;"Yes","No",IF(AND(AC436="Yes",SETTINGS!$B$16="No"),"No","Yes"))</f>
        <v>No</v>
      </c>
      <c r="AG436" s="50" t="str">
        <f>IF(A436&lt;&gt;"Yes","",IF(OR(B436="",D436="",E436&lt;=0,F436="",I436=""),"Check Required Fields",IF(AA436="Possible Duplicate","Possible Duplicate",IF(E436&gt;SETTINGS!$B$22,"Review Extreme Value","OK"))))</f>
        <v/>
      </c>
    </row>
    <row r="437" spans="1:33" ht="14.4">
      <c r="A437" s="9"/>
      <c r="B437" s="13"/>
      <c r="C437" s="9"/>
      <c r="D437" s="9"/>
      <c r="E437" s="11"/>
      <c r="F437" s="9"/>
      <c r="G437" s="9"/>
      <c r="H437" s="44" t="str">
        <f>IF(D437="","",IF(ISNUMBER(SEARCH(SETTINGS!$K$4,D437)),SETTINGS!$L$4,IF(ISNUMBER(SEARCH(SETTINGS!$K$5,D437)),SETTINGS!$L$5,IF(ISNUMBER(SEARCH(SETTINGS!$K$6,D437)),SETTINGS!$L$6,IF(ISNUMBER(SEARCH(SETTINGS!$K$7,D437)),SETTINGS!$L$7,IF(ISNUMBER(SEARCH(SETTINGS!$K$8,D437)),SETTINGS!$L$8,IF(ISNUMBER(SEARCH(SETTINGS!$K$9,D437)),SETTINGS!$L$9,IF(ISNUMBER(SEARCH(SETTINGS!$K$10,D437)),SETTINGS!$L$10,IF(ISNUMBER(SEARCH(SETTINGS!$K$11,D437)),SETTINGS!$L$11,IF(ISNUMBER(SEARCH(SETTINGS!$K$12,D437)),SETTINGS!$L$12,IF(ISNUMBER(SEARCH(SETTINGS!$K$13,D437)),SETTINGS!$L$13,IF(ISNUMBER(SEARCH(SETTINGS!$K$14,D437)),SETTINGS!$L$14,IF(ISNUMBER(SEARCH(SETTINGS!$K$15,D437)),SETTINGS!$L$15,IF(ISNUMBER(SEARCH(SETTINGS!$K$16,D437)),SETTINGS!$L$16,IF(ISNUMBER(SEARCH(SETTINGS!$K$17,D437)),SETTINGS!$L$17,IF(ISNUMBER(SEARCH(SETTINGS!$K$18,D437)),SETTINGS!$L$18,"Miscellaneous"))))))))))))))))</f>
        <v/>
      </c>
      <c r="I437" s="44" t="str">
        <f t="shared" si="48"/>
        <v/>
      </c>
      <c r="J437" s="9"/>
      <c r="K437" s="9"/>
      <c r="L437" s="9"/>
      <c r="M437" s="9"/>
      <c r="N437" s="9"/>
      <c r="O437" s="9"/>
      <c r="P437" s="13"/>
      <c r="Q437" s="9"/>
      <c r="R437" s="9"/>
      <c r="S437" s="9"/>
      <c r="T437" s="11"/>
      <c r="U437" s="44" t="str">
        <f t="shared" si="49"/>
        <v/>
      </c>
      <c r="V437" s="44" t="str">
        <f t="shared" si="50"/>
        <v/>
      </c>
      <c r="W437" s="44" t="str">
        <f t="shared" si="51"/>
        <v/>
      </c>
      <c r="X437" s="44" t="str">
        <f t="shared" si="52"/>
        <v/>
      </c>
      <c r="Y437" s="44" t="str">
        <f t="shared" si="53"/>
        <v/>
      </c>
      <c r="Z437" s="44" t="str">
        <f t="shared" si="54"/>
        <v/>
      </c>
      <c r="AA437" s="50" t="str">
        <f t="shared" si="55"/>
        <v/>
      </c>
      <c r="AB437" s="50" t="str">
        <f>IF(OR(B437="",C437&lt;&gt;"Expense"),"",IF(E437&gt;IFERROR(AVERAGEIFS($E$8:$E$1007,$I$8:$I$1007,I437,$C$8:$C$1007,"Expense")*SETTINGS!$B$20,0),"Unusually High","Normal"))</f>
        <v/>
      </c>
      <c r="AC437" s="51"/>
      <c r="AD437" s="51"/>
      <c r="AE437" s="51"/>
      <c r="AF437" s="50" t="str">
        <f>IF(A437&lt;&gt;"Yes","No",IF(AND(AC437="Yes",SETTINGS!$B$16="No"),"No","Yes"))</f>
        <v>No</v>
      </c>
      <c r="AG437" s="50" t="str">
        <f>IF(A437&lt;&gt;"Yes","",IF(OR(B437="",D437="",E437&lt;=0,F437="",I437=""),"Check Required Fields",IF(AA437="Possible Duplicate","Possible Duplicate",IF(E437&gt;SETTINGS!$B$22,"Review Extreme Value","OK"))))</f>
        <v/>
      </c>
    </row>
    <row r="438" spans="1:33" ht="14.4">
      <c r="A438" s="9"/>
      <c r="B438" s="13"/>
      <c r="C438" s="9"/>
      <c r="D438" s="9"/>
      <c r="E438" s="11"/>
      <c r="F438" s="9"/>
      <c r="G438" s="9"/>
      <c r="H438" s="44" t="str">
        <f>IF(D438="","",IF(ISNUMBER(SEARCH(SETTINGS!$K$4,D438)),SETTINGS!$L$4,IF(ISNUMBER(SEARCH(SETTINGS!$K$5,D438)),SETTINGS!$L$5,IF(ISNUMBER(SEARCH(SETTINGS!$K$6,D438)),SETTINGS!$L$6,IF(ISNUMBER(SEARCH(SETTINGS!$K$7,D438)),SETTINGS!$L$7,IF(ISNUMBER(SEARCH(SETTINGS!$K$8,D438)),SETTINGS!$L$8,IF(ISNUMBER(SEARCH(SETTINGS!$K$9,D438)),SETTINGS!$L$9,IF(ISNUMBER(SEARCH(SETTINGS!$K$10,D438)),SETTINGS!$L$10,IF(ISNUMBER(SEARCH(SETTINGS!$K$11,D438)),SETTINGS!$L$11,IF(ISNUMBER(SEARCH(SETTINGS!$K$12,D438)),SETTINGS!$L$12,IF(ISNUMBER(SEARCH(SETTINGS!$K$13,D438)),SETTINGS!$L$13,IF(ISNUMBER(SEARCH(SETTINGS!$K$14,D438)),SETTINGS!$L$14,IF(ISNUMBER(SEARCH(SETTINGS!$K$15,D438)),SETTINGS!$L$15,IF(ISNUMBER(SEARCH(SETTINGS!$K$16,D438)),SETTINGS!$L$16,IF(ISNUMBER(SEARCH(SETTINGS!$K$17,D438)),SETTINGS!$L$17,IF(ISNUMBER(SEARCH(SETTINGS!$K$18,D438)),SETTINGS!$L$18,"Miscellaneous"))))))))))))))))</f>
        <v/>
      </c>
      <c r="I438" s="44" t="str">
        <f t="shared" si="48"/>
        <v/>
      </c>
      <c r="J438" s="9"/>
      <c r="K438" s="9"/>
      <c r="L438" s="9"/>
      <c r="M438" s="9"/>
      <c r="N438" s="9"/>
      <c r="O438" s="9"/>
      <c r="P438" s="13"/>
      <c r="Q438" s="9"/>
      <c r="R438" s="9"/>
      <c r="S438" s="9"/>
      <c r="T438" s="11"/>
      <c r="U438" s="44" t="str">
        <f t="shared" si="49"/>
        <v/>
      </c>
      <c r="V438" s="44" t="str">
        <f t="shared" si="50"/>
        <v/>
      </c>
      <c r="W438" s="44" t="str">
        <f t="shared" si="51"/>
        <v/>
      </c>
      <c r="X438" s="44" t="str">
        <f t="shared" si="52"/>
        <v/>
      </c>
      <c r="Y438" s="44" t="str">
        <f t="shared" si="53"/>
        <v/>
      </c>
      <c r="Z438" s="44" t="str">
        <f t="shared" si="54"/>
        <v/>
      </c>
      <c r="AA438" s="50" t="str">
        <f t="shared" si="55"/>
        <v/>
      </c>
      <c r="AB438" s="50" t="str">
        <f>IF(OR(B438="",C438&lt;&gt;"Expense"),"",IF(E438&gt;IFERROR(AVERAGEIFS($E$8:$E$1007,$I$8:$I$1007,I438,$C$8:$C$1007,"Expense")*SETTINGS!$B$20,0),"Unusually High","Normal"))</f>
        <v/>
      </c>
      <c r="AC438" s="51"/>
      <c r="AD438" s="51"/>
      <c r="AE438" s="51"/>
      <c r="AF438" s="50" t="str">
        <f>IF(A438&lt;&gt;"Yes","No",IF(AND(AC438="Yes",SETTINGS!$B$16="No"),"No","Yes"))</f>
        <v>No</v>
      </c>
      <c r="AG438" s="50" t="str">
        <f>IF(A438&lt;&gt;"Yes","",IF(OR(B438="",D438="",E438&lt;=0,F438="",I438=""),"Check Required Fields",IF(AA438="Possible Duplicate","Possible Duplicate",IF(E438&gt;SETTINGS!$B$22,"Review Extreme Value","OK"))))</f>
        <v/>
      </c>
    </row>
    <row r="439" spans="1:33" ht="14.4">
      <c r="A439" s="9"/>
      <c r="B439" s="13"/>
      <c r="C439" s="9"/>
      <c r="D439" s="9"/>
      <c r="E439" s="11"/>
      <c r="F439" s="9"/>
      <c r="G439" s="9"/>
      <c r="H439" s="44" t="str">
        <f>IF(D439="","",IF(ISNUMBER(SEARCH(SETTINGS!$K$4,D439)),SETTINGS!$L$4,IF(ISNUMBER(SEARCH(SETTINGS!$K$5,D439)),SETTINGS!$L$5,IF(ISNUMBER(SEARCH(SETTINGS!$K$6,D439)),SETTINGS!$L$6,IF(ISNUMBER(SEARCH(SETTINGS!$K$7,D439)),SETTINGS!$L$7,IF(ISNUMBER(SEARCH(SETTINGS!$K$8,D439)),SETTINGS!$L$8,IF(ISNUMBER(SEARCH(SETTINGS!$K$9,D439)),SETTINGS!$L$9,IF(ISNUMBER(SEARCH(SETTINGS!$K$10,D439)),SETTINGS!$L$10,IF(ISNUMBER(SEARCH(SETTINGS!$K$11,D439)),SETTINGS!$L$11,IF(ISNUMBER(SEARCH(SETTINGS!$K$12,D439)),SETTINGS!$L$12,IF(ISNUMBER(SEARCH(SETTINGS!$K$13,D439)),SETTINGS!$L$13,IF(ISNUMBER(SEARCH(SETTINGS!$K$14,D439)),SETTINGS!$L$14,IF(ISNUMBER(SEARCH(SETTINGS!$K$15,D439)),SETTINGS!$L$15,IF(ISNUMBER(SEARCH(SETTINGS!$K$16,D439)),SETTINGS!$L$16,IF(ISNUMBER(SEARCH(SETTINGS!$K$17,D439)),SETTINGS!$L$17,IF(ISNUMBER(SEARCH(SETTINGS!$K$18,D439)),SETTINGS!$L$18,"Miscellaneous"))))))))))))))))</f>
        <v/>
      </c>
      <c r="I439" s="44" t="str">
        <f t="shared" si="48"/>
        <v/>
      </c>
      <c r="J439" s="9"/>
      <c r="K439" s="9"/>
      <c r="L439" s="9"/>
      <c r="M439" s="9"/>
      <c r="N439" s="9"/>
      <c r="O439" s="9"/>
      <c r="P439" s="13"/>
      <c r="Q439" s="9"/>
      <c r="R439" s="9"/>
      <c r="S439" s="9"/>
      <c r="T439" s="11"/>
      <c r="U439" s="44" t="str">
        <f t="shared" si="49"/>
        <v/>
      </c>
      <c r="V439" s="44" t="str">
        <f t="shared" si="50"/>
        <v/>
      </c>
      <c r="W439" s="44" t="str">
        <f t="shared" si="51"/>
        <v/>
      </c>
      <c r="X439" s="44" t="str">
        <f t="shared" si="52"/>
        <v/>
      </c>
      <c r="Y439" s="44" t="str">
        <f t="shared" si="53"/>
        <v/>
      </c>
      <c r="Z439" s="44" t="str">
        <f t="shared" si="54"/>
        <v/>
      </c>
      <c r="AA439" s="50" t="str">
        <f t="shared" si="55"/>
        <v/>
      </c>
      <c r="AB439" s="50" t="str">
        <f>IF(OR(B439="",C439&lt;&gt;"Expense"),"",IF(E439&gt;IFERROR(AVERAGEIFS($E$8:$E$1007,$I$8:$I$1007,I439,$C$8:$C$1007,"Expense")*SETTINGS!$B$20,0),"Unusually High","Normal"))</f>
        <v/>
      </c>
      <c r="AC439" s="51"/>
      <c r="AD439" s="51"/>
      <c r="AE439" s="51"/>
      <c r="AF439" s="50" t="str">
        <f>IF(A439&lt;&gt;"Yes","No",IF(AND(AC439="Yes",SETTINGS!$B$16="No"),"No","Yes"))</f>
        <v>No</v>
      </c>
      <c r="AG439" s="50" t="str">
        <f>IF(A439&lt;&gt;"Yes","",IF(OR(B439="",D439="",E439&lt;=0,F439="",I439=""),"Check Required Fields",IF(AA439="Possible Duplicate","Possible Duplicate",IF(E439&gt;SETTINGS!$B$22,"Review Extreme Value","OK"))))</f>
        <v/>
      </c>
    </row>
    <row r="440" spans="1:33" ht="14.4">
      <c r="A440" s="9"/>
      <c r="B440" s="13"/>
      <c r="C440" s="9"/>
      <c r="D440" s="9"/>
      <c r="E440" s="11"/>
      <c r="F440" s="9"/>
      <c r="G440" s="9"/>
      <c r="H440" s="44" t="str">
        <f>IF(D440="","",IF(ISNUMBER(SEARCH(SETTINGS!$K$4,D440)),SETTINGS!$L$4,IF(ISNUMBER(SEARCH(SETTINGS!$K$5,D440)),SETTINGS!$L$5,IF(ISNUMBER(SEARCH(SETTINGS!$K$6,D440)),SETTINGS!$L$6,IF(ISNUMBER(SEARCH(SETTINGS!$K$7,D440)),SETTINGS!$L$7,IF(ISNUMBER(SEARCH(SETTINGS!$K$8,D440)),SETTINGS!$L$8,IF(ISNUMBER(SEARCH(SETTINGS!$K$9,D440)),SETTINGS!$L$9,IF(ISNUMBER(SEARCH(SETTINGS!$K$10,D440)),SETTINGS!$L$10,IF(ISNUMBER(SEARCH(SETTINGS!$K$11,D440)),SETTINGS!$L$11,IF(ISNUMBER(SEARCH(SETTINGS!$K$12,D440)),SETTINGS!$L$12,IF(ISNUMBER(SEARCH(SETTINGS!$K$13,D440)),SETTINGS!$L$13,IF(ISNUMBER(SEARCH(SETTINGS!$K$14,D440)),SETTINGS!$L$14,IF(ISNUMBER(SEARCH(SETTINGS!$K$15,D440)),SETTINGS!$L$15,IF(ISNUMBER(SEARCH(SETTINGS!$K$16,D440)),SETTINGS!$L$16,IF(ISNUMBER(SEARCH(SETTINGS!$K$17,D440)),SETTINGS!$L$17,IF(ISNUMBER(SEARCH(SETTINGS!$K$18,D440)),SETTINGS!$L$18,"Miscellaneous"))))))))))))))))</f>
        <v/>
      </c>
      <c r="I440" s="44" t="str">
        <f t="shared" si="48"/>
        <v/>
      </c>
      <c r="J440" s="9"/>
      <c r="K440" s="9"/>
      <c r="L440" s="9"/>
      <c r="M440" s="9"/>
      <c r="N440" s="9"/>
      <c r="O440" s="9"/>
      <c r="P440" s="13"/>
      <c r="Q440" s="9"/>
      <c r="R440" s="9"/>
      <c r="S440" s="9"/>
      <c r="T440" s="11"/>
      <c r="U440" s="44" t="str">
        <f t="shared" si="49"/>
        <v/>
      </c>
      <c r="V440" s="44" t="str">
        <f t="shared" si="50"/>
        <v/>
      </c>
      <c r="W440" s="44" t="str">
        <f t="shared" si="51"/>
        <v/>
      </c>
      <c r="X440" s="44" t="str">
        <f t="shared" si="52"/>
        <v/>
      </c>
      <c r="Y440" s="44" t="str">
        <f t="shared" si="53"/>
        <v/>
      </c>
      <c r="Z440" s="44" t="str">
        <f t="shared" si="54"/>
        <v/>
      </c>
      <c r="AA440" s="50" t="str">
        <f t="shared" si="55"/>
        <v/>
      </c>
      <c r="AB440" s="50" t="str">
        <f>IF(OR(B440="",C440&lt;&gt;"Expense"),"",IF(E440&gt;IFERROR(AVERAGEIFS($E$8:$E$1007,$I$8:$I$1007,I440,$C$8:$C$1007,"Expense")*SETTINGS!$B$20,0),"Unusually High","Normal"))</f>
        <v/>
      </c>
      <c r="AC440" s="51"/>
      <c r="AD440" s="51"/>
      <c r="AE440" s="51"/>
      <c r="AF440" s="50" t="str">
        <f>IF(A440&lt;&gt;"Yes","No",IF(AND(AC440="Yes",SETTINGS!$B$16="No"),"No","Yes"))</f>
        <v>No</v>
      </c>
      <c r="AG440" s="50" t="str">
        <f>IF(A440&lt;&gt;"Yes","",IF(OR(B440="",D440="",E440&lt;=0,F440="",I440=""),"Check Required Fields",IF(AA440="Possible Duplicate","Possible Duplicate",IF(E440&gt;SETTINGS!$B$22,"Review Extreme Value","OK"))))</f>
        <v/>
      </c>
    </row>
    <row r="441" spans="1:33" ht="14.4">
      <c r="A441" s="9"/>
      <c r="B441" s="13"/>
      <c r="C441" s="9"/>
      <c r="D441" s="9"/>
      <c r="E441" s="11"/>
      <c r="F441" s="9"/>
      <c r="G441" s="9"/>
      <c r="H441" s="44" t="str">
        <f>IF(D441="","",IF(ISNUMBER(SEARCH(SETTINGS!$K$4,D441)),SETTINGS!$L$4,IF(ISNUMBER(SEARCH(SETTINGS!$K$5,D441)),SETTINGS!$L$5,IF(ISNUMBER(SEARCH(SETTINGS!$K$6,D441)),SETTINGS!$L$6,IF(ISNUMBER(SEARCH(SETTINGS!$K$7,D441)),SETTINGS!$L$7,IF(ISNUMBER(SEARCH(SETTINGS!$K$8,D441)),SETTINGS!$L$8,IF(ISNUMBER(SEARCH(SETTINGS!$K$9,D441)),SETTINGS!$L$9,IF(ISNUMBER(SEARCH(SETTINGS!$K$10,D441)),SETTINGS!$L$10,IF(ISNUMBER(SEARCH(SETTINGS!$K$11,D441)),SETTINGS!$L$11,IF(ISNUMBER(SEARCH(SETTINGS!$K$12,D441)),SETTINGS!$L$12,IF(ISNUMBER(SEARCH(SETTINGS!$K$13,D441)),SETTINGS!$L$13,IF(ISNUMBER(SEARCH(SETTINGS!$K$14,D441)),SETTINGS!$L$14,IF(ISNUMBER(SEARCH(SETTINGS!$K$15,D441)),SETTINGS!$L$15,IF(ISNUMBER(SEARCH(SETTINGS!$K$16,D441)),SETTINGS!$L$16,IF(ISNUMBER(SEARCH(SETTINGS!$K$17,D441)),SETTINGS!$L$17,IF(ISNUMBER(SEARCH(SETTINGS!$K$18,D441)),SETTINGS!$L$18,"Miscellaneous"))))))))))))))))</f>
        <v/>
      </c>
      <c r="I441" s="44" t="str">
        <f t="shared" si="48"/>
        <v/>
      </c>
      <c r="J441" s="9"/>
      <c r="K441" s="9"/>
      <c r="L441" s="9"/>
      <c r="M441" s="9"/>
      <c r="N441" s="9"/>
      <c r="O441" s="9"/>
      <c r="P441" s="13"/>
      <c r="Q441" s="9"/>
      <c r="R441" s="9"/>
      <c r="S441" s="9"/>
      <c r="T441" s="11"/>
      <c r="U441" s="44" t="str">
        <f t="shared" si="49"/>
        <v/>
      </c>
      <c r="V441" s="44" t="str">
        <f t="shared" si="50"/>
        <v/>
      </c>
      <c r="W441" s="44" t="str">
        <f t="shared" si="51"/>
        <v/>
      </c>
      <c r="X441" s="44" t="str">
        <f t="shared" si="52"/>
        <v/>
      </c>
      <c r="Y441" s="44" t="str">
        <f t="shared" si="53"/>
        <v/>
      </c>
      <c r="Z441" s="44" t="str">
        <f t="shared" si="54"/>
        <v/>
      </c>
      <c r="AA441" s="50" t="str">
        <f t="shared" si="55"/>
        <v/>
      </c>
      <c r="AB441" s="50" t="str">
        <f>IF(OR(B441="",C441&lt;&gt;"Expense"),"",IF(E441&gt;IFERROR(AVERAGEIFS($E$8:$E$1007,$I$8:$I$1007,I441,$C$8:$C$1007,"Expense")*SETTINGS!$B$20,0),"Unusually High","Normal"))</f>
        <v/>
      </c>
      <c r="AC441" s="51"/>
      <c r="AD441" s="51"/>
      <c r="AE441" s="51"/>
      <c r="AF441" s="50" t="str">
        <f>IF(A441&lt;&gt;"Yes","No",IF(AND(AC441="Yes",SETTINGS!$B$16="No"),"No","Yes"))</f>
        <v>No</v>
      </c>
      <c r="AG441" s="50" t="str">
        <f>IF(A441&lt;&gt;"Yes","",IF(OR(B441="",D441="",E441&lt;=0,F441="",I441=""),"Check Required Fields",IF(AA441="Possible Duplicate","Possible Duplicate",IF(E441&gt;SETTINGS!$B$22,"Review Extreme Value","OK"))))</f>
        <v/>
      </c>
    </row>
    <row r="442" spans="1:33" ht="14.4">
      <c r="A442" s="9"/>
      <c r="B442" s="13"/>
      <c r="C442" s="9"/>
      <c r="D442" s="9"/>
      <c r="E442" s="11"/>
      <c r="F442" s="9"/>
      <c r="G442" s="9"/>
      <c r="H442" s="44" t="str">
        <f>IF(D442="","",IF(ISNUMBER(SEARCH(SETTINGS!$K$4,D442)),SETTINGS!$L$4,IF(ISNUMBER(SEARCH(SETTINGS!$K$5,D442)),SETTINGS!$L$5,IF(ISNUMBER(SEARCH(SETTINGS!$K$6,D442)),SETTINGS!$L$6,IF(ISNUMBER(SEARCH(SETTINGS!$K$7,D442)),SETTINGS!$L$7,IF(ISNUMBER(SEARCH(SETTINGS!$K$8,D442)),SETTINGS!$L$8,IF(ISNUMBER(SEARCH(SETTINGS!$K$9,D442)),SETTINGS!$L$9,IF(ISNUMBER(SEARCH(SETTINGS!$K$10,D442)),SETTINGS!$L$10,IF(ISNUMBER(SEARCH(SETTINGS!$K$11,D442)),SETTINGS!$L$11,IF(ISNUMBER(SEARCH(SETTINGS!$K$12,D442)),SETTINGS!$L$12,IF(ISNUMBER(SEARCH(SETTINGS!$K$13,D442)),SETTINGS!$L$13,IF(ISNUMBER(SEARCH(SETTINGS!$K$14,D442)),SETTINGS!$L$14,IF(ISNUMBER(SEARCH(SETTINGS!$K$15,D442)),SETTINGS!$L$15,IF(ISNUMBER(SEARCH(SETTINGS!$K$16,D442)),SETTINGS!$L$16,IF(ISNUMBER(SEARCH(SETTINGS!$K$17,D442)),SETTINGS!$L$17,IF(ISNUMBER(SEARCH(SETTINGS!$K$18,D442)),SETTINGS!$L$18,"Miscellaneous"))))))))))))))))</f>
        <v/>
      </c>
      <c r="I442" s="44" t="str">
        <f t="shared" si="48"/>
        <v/>
      </c>
      <c r="J442" s="9"/>
      <c r="K442" s="9"/>
      <c r="L442" s="9"/>
      <c r="M442" s="9"/>
      <c r="N442" s="9"/>
      <c r="O442" s="9"/>
      <c r="P442" s="13"/>
      <c r="Q442" s="9"/>
      <c r="R442" s="9"/>
      <c r="S442" s="9"/>
      <c r="T442" s="11"/>
      <c r="U442" s="44" t="str">
        <f t="shared" si="49"/>
        <v/>
      </c>
      <c r="V442" s="44" t="str">
        <f t="shared" si="50"/>
        <v/>
      </c>
      <c r="W442" s="44" t="str">
        <f t="shared" si="51"/>
        <v/>
      </c>
      <c r="X442" s="44" t="str">
        <f t="shared" si="52"/>
        <v/>
      </c>
      <c r="Y442" s="44" t="str">
        <f t="shared" si="53"/>
        <v/>
      </c>
      <c r="Z442" s="44" t="str">
        <f t="shared" si="54"/>
        <v/>
      </c>
      <c r="AA442" s="50" t="str">
        <f t="shared" si="55"/>
        <v/>
      </c>
      <c r="AB442" s="50" t="str">
        <f>IF(OR(B442="",C442&lt;&gt;"Expense"),"",IF(E442&gt;IFERROR(AVERAGEIFS($E$8:$E$1007,$I$8:$I$1007,I442,$C$8:$C$1007,"Expense")*SETTINGS!$B$20,0),"Unusually High","Normal"))</f>
        <v/>
      </c>
      <c r="AC442" s="51"/>
      <c r="AD442" s="51"/>
      <c r="AE442" s="51"/>
      <c r="AF442" s="50" t="str">
        <f>IF(A442&lt;&gt;"Yes","No",IF(AND(AC442="Yes",SETTINGS!$B$16="No"),"No","Yes"))</f>
        <v>No</v>
      </c>
      <c r="AG442" s="50" t="str">
        <f>IF(A442&lt;&gt;"Yes","",IF(OR(B442="",D442="",E442&lt;=0,F442="",I442=""),"Check Required Fields",IF(AA442="Possible Duplicate","Possible Duplicate",IF(E442&gt;SETTINGS!$B$22,"Review Extreme Value","OK"))))</f>
        <v/>
      </c>
    </row>
    <row r="443" spans="1:33" ht="14.4">
      <c r="A443" s="9"/>
      <c r="B443" s="13"/>
      <c r="C443" s="9"/>
      <c r="D443" s="9"/>
      <c r="E443" s="11"/>
      <c r="F443" s="9"/>
      <c r="G443" s="9"/>
      <c r="H443" s="44" t="str">
        <f>IF(D443="","",IF(ISNUMBER(SEARCH(SETTINGS!$K$4,D443)),SETTINGS!$L$4,IF(ISNUMBER(SEARCH(SETTINGS!$K$5,D443)),SETTINGS!$L$5,IF(ISNUMBER(SEARCH(SETTINGS!$K$6,D443)),SETTINGS!$L$6,IF(ISNUMBER(SEARCH(SETTINGS!$K$7,D443)),SETTINGS!$L$7,IF(ISNUMBER(SEARCH(SETTINGS!$K$8,D443)),SETTINGS!$L$8,IF(ISNUMBER(SEARCH(SETTINGS!$K$9,D443)),SETTINGS!$L$9,IF(ISNUMBER(SEARCH(SETTINGS!$K$10,D443)),SETTINGS!$L$10,IF(ISNUMBER(SEARCH(SETTINGS!$K$11,D443)),SETTINGS!$L$11,IF(ISNUMBER(SEARCH(SETTINGS!$K$12,D443)),SETTINGS!$L$12,IF(ISNUMBER(SEARCH(SETTINGS!$K$13,D443)),SETTINGS!$L$13,IF(ISNUMBER(SEARCH(SETTINGS!$K$14,D443)),SETTINGS!$L$14,IF(ISNUMBER(SEARCH(SETTINGS!$K$15,D443)),SETTINGS!$L$15,IF(ISNUMBER(SEARCH(SETTINGS!$K$16,D443)),SETTINGS!$L$16,IF(ISNUMBER(SEARCH(SETTINGS!$K$17,D443)),SETTINGS!$L$17,IF(ISNUMBER(SEARCH(SETTINGS!$K$18,D443)),SETTINGS!$L$18,"Miscellaneous"))))))))))))))))</f>
        <v/>
      </c>
      <c r="I443" s="44" t="str">
        <f t="shared" si="48"/>
        <v/>
      </c>
      <c r="J443" s="9"/>
      <c r="K443" s="9"/>
      <c r="L443" s="9"/>
      <c r="M443" s="9"/>
      <c r="N443" s="9"/>
      <c r="O443" s="9"/>
      <c r="P443" s="13"/>
      <c r="Q443" s="9"/>
      <c r="R443" s="9"/>
      <c r="S443" s="9"/>
      <c r="T443" s="11"/>
      <c r="U443" s="44" t="str">
        <f t="shared" si="49"/>
        <v/>
      </c>
      <c r="V443" s="44" t="str">
        <f t="shared" si="50"/>
        <v/>
      </c>
      <c r="W443" s="44" t="str">
        <f t="shared" si="51"/>
        <v/>
      </c>
      <c r="X443" s="44" t="str">
        <f t="shared" si="52"/>
        <v/>
      </c>
      <c r="Y443" s="44" t="str">
        <f t="shared" si="53"/>
        <v/>
      </c>
      <c r="Z443" s="44" t="str">
        <f t="shared" si="54"/>
        <v/>
      </c>
      <c r="AA443" s="50" t="str">
        <f t="shared" si="55"/>
        <v/>
      </c>
      <c r="AB443" s="50" t="str">
        <f>IF(OR(B443="",C443&lt;&gt;"Expense"),"",IF(E443&gt;IFERROR(AVERAGEIFS($E$8:$E$1007,$I$8:$I$1007,I443,$C$8:$C$1007,"Expense")*SETTINGS!$B$20,0),"Unusually High","Normal"))</f>
        <v/>
      </c>
      <c r="AC443" s="51"/>
      <c r="AD443" s="51"/>
      <c r="AE443" s="51"/>
      <c r="AF443" s="50" t="str">
        <f>IF(A443&lt;&gt;"Yes","No",IF(AND(AC443="Yes",SETTINGS!$B$16="No"),"No","Yes"))</f>
        <v>No</v>
      </c>
      <c r="AG443" s="50" t="str">
        <f>IF(A443&lt;&gt;"Yes","",IF(OR(B443="",D443="",E443&lt;=0,F443="",I443=""),"Check Required Fields",IF(AA443="Possible Duplicate","Possible Duplicate",IF(E443&gt;SETTINGS!$B$22,"Review Extreme Value","OK"))))</f>
        <v/>
      </c>
    </row>
    <row r="444" spans="1:33" ht="14.4">
      <c r="A444" s="9"/>
      <c r="B444" s="13"/>
      <c r="C444" s="9"/>
      <c r="D444" s="9"/>
      <c r="E444" s="11"/>
      <c r="F444" s="9"/>
      <c r="G444" s="9"/>
      <c r="H444" s="44" t="str">
        <f>IF(D444="","",IF(ISNUMBER(SEARCH(SETTINGS!$K$4,D444)),SETTINGS!$L$4,IF(ISNUMBER(SEARCH(SETTINGS!$K$5,D444)),SETTINGS!$L$5,IF(ISNUMBER(SEARCH(SETTINGS!$K$6,D444)),SETTINGS!$L$6,IF(ISNUMBER(SEARCH(SETTINGS!$K$7,D444)),SETTINGS!$L$7,IF(ISNUMBER(SEARCH(SETTINGS!$K$8,D444)),SETTINGS!$L$8,IF(ISNUMBER(SEARCH(SETTINGS!$K$9,D444)),SETTINGS!$L$9,IF(ISNUMBER(SEARCH(SETTINGS!$K$10,D444)),SETTINGS!$L$10,IF(ISNUMBER(SEARCH(SETTINGS!$K$11,D444)),SETTINGS!$L$11,IF(ISNUMBER(SEARCH(SETTINGS!$K$12,D444)),SETTINGS!$L$12,IF(ISNUMBER(SEARCH(SETTINGS!$K$13,D444)),SETTINGS!$L$13,IF(ISNUMBER(SEARCH(SETTINGS!$K$14,D444)),SETTINGS!$L$14,IF(ISNUMBER(SEARCH(SETTINGS!$K$15,D444)),SETTINGS!$L$15,IF(ISNUMBER(SEARCH(SETTINGS!$K$16,D444)),SETTINGS!$L$16,IF(ISNUMBER(SEARCH(SETTINGS!$K$17,D444)),SETTINGS!$L$17,IF(ISNUMBER(SEARCH(SETTINGS!$K$18,D444)),SETTINGS!$L$18,"Miscellaneous"))))))))))))))))</f>
        <v/>
      </c>
      <c r="I444" s="44" t="str">
        <f t="shared" si="48"/>
        <v/>
      </c>
      <c r="J444" s="9"/>
      <c r="K444" s="9"/>
      <c r="L444" s="9"/>
      <c r="M444" s="9"/>
      <c r="N444" s="9"/>
      <c r="O444" s="9"/>
      <c r="P444" s="13"/>
      <c r="Q444" s="9"/>
      <c r="R444" s="9"/>
      <c r="S444" s="9"/>
      <c r="T444" s="11"/>
      <c r="U444" s="44" t="str">
        <f t="shared" si="49"/>
        <v/>
      </c>
      <c r="V444" s="44" t="str">
        <f t="shared" si="50"/>
        <v/>
      </c>
      <c r="W444" s="44" t="str">
        <f t="shared" si="51"/>
        <v/>
      </c>
      <c r="X444" s="44" t="str">
        <f t="shared" si="52"/>
        <v/>
      </c>
      <c r="Y444" s="44" t="str">
        <f t="shared" si="53"/>
        <v/>
      </c>
      <c r="Z444" s="44" t="str">
        <f t="shared" si="54"/>
        <v/>
      </c>
      <c r="AA444" s="50" t="str">
        <f t="shared" si="55"/>
        <v/>
      </c>
      <c r="AB444" s="50" t="str">
        <f>IF(OR(B444="",C444&lt;&gt;"Expense"),"",IF(E444&gt;IFERROR(AVERAGEIFS($E$8:$E$1007,$I$8:$I$1007,I444,$C$8:$C$1007,"Expense")*SETTINGS!$B$20,0),"Unusually High","Normal"))</f>
        <v/>
      </c>
      <c r="AC444" s="51"/>
      <c r="AD444" s="51"/>
      <c r="AE444" s="51"/>
      <c r="AF444" s="50" t="str">
        <f>IF(A444&lt;&gt;"Yes","No",IF(AND(AC444="Yes",SETTINGS!$B$16="No"),"No","Yes"))</f>
        <v>No</v>
      </c>
      <c r="AG444" s="50" t="str">
        <f>IF(A444&lt;&gt;"Yes","",IF(OR(B444="",D444="",E444&lt;=0,F444="",I444=""),"Check Required Fields",IF(AA444="Possible Duplicate","Possible Duplicate",IF(E444&gt;SETTINGS!$B$22,"Review Extreme Value","OK"))))</f>
        <v/>
      </c>
    </row>
    <row r="445" spans="1:33" ht="14.4">
      <c r="A445" s="9"/>
      <c r="B445" s="13"/>
      <c r="C445" s="9"/>
      <c r="D445" s="9"/>
      <c r="E445" s="11"/>
      <c r="F445" s="9"/>
      <c r="G445" s="9"/>
      <c r="H445" s="44" t="str">
        <f>IF(D445="","",IF(ISNUMBER(SEARCH(SETTINGS!$K$4,D445)),SETTINGS!$L$4,IF(ISNUMBER(SEARCH(SETTINGS!$K$5,D445)),SETTINGS!$L$5,IF(ISNUMBER(SEARCH(SETTINGS!$K$6,D445)),SETTINGS!$L$6,IF(ISNUMBER(SEARCH(SETTINGS!$K$7,D445)),SETTINGS!$L$7,IF(ISNUMBER(SEARCH(SETTINGS!$K$8,D445)),SETTINGS!$L$8,IF(ISNUMBER(SEARCH(SETTINGS!$K$9,D445)),SETTINGS!$L$9,IF(ISNUMBER(SEARCH(SETTINGS!$K$10,D445)),SETTINGS!$L$10,IF(ISNUMBER(SEARCH(SETTINGS!$K$11,D445)),SETTINGS!$L$11,IF(ISNUMBER(SEARCH(SETTINGS!$K$12,D445)),SETTINGS!$L$12,IF(ISNUMBER(SEARCH(SETTINGS!$K$13,D445)),SETTINGS!$L$13,IF(ISNUMBER(SEARCH(SETTINGS!$K$14,D445)),SETTINGS!$L$14,IF(ISNUMBER(SEARCH(SETTINGS!$K$15,D445)),SETTINGS!$L$15,IF(ISNUMBER(SEARCH(SETTINGS!$K$16,D445)),SETTINGS!$L$16,IF(ISNUMBER(SEARCH(SETTINGS!$K$17,D445)),SETTINGS!$L$17,IF(ISNUMBER(SEARCH(SETTINGS!$K$18,D445)),SETTINGS!$L$18,"Miscellaneous"))))))))))))))))</f>
        <v/>
      </c>
      <c r="I445" s="44" t="str">
        <f t="shared" si="48"/>
        <v/>
      </c>
      <c r="J445" s="9"/>
      <c r="K445" s="9"/>
      <c r="L445" s="9"/>
      <c r="M445" s="9"/>
      <c r="N445" s="9"/>
      <c r="O445" s="9"/>
      <c r="P445" s="13"/>
      <c r="Q445" s="9"/>
      <c r="R445" s="9"/>
      <c r="S445" s="9"/>
      <c r="T445" s="11"/>
      <c r="U445" s="44" t="str">
        <f t="shared" si="49"/>
        <v/>
      </c>
      <c r="V445" s="44" t="str">
        <f t="shared" si="50"/>
        <v/>
      </c>
      <c r="W445" s="44" t="str">
        <f t="shared" si="51"/>
        <v/>
      </c>
      <c r="X445" s="44" t="str">
        <f t="shared" si="52"/>
        <v/>
      </c>
      <c r="Y445" s="44" t="str">
        <f t="shared" si="53"/>
        <v/>
      </c>
      <c r="Z445" s="44" t="str">
        <f t="shared" si="54"/>
        <v/>
      </c>
      <c r="AA445" s="50" t="str">
        <f t="shared" si="55"/>
        <v/>
      </c>
      <c r="AB445" s="50" t="str">
        <f>IF(OR(B445="",C445&lt;&gt;"Expense"),"",IF(E445&gt;IFERROR(AVERAGEIFS($E$8:$E$1007,$I$8:$I$1007,I445,$C$8:$C$1007,"Expense")*SETTINGS!$B$20,0),"Unusually High","Normal"))</f>
        <v/>
      </c>
      <c r="AC445" s="51"/>
      <c r="AD445" s="51"/>
      <c r="AE445" s="51"/>
      <c r="AF445" s="50" t="str">
        <f>IF(A445&lt;&gt;"Yes","No",IF(AND(AC445="Yes",SETTINGS!$B$16="No"),"No","Yes"))</f>
        <v>No</v>
      </c>
      <c r="AG445" s="50" t="str">
        <f>IF(A445&lt;&gt;"Yes","",IF(OR(B445="",D445="",E445&lt;=0,F445="",I445=""),"Check Required Fields",IF(AA445="Possible Duplicate","Possible Duplicate",IF(E445&gt;SETTINGS!$B$22,"Review Extreme Value","OK"))))</f>
        <v/>
      </c>
    </row>
    <row r="446" spans="1:33" ht="14.4">
      <c r="A446" s="9"/>
      <c r="B446" s="13"/>
      <c r="C446" s="9"/>
      <c r="D446" s="9"/>
      <c r="E446" s="11"/>
      <c r="F446" s="9"/>
      <c r="G446" s="9"/>
      <c r="H446" s="44" t="str">
        <f>IF(D446="","",IF(ISNUMBER(SEARCH(SETTINGS!$K$4,D446)),SETTINGS!$L$4,IF(ISNUMBER(SEARCH(SETTINGS!$K$5,D446)),SETTINGS!$L$5,IF(ISNUMBER(SEARCH(SETTINGS!$K$6,D446)),SETTINGS!$L$6,IF(ISNUMBER(SEARCH(SETTINGS!$K$7,D446)),SETTINGS!$L$7,IF(ISNUMBER(SEARCH(SETTINGS!$K$8,D446)),SETTINGS!$L$8,IF(ISNUMBER(SEARCH(SETTINGS!$K$9,D446)),SETTINGS!$L$9,IF(ISNUMBER(SEARCH(SETTINGS!$K$10,D446)),SETTINGS!$L$10,IF(ISNUMBER(SEARCH(SETTINGS!$K$11,D446)),SETTINGS!$L$11,IF(ISNUMBER(SEARCH(SETTINGS!$K$12,D446)),SETTINGS!$L$12,IF(ISNUMBER(SEARCH(SETTINGS!$K$13,D446)),SETTINGS!$L$13,IF(ISNUMBER(SEARCH(SETTINGS!$K$14,D446)),SETTINGS!$L$14,IF(ISNUMBER(SEARCH(SETTINGS!$K$15,D446)),SETTINGS!$L$15,IF(ISNUMBER(SEARCH(SETTINGS!$K$16,D446)),SETTINGS!$L$16,IF(ISNUMBER(SEARCH(SETTINGS!$K$17,D446)),SETTINGS!$L$17,IF(ISNUMBER(SEARCH(SETTINGS!$K$18,D446)),SETTINGS!$L$18,"Miscellaneous"))))))))))))))))</f>
        <v/>
      </c>
      <c r="I446" s="44" t="str">
        <f t="shared" si="48"/>
        <v/>
      </c>
      <c r="J446" s="9"/>
      <c r="K446" s="9"/>
      <c r="L446" s="9"/>
      <c r="M446" s="9"/>
      <c r="N446" s="9"/>
      <c r="O446" s="9"/>
      <c r="P446" s="13"/>
      <c r="Q446" s="9"/>
      <c r="R446" s="9"/>
      <c r="S446" s="9"/>
      <c r="T446" s="11"/>
      <c r="U446" s="44" t="str">
        <f t="shared" si="49"/>
        <v/>
      </c>
      <c r="V446" s="44" t="str">
        <f t="shared" si="50"/>
        <v/>
      </c>
      <c r="W446" s="44" t="str">
        <f t="shared" si="51"/>
        <v/>
      </c>
      <c r="X446" s="44" t="str">
        <f t="shared" si="52"/>
        <v/>
      </c>
      <c r="Y446" s="44" t="str">
        <f t="shared" si="53"/>
        <v/>
      </c>
      <c r="Z446" s="44" t="str">
        <f t="shared" si="54"/>
        <v/>
      </c>
      <c r="AA446" s="50" t="str">
        <f t="shared" si="55"/>
        <v/>
      </c>
      <c r="AB446" s="50" t="str">
        <f>IF(OR(B446="",C446&lt;&gt;"Expense"),"",IF(E446&gt;IFERROR(AVERAGEIFS($E$8:$E$1007,$I$8:$I$1007,I446,$C$8:$C$1007,"Expense")*SETTINGS!$B$20,0),"Unusually High","Normal"))</f>
        <v/>
      </c>
      <c r="AC446" s="51"/>
      <c r="AD446" s="51"/>
      <c r="AE446" s="51"/>
      <c r="AF446" s="50" t="str">
        <f>IF(A446&lt;&gt;"Yes","No",IF(AND(AC446="Yes",SETTINGS!$B$16="No"),"No","Yes"))</f>
        <v>No</v>
      </c>
      <c r="AG446" s="50" t="str">
        <f>IF(A446&lt;&gt;"Yes","",IF(OR(B446="",D446="",E446&lt;=0,F446="",I446=""),"Check Required Fields",IF(AA446="Possible Duplicate","Possible Duplicate",IF(E446&gt;SETTINGS!$B$22,"Review Extreme Value","OK"))))</f>
        <v/>
      </c>
    </row>
    <row r="447" spans="1:33" ht="14.4">
      <c r="A447" s="9"/>
      <c r="B447" s="13"/>
      <c r="C447" s="9"/>
      <c r="D447" s="9"/>
      <c r="E447" s="11"/>
      <c r="F447" s="9"/>
      <c r="G447" s="9"/>
      <c r="H447" s="44" t="str">
        <f>IF(D447="","",IF(ISNUMBER(SEARCH(SETTINGS!$K$4,D447)),SETTINGS!$L$4,IF(ISNUMBER(SEARCH(SETTINGS!$K$5,D447)),SETTINGS!$L$5,IF(ISNUMBER(SEARCH(SETTINGS!$K$6,D447)),SETTINGS!$L$6,IF(ISNUMBER(SEARCH(SETTINGS!$K$7,D447)),SETTINGS!$L$7,IF(ISNUMBER(SEARCH(SETTINGS!$K$8,D447)),SETTINGS!$L$8,IF(ISNUMBER(SEARCH(SETTINGS!$K$9,D447)),SETTINGS!$L$9,IF(ISNUMBER(SEARCH(SETTINGS!$K$10,D447)),SETTINGS!$L$10,IF(ISNUMBER(SEARCH(SETTINGS!$K$11,D447)),SETTINGS!$L$11,IF(ISNUMBER(SEARCH(SETTINGS!$K$12,D447)),SETTINGS!$L$12,IF(ISNUMBER(SEARCH(SETTINGS!$K$13,D447)),SETTINGS!$L$13,IF(ISNUMBER(SEARCH(SETTINGS!$K$14,D447)),SETTINGS!$L$14,IF(ISNUMBER(SEARCH(SETTINGS!$K$15,D447)),SETTINGS!$L$15,IF(ISNUMBER(SEARCH(SETTINGS!$K$16,D447)),SETTINGS!$L$16,IF(ISNUMBER(SEARCH(SETTINGS!$K$17,D447)),SETTINGS!$L$17,IF(ISNUMBER(SEARCH(SETTINGS!$K$18,D447)),SETTINGS!$L$18,"Miscellaneous"))))))))))))))))</f>
        <v/>
      </c>
      <c r="I447" s="44" t="str">
        <f t="shared" si="48"/>
        <v/>
      </c>
      <c r="J447" s="9"/>
      <c r="K447" s="9"/>
      <c r="L447" s="9"/>
      <c r="M447" s="9"/>
      <c r="N447" s="9"/>
      <c r="O447" s="9"/>
      <c r="P447" s="13"/>
      <c r="Q447" s="9"/>
      <c r="R447" s="9"/>
      <c r="S447" s="9"/>
      <c r="T447" s="11"/>
      <c r="U447" s="44" t="str">
        <f t="shared" si="49"/>
        <v/>
      </c>
      <c r="V447" s="44" t="str">
        <f t="shared" si="50"/>
        <v/>
      </c>
      <c r="W447" s="44" t="str">
        <f t="shared" si="51"/>
        <v/>
      </c>
      <c r="X447" s="44" t="str">
        <f t="shared" si="52"/>
        <v/>
      </c>
      <c r="Y447" s="44" t="str">
        <f t="shared" si="53"/>
        <v/>
      </c>
      <c r="Z447" s="44" t="str">
        <f t="shared" si="54"/>
        <v/>
      </c>
      <c r="AA447" s="50" t="str">
        <f t="shared" si="55"/>
        <v/>
      </c>
      <c r="AB447" s="50" t="str">
        <f>IF(OR(B447="",C447&lt;&gt;"Expense"),"",IF(E447&gt;IFERROR(AVERAGEIFS($E$8:$E$1007,$I$8:$I$1007,I447,$C$8:$C$1007,"Expense")*SETTINGS!$B$20,0),"Unusually High","Normal"))</f>
        <v/>
      </c>
      <c r="AC447" s="51"/>
      <c r="AD447" s="51"/>
      <c r="AE447" s="51"/>
      <c r="AF447" s="50" t="str">
        <f>IF(A447&lt;&gt;"Yes","No",IF(AND(AC447="Yes",SETTINGS!$B$16="No"),"No","Yes"))</f>
        <v>No</v>
      </c>
      <c r="AG447" s="50" t="str">
        <f>IF(A447&lt;&gt;"Yes","",IF(OR(B447="",D447="",E447&lt;=0,F447="",I447=""),"Check Required Fields",IF(AA447="Possible Duplicate","Possible Duplicate",IF(E447&gt;SETTINGS!$B$22,"Review Extreme Value","OK"))))</f>
        <v/>
      </c>
    </row>
    <row r="448" spans="1:33" ht="14.4">
      <c r="A448" s="9"/>
      <c r="B448" s="13"/>
      <c r="C448" s="9"/>
      <c r="D448" s="9"/>
      <c r="E448" s="11"/>
      <c r="F448" s="9"/>
      <c r="G448" s="9"/>
      <c r="H448" s="44" t="str">
        <f>IF(D448="","",IF(ISNUMBER(SEARCH(SETTINGS!$K$4,D448)),SETTINGS!$L$4,IF(ISNUMBER(SEARCH(SETTINGS!$K$5,D448)),SETTINGS!$L$5,IF(ISNUMBER(SEARCH(SETTINGS!$K$6,D448)),SETTINGS!$L$6,IF(ISNUMBER(SEARCH(SETTINGS!$K$7,D448)),SETTINGS!$L$7,IF(ISNUMBER(SEARCH(SETTINGS!$K$8,D448)),SETTINGS!$L$8,IF(ISNUMBER(SEARCH(SETTINGS!$K$9,D448)),SETTINGS!$L$9,IF(ISNUMBER(SEARCH(SETTINGS!$K$10,D448)),SETTINGS!$L$10,IF(ISNUMBER(SEARCH(SETTINGS!$K$11,D448)),SETTINGS!$L$11,IF(ISNUMBER(SEARCH(SETTINGS!$K$12,D448)),SETTINGS!$L$12,IF(ISNUMBER(SEARCH(SETTINGS!$K$13,D448)),SETTINGS!$L$13,IF(ISNUMBER(SEARCH(SETTINGS!$K$14,D448)),SETTINGS!$L$14,IF(ISNUMBER(SEARCH(SETTINGS!$K$15,D448)),SETTINGS!$L$15,IF(ISNUMBER(SEARCH(SETTINGS!$K$16,D448)),SETTINGS!$L$16,IF(ISNUMBER(SEARCH(SETTINGS!$K$17,D448)),SETTINGS!$L$17,IF(ISNUMBER(SEARCH(SETTINGS!$K$18,D448)),SETTINGS!$L$18,"Miscellaneous"))))))))))))))))</f>
        <v/>
      </c>
      <c r="I448" s="44" t="str">
        <f t="shared" si="48"/>
        <v/>
      </c>
      <c r="J448" s="9"/>
      <c r="K448" s="9"/>
      <c r="L448" s="9"/>
      <c r="M448" s="9"/>
      <c r="N448" s="9"/>
      <c r="O448" s="9"/>
      <c r="P448" s="13"/>
      <c r="Q448" s="9"/>
      <c r="R448" s="9"/>
      <c r="S448" s="9"/>
      <c r="T448" s="11"/>
      <c r="U448" s="44" t="str">
        <f t="shared" si="49"/>
        <v/>
      </c>
      <c r="V448" s="44" t="str">
        <f t="shared" si="50"/>
        <v/>
      </c>
      <c r="W448" s="44" t="str">
        <f t="shared" si="51"/>
        <v/>
      </c>
      <c r="X448" s="44" t="str">
        <f t="shared" si="52"/>
        <v/>
      </c>
      <c r="Y448" s="44" t="str">
        <f t="shared" si="53"/>
        <v/>
      </c>
      <c r="Z448" s="44" t="str">
        <f t="shared" si="54"/>
        <v/>
      </c>
      <c r="AA448" s="50" t="str">
        <f t="shared" si="55"/>
        <v/>
      </c>
      <c r="AB448" s="50" t="str">
        <f>IF(OR(B448="",C448&lt;&gt;"Expense"),"",IF(E448&gt;IFERROR(AVERAGEIFS($E$8:$E$1007,$I$8:$I$1007,I448,$C$8:$C$1007,"Expense")*SETTINGS!$B$20,0),"Unusually High","Normal"))</f>
        <v/>
      </c>
      <c r="AC448" s="51"/>
      <c r="AD448" s="51"/>
      <c r="AE448" s="51"/>
      <c r="AF448" s="50" t="str">
        <f>IF(A448&lt;&gt;"Yes","No",IF(AND(AC448="Yes",SETTINGS!$B$16="No"),"No","Yes"))</f>
        <v>No</v>
      </c>
      <c r="AG448" s="50" t="str">
        <f>IF(A448&lt;&gt;"Yes","",IF(OR(B448="",D448="",E448&lt;=0,F448="",I448=""),"Check Required Fields",IF(AA448="Possible Duplicate","Possible Duplicate",IF(E448&gt;SETTINGS!$B$22,"Review Extreme Value","OK"))))</f>
        <v/>
      </c>
    </row>
    <row r="449" spans="1:33" ht="14.4">
      <c r="A449" s="9"/>
      <c r="B449" s="13"/>
      <c r="C449" s="9"/>
      <c r="D449" s="9"/>
      <c r="E449" s="11"/>
      <c r="F449" s="9"/>
      <c r="G449" s="9"/>
      <c r="H449" s="44" t="str">
        <f>IF(D449="","",IF(ISNUMBER(SEARCH(SETTINGS!$K$4,D449)),SETTINGS!$L$4,IF(ISNUMBER(SEARCH(SETTINGS!$K$5,D449)),SETTINGS!$L$5,IF(ISNUMBER(SEARCH(SETTINGS!$K$6,D449)),SETTINGS!$L$6,IF(ISNUMBER(SEARCH(SETTINGS!$K$7,D449)),SETTINGS!$L$7,IF(ISNUMBER(SEARCH(SETTINGS!$K$8,D449)),SETTINGS!$L$8,IF(ISNUMBER(SEARCH(SETTINGS!$K$9,D449)),SETTINGS!$L$9,IF(ISNUMBER(SEARCH(SETTINGS!$K$10,D449)),SETTINGS!$L$10,IF(ISNUMBER(SEARCH(SETTINGS!$K$11,D449)),SETTINGS!$L$11,IF(ISNUMBER(SEARCH(SETTINGS!$K$12,D449)),SETTINGS!$L$12,IF(ISNUMBER(SEARCH(SETTINGS!$K$13,D449)),SETTINGS!$L$13,IF(ISNUMBER(SEARCH(SETTINGS!$K$14,D449)),SETTINGS!$L$14,IF(ISNUMBER(SEARCH(SETTINGS!$K$15,D449)),SETTINGS!$L$15,IF(ISNUMBER(SEARCH(SETTINGS!$K$16,D449)),SETTINGS!$L$16,IF(ISNUMBER(SEARCH(SETTINGS!$K$17,D449)),SETTINGS!$L$17,IF(ISNUMBER(SEARCH(SETTINGS!$K$18,D449)),SETTINGS!$L$18,"Miscellaneous"))))))))))))))))</f>
        <v/>
      </c>
      <c r="I449" s="44" t="str">
        <f t="shared" si="48"/>
        <v/>
      </c>
      <c r="J449" s="9"/>
      <c r="K449" s="9"/>
      <c r="L449" s="9"/>
      <c r="M449" s="9"/>
      <c r="N449" s="9"/>
      <c r="O449" s="9"/>
      <c r="P449" s="13"/>
      <c r="Q449" s="9"/>
      <c r="R449" s="9"/>
      <c r="S449" s="9"/>
      <c r="T449" s="11"/>
      <c r="U449" s="44" t="str">
        <f t="shared" si="49"/>
        <v/>
      </c>
      <c r="V449" s="44" t="str">
        <f t="shared" si="50"/>
        <v/>
      </c>
      <c r="W449" s="44" t="str">
        <f t="shared" si="51"/>
        <v/>
      </c>
      <c r="X449" s="44" t="str">
        <f t="shared" si="52"/>
        <v/>
      </c>
      <c r="Y449" s="44" t="str">
        <f t="shared" si="53"/>
        <v/>
      </c>
      <c r="Z449" s="44" t="str">
        <f t="shared" si="54"/>
        <v/>
      </c>
      <c r="AA449" s="50" t="str">
        <f t="shared" si="55"/>
        <v/>
      </c>
      <c r="AB449" s="50" t="str">
        <f>IF(OR(B449="",C449&lt;&gt;"Expense"),"",IF(E449&gt;IFERROR(AVERAGEIFS($E$8:$E$1007,$I$8:$I$1007,I449,$C$8:$C$1007,"Expense")*SETTINGS!$B$20,0),"Unusually High","Normal"))</f>
        <v/>
      </c>
      <c r="AC449" s="51"/>
      <c r="AD449" s="51"/>
      <c r="AE449" s="51"/>
      <c r="AF449" s="50" t="str">
        <f>IF(A449&lt;&gt;"Yes","No",IF(AND(AC449="Yes",SETTINGS!$B$16="No"),"No","Yes"))</f>
        <v>No</v>
      </c>
      <c r="AG449" s="50" t="str">
        <f>IF(A449&lt;&gt;"Yes","",IF(OR(B449="",D449="",E449&lt;=0,F449="",I449=""),"Check Required Fields",IF(AA449="Possible Duplicate","Possible Duplicate",IF(E449&gt;SETTINGS!$B$22,"Review Extreme Value","OK"))))</f>
        <v/>
      </c>
    </row>
    <row r="450" spans="1:33" ht="14.4">
      <c r="A450" s="9"/>
      <c r="B450" s="13"/>
      <c r="C450" s="9"/>
      <c r="D450" s="9"/>
      <c r="E450" s="11"/>
      <c r="F450" s="9"/>
      <c r="G450" s="9"/>
      <c r="H450" s="44" t="str">
        <f>IF(D450="","",IF(ISNUMBER(SEARCH(SETTINGS!$K$4,D450)),SETTINGS!$L$4,IF(ISNUMBER(SEARCH(SETTINGS!$K$5,D450)),SETTINGS!$L$5,IF(ISNUMBER(SEARCH(SETTINGS!$K$6,D450)),SETTINGS!$L$6,IF(ISNUMBER(SEARCH(SETTINGS!$K$7,D450)),SETTINGS!$L$7,IF(ISNUMBER(SEARCH(SETTINGS!$K$8,D450)),SETTINGS!$L$8,IF(ISNUMBER(SEARCH(SETTINGS!$K$9,D450)),SETTINGS!$L$9,IF(ISNUMBER(SEARCH(SETTINGS!$K$10,D450)),SETTINGS!$L$10,IF(ISNUMBER(SEARCH(SETTINGS!$K$11,D450)),SETTINGS!$L$11,IF(ISNUMBER(SEARCH(SETTINGS!$K$12,D450)),SETTINGS!$L$12,IF(ISNUMBER(SEARCH(SETTINGS!$K$13,D450)),SETTINGS!$L$13,IF(ISNUMBER(SEARCH(SETTINGS!$K$14,D450)),SETTINGS!$L$14,IF(ISNUMBER(SEARCH(SETTINGS!$K$15,D450)),SETTINGS!$L$15,IF(ISNUMBER(SEARCH(SETTINGS!$K$16,D450)),SETTINGS!$L$16,IF(ISNUMBER(SEARCH(SETTINGS!$K$17,D450)),SETTINGS!$L$17,IF(ISNUMBER(SEARCH(SETTINGS!$K$18,D450)),SETTINGS!$L$18,"Miscellaneous"))))))))))))))))</f>
        <v/>
      </c>
      <c r="I450" s="44" t="str">
        <f t="shared" si="48"/>
        <v/>
      </c>
      <c r="J450" s="9"/>
      <c r="K450" s="9"/>
      <c r="L450" s="9"/>
      <c r="M450" s="9"/>
      <c r="N450" s="9"/>
      <c r="O450" s="9"/>
      <c r="P450" s="13"/>
      <c r="Q450" s="9"/>
      <c r="R450" s="9"/>
      <c r="S450" s="9"/>
      <c r="T450" s="11"/>
      <c r="U450" s="44" t="str">
        <f t="shared" si="49"/>
        <v/>
      </c>
      <c r="V450" s="44" t="str">
        <f t="shared" si="50"/>
        <v/>
      </c>
      <c r="W450" s="44" t="str">
        <f t="shared" si="51"/>
        <v/>
      </c>
      <c r="X450" s="44" t="str">
        <f t="shared" si="52"/>
        <v/>
      </c>
      <c r="Y450" s="44" t="str">
        <f t="shared" si="53"/>
        <v/>
      </c>
      <c r="Z450" s="44" t="str">
        <f t="shared" si="54"/>
        <v/>
      </c>
      <c r="AA450" s="50" t="str">
        <f t="shared" si="55"/>
        <v/>
      </c>
      <c r="AB450" s="50" t="str">
        <f>IF(OR(B450="",C450&lt;&gt;"Expense"),"",IF(E450&gt;IFERROR(AVERAGEIFS($E$8:$E$1007,$I$8:$I$1007,I450,$C$8:$C$1007,"Expense")*SETTINGS!$B$20,0),"Unusually High","Normal"))</f>
        <v/>
      </c>
      <c r="AC450" s="51"/>
      <c r="AD450" s="51"/>
      <c r="AE450" s="51"/>
      <c r="AF450" s="50" t="str">
        <f>IF(A450&lt;&gt;"Yes","No",IF(AND(AC450="Yes",SETTINGS!$B$16="No"),"No","Yes"))</f>
        <v>No</v>
      </c>
      <c r="AG450" s="50" t="str">
        <f>IF(A450&lt;&gt;"Yes","",IF(OR(B450="",D450="",E450&lt;=0,F450="",I450=""),"Check Required Fields",IF(AA450="Possible Duplicate","Possible Duplicate",IF(E450&gt;SETTINGS!$B$22,"Review Extreme Value","OK"))))</f>
        <v/>
      </c>
    </row>
    <row r="451" spans="1:33" ht="14.4">
      <c r="A451" s="9"/>
      <c r="B451" s="13"/>
      <c r="C451" s="9"/>
      <c r="D451" s="9"/>
      <c r="E451" s="11"/>
      <c r="F451" s="9"/>
      <c r="G451" s="9"/>
      <c r="H451" s="44" t="str">
        <f>IF(D451="","",IF(ISNUMBER(SEARCH(SETTINGS!$K$4,D451)),SETTINGS!$L$4,IF(ISNUMBER(SEARCH(SETTINGS!$K$5,D451)),SETTINGS!$L$5,IF(ISNUMBER(SEARCH(SETTINGS!$K$6,D451)),SETTINGS!$L$6,IF(ISNUMBER(SEARCH(SETTINGS!$K$7,D451)),SETTINGS!$L$7,IF(ISNUMBER(SEARCH(SETTINGS!$K$8,D451)),SETTINGS!$L$8,IF(ISNUMBER(SEARCH(SETTINGS!$K$9,D451)),SETTINGS!$L$9,IF(ISNUMBER(SEARCH(SETTINGS!$K$10,D451)),SETTINGS!$L$10,IF(ISNUMBER(SEARCH(SETTINGS!$K$11,D451)),SETTINGS!$L$11,IF(ISNUMBER(SEARCH(SETTINGS!$K$12,D451)),SETTINGS!$L$12,IF(ISNUMBER(SEARCH(SETTINGS!$K$13,D451)),SETTINGS!$L$13,IF(ISNUMBER(SEARCH(SETTINGS!$K$14,D451)),SETTINGS!$L$14,IF(ISNUMBER(SEARCH(SETTINGS!$K$15,D451)),SETTINGS!$L$15,IF(ISNUMBER(SEARCH(SETTINGS!$K$16,D451)),SETTINGS!$L$16,IF(ISNUMBER(SEARCH(SETTINGS!$K$17,D451)),SETTINGS!$L$17,IF(ISNUMBER(SEARCH(SETTINGS!$K$18,D451)),SETTINGS!$L$18,"Miscellaneous"))))))))))))))))</f>
        <v/>
      </c>
      <c r="I451" s="44" t="str">
        <f t="shared" si="48"/>
        <v/>
      </c>
      <c r="J451" s="9"/>
      <c r="K451" s="9"/>
      <c r="L451" s="9"/>
      <c r="M451" s="9"/>
      <c r="N451" s="9"/>
      <c r="O451" s="9"/>
      <c r="P451" s="13"/>
      <c r="Q451" s="9"/>
      <c r="R451" s="9"/>
      <c r="S451" s="9"/>
      <c r="T451" s="11"/>
      <c r="U451" s="44" t="str">
        <f t="shared" si="49"/>
        <v/>
      </c>
      <c r="V451" s="44" t="str">
        <f t="shared" si="50"/>
        <v/>
      </c>
      <c r="W451" s="44" t="str">
        <f t="shared" si="51"/>
        <v/>
      </c>
      <c r="X451" s="44" t="str">
        <f t="shared" si="52"/>
        <v/>
      </c>
      <c r="Y451" s="44" t="str">
        <f t="shared" si="53"/>
        <v/>
      </c>
      <c r="Z451" s="44" t="str">
        <f t="shared" si="54"/>
        <v/>
      </c>
      <c r="AA451" s="50" t="str">
        <f t="shared" si="55"/>
        <v/>
      </c>
      <c r="AB451" s="50" t="str">
        <f>IF(OR(B451="",C451&lt;&gt;"Expense"),"",IF(E451&gt;IFERROR(AVERAGEIFS($E$8:$E$1007,$I$8:$I$1007,I451,$C$8:$C$1007,"Expense")*SETTINGS!$B$20,0),"Unusually High","Normal"))</f>
        <v/>
      </c>
      <c r="AC451" s="51"/>
      <c r="AD451" s="51"/>
      <c r="AE451" s="51"/>
      <c r="AF451" s="50" t="str">
        <f>IF(A451&lt;&gt;"Yes","No",IF(AND(AC451="Yes",SETTINGS!$B$16="No"),"No","Yes"))</f>
        <v>No</v>
      </c>
      <c r="AG451" s="50" t="str">
        <f>IF(A451&lt;&gt;"Yes","",IF(OR(B451="",D451="",E451&lt;=0,F451="",I451=""),"Check Required Fields",IF(AA451="Possible Duplicate","Possible Duplicate",IF(E451&gt;SETTINGS!$B$22,"Review Extreme Value","OK"))))</f>
        <v/>
      </c>
    </row>
    <row r="452" spans="1:33" ht="14.4">
      <c r="A452" s="9"/>
      <c r="B452" s="13"/>
      <c r="C452" s="9"/>
      <c r="D452" s="9"/>
      <c r="E452" s="11"/>
      <c r="F452" s="9"/>
      <c r="G452" s="9"/>
      <c r="H452" s="44" t="str">
        <f>IF(D452="","",IF(ISNUMBER(SEARCH(SETTINGS!$K$4,D452)),SETTINGS!$L$4,IF(ISNUMBER(SEARCH(SETTINGS!$K$5,D452)),SETTINGS!$L$5,IF(ISNUMBER(SEARCH(SETTINGS!$K$6,D452)),SETTINGS!$L$6,IF(ISNUMBER(SEARCH(SETTINGS!$K$7,D452)),SETTINGS!$L$7,IF(ISNUMBER(SEARCH(SETTINGS!$K$8,D452)),SETTINGS!$L$8,IF(ISNUMBER(SEARCH(SETTINGS!$K$9,D452)),SETTINGS!$L$9,IF(ISNUMBER(SEARCH(SETTINGS!$K$10,D452)),SETTINGS!$L$10,IF(ISNUMBER(SEARCH(SETTINGS!$K$11,D452)),SETTINGS!$L$11,IF(ISNUMBER(SEARCH(SETTINGS!$K$12,D452)),SETTINGS!$L$12,IF(ISNUMBER(SEARCH(SETTINGS!$K$13,D452)),SETTINGS!$L$13,IF(ISNUMBER(SEARCH(SETTINGS!$K$14,D452)),SETTINGS!$L$14,IF(ISNUMBER(SEARCH(SETTINGS!$K$15,D452)),SETTINGS!$L$15,IF(ISNUMBER(SEARCH(SETTINGS!$K$16,D452)),SETTINGS!$L$16,IF(ISNUMBER(SEARCH(SETTINGS!$K$17,D452)),SETTINGS!$L$17,IF(ISNUMBER(SEARCH(SETTINGS!$K$18,D452)),SETTINGS!$L$18,"Miscellaneous"))))))))))))))))</f>
        <v/>
      </c>
      <c r="I452" s="44" t="str">
        <f t="shared" si="48"/>
        <v/>
      </c>
      <c r="J452" s="9"/>
      <c r="K452" s="9"/>
      <c r="L452" s="9"/>
      <c r="M452" s="9"/>
      <c r="N452" s="9"/>
      <c r="O452" s="9"/>
      <c r="P452" s="13"/>
      <c r="Q452" s="9"/>
      <c r="R452" s="9"/>
      <c r="S452" s="9"/>
      <c r="T452" s="11"/>
      <c r="U452" s="44" t="str">
        <f t="shared" si="49"/>
        <v/>
      </c>
      <c r="V452" s="44" t="str">
        <f t="shared" si="50"/>
        <v/>
      </c>
      <c r="W452" s="44" t="str">
        <f t="shared" si="51"/>
        <v/>
      </c>
      <c r="X452" s="44" t="str">
        <f t="shared" si="52"/>
        <v/>
      </c>
      <c r="Y452" s="44" t="str">
        <f t="shared" si="53"/>
        <v/>
      </c>
      <c r="Z452" s="44" t="str">
        <f t="shared" si="54"/>
        <v/>
      </c>
      <c r="AA452" s="50" t="str">
        <f t="shared" si="55"/>
        <v/>
      </c>
      <c r="AB452" s="50" t="str">
        <f>IF(OR(B452="",C452&lt;&gt;"Expense"),"",IF(E452&gt;IFERROR(AVERAGEIFS($E$8:$E$1007,$I$8:$I$1007,I452,$C$8:$C$1007,"Expense")*SETTINGS!$B$20,0),"Unusually High","Normal"))</f>
        <v/>
      </c>
      <c r="AC452" s="51"/>
      <c r="AD452" s="51"/>
      <c r="AE452" s="51"/>
      <c r="AF452" s="50" t="str">
        <f>IF(A452&lt;&gt;"Yes","No",IF(AND(AC452="Yes",SETTINGS!$B$16="No"),"No","Yes"))</f>
        <v>No</v>
      </c>
      <c r="AG452" s="50" t="str">
        <f>IF(A452&lt;&gt;"Yes","",IF(OR(B452="",D452="",E452&lt;=0,F452="",I452=""),"Check Required Fields",IF(AA452="Possible Duplicate","Possible Duplicate",IF(E452&gt;SETTINGS!$B$22,"Review Extreme Value","OK"))))</f>
        <v/>
      </c>
    </row>
    <row r="453" spans="1:33" ht="14.4">
      <c r="A453" s="9"/>
      <c r="B453" s="13"/>
      <c r="C453" s="9"/>
      <c r="D453" s="9"/>
      <c r="E453" s="11"/>
      <c r="F453" s="9"/>
      <c r="G453" s="9"/>
      <c r="H453" s="44" t="str">
        <f>IF(D453="","",IF(ISNUMBER(SEARCH(SETTINGS!$K$4,D453)),SETTINGS!$L$4,IF(ISNUMBER(SEARCH(SETTINGS!$K$5,D453)),SETTINGS!$L$5,IF(ISNUMBER(SEARCH(SETTINGS!$K$6,D453)),SETTINGS!$L$6,IF(ISNUMBER(SEARCH(SETTINGS!$K$7,D453)),SETTINGS!$L$7,IF(ISNUMBER(SEARCH(SETTINGS!$K$8,D453)),SETTINGS!$L$8,IF(ISNUMBER(SEARCH(SETTINGS!$K$9,D453)),SETTINGS!$L$9,IF(ISNUMBER(SEARCH(SETTINGS!$K$10,D453)),SETTINGS!$L$10,IF(ISNUMBER(SEARCH(SETTINGS!$K$11,D453)),SETTINGS!$L$11,IF(ISNUMBER(SEARCH(SETTINGS!$K$12,D453)),SETTINGS!$L$12,IF(ISNUMBER(SEARCH(SETTINGS!$K$13,D453)),SETTINGS!$L$13,IF(ISNUMBER(SEARCH(SETTINGS!$K$14,D453)),SETTINGS!$L$14,IF(ISNUMBER(SEARCH(SETTINGS!$K$15,D453)),SETTINGS!$L$15,IF(ISNUMBER(SEARCH(SETTINGS!$K$16,D453)),SETTINGS!$L$16,IF(ISNUMBER(SEARCH(SETTINGS!$K$17,D453)),SETTINGS!$L$17,IF(ISNUMBER(SEARCH(SETTINGS!$K$18,D453)),SETTINGS!$L$18,"Miscellaneous"))))))))))))))))</f>
        <v/>
      </c>
      <c r="I453" s="44" t="str">
        <f t="shared" si="48"/>
        <v/>
      </c>
      <c r="J453" s="9"/>
      <c r="K453" s="9"/>
      <c r="L453" s="9"/>
      <c r="M453" s="9"/>
      <c r="N453" s="9"/>
      <c r="O453" s="9"/>
      <c r="P453" s="13"/>
      <c r="Q453" s="9"/>
      <c r="R453" s="9"/>
      <c r="S453" s="9"/>
      <c r="T453" s="11"/>
      <c r="U453" s="44" t="str">
        <f t="shared" si="49"/>
        <v/>
      </c>
      <c r="V453" s="44" t="str">
        <f t="shared" si="50"/>
        <v/>
      </c>
      <c r="W453" s="44" t="str">
        <f t="shared" si="51"/>
        <v/>
      </c>
      <c r="X453" s="44" t="str">
        <f t="shared" si="52"/>
        <v/>
      </c>
      <c r="Y453" s="44" t="str">
        <f t="shared" si="53"/>
        <v/>
      </c>
      <c r="Z453" s="44" t="str">
        <f t="shared" si="54"/>
        <v/>
      </c>
      <c r="AA453" s="50" t="str">
        <f t="shared" si="55"/>
        <v/>
      </c>
      <c r="AB453" s="50" t="str">
        <f>IF(OR(B453="",C453&lt;&gt;"Expense"),"",IF(E453&gt;IFERROR(AVERAGEIFS($E$8:$E$1007,$I$8:$I$1007,I453,$C$8:$C$1007,"Expense")*SETTINGS!$B$20,0),"Unusually High","Normal"))</f>
        <v/>
      </c>
      <c r="AC453" s="51"/>
      <c r="AD453" s="51"/>
      <c r="AE453" s="51"/>
      <c r="AF453" s="50" t="str">
        <f>IF(A453&lt;&gt;"Yes","No",IF(AND(AC453="Yes",SETTINGS!$B$16="No"),"No","Yes"))</f>
        <v>No</v>
      </c>
      <c r="AG453" s="50" t="str">
        <f>IF(A453&lt;&gt;"Yes","",IF(OR(B453="",D453="",E453&lt;=0,F453="",I453=""),"Check Required Fields",IF(AA453="Possible Duplicate","Possible Duplicate",IF(E453&gt;SETTINGS!$B$22,"Review Extreme Value","OK"))))</f>
        <v/>
      </c>
    </row>
    <row r="454" spans="1:33" ht="14.4">
      <c r="A454" s="9"/>
      <c r="B454" s="13"/>
      <c r="C454" s="9"/>
      <c r="D454" s="9"/>
      <c r="E454" s="11"/>
      <c r="F454" s="9"/>
      <c r="G454" s="9"/>
      <c r="H454" s="44" t="str">
        <f>IF(D454="","",IF(ISNUMBER(SEARCH(SETTINGS!$K$4,D454)),SETTINGS!$L$4,IF(ISNUMBER(SEARCH(SETTINGS!$K$5,D454)),SETTINGS!$L$5,IF(ISNUMBER(SEARCH(SETTINGS!$K$6,D454)),SETTINGS!$L$6,IF(ISNUMBER(SEARCH(SETTINGS!$K$7,D454)),SETTINGS!$L$7,IF(ISNUMBER(SEARCH(SETTINGS!$K$8,D454)),SETTINGS!$L$8,IF(ISNUMBER(SEARCH(SETTINGS!$K$9,D454)),SETTINGS!$L$9,IF(ISNUMBER(SEARCH(SETTINGS!$K$10,D454)),SETTINGS!$L$10,IF(ISNUMBER(SEARCH(SETTINGS!$K$11,D454)),SETTINGS!$L$11,IF(ISNUMBER(SEARCH(SETTINGS!$K$12,D454)),SETTINGS!$L$12,IF(ISNUMBER(SEARCH(SETTINGS!$K$13,D454)),SETTINGS!$L$13,IF(ISNUMBER(SEARCH(SETTINGS!$K$14,D454)),SETTINGS!$L$14,IF(ISNUMBER(SEARCH(SETTINGS!$K$15,D454)),SETTINGS!$L$15,IF(ISNUMBER(SEARCH(SETTINGS!$K$16,D454)),SETTINGS!$L$16,IF(ISNUMBER(SEARCH(SETTINGS!$K$17,D454)),SETTINGS!$L$17,IF(ISNUMBER(SEARCH(SETTINGS!$K$18,D454)),SETTINGS!$L$18,"Miscellaneous"))))))))))))))))</f>
        <v/>
      </c>
      <c r="I454" s="44" t="str">
        <f t="shared" si="48"/>
        <v/>
      </c>
      <c r="J454" s="9"/>
      <c r="K454" s="9"/>
      <c r="L454" s="9"/>
      <c r="M454" s="9"/>
      <c r="N454" s="9"/>
      <c r="O454" s="9"/>
      <c r="P454" s="13"/>
      <c r="Q454" s="9"/>
      <c r="R454" s="9"/>
      <c r="S454" s="9"/>
      <c r="T454" s="11"/>
      <c r="U454" s="44" t="str">
        <f t="shared" si="49"/>
        <v/>
      </c>
      <c r="V454" s="44" t="str">
        <f t="shared" si="50"/>
        <v/>
      </c>
      <c r="W454" s="44" t="str">
        <f t="shared" si="51"/>
        <v/>
      </c>
      <c r="X454" s="44" t="str">
        <f t="shared" si="52"/>
        <v/>
      </c>
      <c r="Y454" s="44" t="str">
        <f t="shared" si="53"/>
        <v/>
      </c>
      <c r="Z454" s="44" t="str">
        <f t="shared" si="54"/>
        <v/>
      </c>
      <c r="AA454" s="50" t="str">
        <f t="shared" si="55"/>
        <v/>
      </c>
      <c r="AB454" s="50" t="str">
        <f>IF(OR(B454="",C454&lt;&gt;"Expense"),"",IF(E454&gt;IFERROR(AVERAGEIFS($E$8:$E$1007,$I$8:$I$1007,I454,$C$8:$C$1007,"Expense")*SETTINGS!$B$20,0),"Unusually High","Normal"))</f>
        <v/>
      </c>
      <c r="AC454" s="51"/>
      <c r="AD454" s="51"/>
      <c r="AE454" s="51"/>
      <c r="AF454" s="50" t="str">
        <f>IF(A454&lt;&gt;"Yes","No",IF(AND(AC454="Yes",SETTINGS!$B$16="No"),"No","Yes"))</f>
        <v>No</v>
      </c>
      <c r="AG454" s="50" t="str">
        <f>IF(A454&lt;&gt;"Yes","",IF(OR(B454="",D454="",E454&lt;=0,F454="",I454=""),"Check Required Fields",IF(AA454="Possible Duplicate","Possible Duplicate",IF(E454&gt;SETTINGS!$B$22,"Review Extreme Value","OK"))))</f>
        <v/>
      </c>
    </row>
    <row r="455" spans="1:33" ht="14.4">
      <c r="A455" s="9"/>
      <c r="B455" s="13"/>
      <c r="C455" s="9"/>
      <c r="D455" s="9"/>
      <c r="E455" s="11"/>
      <c r="F455" s="9"/>
      <c r="G455" s="9"/>
      <c r="H455" s="44" t="str">
        <f>IF(D455="","",IF(ISNUMBER(SEARCH(SETTINGS!$K$4,D455)),SETTINGS!$L$4,IF(ISNUMBER(SEARCH(SETTINGS!$K$5,D455)),SETTINGS!$L$5,IF(ISNUMBER(SEARCH(SETTINGS!$K$6,D455)),SETTINGS!$L$6,IF(ISNUMBER(SEARCH(SETTINGS!$K$7,D455)),SETTINGS!$L$7,IF(ISNUMBER(SEARCH(SETTINGS!$K$8,D455)),SETTINGS!$L$8,IF(ISNUMBER(SEARCH(SETTINGS!$K$9,D455)),SETTINGS!$L$9,IF(ISNUMBER(SEARCH(SETTINGS!$K$10,D455)),SETTINGS!$L$10,IF(ISNUMBER(SEARCH(SETTINGS!$K$11,D455)),SETTINGS!$L$11,IF(ISNUMBER(SEARCH(SETTINGS!$K$12,D455)),SETTINGS!$L$12,IF(ISNUMBER(SEARCH(SETTINGS!$K$13,D455)),SETTINGS!$L$13,IF(ISNUMBER(SEARCH(SETTINGS!$K$14,D455)),SETTINGS!$L$14,IF(ISNUMBER(SEARCH(SETTINGS!$K$15,D455)),SETTINGS!$L$15,IF(ISNUMBER(SEARCH(SETTINGS!$K$16,D455)),SETTINGS!$L$16,IF(ISNUMBER(SEARCH(SETTINGS!$K$17,D455)),SETTINGS!$L$17,IF(ISNUMBER(SEARCH(SETTINGS!$K$18,D455)),SETTINGS!$L$18,"Miscellaneous"))))))))))))))))</f>
        <v/>
      </c>
      <c r="I455" s="44" t="str">
        <f t="shared" si="48"/>
        <v/>
      </c>
      <c r="J455" s="9"/>
      <c r="K455" s="9"/>
      <c r="L455" s="9"/>
      <c r="M455" s="9"/>
      <c r="N455" s="9"/>
      <c r="O455" s="9"/>
      <c r="P455" s="13"/>
      <c r="Q455" s="9"/>
      <c r="R455" s="9"/>
      <c r="S455" s="9"/>
      <c r="T455" s="11"/>
      <c r="U455" s="44" t="str">
        <f t="shared" si="49"/>
        <v/>
      </c>
      <c r="V455" s="44" t="str">
        <f t="shared" si="50"/>
        <v/>
      </c>
      <c r="W455" s="44" t="str">
        <f t="shared" si="51"/>
        <v/>
      </c>
      <c r="X455" s="44" t="str">
        <f t="shared" si="52"/>
        <v/>
      </c>
      <c r="Y455" s="44" t="str">
        <f t="shared" si="53"/>
        <v/>
      </c>
      <c r="Z455" s="44" t="str">
        <f t="shared" si="54"/>
        <v/>
      </c>
      <c r="AA455" s="50" t="str">
        <f t="shared" si="55"/>
        <v/>
      </c>
      <c r="AB455" s="50" t="str">
        <f>IF(OR(B455="",C455&lt;&gt;"Expense"),"",IF(E455&gt;IFERROR(AVERAGEIFS($E$8:$E$1007,$I$8:$I$1007,I455,$C$8:$C$1007,"Expense")*SETTINGS!$B$20,0),"Unusually High","Normal"))</f>
        <v/>
      </c>
      <c r="AC455" s="51"/>
      <c r="AD455" s="51"/>
      <c r="AE455" s="51"/>
      <c r="AF455" s="50" t="str">
        <f>IF(A455&lt;&gt;"Yes","No",IF(AND(AC455="Yes",SETTINGS!$B$16="No"),"No","Yes"))</f>
        <v>No</v>
      </c>
      <c r="AG455" s="50" t="str">
        <f>IF(A455&lt;&gt;"Yes","",IF(OR(B455="",D455="",E455&lt;=0,F455="",I455=""),"Check Required Fields",IF(AA455="Possible Duplicate","Possible Duplicate",IF(E455&gt;SETTINGS!$B$22,"Review Extreme Value","OK"))))</f>
        <v/>
      </c>
    </row>
    <row r="456" spans="1:33" ht="14.4">
      <c r="A456" s="9"/>
      <c r="B456" s="13"/>
      <c r="C456" s="9"/>
      <c r="D456" s="9"/>
      <c r="E456" s="11"/>
      <c r="F456" s="9"/>
      <c r="G456" s="9"/>
      <c r="H456" s="44" t="str">
        <f>IF(D456="","",IF(ISNUMBER(SEARCH(SETTINGS!$K$4,D456)),SETTINGS!$L$4,IF(ISNUMBER(SEARCH(SETTINGS!$K$5,D456)),SETTINGS!$L$5,IF(ISNUMBER(SEARCH(SETTINGS!$K$6,D456)),SETTINGS!$L$6,IF(ISNUMBER(SEARCH(SETTINGS!$K$7,D456)),SETTINGS!$L$7,IF(ISNUMBER(SEARCH(SETTINGS!$K$8,D456)),SETTINGS!$L$8,IF(ISNUMBER(SEARCH(SETTINGS!$K$9,D456)),SETTINGS!$L$9,IF(ISNUMBER(SEARCH(SETTINGS!$K$10,D456)),SETTINGS!$L$10,IF(ISNUMBER(SEARCH(SETTINGS!$K$11,D456)),SETTINGS!$L$11,IF(ISNUMBER(SEARCH(SETTINGS!$K$12,D456)),SETTINGS!$L$12,IF(ISNUMBER(SEARCH(SETTINGS!$K$13,D456)),SETTINGS!$L$13,IF(ISNUMBER(SEARCH(SETTINGS!$K$14,D456)),SETTINGS!$L$14,IF(ISNUMBER(SEARCH(SETTINGS!$K$15,D456)),SETTINGS!$L$15,IF(ISNUMBER(SEARCH(SETTINGS!$K$16,D456)),SETTINGS!$L$16,IF(ISNUMBER(SEARCH(SETTINGS!$K$17,D456)),SETTINGS!$L$17,IF(ISNUMBER(SEARCH(SETTINGS!$K$18,D456)),SETTINGS!$L$18,"Miscellaneous"))))))))))))))))</f>
        <v/>
      </c>
      <c r="I456" s="44" t="str">
        <f t="shared" ref="I456:I519" si="56">IF(B456="","",IF(G456&lt;&gt;"",G456,H456))</f>
        <v/>
      </c>
      <c r="J456" s="9"/>
      <c r="K456" s="9"/>
      <c r="L456" s="9"/>
      <c r="M456" s="9"/>
      <c r="N456" s="9"/>
      <c r="O456" s="9"/>
      <c r="P456" s="13"/>
      <c r="Q456" s="9"/>
      <c r="R456" s="9"/>
      <c r="S456" s="9"/>
      <c r="T456" s="11"/>
      <c r="U456" s="44" t="str">
        <f t="shared" ref="U456:U519" si="57">IF(B456="","",IF(C456="Income","INC-",IF(C456="Expense","EXP-","TRX-"))&amp;TEXT(YEAR(B456),"0000")&amp;"-"&amp;TEXT(ROW()-7,"0000"))</f>
        <v/>
      </c>
      <c r="V456" s="44" t="str">
        <f t="shared" ref="V456:V519" si="58">IF(B456="","",TEXT(B456,"mmmm"))</f>
        <v/>
      </c>
      <c r="W456" s="44" t="str">
        <f t="shared" ref="W456:W519" si="59">IF(B456="","",MONTH(B456))</f>
        <v/>
      </c>
      <c r="X456" s="44" t="str">
        <f t="shared" ref="X456:X519" si="60">IF(B456="","",YEAR(B456))</f>
        <v/>
      </c>
      <c r="Y456" s="44" t="str">
        <f t="shared" ref="Y456:Y519" si="61">IF(B456="","",DAY(B456))</f>
        <v/>
      </c>
      <c r="Z456" s="44" t="str">
        <f t="shared" ref="Z456:Z519" si="62">IF(B456="","",IF(WEEKDAY(B456,2)&gt;5,"Weekend","Weekday"))</f>
        <v/>
      </c>
      <c r="AA456" s="50" t="str">
        <f t="shared" ref="AA456:AA519" si="63">IF(B456="","",IF(COUNTIFS($B$8:$B$1007,B456,$E$8:$E$1007,E456,$D$8:$D$1007,D456,$I$8:$I$1007,I456)&gt;1,"Possible Duplicate","OK"))</f>
        <v/>
      </c>
      <c r="AB456" s="50" t="str">
        <f>IF(OR(B456="",C456&lt;&gt;"Expense"),"",IF(E456&gt;IFERROR(AVERAGEIFS($E$8:$E$1007,$I$8:$I$1007,I456,$C$8:$C$1007,"Expense")*SETTINGS!$B$20,0),"Unusually High","Normal"))</f>
        <v/>
      </c>
      <c r="AC456" s="51"/>
      <c r="AD456" s="51"/>
      <c r="AE456" s="51"/>
      <c r="AF456" s="50" t="str">
        <f>IF(A456&lt;&gt;"Yes","No",IF(AND(AC456="Yes",SETTINGS!$B$16="No"),"No","Yes"))</f>
        <v>No</v>
      </c>
      <c r="AG456" s="50" t="str">
        <f>IF(A456&lt;&gt;"Yes","",IF(OR(B456="",D456="",E456&lt;=0,F456="",I456=""),"Check Required Fields",IF(AA456="Possible Duplicate","Possible Duplicate",IF(E456&gt;SETTINGS!$B$22,"Review Extreme Value","OK"))))</f>
        <v/>
      </c>
    </row>
    <row r="457" spans="1:33" ht="14.4">
      <c r="A457" s="9"/>
      <c r="B457" s="13"/>
      <c r="C457" s="9"/>
      <c r="D457" s="9"/>
      <c r="E457" s="11"/>
      <c r="F457" s="9"/>
      <c r="G457" s="9"/>
      <c r="H457" s="44" t="str">
        <f>IF(D457="","",IF(ISNUMBER(SEARCH(SETTINGS!$K$4,D457)),SETTINGS!$L$4,IF(ISNUMBER(SEARCH(SETTINGS!$K$5,D457)),SETTINGS!$L$5,IF(ISNUMBER(SEARCH(SETTINGS!$K$6,D457)),SETTINGS!$L$6,IF(ISNUMBER(SEARCH(SETTINGS!$K$7,D457)),SETTINGS!$L$7,IF(ISNUMBER(SEARCH(SETTINGS!$K$8,D457)),SETTINGS!$L$8,IF(ISNUMBER(SEARCH(SETTINGS!$K$9,D457)),SETTINGS!$L$9,IF(ISNUMBER(SEARCH(SETTINGS!$K$10,D457)),SETTINGS!$L$10,IF(ISNUMBER(SEARCH(SETTINGS!$K$11,D457)),SETTINGS!$L$11,IF(ISNUMBER(SEARCH(SETTINGS!$K$12,D457)),SETTINGS!$L$12,IF(ISNUMBER(SEARCH(SETTINGS!$K$13,D457)),SETTINGS!$L$13,IF(ISNUMBER(SEARCH(SETTINGS!$K$14,D457)),SETTINGS!$L$14,IF(ISNUMBER(SEARCH(SETTINGS!$K$15,D457)),SETTINGS!$L$15,IF(ISNUMBER(SEARCH(SETTINGS!$K$16,D457)),SETTINGS!$L$16,IF(ISNUMBER(SEARCH(SETTINGS!$K$17,D457)),SETTINGS!$L$17,IF(ISNUMBER(SEARCH(SETTINGS!$K$18,D457)),SETTINGS!$L$18,"Miscellaneous"))))))))))))))))</f>
        <v/>
      </c>
      <c r="I457" s="44" t="str">
        <f t="shared" si="56"/>
        <v/>
      </c>
      <c r="J457" s="9"/>
      <c r="K457" s="9"/>
      <c r="L457" s="9"/>
      <c r="M457" s="9"/>
      <c r="N457" s="9"/>
      <c r="O457" s="9"/>
      <c r="P457" s="13"/>
      <c r="Q457" s="9"/>
      <c r="R457" s="9"/>
      <c r="S457" s="9"/>
      <c r="T457" s="11"/>
      <c r="U457" s="44" t="str">
        <f t="shared" si="57"/>
        <v/>
      </c>
      <c r="V457" s="44" t="str">
        <f t="shared" si="58"/>
        <v/>
      </c>
      <c r="W457" s="44" t="str">
        <f t="shared" si="59"/>
        <v/>
      </c>
      <c r="X457" s="44" t="str">
        <f t="shared" si="60"/>
        <v/>
      </c>
      <c r="Y457" s="44" t="str">
        <f t="shared" si="61"/>
        <v/>
      </c>
      <c r="Z457" s="44" t="str">
        <f t="shared" si="62"/>
        <v/>
      </c>
      <c r="AA457" s="50" t="str">
        <f t="shared" si="63"/>
        <v/>
      </c>
      <c r="AB457" s="50" t="str">
        <f>IF(OR(B457="",C457&lt;&gt;"Expense"),"",IF(E457&gt;IFERROR(AVERAGEIFS($E$8:$E$1007,$I$8:$I$1007,I457,$C$8:$C$1007,"Expense")*SETTINGS!$B$20,0),"Unusually High","Normal"))</f>
        <v/>
      </c>
      <c r="AC457" s="51"/>
      <c r="AD457" s="51"/>
      <c r="AE457" s="51"/>
      <c r="AF457" s="50" t="str">
        <f>IF(A457&lt;&gt;"Yes","No",IF(AND(AC457="Yes",SETTINGS!$B$16="No"),"No","Yes"))</f>
        <v>No</v>
      </c>
      <c r="AG457" s="50" t="str">
        <f>IF(A457&lt;&gt;"Yes","",IF(OR(B457="",D457="",E457&lt;=0,F457="",I457=""),"Check Required Fields",IF(AA457="Possible Duplicate","Possible Duplicate",IF(E457&gt;SETTINGS!$B$22,"Review Extreme Value","OK"))))</f>
        <v/>
      </c>
    </row>
    <row r="458" spans="1:33" ht="14.4">
      <c r="A458" s="9"/>
      <c r="B458" s="13"/>
      <c r="C458" s="9"/>
      <c r="D458" s="9"/>
      <c r="E458" s="11"/>
      <c r="F458" s="9"/>
      <c r="G458" s="9"/>
      <c r="H458" s="44" t="str">
        <f>IF(D458="","",IF(ISNUMBER(SEARCH(SETTINGS!$K$4,D458)),SETTINGS!$L$4,IF(ISNUMBER(SEARCH(SETTINGS!$K$5,D458)),SETTINGS!$L$5,IF(ISNUMBER(SEARCH(SETTINGS!$K$6,D458)),SETTINGS!$L$6,IF(ISNUMBER(SEARCH(SETTINGS!$K$7,D458)),SETTINGS!$L$7,IF(ISNUMBER(SEARCH(SETTINGS!$K$8,D458)),SETTINGS!$L$8,IF(ISNUMBER(SEARCH(SETTINGS!$K$9,D458)),SETTINGS!$L$9,IF(ISNUMBER(SEARCH(SETTINGS!$K$10,D458)),SETTINGS!$L$10,IF(ISNUMBER(SEARCH(SETTINGS!$K$11,D458)),SETTINGS!$L$11,IF(ISNUMBER(SEARCH(SETTINGS!$K$12,D458)),SETTINGS!$L$12,IF(ISNUMBER(SEARCH(SETTINGS!$K$13,D458)),SETTINGS!$L$13,IF(ISNUMBER(SEARCH(SETTINGS!$K$14,D458)),SETTINGS!$L$14,IF(ISNUMBER(SEARCH(SETTINGS!$K$15,D458)),SETTINGS!$L$15,IF(ISNUMBER(SEARCH(SETTINGS!$K$16,D458)),SETTINGS!$L$16,IF(ISNUMBER(SEARCH(SETTINGS!$K$17,D458)),SETTINGS!$L$17,IF(ISNUMBER(SEARCH(SETTINGS!$K$18,D458)),SETTINGS!$L$18,"Miscellaneous"))))))))))))))))</f>
        <v/>
      </c>
      <c r="I458" s="44" t="str">
        <f t="shared" si="56"/>
        <v/>
      </c>
      <c r="J458" s="9"/>
      <c r="K458" s="9"/>
      <c r="L458" s="9"/>
      <c r="M458" s="9"/>
      <c r="N458" s="9"/>
      <c r="O458" s="9"/>
      <c r="P458" s="13"/>
      <c r="Q458" s="9"/>
      <c r="R458" s="9"/>
      <c r="S458" s="9"/>
      <c r="T458" s="11"/>
      <c r="U458" s="44" t="str">
        <f t="shared" si="57"/>
        <v/>
      </c>
      <c r="V458" s="44" t="str">
        <f t="shared" si="58"/>
        <v/>
      </c>
      <c r="W458" s="44" t="str">
        <f t="shared" si="59"/>
        <v/>
      </c>
      <c r="X458" s="44" t="str">
        <f t="shared" si="60"/>
        <v/>
      </c>
      <c r="Y458" s="44" t="str">
        <f t="shared" si="61"/>
        <v/>
      </c>
      <c r="Z458" s="44" t="str">
        <f t="shared" si="62"/>
        <v/>
      </c>
      <c r="AA458" s="50" t="str">
        <f t="shared" si="63"/>
        <v/>
      </c>
      <c r="AB458" s="50" t="str">
        <f>IF(OR(B458="",C458&lt;&gt;"Expense"),"",IF(E458&gt;IFERROR(AVERAGEIFS($E$8:$E$1007,$I$8:$I$1007,I458,$C$8:$C$1007,"Expense")*SETTINGS!$B$20,0),"Unusually High","Normal"))</f>
        <v/>
      </c>
      <c r="AC458" s="51"/>
      <c r="AD458" s="51"/>
      <c r="AE458" s="51"/>
      <c r="AF458" s="50" t="str">
        <f>IF(A458&lt;&gt;"Yes","No",IF(AND(AC458="Yes",SETTINGS!$B$16="No"),"No","Yes"))</f>
        <v>No</v>
      </c>
      <c r="AG458" s="50" t="str">
        <f>IF(A458&lt;&gt;"Yes","",IF(OR(B458="",D458="",E458&lt;=0,F458="",I458=""),"Check Required Fields",IF(AA458="Possible Duplicate","Possible Duplicate",IF(E458&gt;SETTINGS!$B$22,"Review Extreme Value","OK"))))</f>
        <v/>
      </c>
    </row>
    <row r="459" spans="1:33" ht="14.4">
      <c r="A459" s="9"/>
      <c r="B459" s="13"/>
      <c r="C459" s="9"/>
      <c r="D459" s="9"/>
      <c r="E459" s="11"/>
      <c r="F459" s="9"/>
      <c r="G459" s="9"/>
      <c r="H459" s="44" t="str">
        <f>IF(D459="","",IF(ISNUMBER(SEARCH(SETTINGS!$K$4,D459)),SETTINGS!$L$4,IF(ISNUMBER(SEARCH(SETTINGS!$K$5,D459)),SETTINGS!$L$5,IF(ISNUMBER(SEARCH(SETTINGS!$K$6,D459)),SETTINGS!$L$6,IF(ISNUMBER(SEARCH(SETTINGS!$K$7,D459)),SETTINGS!$L$7,IF(ISNUMBER(SEARCH(SETTINGS!$K$8,D459)),SETTINGS!$L$8,IF(ISNUMBER(SEARCH(SETTINGS!$K$9,D459)),SETTINGS!$L$9,IF(ISNUMBER(SEARCH(SETTINGS!$K$10,D459)),SETTINGS!$L$10,IF(ISNUMBER(SEARCH(SETTINGS!$K$11,D459)),SETTINGS!$L$11,IF(ISNUMBER(SEARCH(SETTINGS!$K$12,D459)),SETTINGS!$L$12,IF(ISNUMBER(SEARCH(SETTINGS!$K$13,D459)),SETTINGS!$L$13,IF(ISNUMBER(SEARCH(SETTINGS!$K$14,D459)),SETTINGS!$L$14,IF(ISNUMBER(SEARCH(SETTINGS!$K$15,D459)),SETTINGS!$L$15,IF(ISNUMBER(SEARCH(SETTINGS!$K$16,D459)),SETTINGS!$L$16,IF(ISNUMBER(SEARCH(SETTINGS!$K$17,D459)),SETTINGS!$L$17,IF(ISNUMBER(SEARCH(SETTINGS!$K$18,D459)),SETTINGS!$L$18,"Miscellaneous"))))))))))))))))</f>
        <v/>
      </c>
      <c r="I459" s="44" t="str">
        <f t="shared" si="56"/>
        <v/>
      </c>
      <c r="J459" s="9"/>
      <c r="K459" s="9"/>
      <c r="L459" s="9"/>
      <c r="M459" s="9"/>
      <c r="N459" s="9"/>
      <c r="O459" s="9"/>
      <c r="P459" s="13"/>
      <c r="Q459" s="9"/>
      <c r="R459" s="9"/>
      <c r="S459" s="9"/>
      <c r="T459" s="11"/>
      <c r="U459" s="44" t="str">
        <f t="shared" si="57"/>
        <v/>
      </c>
      <c r="V459" s="44" t="str">
        <f t="shared" si="58"/>
        <v/>
      </c>
      <c r="W459" s="44" t="str">
        <f t="shared" si="59"/>
        <v/>
      </c>
      <c r="X459" s="44" t="str">
        <f t="shared" si="60"/>
        <v/>
      </c>
      <c r="Y459" s="44" t="str">
        <f t="shared" si="61"/>
        <v/>
      </c>
      <c r="Z459" s="44" t="str">
        <f t="shared" si="62"/>
        <v/>
      </c>
      <c r="AA459" s="50" t="str">
        <f t="shared" si="63"/>
        <v/>
      </c>
      <c r="AB459" s="50" t="str">
        <f>IF(OR(B459="",C459&lt;&gt;"Expense"),"",IF(E459&gt;IFERROR(AVERAGEIFS($E$8:$E$1007,$I$8:$I$1007,I459,$C$8:$C$1007,"Expense")*SETTINGS!$B$20,0),"Unusually High","Normal"))</f>
        <v/>
      </c>
      <c r="AC459" s="51"/>
      <c r="AD459" s="51"/>
      <c r="AE459" s="51"/>
      <c r="AF459" s="50" t="str">
        <f>IF(A459&lt;&gt;"Yes","No",IF(AND(AC459="Yes",SETTINGS!$B$16="No"),"No","Yes"))</f>
        <v>No</v>
      </c>
      <c r="AG459" s="50" t="str">
        <f>IF(A459&lt;&gt;"Yes","",IF(OR(B459="",D459="",E459&lt;=0,F459="",I459=""),"Check Required Fields",IF(AA459="Possible Duplicate","Possible Duplicate",IF(E459&gt;SETTINGS!$B$22,"Review Extreme Value","OK"))))</f>
        <v/>
      </c>
    </row>
    <row r="460" spans="1:33" ht="14.4">
      <c r="A460" s="9"/>
      <c r="B460" s="13"/>
      <c r="C460" s="9"/>
      <c r="D460" s="9"/>
      <c r="E460" s="11"/>
      <c r="F460" s="9"/>
      <c r="G460" s="9"/>
      <c r="H460" s="44" t="str">
        <f>IF(D460="","",IF(ISNUMBER(SEARCH(SETTINGS!$K$4,D460)),SETTINGS!$L$4,IF(ISNUMBER(SEARCH(SETTINGS!$K$5,D460)),SETTINGS!$L$5,IF(ISNUMBER(SEARCH(SETTINGS!$K$6,D460)),SETTINGS!$L$6,IF(ISNUMBER(SEARCH(SETTINGS!$K$7,D460)),SETTINGS!$L$7,IF(ISNUMBER(SEARCH(SETTINGS!$K$8,D460)),SETTINGS!$L$8,IF(ISNUMBER(SEARCH(SETTINGS!$K$9,D460)),SETTINGS!$L$9,IF(ISNUMBER(SEARCH(SETTINGS!$K$10,D460)),SETTINGS!$L$10,IF(ISNUMBER(SEARCH(SETTINGS!$K$11,D460)),SETTINGS!$L$11,IF(ISNUMBER(SEARCH(SETTINGS!$K$12,D460)),SETTINGS!$L$12,IF(ISNUMBER(SEARCH(SETTINGS!$K$13,D460)),SETTINGS!$L$13,IF(ISNUMBER(SEARCH(SETTINGS!$K$14,D460)),SETTINGS!$L$14,IF(ISNUMBER(SEARCH(SETTINGS!$K$15,D460)),SETTINGS!$L$15,IF(ISNUMBER(SEARCH(SETTINGS!$K$16,D460)),SETTINGS!$L$16,IF(ISNUMBER(SEARCH(SETTINGS!$K$17,D460)),SETTINGS!$L$17,IF(ISNUMBER(SEARCH(SETTINGS!$K$18,D460)),SETTINGS!$L$18,"Miscellaneous"))))))))))))))))</f>
        <v/>
      </c>
      <c r="I460" s="44" t="str">
        <f t="shared" si="56"/>
        <v/>
      </c>
      <c r="J460" s="9"/>
      <c r="K460" s="9"/>
      <c r="L460" s="9"/>
      <c r="M460" s="9"/>
      <c r="N460" s="9"/>
      <c r="O460" s="9"/>
      <c r="P460" s="13"/>
      <c r="Q460" s="9"/>
      <c r="R460" s="9"/>
      <c r="S460" s="9"/>
      <c r="T460" s="11"/>
      <c r="U460" s="44" t="str">
        <f t="shared" si="57"/>
        <v/>
      </c>
      <c r="V460" s="44" t="str">
        <f t="shared" si="58"/>
        <v/>
      </c>
      <c r="W460" s="44" t="str">
        <f t="shared" si="59"/>
        <v/>
      </c>
      <c r="X460" s="44" t="str">
        <f t="shared" si="60"/>
        <v/>
      </c>
      <c r="Y460" s="44" t="str">
        <f t="shared" si="61"/>
        <v/>
      </c>
      <c r="Z460" s="44" t="str">
        <f t="shared" si="62"/>
        <v/>
      </c>
      <c r="AA460" s="50" t="str">
        <f t="shared" si="63"/>
        <v/>
      </c>
      <c r="AB460" s="50" t="str">
        <f>IF(OR(B460="",C460&lt;&gt;"Expense"),"",IF(E460&gt;IFERROR(AVERAGEIFS($E$8:$E$1007,$I$8:$I$1007,I460,$C$8:$C$1007,"Expense")*SETTINGS!$B$20,0),"Unusually High","Normal"))</f>
        <v/>
      </c>
      <c r="AC460" s="51"/>
      <c r="AD460" s="51"/>
      <c r="AE460" s="51"/>
      <c r="AF460" s="50" t="str">
        <f>IF(A460&lt;&gt;"Yes","No",IF(AND(AC460="Yes",SETTINGS!$B$16="No"),"No","Yes"))</f>
        <v>No</v>
      </c>
      <c r="AG460" s="50" t="str">
        <f>IF(A460&lt;&gt;"Yes","",IF(OR(B460="",D460="",E460&lt;=0,F460="",I460=""),"Check Required Fields",IF(AA460="Possible Duplicate","Possible Duplicate",IF(E460&gt;SETTINGS!$B$22,"Review Extreme Value","OK"))))</f>
        <v/>
      </c>
    </row>
    <row r="461" spans="1:33" ht="14.4">
      <c r="A461" s="9"/>
      <c r="B461" s="13"/>
      <c r="C461" s="9"/>
      <c r="D461" s="9"/>
      <c r="E461" s="11"/>
      <c r="F461" s="9"/>
      <c r="G461" s="9"/>
      <c r="H461" s="44" t="str">
        <f>IF(D461="","",IF(ISNUMBER(SEARCH(SETTINGS!$K$4,D461)),SETTINGS!$L$4,IF(ISNUMBER(SEARCH(SETTINGS!$K$5,D461)),SETTINGS!$L$5,IF(ISNUMBER(SEARCH(SETTINGS!$K$6,D461)),SETTINGS!$L$6,IF(ISNUMBER(SEARCH(SETTINGS!$K$7,D461)),SETTINGS!$L$7,IF(ISNUMBER(SEARCH(SETTINGS!$K$8,D461)),SETTINGS!$L$8,IF(ISNUMBER(SEARCH(SETTINGS!$K$9,D461)),SETTINGS!$L$9,IF(ISNUMBER(SEARCH(SETTINGS!$K$10,D461)),SETTINGS!$L$10,IF(ISNUMBER(SEARCH(SETTINGS!$K$11,D461)),SETTINGS!$L$11,IF(ISNUMBER(SEARCH(SETTINGS!$K$12,D461)),SETTINGS!$L$12,IF(ISNUMBER(SEARCH(SETTINGS!$K$13,D461)),SETTINGS!$L$13,IF(ISNUMBER(SEARCH(SETTINGS!$K$14,D461)),SETTINGS!$L$14,IF(ISNUMBER(SEARCH(SETTINGS!$K$15,D461)),SETTINGS!$L$15,IF(ISNUMBER(SEARCH(SETTINGS!$K$16,D461)),SETTINGS!$L$16,IF(ISNUMBER(SEARCH(SETTINGS!$K$17,D461)),SETTINGS!$L$17,IF(ISNUMBER(SEARCH(SETTINGS!$K$18,D461)),SETTINGS!$L$18,"Miscellaneous"))))))))))))))))</f>
        <v/>
      </c>
      <c r="I461" s="44" t="str">
        <f t="shared" si="56"/>
        <v/>
      </c>
      <c r="J461" s="9"/>
      <c r="K461" s="9"/>
      <c r="L461" s="9"/>
      <c r="M461" s="9"/>
      <c r="N461" s="9"/>
      <c r="O461" s="9"/>
      <c r="P461" s="13"/>
      <c r="Q461" s="9"/>
      <c r="R461" s="9"/>
      <c r="S461" s="9"/>
      <c r="T461" s="11"/>
      <c r="U461" s="44" t="str">
        <f t="shared" si="57"/>
        <v/>
      </c>
      <c r="V461" s="44" t="str">
        <f t="shared" si="58"/>
        <v/>
      </c>
      <c r="W461" s="44" t="str">
        <f t="shared" si="59"/>
        <v/>
      </c>
      <c r="X461" s="44" t="str">
        <f t="shared" si="60"/>
        <v/>
      </c>
      <c r="Y461" s="44" t="str">
        <f t="shared" si="61"/>
        <v/>
      </c>
      <c r="Z461" s="44" t="str">
        <f t="shared" si="62"/>
        <v/>
      </c>
      <c r="AA461" s="50" t="str">
        <f t="shared" si="63"/>
        <v/>
      </c>
      <c r="AB461" s="50" t="str">
        <f>IF(OR(B461="",C461&lt;&gt;"Expense"),"",IF(E461&gt;IFERROR(AVERAGEIFS($E$8:$E$1007,$I$8:$I$1007,I461,$C$8:$C$1007,"Expense")*SETTINGS!$B$20,0),"Unusually High","Normal"))</f>
        <v/>
      </c>
      <c r="AC461" s="51"/>
      <c r="AD461" s="51"/>
      <c r="AE461" s="51"/>
      <c r="AF461" s="50" t="str">
        <f>IF(A461&lt;&gt;"Yes","No",IF(AND(AC461="Yes",SETTINGS!$B$16="No"),"No","Yes"))</f>
        <v>No</v>
      </c>
      <c r="AG461" s="50" t="str">
        <f>IF(A461&lt;&gt;"Yes","",IF(OR(B461="",D461="",E461&lt;=0,F461="",I461=""),"Check Required Fields",IF(AA461="Possible Duplicate","Possible Duplicate",IF(E461&gt;SETTINGS!$B$22,"Review Extreme Value","OK"))))</f>
        <v/>
      </c>
    </row>
    <row r="462" spans="1:33" ht="14.4">
      <c r="A462" s="9"/>
      <c r="B462" s="13"/>
      <c r="C462" s="9"/>
      <c r="D462" s="9"/>
      <c r="E462" s="11"/>
      <c r="F462" s="9"/>
      <c r="G462" s="9"/>
      <c r="H462" s="44" t="str">
        <f>IF(D462="","",IF(ISNUMBER(SEARCH(SETTINGS!$K$4,D462)),SETTINGS!$L$4,IF(ISNUMBER(SEARCH(SETTINGS!$K$5,D462)),SETTINGS!$L$5,IF(ISNUMBER(SEARCH(SETTINGS!$K$6,D462)),SETTINGS!$L$6,IF(ISNUMBER(SEARCH(SETTINGS!$K$7,D462)),SETTINGS!$L$7,IF(ISNUMBER(SEARCH(SETTINGS!$K$8,D462)),SETTINGS!$L$8,IF(ISNUMBER(SEARCH(SETTINGS!$K$9,D462)),SETTINGS!$L$9,IF(ISNUMBER(SEARCH(SETTINGS!$K$10,D462)),SETTINGS!$L$10,IF(ISNUMBER(SEARCH(SETTINGS!$K$11,D462)),SETTINGS!$L$11,IF(ISNUMBER(SEARCH(SETTINGS!$K$12,D462)),SETTINGS!$L$12,IF(ISNUMBER(SEARCH(SETTINGS!$K$13,D462)),SETTINGS!$L$13,IF(ISNUMBER(SEARCH(SETTINGS!$K$14,D462)),SETTINGS!$L$14,IF(ISNUMBER(SEARCH(SETTINGS!$K$15,D462)),SETTINGS!$L$15,IF(ISNUMBER(SEARCH(SETTINGS!$K$16,D462)),SETTINGS!$L$16,IF(ISNUMBER(SEARCH(SETTINGS!$K$17,D462)),SETTINGS!$L$17,IF(ISNUMBER(SEARCH(SETTINGS!$K$18,D462)),SETTINGS!$L$18,"Miscellaneous"))))))))))))))))</f>
        <v/>
      </c>
      <c r="I462" s="44" t="str">
        <f t="shared" si="56"/>
        <v/>
      </c>
      <c r="J462" s="9"/>
      <c r="K462" s="9"/>
      <c r="L462" s="9"/>
      <c r="M462" s="9"/>
      <c r="N462" s="9"/>
      <c r="O462" s="9"/>
      <c r="P462" s="13"/>
      <c r="Q462" s="9"/>
      <c r="R462" s="9"/>
      <c r="S462" s="9"/>
      <c r="T462" s="11"/>
      <c r="U462" s="44" t="str">
        <f t="shared" si="57"/>
        <v/>
      </c>
      <c r="V462" s="44" t="str">
        <f t="shared" si="58"/>
        <v/>
      </c>
      <c r="W462" s="44" t="str">
        <f t="shared" si="59"/>
        <v/>
      </c>
      <c r="X462" s="44" t="str">
        <f t="shared" si="60"/>
        <v/>
      </c>
      <c r="Y462" s="44" t="str">
        <f t="shared" si="61"/>
        <v/>
      </c>
      <c r="Z462" s="44" t="str">
        <f t="shared" si="62"/>
        <v/>
      </c>
      <c r="AA462" s="50" t="str">
        <f t="shared" si="63"/>
        <v/>
      </c>
      <c r="AB462" s="50" t="str">
        <f>IF(OR(B462="",C462&lt;&gt;"Expense"),"",IF(E462&gt;IFERROR(AVERAGEIFS($E$8:$E$1007,$I$8:$I$1007,I462,$C$8:$C$1007,"Expense")*SETTINGS!$B$20,0),"Unusually High","Normal"))</f>
        <v/>
      </c>
      <c r="AC462" s="51"/>
      <c r="AD462" s="51"/>
      <c r="AE462" s="51"/>
      <c r="AF462" s="50" t="str">
        <f>IF(A462&lt;&gt;"Yes","No",IF(AND(AC462="Yes",SETTINGS!$B$16="No"),"No","Yes"))</f>
        <v>No</v>
      </c>
      <c r="AG462" s="50" t="str">
        <f>IF(A462&lt;&gt;"Yes","",IF(OR(B462="",D462="",E462&lt;=0,F462="",I462=""),"Check Required Fields",IF(AA462="Possible Duplicate","Possible Duplicate",IF(E462&gt;SETTINGS!$B$22,"Review Extreme Value","OK"))))</f>
        <v/>
      </c>
    </row>
    <row r="463" spans="1:33" ht="14.4">
      <c r="A463" s="9"/>
      <c r="B463" s="13"/>
      <c r="C463" s="9"/>
      <c r="D463" s="9"/>
      <c r="E463" s="11"/>
      <c r="F463" s="9"/>
      <c r="G463" s="9"/>
      <c r="H463" s="44" t="str">
        <f>IF(D463="","",IF(ISNUMBER(SEARCH(SETTINGS!$K$4,D463)),SETTINGS!$L$4,IF(ISNUMBER(SEARCH(SETTINGS!$K$5,D463)),SETTINGS!$L$5,IF(ISNUMBER(SEARCH(SETTINGS!$K$6,D463)),SETTINGS!$L$6,IF(ISNUMBER(SEARCH(SETTINGS!$K$7,D463)),SETTINGS!$L$7,IF(ISNUMBER(SEARCH(SETTINGS!$K$8,D463)),SETTINGS!$L$8,IF(ISNUMBER(SEARCH(SETTINGS!$K$9,D463)),SETTINGS!$L$9,IF(ISNUMBER(SEARCH(SETTINGS!$K$10,D463)),SETTINGS!$L$10,IF(ISNUMBER(SEARCH(SETTINGS!$K$11,D463)),SETTINGS!$L$11,IF(ISNUMBER(SEARCH(SETTINGS!$K$12,D463)),SETTINGS!$L$12,IF(ISNUMBER(SEARCH(SETTINGS!$K$13,D463)),SETTINGS!$L$13,IF(ISNUMBER(SEARCH(SETTINGS!$K$14,D463)),SETTINGS!$L$14,IF(ISNUMBER(SEARCH(SETTINGS!$K$15,D463)),SETTINGS!$L$15,IF(ISNUMBER(SEARCH(SETTINGS!$K$16,D463)),SETTINGS!$L$16,IF(ISNUMBER(SEARCH(SETTINGS!$K$17,D463)),SETTINGS!$L$17,IF(ISNUMBER(SEARCH(SETTINGS!$K$18,D463)),SETTINGS!$L$18,"Miscellaneous"))))))))))))))))</f>
        <v/>
      </c>
      <c r="I463" s="44" t="str">
        <f t="shared" si="56"/>
        <v/>
      </c>
      <c r="J463" s="9"/>
      <c r="K463" s="9"/>
      <c r="L463" s="9"/>
      <c r="M463" s="9"/>
      <c r="N463" s="9"/>
      <c r="O463" s="9"/>
      <c r="P463" s="13"/>
      <c r="Q463" s="9"/>
      <c r="R463" s="9"/>
      <c r="S463" s="9"/>
      <c r="T463" s="11"/>
      <c r="U463" s="44" t="str">
        <f t="shared" si="57"/>
        <v/>
      </c>
      <c r="V463" s="44" t="str">
        <f t="shared" si="58"/>
        <v/>
      </c>
      <c r="W463" s="44" t="str">
        <f t="shared" si="59"/>
        <v/>
      </c>
      <c r="X463" s="44" t="str">
        <f t="shared" si="60"/>
        <v/>
      </c>
      <c r="Y463" s="44" t="str">
        <f t="shared" si="61"/>
        <v/>
      </c>
      <c r="Z463" s="44" t="str">
        <f t="shared" si="62"/>
        <v/>
      </c>
      <c r="AA463" s="50" t="str">
        <f t="shared" si="63"/>
        <v/>
      </c>
      <c r="AB463" s="50" t="str">
        <f>IF(OR(B463="",C463&lt;&gt;"Expense"),"",IF(E463&gt;IFERROR(AVERAGEIFS($E$8:$E$1007,$I$8:$I$1007,I463,$C$8:$C$1007,"Expense")*SETTINGS!$B$20,0),"Unusually High","Normal"))</f>
        <v/>
      </c>
      <c r="AC463" s="51"/>
      <c r="AD463" s="51"/>
      <c r="AE463" s="51"/>
      <c r="AF463" s="50" t="str">
        <f>IF(A463&lt;&gt;"Yes","No",IF(AND(AC463="Yes",SETTINGS!$B$16="No"),"No","Yes"))</f>
        <v>No</v>
      </c>
      <c r="AG463" s="50" t="str">
        <f>IF(A463&lt;&gt;"Yes","",IF(OR(B463="",D463="",E463&lt;=0,F463="",I463=""),"Check Required Fields",IF(AA463="Possible Duplicate","Possible Duplicate",IF(E463&gt;SETTINGS!$B$22,"Review Extreme Value","OK"))))</f>
        <v/>
      </c>
    </row>
    <row r="464" spans="1:33" ht="14.4">
      <c r="A464" s="9"/>
      <c r="B464" s="13"/>
      <c r="C464" s="9"/>
      <c r="D464" s="9"/>
      <c r="E464" s="11"/>
      <c r="F464" s="9"/>
      <c r="G464" s="9"/>
      <c r="H464" s="44" t="str">
        <f>IF(D464="","",IF(ISNUMBER(SEARCH(SETTINGS!$K$4,D464)),SETTINGS!$L$4,IF(ISNUMBER(SEARCH(SETTINGS!$K$5,D464)),SETTINGS!$L$5,IF(ISNUMBER(SEARCH(SETTINGS!$K$6,D464)),SETTINGS!$L$6,IF(ISNUMBER(SEARCH(SETTINGS!$K$7,D464)),SETTINGS!$L$7,IF(ISNUMBER(SEARCH(SETTINGS!$K$8,D464)),SETTINGS!$L$8,IF(ISNUMBER(SEARCH(SETTINGS!$K$9,D464)),SETTINGS!$L$9,IF(ISNUMBER(SEARCH(SETTINGS!$K$10,D464)),SETTINGS!$L$10,IF(ISNUMBER(SEARCH(SETTINGS!$K$11,D464)),SETTINGS!$L$11,IF(ISNUMBER(SEARCH(SETTINGS!$K$12,D464)),SETTINGS!$L$12,IF(ISNUMBER(SEARCH(SETTINGS!$K$13,D464)),SETTINGS!$L$13,IF(ISNUMBER(SEARCH(SETTINGS!$K$14,D464)),SETTINGS!$L$14,IF(ISNUMBER(SEARCH(SETTINGS!$K$15,D464)),SETTINGS!$L$15,IF(ISNUMBER(SEARCH(SETTINGS!$K$16,D464)),SETTINGS!$L$16,IF(ISNUMBER(SEARCH(SETTINGS!$K$17,D464)),SETTINGS!$L$17,IF(ISNUMBER(SEARCH(SETTINGS!$K$18,D464)),SETTINGS!$L$18,"Miscellaneous"))))))))))))))))</f>
        <v/>
      </c>
      <c r="I464" s="44" t="str">
        <f t="shared" si="56"/>
        <v/>
      </c>
      <c r="J464" s="9"/>
      <c r="K464" s="9"/>
      <c r="L464" s="9"/>
      <c r="M464" s="9"/>
      <c r="N464" s="9"/>
      <c r="O464" s="9"/>
      <c r="P464" s="13"/>
      <c r="Q464" s="9"/>
      <c r="R464" s="9"/>
      <c r="S464" s="9"/>
      <c r="T464" s="11"/>
      <c r="U464" s="44" t="str">
        <f t="shared" si="57"/>
        <v/>
      </c>
      <c r="V464" s="44" t="str">
        <f t="shared" si="58"/>
        <v/>
      </c>
      <c r="W464" s="44" t="str">
        <f t="shared" si="59"/>
        <v/>
      </c>
      <c r="X464" s="44" t="str">
        <f t="shared" si="60"/>
        <v/>
      </c>
      <c r="Y464" s="44" t="str">
        <f t="shared" si="61"/>
        <v/>
      </c>
      <c r="Z464" s="44" t="str">
        <f t="shared" si="62"/>
        <v/>
      </c>
      <c r="AA464" s="50" t="str">
        <f t="shared" si="63"/>
        <v/>
      </c>
      <c r="AB464" s="50" t="str">
        <f>IF(OR(B464="",C464&lt;&gt;"Expense"),"",IF(E464&gt;IFERROR(AVERAGEIFS($E$8:$E$1007,$I$8:$I$1007,I464,$C$8:$C$1007,"Expense")*SETTINGS!$B$20,0),"Unusually High","Normal"))</f>
        <v/>
      </c>
      <c r="AC464" s="51"/>
      <c r="AD464" s="51"/>
      <c r="AE464" s="51"/>
      <c r="AF464" s="50" t="str">
        <f>IF(A464&lt;&gt;"Yes","No",IF(AND(AC464="Yes",SETTINGS!$B$16="No"),"No","Yes"))</f>
        <v>No</v>
      </c>
      <c r="AG464" s="50" t="str">
        <f>IF(A464&lt;&gt;"Yes","",IF(OR(B464="",D464="",E464&lt;=0,F464="",I464=""),"Check Required Fields",IF(AA464="Possible Duplicate","Possible Duplicate",IF(E464&gt;SETTINGS!$B$22,"Review Extreme Value","OK"))))</f>
        <v/>
      </c>
    </row>
    <row r="465" spans="1:33" ht="14.4">
      <c r="A465" s="9"/>
      <c r="B465" s="13"/>
      <c r="C465" s="9"/>
      <c r="D465" s="9"/>
      <c r="E465" s="11"/>
      <c r="F465" s="9"/>
      <c r="G465" s="9"/>
      <c r="H465" s="44" t="str">
        <f>IF(D465="","",IF(ISNUMBER(SEARCH(SETTINGS!$K$4,D465)),SETTINGS!$L$4,IF(ISNUMBER(SEARCH(SETTINGS!$K$5,D465)),SETTINGS!$L$5,IF(ISNUMBER(SEARCH(SETTINGS!$K$6,D465)),SETTINGS!$L$6,IF(ISNUMBER(SEARCH(SETTINGS!$K$7,D465)),SETTINGS!$L$7,IF(ISNUMBER(SEARCH(SETTINGS!$K$8,D465)),SETTINGS!$L$8,IF(ISNUMBER(SEARCH(SETTINGS!$K$9,D465)),SETTINGS!$L$9,IF(ISNUMBER(SEARCH(SETTINGS!$K$10,D465)),SETTINGS!$L$10,IF(ISNUMBER(SEARCH(SETTINGS!$K$11,D465)),SETTINGS!$L$11,IF(ISNUMBER(SEARCH(SETTINGS!$K$12,D465)),SETTINGS!$L$12,IF(ISNUMBER(SEARCH(SETTINGS!$K$13,D465)),SETTINGS!$L$13,IF(ISNUMBER(SEARCH(SETTINGS!$K$14,D465)),SETTINGS!$L$14,IF(ISNUMBER(SEARCH(SETTINGS!$K$15,D465)),SETTINGS!$L$15,IF(ISNUMBER(SEARCH(SETTINGS!$K$16,D465)),SETTINGS!$L$16,IF(ISNUMBER(SEARCH(SETTINGS!$K$17,D465)),SETTINGS!$L$17,IF(ISNUMBER(SEARCH(SETTINGS!$K$18,D465)),SETTINGS!$L$18,"Miscellaneous"))))))))))))))))</f>
        <v/>
      </c>
      <c r="I465" s="44" t="str">
        <f t="shared" si="56"/>
        <v/>
      </c>
      <c r="J465" s="9"/>
      <c r="K465" s="9"/>
      <c r="L465" s="9"/>
      <c r="M465" s="9"/>
      <c r="N465" s="9"/>
      <c r="O465" s="9"/>
      <c r="P465" s="13"/>
      <c r="Q465" s="9"/>
      <c r="R465" s="9"/>
      <c r="S465" s="9"/>
      <c r="T465" s="11"/>
      <c r="U465" s="44" t="str">
        <f t="shared" si="57"/>
        <v/>
      </c>
      <c r="V465" s="44" t="str">
        <f t="shared" si="58"/>
        <v/>
      </c>
      <c r="W465" s="44" t="str">
        <f t="shared" si="59"/>
        <v/>
      </c>
      <c r="X465" s="44" t="str">
        <f t="shared" si="60"/>
        <v/>
      </c>
      <c r="Y465" s="44" t="str">
        <f t="shared" si="61"/>
        <v/>
      </c>
      <c r="Z465" s="44" t="str">
        <f t="shared" si="62"/>
        <v/>
      </c>
      <c r="AA465" s="50" t="str">
        <f t="shared" si="63"/>
        <v/>
      </c>
      <c r="AB465" s="50" t="str">
        <f>IF(OR(B465="",C465&lt;&gt;"Expense"),"",IF(E465&gt;IFERROR(AVERAGEIFS($E$8:$E$1007,$I$8:$I$1007,I465,$C$8:$C$1007,"Expense")*SETTINGS!$B$20,0),"Unusually High","Normal"))</f>
        <v/>
      </c>
      <c r="AC465" s="51"/>
      <c r="AD465" s="51"/>
      <c r="AE465" s="51"/>
      <c r="AF465" s="50" t="str">
        <f>IF(A465&lt;&gt;"Yes","No",IF(AND(AC465="Yes",SETTINGS!$B$16="No"),"No","Yes"))</f>
        <v>No</v>
      </c>
      <c r="AG465" s="50" t="str">
        <f>IF(A465&lt;&gt;"Yes","",IF(OR(B465="",D465="",E465&lt;=0,F465="",I465=""),"Check Required Fields",IF(AA465="Possible Duplicate","Possible Duplicate",IF(E465&gt;SETTINGS!$B$22,"Review Extreme Value","OK"))))</f>
        <v/>
      </c>
    </row>
    <row r="466" spans="1:33" ht="14.4">
      <c r="A466" s="9"/>
      <c r="B466" s="13"/>
      <c r="C466" s="9"/>
      <c r="D466" s="9"/>
      <c r="E466" s="11"/>
      <c r="F466" s="9"/>
      <c r="G466" s="9"/>
      <c r="H466" s="44" t="str">
        <f>IF(D466="","",IF(ISNUMBER(SEARCH(SETTINGS!$K$4,D466)),SETTINGS!$L$4,IF(ISNUMBER(SEARCH(SETTINGS!$K$5,D466)),SETTINGS!$L$5,IF(ISNUMBER(SEARCH(SETTINGS!$K$6,D466)),SETTINGS!$L$6,IF(ISNUMBER(SEARCH(SETTINGS!$K$7,D466)),SETTINGS!$L$7,IF(ISNUMBER(SEARCH(SETTINGS!$K$8,D466)),SETTINGS!$L$8,IF(ISNUMBER(SEARCH(SETTINGS!$K$9,D466)),SETTINGS!$L$9,IF(ISNUMBER(SEARCH(SETTINGS!$K$10,D466)),SETTINGS!$L$10,IF(ISNUMBER(SEARCH(SETTINGS!$K$11,D466)),SETTINGS!$L$11,IF(ISNUMBER(SEARCH(SETTINGS!$K$12,D466)),SETTINGS!$L$12,IF(ISNUMBER(SEARCH(SETTINGS!$K$13,D466)),SETTINGS!$L$13,IF(ISNUMBER(SEARCH(SETTINGS!$K$14,D466)),SETTINGS!$L$14,IF(ISNUMBER(SEARCH(SETTINGS!$K$15,D466)),SETTINGS!$L$15,IF(ISNUMBER(SEARCH(SETTINGS!$K$16,D466)),SETTINGS!$L$16,IF(ISNUMBER(SEARCH(SETTINGS!$K$17,D466)),SETTINGS!$L$17,IF(ISNUMBER(SEARCH(SETTINGS!$K$18,D466)),SETTINGS!$L$18,"Miscellaneous"))))))))))))))))</f>
        <v/>
      </c>
      <c r="I466" s="44" t="str">
        <f t="shared" si="56"/>
        <v/>
      </c>
      <c r="J466" s="9"/>
      <c r="K466" s="9"/>
      <c r="L466" s="9"/>
      <c r="M466" s="9"/>
      <c r="N466" s="9"/>
      <c r="O466" s="9"/>
      <c r="P466" s="13"/>
      <c r="Q466" s="9"/>
      <c r="R466" s="9"/>
      <c r="S466" s="9"/>
      <c r="T466" s="11"/>
      <c r="U466" s="44" t="str">
        <f t="shared" si="57"/>
        <v/>
      </c>
      <c r="V466" s="44" t="str">
        <f t="shared" si="58"/>
        <v/>
      </c>
      <c r="W466" s="44" t="str">
        <f t="shared" si="59"/>
        <v/>
      </c>
      <c r="X466" s="44" t="str">
        <f t="shared" si="60"/>
        <v/>
      </c>
      <c r="Y466" s="44" t="str">
        <f t="shared" si="61"/>
        <v/>
      </c>
      <c r="Z466" s="44" t="str">
        <f t="shared" si="62"/>
        <v/>
      </c>
      <c r="AA466" s="50" t="str">
        <f t="shared" si="63"/>
        <v/>
      </c>
      <c r="AB466" s="50" t="str">
        <f>IF(OR(B466="",C466&lt;&gt;"Expense"),"",IF(E466&gt;IFERROR(AVERAGEIFS($E$8:$E$1007,$I$8:$I$1007,I466,$C$8:$C$1007,"Expense")*SETTINGS!$B$20,0),"Unusually High","Normal"))</f>
        <v/>
      </c>
      <c r="AC466" s="51"/>
      <c r="AD466" s="51"/>
      <c r="AE466" s="51"/>
      <c r="AF466" s="50" t="str">
        <f>IF(A466&lt;&gt;"Yes","No",IF(AND(AC466="Yes",SETTINGS!$B$16="No"),"No","Yes"))</f>
        <v>No</v>
      </c>
      <c r="AG466" s="50" t="str">
        <f>IF(A466&lt;&gt;"Yes","",IF(OR(B466="",D466="",E466&lt;=0,F466="",I466=""),"Check Required Fields",IF(AA466="Possible Duplicate","Possible Duplicate",IF(E466&gt;SETTINGS!$B$22,"Review Extreme Value","OK"))))</f>
        <v/>
      </c>
    </row>
    <row r="467" spans="1:33" ht="14.4">
      <c r="A467" s="9"/>
      <c r="B467" s="13"/>
      <c r="C467" s="9"/>
      <c r="D467" s="9"/>
      <c r="E467" s="11"/>
      <c r="F467" s="9"/>
      <c r="G467" s="9"/>
      <c r="H467" s="44" t="str">
        <f>IF(D467="","",IF(ISNUMBER(SEARCH(SETTINGS!$K$4,D467)),SETTINGS!$L$4,IF(ISNUMBER(SEARCH(SETTINGS!$K$5,D467)),SETTINGS!$L$5,IF(ISNUMBER(SEARCH(SETTINGS!$K$6,D467)),SETTINGS!$L$6,IF(ISNUMBER(SEARCH(SETTINGS!$K$7,D467)),SETTINGS!$L$7,IF(ISNUMBER(SEARCH(SETTINGS!$K$8,D467)),SETTINGS!$L$8,IF(ISNUMBER(SEARCH(SETTINGS!$K$9,D467)),SETTINGS!$L$9,IF(ISNUMBER(SEARCH(SETTINGS!$K$10,D467)),SETTINGS!$L$10,IF(ISNUMBER(SEARCH(SETTINGS!$K$11,D467)),SETTINGS!$L$11,IF(ISNUMBER(SEARCH(SETTINGS!$K$12,D467)),SETTINGS!$L$12,IF(ISNUMBER(SEARCH(SETTINGS!$K$13,D467)),SETTINGS!$L$13,IF(ISNUMBER(SEARCH(SETTINGS!$K$14,D467)),SETTINGS!$L$14,IF(ISNUMBER(SEARCH(SETTINGS!$K$15,D467)),SETTINGS!$L$15,IF(ISNUMBER(SEARCH(SETTINGS!$K$16,D467)),SETTINGS!$L$16,IF(ISNUMBER(SEARCH(SETTINGS!$K$17,D467)),SETTINGS!$L$17,IF(ISNUMBER(SEARCH(SETTINGS!$K$18,D467)),SETTINGS!$L$18,"Miscellaneous"))))))))))))))))</f>
        <v/>
      </c>
      <c r="I467" s="44" t="str">
        <f t="shared" si="56"/>
        <v/>
      </c>
      <c r="J467" s="9"/>
      <c r="K467" s="9"/>
      <c r="L467" s="9"/>
      <c r="M467" s="9"/>
      <c r="N467" s="9"/>
      <c r="O467" s="9"/>
      <c r="P467" s="13"/>
      <c r="Q467" s="9"/>
      <c r="R467" s="9"/>
      <c r="S467" s="9"/>
      <c r="T467" s="11"/>
      <c r="U467" s="44" t="str">
        <f t="shared" si="57"/>
        <v/>
      </c>
      <c r="V467" s="44" t="str">
        <f t="shared" si="58"/>
        <v/>
      </c>
      <c r="W467" s="44" t="str">
        <f t="shared" si="59"/>
        <v/>
      </c>
      <c r="X467" s="44" t="str">
        <f t="shared" si="60"/>
        <v/>
      </c>
      <c r="Y467" s="44" t="str">
        <f t="shared" si="61"/>
        <v/>
      </c>
      <c r="Z467" s="44" t="str">
        <f t="shared" si="62"/>
        <v/>
      </c>
      <c r="AA467" s="50" t="str">
        <f t="shared" si="63"/>
        <v/>
      </c>
      <c r="AB467" s="50" t="str">
        <f>IF(OR(B467="",C467&lt;&gt;"Expense"),"",IF(E467&gt;IFERROR(AVERAGEIFS($E$8:$E$1007,$I$8:$I$1007,I467,$C$8:$C$1007,"Expense")*SETTINGS!$B$20,0),"Unusually High","Normal"))</f>
        <v/>
      </c>
      <c r="AC467" s="51"/>
      <c r="AD467" s="51"/>
      <c r="AE467" s="51"/>
      <c r="AF467" s="50" t="str">
        <f>IF(A467&lt;&gt;"Yes","No",IF(AND(AC467="Yes",SETTINGS!$B$16="No"),"No","Yes"))</f>
        <v>No</v>
      </c>
      <c r="AG467" s="50" t="str">
        <f>IF(A467&lt;&gt;"Yes","",IF(OR(B467="",D467="",E467&lt;=0,F467="",I467=""),"Check Required Fields",IF(AA467="Possible Duplicate","Possible Duplicate",IF(E467&gt;SETTINGS!$B$22,"Review Extreme Value","OK"))))</f>
        <v/>
      </c>
    </row>
    <row r="468" spans="1:33" ht="14.4">
      <c r="A468" s="9"/>
      <c r="B468" s="13"/>
      <c r="C468" s="9"/>
      <c r="D468" s="9"/>
      <c r="E468" s="11"/>
      <c r="F468" s="9"/>
      <c r="G468" s="9"/>
      <c r="H468" s="44" t="str">
        <f>IF(D468="","",IF(ISNUMBER(SEARCH(SETTINGS!$K$4,D468)),SETTINGS!$L$4,IF(ISNUMBER(SEARCH(SETTINGS!$K$5,D468)),SETTINGS!$L$5,IF(ISNUMBER(SEARCH(SETTINGS!$K$6,D468)),SETTINGS!$L$6,IF(ISNUMBER(SEARCH(SETTINGS!$K$7,D468)),SETTINGS!$L$7,IF(ISNUMBER(SEARCH(SETTINGS!$K$8,D468)),SETTINGS!$L$8,IF(ISNUMBER(SEARCH(SETTINGS!$K$9,D468)),SETTINGS!$L$9,IF(ISNUMBER(SEARCH(SETTINGS!$K$10,D468)),SETTINGS!$L$10,IF(ISNUMBER(SEARCH(SETTINGS!$K$11,D468)),SETTINGS!$L$11,IF(ISNUMBER(SEARCH(SETTINGS!$K$12,D468)),SETTINGS!$L$12,IF(ISNUMBER(SEARCH(SETTINGS!$K$13,D468)),SETTINGS!$L$13,IF(ISNUMBER(SEARCH(SETTINGS!$K$14,D468)),SETTINGS!$L$14,IF(ISNUMBER(SEARCH(SETTINGS!$K$15,D468)),SETTINGS!$L$15,IF(ISNUMBER(SEARCH(SETTINGS!$K$16,D468)),SETTINGS!$L$16,IF(ISNUMBER(SEARCH(SETTINGS!$K$17,D468)),SETTINGS!$L$17,IF(ISNUMBER(SEARCH(SETTINGS!$K$18,D468)),SETTINGS!$L$18,"Miscellaneous"))))))))))))))))</f>
        <v/>
      </c>
      <c r="I468" s="44" t="str">
        <f t="shared" si="56"/>
        <v/>
      </c>
      <c r="J468" s="9"/>
      <c r="K468" s="9"/>
      <c r="L468" s="9"/>
      <c r="M468" s="9"/>
      <c r="N468" s="9"/>
      <c r="O468" s="9"/>
      <c r="P468" s="13"/>
      <c r="Q468" s="9"/>
      <c r="R468" s="9"/>
      <c r="S468" s="9"/>
      <c r="T468" s="11"/>
      <c r="U468" s="44" t="str">
        <f t="shared" si="57"/>
        <v/>
      </c>
      <c r="V468" s="44" t="str">
        <f t="shared" si="58"/>
        <v/>
      </c>
      <c r="W468" s="44" t="str">
        <f t="shared" si="59"/>
        <v/>
      </c>
      <c r="X468" s="44" t="str">
        <f t="shared" si="60"/>
        <v/>
      </c>
      <c r="Y468" s="44" t="str">
        <f t="shared" si="61"/>
        <v/>
      </c>
      <c r="Z468" s="44" t="str">
        <f t="shared" si="62"/>
        <v/>
      </c>
      <c r="AA468" s="50" t="str">
        <f t="shared" si="63"/>
        <v/>
      </c>
      <c r="AB468" s="50" t="str">
        <f>IF(OR(B468="",C468&lt;&gt;"Expense"),"",IF(E468&gt;IFERROR(AVERAGEIFS($E$8:$E$1007,$I$8:$I$1007,I468,$C$8:$C$1007,"Expense")*SETTINGS!$B$20,0),"Unusually High","Normal"))</f>
        <v/>
      </c>
      <c r="AC468" s="51"/>
      <c r="AD468" s="51"/>
      <c r="AE468" s="51"/>
      <c r="AF468" s="50" t="str">
        <f>IF(A468&lt;&gt;"Yes","No",IF(AND(AC468="Yes",SETTINGS!$B$16="No"),"No","Yes"))</f>
        <v>No</v>
      </c>
      <c r="AG468" s="50" t="str">
        <f>IF(A468&lt;&gt;"Yes","",IF(OR(B468="",D468="",E468&lt;=0,F468="",I468=""),"Check Required Fields",IF(AA468="Possible Duplicate","Possible Duplicate",IF(E468&gt;SETTINGS!$B$22,"Review Extreme Value","OK"))))</f>
        <v/>
      </c>
    </row>
    <row r="469" spans="1:33" ht="14.4">
      <c r="A469" s="9"/>
      <c r="B469" s="13"/>
      <c r="C469" s="9"/>
      <c r="D469" s="9"/>
      <c r="E469" s="11"/>
      <c r="F469" s="9"/>
      <c r="G469" s="9"/>
      <c r="H469" s="44" t="str">
        <f>IF(D469="","",IF(ISNUMBER(SEARCH(SETTINGS!$K$4,D469)),SETTINGS!$L$4,IF(ISNUMBER(SEARCH(SETTINGS!$K$5,D469)),SETTINGS!$L$5,IF(ISNUMBER(SEARCH(SETTINGS!$K$6,D469)),SETTINGS!$L$6,IF(ISNUMBER(SEARCH(SETTINGS!$K$7,D469)),SETTINGS!$L$7,IF(ISNUMBER(SEARCH(SETTINGS!$K$8,D469)),SETTINGS!$L$8,IF(ISNUMBER(SEARCH(SETTINGS!$K$9,D469)),SETTINGS!$L$9,IF(ISNUMBER(SEARCH(SETTINGS!$K$10,D469)),SETTINGS!$L$10,IF(ISNUMBER(SEARCH(SETTINGS!$K$11,D469)),SETTINGS!$L$11,IF(ISNUMBER(SEARCH(SETTINGS!$K$12,D469)),SETTINGS!$L$12,IF(ISNUMBER(SEARCH(SETTINGS!$K$13,D469)),SETTINGS!$L$13,IF(ISNUMBER(SEARCH(SETTINGS!$K$14,D469)),SETTINGS!$L$14,IF(ISNUMBER(SEARCH(SETTINGS!$K$15,D469)),SETTINGS!$L$15,IF(ISNUMBER(SEARCH(SETTINGS!$K$16,D469)),SETTINGS!$L$16,IF(ISNUMBER(SEARCH(SETTINGS!$K$17,D469)),SETTINGS!$L$17,IF(ISNUMBER(SEARCH(SETTINGS!$K$18,D469)),SETTINGS!$L$18,"Miscellaneous"))))))))))))))))</f>
        <v/>
      </c>
      <c r="I469" s="44" t="str">
        <f t="shared" si="56"/>
        <v/>
      </c>
      <c r="J469" s="9"/>
      <c r="K469" s="9"/>
      <c r="L469" s="9"/>
      <c r="M469" s="9"/>
      <c r="N469" s="9"/>
      <c r="O469" s="9"/>
      <c r="P469" s="13"/>
      <c r="Q469" s="9"/>
      <c r="R469" s="9"/>
      <c r="S469" s="9"/>
      <c r="T469" s="11"/>
      <c r="U469" s="44" t="str">
        <f t="shared" si="57"/>
        <v/>
      </c>
      <c r="V469" s="44" t="str">
        <f t="shared" si="58"/>
        <v/>
      </c>
      <c r="W469" s="44" t="str">
        <f t="shared" si="59"/>
        <v/>
      </c>
      <c r="X469" s="44" t="str">
        <f t="shared" si="60"/>
        <v/>
      </c>
      <c r="Y469" s="44" t="str">
        <f t="shared" si="61"/>
        <v/>
      </c>
      <c r="Z469" s="44" t="str">
        <f t="shared" si="62"/>
        <v/>
      </c>
      <c r="AA469" s="50" t="str">
        <f t="shared" si="63"/>
        <v/>
      </c>
      <c r="AB469" s="50" t="str">
        <f>IF(OR(B469="",C469&lt;&gt;"Expense"),"",IF(E469&gt;IFERROR(AVERAGEIFS($E$8:$E$1007,$I$8:$I$1007,I469,$C$8:$C$1007,"Expense")*SETTINGS!$B$20,0),"Unusually High","Normal"))</f>
        <v/>
      </c>
      <c r="AC469" s="51"/>
      <c r="AD469" s="51"/>
      <c r="AE469" s="51"/>
      <c r="AF469" s="50" t="str">
        <f>IF(A469&lt;&gt;"Yes","No",IF(AND(AC469="Yes",SETTINGS!$B$16="No"),"No","Yes"))</f>
        <v>No</v>
      </c>
      <c r="AG469" s="50" t="str">
        <f>IF(A469&lt;&gt;"Yes","",IF(OR(B469="",D469="",E469&lt;=0,F469="",I469=""),"Check Required Fields",IF(AA469="Possible Duplicate","Possible Duplicate",IF(E469&gt;SETTINGS!$B$22,"Review Extreme Value","OK"))))</f>
        <v/>
      </c>
    </row>
    <row r="470" spans="1:33" ht="14.4">
      <c r="A470" s="9"/>
      <c r="B470" s="13"/>
      <c r="C470" s="9"/>
      <c r="D470" s="9"/>
      <c r="E470" s="11"/>
      <c r="F470" s="9"/>
      <c r="G470" s="9"/>
      <c r="H470" s="44" t="str">
        <f>IF(D470="","",IF(ISNUMBER(SEARCH(SETTINGS!$K$4,D470)),SETTINGS!$L$4,IF(ISNUMBER(SEARCH(SETTINGS!$K$5,D470)),SETTINGS!$L$5,IF(ISNUMBER(SEARCH(SETTINGS!$K$6,D470)),SETTINGS!$L$6,IF(ISNUMBER(SEARCH(SETTINGS!$K$7,D470)),SETTINGS!$L$7,IF(ISNUMBER(SEARCH(SETTINGS!$K$8,D470)),SETTINGS!$L$8,IF(ISNUMBER(SEARCH(SETTINGS!$K$9,D470)),SETTINGS!$L$9,IF(ISNUMBER(SEARCH(SETTINGS!$K$10,D470)),SETTINGS!$L$10,IF(ISNUMBER(SEARCH(SETTINGS!$K$11,D470)),SETTINGS!$L$11,IF(ISNUMBER(SEARCH(SETTINGS!$K$12,D470)),SETTINGS!$L$12,IF(ISNUMBER(SEARCH(SETTINGS!$K$13,D470)),SETTINGS!$L$13,IF(ISNUMBER(SEARCH(SETTINGS!$K$14,D470)),SETTINGS!$L$14,IF(ISNUMBER(SEARCH(SETTINGS!$K$15,D470)),SETTINGS!$L$15,IF(ISNUMBER(SEARCH(SETTINGS!$K$16,D470)),SETTINGS!$L$16,IF(ISNUMBER(SEARCH(SETTINGS!$K$17,D470)),SETTINGS!$L$17,IF(ISNUMBER(SEARCH(SETTINGS!$K$18,D470)),SETTINGS!$L$18,"Miscellaneous"))))))))))))))))</f>
        <v/>
      </c>
      <c r="I470" s="44" t="str">
        <f t="shared" si="56"/>
        <v/>
      </c>
      <c r="J470" s="9"/>
      <c r="K470" s="9"/>
      <c r="L470" s="9"/>
      <c r="M470" s="9"/>
      <c r="N470" s="9"/>
      <c r="O470" s="9"/>
      <c r="P470" s="13"/>
      <c r="Q470" s="9"/>
      <c r="R470" s="9"/>
      <c r="S470" s="9"/>
      <c r="T470" s="11"/>
      <c r="U470" s="44" t="str">
        <f t="shared" si="57"/>
        <v/>
      </c>
      <c r="V470" s="44" t="str">
        <f t="shared" si="58"/>
        <v/>
      </c>
      <c r="W470" s="44" t="str">
        <f t="shared" si="59"/>
        <v/>
      </c>
      <c r="X470" s="44" t="str">
        <f t="shared" si="60"/>
        <v/>
      </c>
      <c r="Y470" s="44" t="str">
        <f t="shared" si="61"/>
        <v/>
      </c>
      <c r="Z470" s="44" t="str">
        <f t="shared" si="62"/>
        <v/>
      </c>
      <c r="AA470" s="50" t="str">
        <f t="shared" si="63"/>
        <v/>
      </c>
      <c r="AB470" s="50" t="str">
        <f>IF(OR(B470="",C470&lt;&gt;"Expense"),"",IF(E470&gt;IFERROR(AVERAGEIFS($E$8:$E$1007,$I$8:$I$1007,I470,$C$8:$C$1007,"Expense")*SETTINGS!$B$20,0),"Unusually High","Normal"))</f>
        <v/>
      </c>
      <c r="AC470" s="51"/>
      <c r="AD470" s="51"/>
      <c r="AE470" s="51"/>
      <c r="AF470" s="50" t="str">
        <f>IF(A470&lt;&gt;"Yes","No",IF(AND(AC470="Yes",SETTINGS!$B$16="No"),"No","Yes"))</f>
        <v>No</v>
      </c>
      <c r="AG470" s="50" t="str">
        <f>IF(A470&lt;&gt;"Yes","",IF(OR(B470="",D470="",E470&lt;=0,F470="",I470=""),"Check Required Fields",IF(AA470="Possible Duplicate","Possible Duplicate",IF(E470&gt;SETTINGS!$B$22,"Review Extreme Value","OK"))))</f>
        <v/>
      </c>
    </row>
    <row r="471" spans="1:33" ht="14.4">
      <c r="A471" s="9"/>
      <c r="B471" s="13"/>
      <c r="C471" s="9"/>
      <c r="D471" s="9"/>
      <c r="E471" s="11"/>
      <c r="F471" s="9"/>
      <c r="G471" s="9"/>
      <c r="H471" s="44" t="str">
        <f>IF(D471="","",IF(ISNUMBER(SEARCH(SETTINGS!$K$4,D471)),SETTINGS!$L$4,IF(ISNUMBER(SEARCH(SETTINGS!$K$5,D471)),SETTINGS!$L$5,IF(ISNUMBER(SEARCH(SETTINGS!$K$6,D471)),SETTINGS!$L$6,IF(ISNUMBER(SEARCH(SETTINGS!$K$7,D471)),SETTINGS!$L$7,IF(ISNUMBER(SEARCH(SETTINGS!$K$8,D471)),SETTINGS!$L$8,IF(ISNUMBER(SEARCH(SETTINGS!$K$9,D471)),SETTINGS!$L$9,IF(ISNUMBER(SEARCH(SETTINGS!$K$10,D471)),SETTINGS!$L$10,IF(ISNUMBER(SEARCH(SETTINGS!$K$11,D471)),SETTINGS!$L$11,IF(ISNUMBER(SEARCH(SETTINGS!$K$12,D471)),SETTINGS!$L$12,IF(ISNUMBER(SEARCH(SETTINGS!$K$13,D471)),SETTINGS!$L$13,IF(ISNUMBER(SEARCH(SETTINGS!$K$14,D471)),SETTINGS!$L$14,IF(ISNUMBER(SEARCH(SETTINGS!$K$15,D471)),SETTINGS!$L$15,IF(ISNUMBER(SEARCH(SETTINGS!$K$16,D471)),SETTINGS!$L$16,IF(ISNUMBER(SEARCH(SETTINGS!$K$17,D471)),SETTINGS!$L$17,IF(ISNUMBER(SEARCH(SETTINGS!$K$18,D471)),SETTINGS!$L$18,"Miscellaneous"))))))))))))))))</f>
        <v/>
      </c>
      <c r="I471" s="44" t="str">
        <f t="shared" si="56"/>
        <v/>
      </c>
      <c r="J471" s="9"/>
      <c r="K471" s="9"/>
      <c r="L471" s="9"/>
      <c r="M471" s="9"/>
      <c r="N471" s="9"/>
      <c r="O471" s="9"/>
      <c r="P471" s="13"/>
      <c r="Q471" s="9"/>
      <c r="R471" s="9"/>
      <c r="S471" s="9"/>
      <c r="T471" s="11"/>
      <c r="U471" s="44" t="str">
        <f t="shared" si="57"/>
        <v/>
      </c>
      <c r="V471" s="44" t="str">
        <f t="shared" si="58"/>
        <v/>
      </c>
      <c r="W471" s="44" t="str">
        <f t="shared" si="59"/>
        <v/>
      </c>
      <c r="X471" s="44" t="str">
        <f t="shared" si="60"/>
        <v/>
      </c>
      <c r="Y471" s="44" t="str">
        <f t="shared" si="61"/>
        <v/>
      </c>
      <c r="Z471" s="44" t="str">
        <f t="shared" si="62"/>
        <v/>
      </c>
      <c r="AA471" s="50" t="str">
        <f t="shared" si="63"/>
        <v/>
      </c>
      <c r="AB471" s="50" t="str">
        <f>IF(OR(B471="",C471&lt;&gt;"Expense"),"",IF(E471&gt;IFERROR(AVERAGEIFS($E$8:$E$1007,$I$8:$I$1007,I471,$C$8:$C$1007,"Expense")*SETTINGS!$B$20,0),"Unusually High","Normal"))</f>
        <v/>
      </c>
      <c r="AC471" s="51"/>
      <c r="AD471" s="51"/>
      <c r="AE471" s="51"/>
      <c r="AF471" s="50" t="str">
        <f>IF(A471&lt;&gt;"Yes","No",IF(AND(AC471="Yes",SETTINGS!$B$16="No"),"No","Yes"))</f>
        <v>No</v>
      </c>
      <c r="AG471" s="50" t="str">
        <f>IF(A471&lt;&gt;"Yes","",IF(OR(B471="",D471="",E471&lt;=0,F471="",I471=""),"Check Required Fields",IF(AA471="Possible Duplicate","Possible Duplicate",IF(E471&gt;SETTINGS!$B$22,"Review Extreme Value","OK"))))</f>
        <v/>
      </c>
    </row>
    <row r="472" spans="1:33" ht="14.4">
      <c r="A472" s="9"/>
      <c r="B472" s="13"/>
      <c r="C472" s="9"/>
      <c r="D472" s="9"/>
      <c r="E472" s="11"/>
      <c r="F472" s="9"/>
      <c r="G472" s="9"/>
      <c r="H472" s="44" t="str">
        <f>IF(D472="","",IF(ISNUMBER(SEARCH(SETTINGS!$K$4,D472)),SETTINGS!$L$4,IF(ISNUMBER(SEARCH(SETTINGS!$K$5,D472)),SETTINGS!$L$5,IF(ISNUMBER(SEARCH(SETTINGS!$K$6,D472)),SETTINGS!$L$6,IF(ISNUMBER(SEARCH(SETTINGS!$K$7,D472)),SETTINGS!$L$7,IF(ISNUMBER(SEARCH(SETTINGS!$K$8,D472)),SETTINGS!$L$8,IF(ISNUMBER(SEARCH(SETTINGS!$K$9,D472)),SETTINGS!$L$9,IF(ISNUMBER(SEARCH(SETTINGS!$K$10,D472)),SETTINGS!$L$10,IF(ISNUMBER(SEARCH(SETTINGS!$K$11,D472)),SETTINGS!$L$11,IF(ISNUMBER(SEARCH(SETTINGS!$K$12,D472)),SETTINGS!$L$12,IF(ISNUMBER(SEARCH(SETTINGS!$K$13,D472)),SETTINGS!$L$13,IF(ISNUMBER(SEARCH(SETTINGS!$K$14,D472)),SETTINGS!$L$14,IF(ISNUMBER(SEARCH(SETTINGS!$K$15,D472)),SETTINGS!$L$15,IF(ISNUMBER(SEARCH(SETTINGS!$K$16,D472)),SETTINGS!$L$16,IF(ISNUMBER(SEARCH(SETTINGS!$K$17,D472)),SETTINGS!$L$17,IF(ISNUMBER(SEARCH(SETTINGS!$K$18,D472)),SETTINGS!$L$18,"Miscellaneous"))))))))))))))))</f>
        <v/>
      </c>
      <c r="I472" s="44" t="str">
        <f t="shared" si="56"/>
        <v/>
      </c>
      <c r="J472" s="9"/>
      <c r="K472" s="9"/>
      <c r="L472" s="9"/>
      <c r="M472" s="9"/>
      <c r="N472" s="9"/>
      <c r="O472" s="9"/>
      <c r="P472" s="13"/>
      <c r="Q472" s="9"/>
      <c r="R472" s="9"/>
      <c r="S472" s="9"/>
      <c r="T472" s="11"/>
      <c r="U472" s="44" t="str">
        <f t="shared" si="57"/>
        <v/>
      </c>
      <c r="V472" s="44" t="str">
        <f t="shared" si="58"/>
        <v/>
      </c>
      <c r="W472" s="44" t="str">
        <f t="shared" si="59"/>
        <v/>
      </c>
      <c r="X472" s="44" t="str">
        <f t="shared" si="60"/>
        <v/>
      </c>
      <c r="Y472" s="44" t="str">
        <f t="shared" si="61"/>
        <v/>
      </c>
      <c r="Z472" s="44" t="str">
        <f t="shared" si="62"/>
        <v/>
      </c>
      <c r="AA472" s="50" t="str">
        <f t="shared" si="63"/>
        <v/>
      </c>
      <c r="AB472" s="50" t="str">
        <f>IF(OR(B472="",C472&lt;&gt;"Expense"),"",IF(E472&gt;IFERROR(AVERAGEIFS($E$8:$E$1007,$I$8:$I$1007,I472,$C$8:$C$1007,"Expense")*SETTINGS!$B$20,0),"Unusually High","Normal"))</f>
        <v/>
      </c>
      <c r="AC472" s="51"/>
      <c r="AD472" s="51"/>
      <c r="AE472" s="51"/>
      <c r="AF472" s="50" t="str">
        <f>IF(A472&lt;&gt;"Yes","No",IF(AND(AC472="Yes",SETTINGS!$B$16="No"),"No","Yes"))</f>
        <v>No</v>
      </c>
      <c r="AG472" s="50" t="str">
        <f>IF(A472&lt;&gt;"Yes","",IF(OR(B472="",D472="",E472&lt;=0,F472="",I472=""),"Check Required Fields",IF(AA472="Possible Duplicate","Possible Duplicate",IF(E472&gt;SETTINGS!$B$22,"Review Extreme Value","OK"))))</f>
        <v/>
      </c>
    </row>
    <row r="473" spans="1:33" ht="14.4">
      <c r="A473" s="9"/>
      <c r="B473" s="13"/>
      <c r="C473" s="9"/>
      <c r="D473" s="9"/>
      <c r="E473" s="11"/>
      <c r="F473" s="9"/>
      <c r="G473" s="9"/>
      <c r="H473" s="44" t="str">
        <f>IF(D473="","",IF(ISNUMBER(SEARCH(SETTINGS!$K$4,D473)),SETTINGS!$L$4,IF(ISNUMBER(SEARCH(SETTINGS!$K$5,D473)),SETTINGS!$L$5,IF(ISNUMBER(SEARCH(SETTINGS!$K$6,D473)),SETTINGS!$L$6,IF(ISNUMBER(SEARCH(SETTINGS!$K$7,D473)),SETTINGS!$L$7,IF(ISNUMBER(SEARCH(SETTINGS!$K$8,D473)),SETTINGS!$L$8,IF(ISNUMBER(SEARCH(SETTINGS!$K$9,D473)),SETTINGS!$L$9,IF(ISNUMBER(SEARCH(SETTINGS!$K$10,D473)),SETTINGS!$L$10,IF(ISNUMBER(SEARCH(SETTINGS!$K$11,D473)),SETTINGS!$L$11,IF(ISNUMBER(SEARCH(SETTINGS!$K$12,D473)),SETTINGS!$L$12,IF(ISNUMBER(SEARCH(SETTINGS!$K$13,D473)),SETTINGS!$L$13,IF(ISNUMBER(SEARCH(SETTINGS!$K$14,D473)),SETTINGS!$L$14,IF(ISNUMBER(SEARCH(SETTINGS!$K$15,D473)),SETTINGS!$L$15,IF(ISNUMBER(SEARCH(SETTINGS!$K$16,D473)),SETTINGS!$L$16,IF(ISNUMBER(SEARCH(SETTINGS!$K$17,D473)),SETTINGS!$L$17,IF(ISNUMBER(SEARCH(SETTINGS!$K$18,D473)),SETTINGS!$L$18,"Miscellaneous"))))))))))))))))</f>
        <v/>
      </c>
      <c r="I473" s="44" t="str">
        <f t="shared" si="56"/>
        <v/>
      </c>
      <c r="J473" s="9"/>
      <c r="K473" s="9"/>
      <c r="L473" s="9"/>
      <c r="M473" s="9"/>
      <c r="N473" s="9"/>
      <c r="O473" s="9"/>
      <c r="P473" s="13"/>
      <c r="Q473" s="9"/>
      <c r="R473" s="9"/>
      <c r="S473" s="9"/>
      <c r="T473" s="11"/>
      <c r="U473" s="44" t="str">
        <f t="shared" si="57"/>
        <v/>
      </c>
      <c r="V473" s="44" t="str">
        <f t="shared" si="58"/>
        <v/>
      </c>
      <c r="W473" s="44" t="str">
        <f t="shared" si="59"/>
        <v/>
      </c>
      <c r="X473" s="44" t="str">
        <f t="shared" si="60"/>
        <v/>
      </c>
      <c r="Y473" s="44" t="str">
        <f t="shared" si="61"/>
        <v/>
      </c>
      <c r="Z473" s="44" t="str">
        <f t="shared" si="62"/>
        <v/>
      </c>
      <c r="AA473" s="50" t="str">
        <f t="shared" si="63"/>
        <v/>
      </c>
      <c r="AB473" s="50" t="str">
        <f>IF(OR(B473="",C473&lt;&gt;"Expense"),"",IF(E473&gt;IFERROR(AVERAGEIFS($E$8:$E$1007,$I$8:$I$1007,I473,$C$8:$C$1007,"Expense")*SETTINGS!$B$20,0),"Unusually High","Normal"))</f>
        <v/>
      </c>
      <c r="AC473" s="51"/>
      <c r="AD473" s="51"/>
      <c r="AE473" s="51"/>
      <c r="AF473" s="50" t="str">
        <f>IF(A473&lt;&gt;"Yes","No",IF(AND(AC473="Yes",SETTINGS!$B$16="No"),"No","Yes"))</f>
        <v>No</v>
      </c>
      <c r="AG473" s="50" t="str">
        <f>IF(A473&lt;&gt;"Yes","",IF(OR(B473="",D473="",E473&lt;=0,F473="",I473=""),"Check Required Fields",IF(AA473="Possible Duplicate","Possible Duplicate",IF(E473&gt;SETTINGS!$B$22,"Review Extreme Value","OK"))))</f>
        <v/>
      </c>
    </row>
    <row r="474" spans="1:33" ht="14.4">
      <c r="A474" s="9"/>
      <c r="B474" s="13"/>
      <c r="C474" s="9"/>
      <c r="D474" s="9"/>
      <c r="E474" s="11"/>
      <c r="F474" s="9"/>
      <c r="G474" s="9"/>
      <c r="H474" s="44" t="str">
        <f>IF(D474="","",IF(ISNUMBER(SEARCH(SETTINGS!$K$4,D474)),SETTINGS!$L$4,IF(ISNUMBER(SEARCH(SETTINGS!$K$5,D474)),SETTINGS!$L$5,IF(ISNUMBER(SEARCH(SETTINGS!$K$6,D474)),SETTINGS!$L$6,IF(ISNUMBER(SEARCH(SETTINGS!$K$7,D474)),SETTINGS!$L$7,IF(ISNUMBER(SEARCH(SETTINGS!$K$8,D474)),SETTINGS!$L$8,IF(ISNUMBER(SEARCH(SETTINGS!$K$9,D474)),SETTINGS!$L$9,IF(ISNUMBER(SEARCH(SETTINGS!$K$10,D474)),SETTINGS!$L$10,IF(ISNUMBER(SEARCH(SETTINGS!$K$11,D474)),SETTINGS!$L$11,IF(ISNUMBER(SEARCH(SETTINGS!$K$12,D474)),SETTINGS!$L$12,IF(ISNUMBER(SEARCH(SETTINGS!$K$13,D474)),SETTINGS!$L$13,IF(ISNUMBER(SEARCH(SETTINGS!$K$14,D474)),SETTINGS!$L$14,IF(ISNUMBER(SEARCH(SETTINGS!$K$15,D474)),SETTINGS!$L$15,IF(ISNUMBER(SEARCH(SETTINGS!$K$16,D474)),SETTINGS!$L$16,IF(ISNUMBER(SEARCH(SETTINGS!$K$17,D474)),SETTINGS!$L$17,IF(ISNUMBER(SEARCH(SETTINGS!$K$18,D474)),SETTINGS!$L$18,"Miscellaneous"))))))))))))))))</f>
        <v/>
      </c>
      <c r="I474" s="44" t="str">
        <f t="shared" si="56"/>
        <v/>
      </c>
      <c r="J474" s="9"/>
      <c r="K474" s="9"/>
      <c r="L474" s="9"/>
      <c r="M474" s="9"/>
      <c r="N474" s="9"/>
      <c r="O474" s="9"/>
      <c r="P474" s="13"/>
      <c r="Q474" s="9"/>
      <c r="R474" s="9"/>
      <c r="S474" s="9"/>
      <c r="T474" s="11"/>
      <c r="U474" s="44" t="str">
        <f t="shared" si="57"/>
        <v/>
      </c>
      <c r="V474" s="44" t="str">
        <f t="shared" si="58"/>
        <v/>
      </c>
      <c r="W474" s="44" t="str">
        <f t="shared" si="59"/>
        <v/>
      </c>
      <c r="X474" s="44" t="str">
        <f t="shared" si="60"/>
        <v/>
      </c>
      <c r="Y474" s="44" t="str">
        <f t="shared" si="61"/>
        <v/>
      </c>
      <c r="Z474" s="44" t="str">
        <f t="shared" si="62"/>
        <v/>
      </c>
      <c r="AA474" s="50" t="str">
        <f t="shared" si="63"/>
        <v/>
      </c>
      <c r="AB474" s="50" t="str">
        <f>IF(OR(B474="",C474&lt;&gt;"Expense"),"",IF(E474&gt;IFERROR(AVERAGEIFS($E$8:$E$1007,$I$8:$I$1007,I474,$C$8:$C$1007,"Expense")*SETTINGS!$B$20,0),"Unusually High","Normal"))</f>
        <v/>
      </c>
      <c r="AC474" s="51"/>
      <c r="AD474" s="51"/>
      <c r="AE474" s="51"/>
      <c r="AF474" s="50" t="str">
        <f>IF(A474&lt;&gt;"Yes","No",IF(AND(AC474="Yes",SETTINGS!$B$16="No"),"No","Yes"))</f>
        <v>No</v>
      </c>
      <c r="AG474" s="50" t="str">
        <f>IF(A474&lt;&gt;"Yes","",IF(OR(B474="",D474="",E474&lt;=0,F474="",I474=""),"Check Required Fields",IF(AA474="Possible Duplicate","Possible Duplicate",IF(E474&gt;SETTINGS!$B$22,"Review Extreme Value","OK"))))</f>
        <v/>
      </c>
    </row>
    <row r="475" spans="1:33" ht="14.4">
      <c r="A475" s="9"/>
      <c r="B475" s="13"/>
      <c r="C475" s="9"/>
      <c r="D475" s="9"/>
      <c r="E475" s="11"/>
      <c r="F475" s="9"/>
      <c r="G475" s="9"/>
      <c r="H475" s="44" t="str">
        <f>IF(D475="","",IF(ISNUMBER(SEARCH(SETTINGS!$K$4,D475)),SETTINGS!$L$4,IF(ISNUMBER(SEARCH(SETTINGS!$K$5,D475)),SETTINGS!$L$5,IF(ISNUMBER(SEARCH(SETTINGS!$K$6,D475)),SETTINGS!$L$6,IF(ISNUMBER(SEARCH(SETTINGS!$K$7,D475)),SETTINGS!$L$7,IF(ISNUMBER(SEARCH(SETTINGS!$K$8,D475)),SETTINGS!$L$8,IF(ISNUMBER(SEARCH(SETTINGS!$K$9,D475)),SETTINGS!$L$9,IF(ISNUMBER(SEARCH(SETTINGS!$K$10,D475)),SETTINGS!$L$10,IF(ISNUMBER(SEARCH(SETTINGS!$K$11,D475)),SETTINGS!$L$11,IF(ISNUMBER(SEARCH(SETTINGS!$K$12,D475)),SETTINGS!$L$12,IF(ISNUMBER(SEARCH(SETTINGS!$K$13,D475)),SETTINGS!$L$13,IF(ISNUMBER(SEARCH(SETTINGS!$K$14,D475)),SETTINGS!$L$14,IF(ISNUMBER(SEARCH(SETTINGS!$K$15,D475)),SETTINGS!$L$15,IF(ISNUMBER(SEARCH(SETTINGS!$K$16,D475)),SETTINGS!$L$16,IF(ISNUMBER(SEARCH(SETTINGS!$K$17,D475)),SETTINGS!$L$17,IF(ISNUMBER(SEARCH(SETTINGS!$K$18,D475)),SETTINGS!$L$18,"Miscellaneous"))))))))))))))))</f>
        <v/>
      </c>
      <c r="I475" s="44" t="str">
        <f t="shared" si="56"/>
        <v/>
      </c>
      <c r="J475" s="9"/>
      <c r="K475" s="9"/>
      <c r="L475" s="9"/>
      <c r="M475" s="9"/>
      <c r="N475" s="9"/>
      <c r="O475" s="9"/>
      <c r="P475" s="13"/>
      <c r="Q475" s="9"/>
      <c r="R475" s="9"/>
      <c r="S475" s="9"/>
      <c r="T475" s="11"/>
      <c r="U475" s="44" t="str">
        <f t="shared" si="57"/>
        <v/>
      </c>
      <c r="V475" s="44" t="str">
        <f t="shared" si="58"/>
        <v/>
      </c>
      <c r="W475" s="44" t="str">
        <f t="shared" si="59"/>
        <v/>
      </c>
      <c r="X475" s="44" t="str">
        <f t="shared" si="60"/>
        <v/>
      </c>
      <c r="Y475" s="44" t="str">
        <f t="shared" si="61"/>
        <v/>
      </c>
      <c r="Z475" s="44" t="str">
        <f t="shared" si="62"/>
        <v/>
      </c>
      <c r="AA475" s="50" t="str">
        <f t="shared" si="63"/>
        <v/>
      </c>
      <c r="AB475" s="50" t="str">
        <f>IF(OR(B475="",C475&lt;&gt;"Expense"),"",IF(E475&gt;IFERROR(AVERAGEIFS($E$8:$E$1007,$I$8:$I$1007,I475,$C$8:$C$1007,"Expense")*SETTINGS!$B$20,0),"Unusually High","Normal"))</f>
        <v/>
      </c>
      <c r="AC475" s="51"/>
      <c r="AD475" s="51"/>
      <c r="AE475" s="51"/>
      <c r="AF475" s="50" t="str">
        <f>IF(A475&lt;&gt;"Yes","No",IF(AND(AC475="Yes",SETTINGS!$B$16="No"),"No","Yes"))</f>
        <v>No</v>
      </c>
      <c r="AG475" s="50" t="str">
        <f>IF(A475&lt;&gt;"Yes","",IF(OR(B475="",D475="",E475&lt;=0,F475="",I475=""),"Check Required Fields",IF(AA475="Possible Duplicate","Possible Duplicate",IF(E475&gt;SETTINGS!$B$22,"Review Extreme Value","OK"))))</f>
        <v/>
      </c>
    </row>
    <row r="476" spans="1:33" ht="14.4">
      <c r="A476" s="9"/>
      <c r="B476" s="13"/>
      <c r="C476" s="9"/>
      <c r="D476" s="9"/>
      <c r="E476" s="11"/>
      <c r="F476" s="9"/>
      <c r="G476" s="9"/>
      <c r="H476" s="44" t="str">
        <f>IF(D476="","",IF(ISNUMBER(SEARCH(SETTINGS!$K$4,D476)),SETTINGS!$L$4,IF(ISNUMBER(SEARCH(SETTINGS!$K$5,D476)),SETTINGS!$L$5,IF(ISNUMBER(SEARCH(SETTINGS!$K$6,D476)),SETTINGS!$L$6,IF(ISNUMBER(SEARCH(SETTINGS!$K$7,D476)),SETTINGS!$L$7,IF(ISNUMBER(SEARCH(SETTINGS!$K$8,D476)),SETTINGS!$L$8,IF(ISNUMBER(SEARCH(SETTINGS!$K$9,D476)),SETTINGS!$L$9,IF(ISNUMBER(SEARCH(SETTINGS!$K$10,D476)),SETTINGS!$L$10,IF(ISNUMBER(SEARCH(SETTINGS!$K$11,D476)),SETTINGS!$L$11,IF(ISNUMBER(SEARCH(SETTINGS!$K$12,D476)),SETTINGS!$L$12,IF(ISNUMBER(SEARCH(SETTINGS!$K$13,D476)),SETTINGS!$L$13,IF(ISNUMBER(SEARCH(SETTINGS!$K$14,D476)),SETTINGS!$L$14,IF(ISNUMBER(SEARCH(SETTINGS!$K$15,D476)),SETTINGS!$L$15,IF(ISNUMBER(SEARCH(SETTINGS!$K$16,D476)),SETTINGS!$L$16,IF(ISNUMBER(SEARCH(SETTINGS!$K$17,D476)),SETTINGS!$L$17,IF(ISNUMBER(SEARCH(SETTINGS!$K$18,D476)),SETTINGS!$L$18,"Miscellaneous"))))))))))))))))</f>
        <v/>
      </c>
      <c r="I476" s="44" t="str">
        <f t="shared" si="56"/>
        <v/>
      </c>
      <c r="J476" s="9"/>
      <c r="K476" s="9"/>
      <c r="L476" s="9"/>
      <c r="M476" s="9"/>
      <c r="N476" s="9"/>
      <c r="O476" s="9"/>
      <c r="P476" s="13"/>
      <c r="Q476" s="9"/>
      <c r="R476" s="9"/>
      <c r="S476" s="9"/>
      <c r="T476" s="11"/>
      <c r="U476" s="44" t="str">
        <f t="shared" si="57"/>
        <v/>
      </c>
      <c r="V476" s="44" t="str">
        <f t="shared" si="58"/>
        <v/>
      </c>
      <c r="W476" s="44" t="str">
        <f t="shared" si="59"/>
        <v/>
      </c>
      <c r="X476" s="44" t="str">
        <f t="shared" si="60"/>
        <v/>
      </c>
      <c r="Y476" s="44" t="str">
        <f t="shared" si="61"/>
        <v/>
      </c>
      <c r="Z476" s="44" t="str">
        <f t="shared" si="62"/>
        <v/>
      </c>
      <c r="AA476" s="50" t="str">
        <f t="shared" si="63"/>
        <v/>
      </c>
      <c r="AB476" s="50" t="str">
        <f>IF(OR(B476="",C476&lt;&gt;"Expense"),"",IF(E476&gt;IFERROR(AVERAGEIFS($E$8:$E$1007,$I$8:$I$1007,I476,$C$8:$C$1007,"Expense")*SETTINGS!$B$20,0),"Unusually High","Normal"))</f>
        <v/>
      </c>
      <c r="AC476" s="51"/>
      <c r="AD476" s="51"/>
      <c r="AE476" s="51"/>
      <c r="AF476" s="50" t="str">
        <f>IF(A476&lt;&gt;"Yes","No",IF(AND(AC476="Yes",SETTINGS!$B$16="No"),"No","Yes"))</f>
        <v>No</v>
      </c>
      <c r="AG476" s="50" t="str">
        <f>IF(A476&lt;&gt;"Yes","",IF(OR(B476="",D476="",E476&lt;=0,F476="",I476=""),"Check Required Fields",IF(AA476="Possible Duplicate","Possible Duplicate",IF(E476&gt;SETTINGS!$B$22,"Review Extreme Value","OK"))))</f>
        <v/>
      </c>
    </row>
    <row r="477" spans="1:33" ht="14.4">
      <c r="A477" s="9"/>
      <c r="B477" s="13"/>
      <c r="C477" s="9"/>
      <c r="D477" s="9"/>
      <c r="E477" s="11"/>
      <c r="F477" s="9"/>
      <c r="G477" s="9"/>
      <c r="H477" s="44" t="str">
        <f>IF(D477="","",IF(ISNUMBER(SEARCH(SETTINGS!$K$4,D477)),SETTINGS!$L$4,IF(ISNUMBER(SEARCH(SETTINGS!$K$5,D477)),SETTINGS!$L$5,IF(ISNUMBER(SEARCH(SETTINGS!$K$6,D477)),SETTINGS!$L$6,IF(ISNUMBER(SEARCH(SETTINGS!$K$7,D477)),SETTINGS!$L$7,IF(ISNUMBER(SEARCH(SETTINGS!$K$8,D477)),SETTINGS!$L$8,IF(ISNUMBER(SEARCH(SETTINGS!$K$9,D477)),SETTINGS!$L$9,IF(ISNUMBER(SEARCH(SETTINGS!$K$10,D477)),SETTINGS!$L$10,IF(ISNUMBER(SEARCH(SETTINGS!$K$11,D477)),SETTINGS!$L$11,IF(ISNUMBER(SEARCH(SETTINGS!$K$12,D477)),SETTINGS!$L$12,IF(ISNUMBER(SEARCH(SETTINGS!$K$13,D477)),SETTINGS!$L$13,IF(ISNUMBER(SEARCH(SETTINGS!$K$14,D477)),SETTINGS!$L$14,IF(ISNUMBER(SEARCH(SETTINGS!$K$15,D477)),SETTINGS!$L$15,IF(ISNUMBER(SEARCH(SETTINGS!$K$16,D477)),SETTINGS!$L$16,IF(ISNUMBER(SEARCH(SETTINGS!$K$17,D477)),SETTINGS!$L$17,IF(ISNUMBER(SEARCH(SETTINGS!$K$18,D477)),SETTINGS!$L$18,"Miscellaneous"))))))))))))))))</f>
        <v/>
      </c>
      <c r="I477" s="44" t="str">
        <f t="shared" si="56"/>
        <v/>
      </c>
      <c r="J477" s="9"/>
      <c r="K477" s="9"/>
      <c r="L477" s="9"/>
      <c r="M477" s="9"/>
      <c r="N477" s="9"/>
      <c r="O477" s="9"/>
      <c r="P477" s="13"/>
      <c r="Q477" s="9"/>
      <c r="R477" s="9"/>
      <c r="S477" s="9"/>
      <c r="T477" s="11"/>
      <c r="U477" s="44" t="str">
        <f t="shared" si="57"/>
        <v/>
      </c>
      <c r="V477" s="44" t="str">
        <f t="shared" si="58"/>
        <v/>
      </c>
      <c r="W477" s="44" t="str">
        <f t="shared" si="59"/>
        <v/>
      </c>
      <c r="X477" s="44" t="str">
        <f t="shared" si="60"/>
        <v/>
      </c>
      <c r="Y477" s="44" t="str">
        <f t="shared" si="61"/>
        <v/>
      </c>
      <c r="Z477" s="44" t="str">
        <f t="shared" si="62"/>
        <v/>
      </c>
      <c r="AA477" s="50" t="str">
        <f t="shared" si="63"/>
        <v/>
      </c>
      <c r="AB477" s="50" t="str">
        <f>IF(OR(B477="",C477&lt;&gt;"Expense"),"",IF(E477&gt;IFERROR(AVERAGEIFS($E$8:$E$1007,$I$8:$I$1007,I477,$C$8:$C$1007,"Expense")*SETTINGS!$B$20,0),"Unusually High","Normal"))</f>
        <v/>
      </c>
      <c r="AC477" s="51"/>
      <c r="AD477" s="51"/>
      <c r="AE477" s="51"/>
      <c r="AF477" s="50" t="str">
        <f>IF(A477&lt;&gt;"Yes","No",IF(AND(AC477="Yes",SETTINGS!$B$16="No"),"No","Yes"))</f>
        <v>No</v>
      </c>
      <c r="AG477" s="50" t="str">
        <f>IF(A477&lt;&gt;"Yes","",IF(OR(B477="",D477="",E477&lt;=0,F477="",I477=""),"Check Required Fields",IF(AA477="Possible Duplicate","Possible Duplicate",IF(E477&gt;SETTINGS!$B$22,"Review Extreme Value","OK"))))</f>
        <v/>
      </c>
    </row>
    <row r="478" spans="1:33" ht="14.4">
      <c r="A478" s="9"/>
      <c r="B478" s="13"/>
      <c r="C478" s="9"/>
      <c r="D478" s="9"/>
      <c r="E478" s="11"/>
      <c r="F478" s="9"/>
      <c r="G478" s="9"/>
      <c r="H478" s="44" t="str">
        <f>IF(D478="","",IF(ISNUMBER(SEARCH(SETTINGS!$K$4,D478)),SETTINGS!$L$4,IF(ISNUMBER(SEARCH(SETTINGS!$K$5,D478)),SETTINGS!$L$5,IF(ISNUMBER(SEARCH(SETTINGS!$K$6,D478)),SETTINGS!$L$6,IF(ISNUMBER(SEARCH(SETTINGS!$K$7,D478)),SETTINGS!$L$7,IF(ISNUMBER(SEARCH(SETTINGS!$K$8,D478)),SETTINGS!$L$8,IF(ISNUMBER(SEARCH(SETTINGS!$K$9,D478)),SETTINGS!$L$9,IF(ISNUMBER(SEARCH(SETTINGS!$K$10,D478)),SETTINGS!$L$10,IF(ISNUMBER(SEARCH(SETTINGS!$K$11,D478)),SETTINGS!$L$11,IF(ISNUMBER(SEARCH(SETTINGS!$K$12,D478)),SETTINGS!$L$12,IF(ISNUMBER(SEARCH(SETTINGS!$K$13,D478)),SETTINGS!$L$13,IF(ISNUMBER(SEARCH(SETTINGS!$K$14,D478)),SETTINGS!$L$14,IF(ISNUMBER(SEARCH(SETTINGS!$K$15,D478)),SETTINGS!$L$15,IF(ISNUMBER(SEARCH(SETTINGS!$K$16,D478)),SETTINGS!$L$16,IF(ISNUMBER(SEARCH(SETTINGS!$K$17,D478)),SETTINGS!$L$17,IF(ISNUMBER(SEARCH(SETTINGS!$K$18,D478)),SETTINGS!$L$18,"Miscellaneous"))))))))))))))))</f>
        <v/>
      </c>
      <c r="I478" s="44" t="str">
        <f t="shared" si="56"/>
        <v/>
      </c>
      <c r="J478" s="9"/>
      <c r="K478" s="9"/>
      <c r="L478" s="9"/>
      <c r="M478" s="9"/>
      <c r="N478" s="9"/>
      <c r="O478" s="9"/>
      <c r="P478" s="13"/>
      <c r="Q478" s="9"/>
      <c r="R478" s="9"/>
      <c r="S478" s="9"/>
      <c r="T478" s="11"/>
      <c r="U478" s="44" t="str">
        <f t="shared" si="57"/>
        <v/>
      </c>
      <c r="V478" s="44" t="str">
        <f t="shared" si="58"/>
        <v/>
      </c>
      <c r="W478" s="44" t="str">
        <f t="shared" si="59"/>
        <v/>
      </c>
      <c r="X478" s="44" t="str">
        <f t="shared" si="60"/>
        <v/>
      </c>
      <c r="Y478" s="44" t="str">
        <f t="shared" si="61"/>
        <v/>
      </c>
      <c r="Z478" s="44" t="str">
        <f t="shared" si="62"/>
        <v/>
      </c>
      <c r="AA478" s="50" t="str">
        <f t="shared" si="63"/>
        <v/>
      </c>
      <c r="AB478" s="50" t="str">
        <f>IF(OR(B478="",C478&lt;&gt;"Expense"),"",IF(E478&gt;IFERROR(AVERAGEIFS($E$8:$E$1007,$I$8:$I$1007,I478,$C$8:$C$1007,"Expense")*SETTINGS!$B$20,0),"Unusually High","Normal"))</f>
        <v/>
      </c>
      <c r="AC478" s="51"/>
      <c r="AD478" s="51"/>
      <c r="AE478" s="51"/>
      <c r="AF478" s="50" t="str">
        <f>IF(A478&lt;&gt;"Yes","No",IF(AND(AC478="Yes",SETTINGS!$B$16="No"),"No","Yes"))</f>
        <v>No</v>
      </c>
      <c r="AG478" s="50" t="str">
        <f>IF(A478&lt;&gt;"Yes","",IF(OR(B478="",D478="",E478&lt;=0,F478="",I478=""),"Check Required Fields",IF(AA478="Possible Duplicate","Possible Duplicate",IF(E478&gt;SETTINGS!$B$22,"Review Extreme Value","OK"))))</f>
        <v/>
      </c>
    </row>
    <row r="479" spans="1:33" ht="14.4">
      <c r="A479" s="9"/>
      <c r="B479" s="13"/>
      <c r="C479" s="9"/>
      <c r="D479" s="9"/>
      <c r="E479" s="11"/>
      <c r="F479" s="9"/>
      <c r="G479" s="9"/>
      <c r="H479" s="44" t="str">
        <f>IF(D479="","",IF(ISNUMBER(SEARCH(SETTINGS!$K$4,D479)),SETTINGS!$L$4,IF(ISNUMBER(SEARCH(SETTINGS!$K$5,D479)),SETTINGS!$L$5,IF(ISNUMBER(SEARCH(SETTINGS!$K$6,D479)),SETTINGS!$L$6,IF(ISNUMBER(SEARCH(SETTINGS!$K$7,D479)),SETTINGS!$L$7,IF(ISNUMBER(SEARCH(SETTINGS!$K$8,D479)),SETTINGS!$L$8,IF(ISNUMBER(SEARCH(SETTINGS!$K$9,D479)),SETTINGS!$L$9,IF(ISNUMBER(SEARCH(SETTINGS!$K$10,D479)),SETTINGS!$L$10,IF(ISNUMBER(SEARCH(SETTINGS!$K$11,D479)),SETTINGS!$L$11,IF(ISNUMBER(SEARCH(SETTINGS!$K$12,D479)),SETTINGS!$L$12,IF(ISNUMBER(SEARCH(SETTINGS!$K$13,D479)),SETTINGS!$L$13,IF(ISNUMBER(SEARCH(SETTINGS!$K$14,D479)),SETTINGS!$L$14,IF(ISNUMBER(SEARCH(SETTINGS!$K$15,D479)),SETTINGS!$L$15,IF(ISNUMBER(SEARCH(SETTINGS!$K$16,D479)),SETTINGS!$L$16,IF(ISNUMBER(SEARCH(SETTINGS!$K$17,D479)),SETTINGS!$L$17,IF(ISNUMBER(SEARCH(SETTINGS!$K$18,D479)),SETTINGS!$L$18,"Miscellaneous"))))))))))))))))</f>
        <v/>
      </c>
      <c r="I479" s="44" t="str">
        <f t="shared" si="56"/>
        <v/>
      </c>
      <c r="J479" s="9"/>
      <c r="K479" s="9"/>
      <c r="L479" s="9"/>
      <c r="M479" s="9"/>
      <c r="N479" s="9"/>
      <c r="O479" s="9"/>
      <c r="P479" s="13"/>
      <c r="Q479" s="9"/>
      <c r="R479" s="9"/>
      <c r="S479" s="9"/>
      <c r="T479" s="11"/>
      <c r="U479" s="44" t="str">
        <f t="shared" si="57"/>
        <v/>
      </c>
      <c r="V479" s="44" t="str">
        <f t="shared" si="58"/>
        <v/>
      </c>
      <c r="W479" s="44" t="str">
        <f t="shared" si="59"/>
        <v/>
      </c>
      <c r="X479" s="44" t="str">
        <f t="shared" si="60"/>
        <v/>
      </c>
      <c r="Y479" s="44" t="str">
        <f t="shared" si="61"/>
        <v/>
      </c>
      <c r="Z479" s="44" t="str">
        <f t="shared" si="62"/>
        <v/>
      </c>
      <c r="AA479" s="50" t="str">
        <f t="shared" si="63"/>
        <v/>
      </c>
      <c r="AB479" s="50" t="str">
        <f>IF(OR(B479="",C479&lt;&gt;"Expense"),"",IF(E479&gt;IFERROR(AVERAGEIFS($E$8:$E$1007,$I$8:$I$1007,I479,$C$8:$C$1007,"Expense")*SETTINGS!$B$20,0),"Unusually High","Normal"))</f>
        <v/>
      </c>
      <c r="AC479" s="51"/>
      <c r="AD479" s="51"/>
      <c r="AE479" s="51"/>
      <c r="AF479" s="50" t="str">
        <f>IF(A479&lt;&gt;"Yes","No",IF(AND(AC479="Yes",SETTINGS!$B$16="No"),"No","Yes"))</f>
        <v>No</v>
      </c>
      <c r="AG479" s="50" t="str">
        <f>IF(A479&lt;&gt;"Yes","",IF(OR(B479="",D479="",E479&lt;=0,F479="",I479=""),"Check Required Fields",IF(AA479="Possible Duplicate","Possible Duplicate",IF(E479&gt;SETTINGS!$B$22,"Review Extreme Value","OK"))))</f>
        <v/>
      </c>
    </row>
    <row r="480" spans="1:33" ht="14.4">
      <c r="A480" s="9"/>
      <c r="B480" s="13"/>
      <c r="C480" s="9"/>
      <c r="D480" s="9"/>
      <c r="E480" s="11"/>
      <c r="F480" s="9"/>
      <c r="G480" s="9"/>
      <c r="H480" s="44" t="str">
        <f>IF(D480="","",IF(ISNUMBER(SEARCH(SETTINGS!$K$4,D480)),SETTINGS!$L$4,IF(ISNUMBER(SEARCH(SETTINGS!$K$5,D480)),SETTINGS!$L$5,IF(ISNUMBER(SEARCH(SETTINGS!$K$6,D480)),SETTINGS!$L$6,IF(ISNUMBER(SEARCH(SETTINGS!$K$7,D480)),SETTINGS!$L$7,IF(ISNUMBER(SEARCH(SETTINGS!$K$8,D480)),SETTINGS!$L$8,IF(ISNUMBER(SEARCH(SETTINGS!$K$9,D480)),SETTINGS!$L$9,IF(ISNUMBER(SEARCH(SETTINGS!$K$10,D480)),SETTINGS!$L$10,IF(ISNUMBER(SEARCH(SETTINGS!$K$11,D480)),SETTINGS!$L$11,IF(ISNUMBER(SEARCH(SETTINGS!$K$12,D480)),SETTINGS!$L$12,IF(ISNUMBER(SEARCH(SETTINGS!$K$13,D480)),SETTINGS!$L$13,IF(ISNUMBER(SEARCH(SETTINGS!$K$14,D480)),SETTINGS!$L$14,IF(ISNUMBER(SEARCH(SETTINGS!$K$15,D480)),SETTINGS!$L$15,IF(ISNUMBER(SEARCH(SETTINGS!$K$16,D480)),SETTINGS!$L$16,IF(ISNUMBER(SEARCH(SETTINGS!$K$17,D480)),SETTINGS!$L$17,IF(ISNUMBER(SEARCH(SETTINGS!$K$18,D480)),SETTINGS!$L$18,"Miscellaneous"))))))))))))))))</f>
        <v/>
      </c>
      <c r="I480" s="44" t="str">
        <f t="shared" si="56"/>
        <v/>
      </c>
      <c r="J480" s="9"/>
      <c r="K480" s="9"/>
      <c r="L480" s="9"/>
      <c r="M480" s="9"/>
      <c r="N480" s="9"/>
      <c r="O480" s="9"/>
      <c r="P480" s="13"/>
      <c r="Q480" s="9"/>
      <c r="R480" s="9"/>
      <c r="S480" s="9"/>
      <c r="T480" s="11"/>
      <c r="U480" s="44" t="str">
        <f t="shared" si="57"/>
        <v/>
      </c>
      <c r="V480" s="44" t="str">
        <f t="shared" si="58"/>
        <v/>
      </c>
      <c r="W480" s="44" t="str">
        <f t="shared" si="59"/>
        <v/>
      </c>
      <c r="X480" s="44" t="str">
        <f t="shared" si="60"/>
        <v/>
      </c>
      <c r="Y480" s="44" t="str">
        <f t="shared" si="61"/>
        <v/>
      </c>
      <c r="Z480" s="44" t="str">
        <f t="shared" si="62"/>
        <v/>
      </c>
      <c r="AA480" s="50" t="str">
        <f t="shared" si="63"/>
        <v/>
      </c>
      <c r="AB480" s="50" t="str">
        <f>IF(OR(B480="",C480&lt;&gt;"Expense"),"",IF(E480&gt;IFERROR(AVERAGEIFS($E$8:$E$1007,$I$8:$I$1007,I480,$C$8:$C$1007,"Expense")*SETTINGS!$B$20,0),"Unusually High","Normal"))</f>
        <v/>
      </c>
      <c r="AC480" s="51"/>
      <c r="AD480" s="51"/>
      <c r="AE480" s="51"/>
      <c r="AF480" s="50" t="str">
        <f>IF(A480&lt;&gt;"Yes","No",IF(AND(AC480="Yes",SETTINGS!$B$16="No"),"No","Yes"))</f>
        <v>No</v>
      </c>
      <c r="AG480" s="50" t="str">
        <f>IF(A480&lt;&gt;"Yes","",IF(OR(B480="",D480="",E480&lt;=0,F480="",I480=""),"Check Required Fields",IF(AA480="Possible Duplicate","Possible Duplicate",IF(E480&gt;SETTINGS!$B$22,"Review Extreme Value","OK"))))</f>
        <v/>
      </c>
    </row>
    <row r="481" spans="1:33" ht="14.4">
      <c r="A481" s="9"/>
      <c r="B481" s="13"/>
      <c r="C481" s="9"/>
      <c r="D481" s="9"/>
      <c r="E481" s="11"/>
      <c r="F481" s="9"/>
      <c r="G481" s="9"/>
      <c r="H481" s="44" t="str">
        <f>IF(D481="","",IF(ISNUMBER(SEARCH(SETTINGS!$K$4,D481)),SETTINGS!$L$4,IF(ISNUMBER(SEARCH(SETTINGS!$K$5,D481)),SETTINGS!$L$5,IF(ISNUMBER(SEARCH(SETTINGS!$K$6,D481)),SETTINGS!$L$6,IF(ISNUMBER(SEARCH(SETTINGS!$K$7,D481)),SETTINGS!$L$7,IF(ISNUMBER(SEARCH(SETTINGS!$K$8,D481)),SETTINGS!$L$8,IF(ISNUMBER(SEARCH(SETTINGS!$K$9,D481)),SETTINGS!$L$9,IF(ISNUMBER(SEARCH(SETTINGS!$K$10,D481)),SETTINGS!$L$10,IF(ISNUMBER(SEARCH(SETTINGS!$K$11,D481)),SETTINGS!$L$11,IF(ISNUMBER(SEARCH(SETTINGS!$K$12,D481)),SETTINGS!$L$12,IF(ISNUMBER(SEARCH(SETTINGS!$K$13,D481)),SETTINGS!$L$13,IF(ISNUMBER(SEARCH(SETTINGS!$K$14,D481)),SETTINGS!$L$14,IF(ISNUMBER(SEARCH(SETTINGS!$K$15,D481)),SETTINGS!$L$15,IF(ISNUMBER(SEARCH(SETTINGS!$K$16,D481)),SETTINGS!$L$16,IF(ISNUMBER(SEARCH(SETTINGS!$K$17,D481)),SETTINGS!$L$17,IF(ISNUMBER(SEARCH(SETTINGS!$K$18,D481)),SETTINGS!$L$18,"Miscellaneous"))))))))))))))))</f>
        <v/>
      </c>
      <c r="I481" s="44" t="str">
        <f t="shared" si="56"/>
        <v/>
      </c>
      <c r="J481" s="9"/>
      <c r="K481" s="9"/>
      <c r="L481" s="9"/>
      <c r="M481" s="9"/>
      <c r="N481" s="9"/>
      <c r="O481" s="9"/>
      <c r="P481" s="13"/>
      <c r="Q481" s="9"/>
      <c r="R481" s="9"/>
      <c r="S481" s="9"/>
      <c r="T481" s="11"/>
      <c r="U481" s="44" t="str">
        <f t="shared" si="57"/>
        <v/>
      </c>
      <c r="V481" s="44" t="str">
        <f t="shared" si="58"/>
        <v/>
      </c>
      <c r="W481" s="44" t="str">
        <f t="shared" si="59"/>
        <v/>
      </c>
      <c r="X481" s="44" t="str">
        <f t="shared" si="60"/>
        <v/>
      </c>
      <c r="Y481" s="44" t="str">
        <f t="shared" si="61"/>
        <v/>
      </c>
      <c r="Z481" s="44" t="str">
        <f t="shared" si="62"/>
        <v/>
      </c>
      <c r="AA481" s="50" t="str">
        <f t="shared" si="63"/>
        <v/>
      </c>
      <c r="AB481" s="50" t="str">
        <f>IF(OR(B481="",C481&lt;&gt;"Expense"),"",IF(E481&gt;IFERROR(AVERAGEIFS($E$8:$E$1007,$I$8:$I$1007,I481,$C$8:$C$1007,"Expense")*SETTINGS!$B$20,0),"Unusually High","Normal"))</f>
        <v/>
      </c>
      <c r="AC481" s="51"/>
      <c r="AD481" s="51"/>
      <c r="AE481" s="51"/>
      <c r="AF481" s="50" t="str">
        <f>IF(A481&lt;&gt;"Yes","No",IF(AND(AC481="Yes",SETTINGS!$B$16="No"),"No","Yes"))</f>
        <v>No</v>
      </c>
      <c r="AG481" s="50" t="str">
        <f>IF(A481&lt;&gt;"Yes","",IF(OR(B481="",D481="",E481&lt;=0,F481="",I481=""),"Check Required Fields",IF(AA481="Possible Duplicate","Possible Duplicate",IF(E481&gt;SETTINGS!$B$22,"Review Extreme Value","OK"))))</f>
        <v/>
      </c>
    </row>
    <row r="482" spans="1:33" ht="14.4">
      <c r="A482" s="9"/>
      <c r="B482" s="13"/>
      <c r="C482" s="9"/>
      <c r="D482" s="9"/>
      <c r="E482" s="11"/>
      <c r="F482" s="9"/>
      <c r="G482" s="9"/>
      <c r="H482" s="44" t="str">
        <f>IF(D482="","",IF(ISNUMBER(SEARCH(SETTINGS!$K$4,D482)),SETTINGS!$L$4,IF(ISNUMBER(SEARCH(SETTINGS!$K$5,D482)),SETTINGS!$L$5,IF(ISNUMBER(SEARCH(SETTINGS!$K$6,D482)),SETTINGS!$L$6,IF(ISNUMBER(SEARCH(SETTINGS!$K$7,D482)),SETTINGS!$L$7,IF(ISNUMBER(SEARCH(SETTINGS!$K$8,D482)),SETTINGS!$L$8,IF(ISNUMBER(SEARCH(SETTINGS!$K$9,D482)),SETTINGS!$L$9,IF(ISNUMBER(SEARCH(SETTINGS!$K$10,D482)),SETTINGS!$L$10,IF(ISNUMBER(SEARCH(SETTINGS!$K$11,D482)),SETTINGS!$L$11,IF(ISNUMBER(SEARCH(SETTINGS!$K$12,D482)),SETTINGS!$L$12,IF(ISNUMBER(SEARCH(SETTINGS!$K$13,D482)),SETTINGS!$L$13,IF(ISNUMBER(SEARCH(SETTINGS!$K$14,D482)),SETTINGS!$L$14,IF(ISNUMBER(SEARCH(SETTINGS!$K$15,D482)),SETTINGS!$L$15,IF(ISNUMBER(SEARCH(SETTINGS!$K$16,D482)),SETTINGS!$L$16,IF(ISNUMBER(SEARCH(SETTINGS!$K$17,D482)),SETTINGS!$L$17,IF(ISNUMBER(SEARCH(SETTINGS!$K$18,D482)),SETTINGS!$L$18,"Miscellaneous"))))))))))))))))</f>
        <v/>
      </c>
      <c r="I482" s="44" t="str">
        <f t="shared" si="56"/>
        <v/>
      </c>
      <c r="J482" s="9"/>
      <c r="K482" s="9"/>
      <c r="L482" s="9"/>
      <c r="M482" s="9"/>
      <c r="N482" s="9"/>
      <c r="O482" s="9"/>
      <c r="P482" s="13"/>
      <c r="Q482" s="9"/>
      <c r="R482" s="9"/>
      <c r="S482" s="9"/>
      <c r="T482" s="11"/>
      <c r="U482" s="44" t="str">
        <f t="shared" si="57"/>
        <v/>
      </c>
      <c r="V482" s="44" t="str">
        <f t="shared" si="58"/>
        <v/>
      </c>
      <c r="W482" s="44" t="str">
        <f t="shared" si="59"/>
        <v/>
      </c>
      <c r="X482" s="44" t="str">
        <f t="shared" si="60"/>
        <v/>
      </c>
      <c r="Y482" s="44" t="str">
        <f t="shared" si="61"/>
        <v/>
      </c>
      <c r="Z482" s="44" t="str">
        <f t="shared" si="62"/>
        <v/>
      </c>
      <c r="AA482" s="50" t="str">
        <f t="shared" si="63"/>
        <v/>
      </c>
      <c r="AB482" s="50" t="str">
        <f>IF(OR(B482="",C482&lt;&gt;"Expense"),"",IF(E482&gt;IFERROR(AVERAGEIFS($E$8:$E$1007,$I$8:$I$1007,I482,$C$8:$C$1007,"Expense")*SETTINGS!$B$20,0),"Unusually High","Normal"))</f>
        <v/>
      </c>
      <c r="AC482" s="51"/>
      <c r="AD482" s="51"/>
      <c r="AE482" s="51"/>
      <c r="AF482" s="50" t="str">
        <f>IF(A482&lt;&gt;"Yes","No",IF(AND(AC482="Yes",SETTINGS!$B$16="No"),"No","Yes"))</f>
        <v>No</v>
      </c>
      <c r="AG482" s="50" t="str">
        <f>IF(A482&lt;&gt;"Yes","",IF(OR(B482="",D482="",E482&lt;=0,F482="",I482=""),"Check Required Fields",IF(AA482="Possible Duplicate","Possible Duplicate",IF(E482&gt;SETTINGS!$B$22,"Review Extreme Value","OK"))))</f>
        <v/>
      </c>
    </row>
    <row r="483" spans="1:33" ht="14.4">
      <c r="A483" s="9"/>
      <c r="B483" s="13"/>
      <c r="C483" s="9"/>
      <c r="D483" s="9"/>
      <c r="E483" s="11"/>
      <c r="F483" s="9"/>
      <c r="G483" s="9"/>
      <c r="H483" s="44" t="str">
        <f>IF(D483="","",IF(ISNUMBER(SEARCH(SETTINGS!$K$4,D483)),SETTINGS!$L$4,IF(ISNUMBER(SEARCH(SETTINGS!$K$5,D483)),SETTINGS!$L$5,IF(ISNUMBER(SEARCH(SETTINGS!$K$6,D483)),SETTINGS!$L$6,IF(ISNUMBER(SEARCH(SETTINGS!$K$7,D483)),SETTINGS!$L$7,IF(ISNUMBER(SEARCH(SETTINGS!$K$8,D483)),SETTINGS!$L$8,IF(ISNUMBER(SEARCH(SETTINGS!$K$9,D483)),SETTINGS!$L$9,IF(ISNUMBER(SEARCH(SETTINGS!$K$10,D483)),SETTINGS!$L$10,IF(ISNUMBER(SEARCH(SETTINGS!$K$11,D483)),SETTINGS!$L$11,IF(ISNUMBER(SEARCH(SETTINGS!$K$12,D483)),SETTINGS!$L$12,IF(ISNUMBER(SEARCH(SETTINGS!$K$13,D483)),SETTINGS!$L$13,IF(ISNUMBER(SEARCH(SETTINGS!$K$14,D483)),SETTINGS!$L$14,IF(ISNUMBER(SEARCH(SETTINGS!$K$15,D483)),SETTINGS!$L$15,IF(ISNUMBER(SEARCH(SETTINGS!$K$16,D483)),SETTINGS!$L$16,IF(ISNUMBER(SEARCH(SETTINGS!$K$17,D483)),SETTINGS!$L$17,IF(ISNUMBER(SEARCH(SETTINGS!$K$18,D483)),SETTINGS!$L$18,"Miscellaneous"))))))))))))))))</f>
        <v/>
      </c>
      <c r="I483" s="44" t="str">
        <f t="shared" si="56"/>
        <v/>
      </c>
      <c r="J483" s="9"/>
      <c r="K483" s="9"/>
      <c r="L483" s="9"/>
      <c r="M483" s="9"/>
      <c r="N483" s="9"/>
      <c r="O483" s="9"/>
      <c r="P483" s="13"/>
      <c r="Q483" s="9"/>
      <c r="R483" s="9"/>
      <c r="S483" s="9"/>
      <c r="T483" s="11"/>
      <c r="U483" s="44" t="str">
        <f t="shared" si="57"/>
        <v/>
      </c>
      <c r="V483" s="44" t="str">
        <f t="shared" si="58"/>
        <v/>
      </c>
      <c r="W483" s="44" t="str">
        <f t="shared" si="59"/>
        <v/>
      </c>
      <c r="X483" s="44" t="str">
        <f t="shared" si="60"/>
        <v/>
      </c>
      <c r="Y483" s="44" t="str">
        <f t="shared" si="61"/>
        <v/>
      </c>
      <c r="Z483" s="44" t="str">
        <f t="shared" si="62"/>
        <v/>
      </c>
      <c r="AA483" s="50" t="str">
        <f t="shared" si="63"/>
        <v/>
      </c>
      <c r="AB483" s="50" t="str">
        <f>IF(OR(B483="",C483&lt;&gt;"Expense"),"",IF(E483&gt;IFERROR(AVERAGEIFS($E$8:$E$1007,$I$8:$I$1007,I483,$C$8:$C$1007,"Expense")*SETTINGS!$B$20,0),"Unusually High","Normal"))</f>
        <v/>
      </c>
      <c r="AC483" s="51"/>
      <c r="AD483" s="51"/>
      <c r="AE483" s="51"/>
      <c r="AF483" s="50" t="str">
        <f>IF(A483&lt;&gt;"Yes","No",IF(AND(AC483="Yes",SETTINGS!$B$16="No"),"No","Yes"))</f>
        <v>No</v>
      </c>
      <c r="AG483" s="50" t="str">
        <f>IF(A483&lt;&gt;"Yes","",IF(OR(B483="",D483="",E483&lt;=0,F483="",I483=""),"Check Required Fields",IF(AA483="Possible Duplicate","Possible Duplicate",IF(E483&gt;SETTINGS!$B$22,"Review Extreme Value","OK"))))</f>
        <v/>
      </c>
    </row>
    <row r="484" spans="1:33" ht="14.4">
      <c r="A484" s="9"/>
      <c r="B484" s="13"/>
      <c r="C484" s="9"/>
      <c r="D484" s="9"/>
      <c r="E484" s="11"/>
      <c r="F484" s="9"/>
      <c r="G484" s="9"/>
      <c r="H484" s="44" t="str">
        <f>IF(D484="","",IF(ISNUMBER(SEARCH(SETTINGS!$K$4,D484)),SETTINGS!$L$4,IF(ISNUMBER(SEARCH(SETTINGS!$K$5,D484)),SETTINGS!$L$5,IF(ISNUMBER(SEARCH(SETTINGS!$K$6,D484)),SETTINGS!$L$6,IF(ISNUMBER(SEARCH(SETTINGS!$K$7,D484)),SETTINGS!$L$7,IF(ISNUMBER(SEARCH(SETTINGS!$K$8,D484)),SETTINGS!$L$8,IF(ISNUMBER(SEARCH(SETTINGS!$K$9,D484)),SETTINGS!$L$9,IF(ISNUMBER(SEARCH(SETTINGS!$K$10,D484)),SETTINGS!$L$10,IF(ISNUMBER(SEARCH(SETTINGS!$K$11,D484)),SETTINGS!$L$11,IF(ISNUMBER(SEARCH(SETTINGS!$K$12,D484)),SETTINGS!$L$12,IF(ISNUMBER(SEARCH(SETTINGS!$K$13,D484)),SETTINGS!$L$13,IF(ISNUMBER(SEARCH(SETTINGS!$K$14,D484)),SETTINGS!$L$14,IF(ISNUMBER(SEARCH(SETTINGS!$K$15,D484)),SETTINGS!$L$15,IF(ISNUMBER(SEARCH(SETTINGS!$K$16,D484)),SETTINGS!$L$16,IF(ISNUMBER(SEARCH(SETTINGS!$K$17,D484)),SETTINGS!$L$17,IF(ISNUMBER(SEARCH(SETTINGS!$K$18,D484)),SETTINGS!$L$18,"Miscellaneous"))))))))))))))))</f>
        <v/>
      </c>
      <c r="I484" s="44" t="str">
        <f t="shared" si="56"/>
        <v/>
      </c>
      <c r="J484" s="9"/>
      <c r="K484" s="9"/>
      <c r="L484" s="9"/>
      <c r="M484" s="9"/>
      <c r="N484" s="9"/>
      <c r="O484" s="9"/>
      <c r="P484" s="13"/>
      <c r="Q484" s="9"/>
      <c r="R484" s="9"/>
      <c r="S484" s="9"/>
      <c r="T484" s="11"/>
      <c r="U484" s="44" t="str">
        <f t="shared" si="57"/>
        <v/>
      </c>
      <c r="V484" s="44" t="str">
        <f t="shared" si="58"/>
        <v/>
      </c>
      <c r="W484" s="44" t="str">
        <f t="shared" si="59"/>
        <v/>
      </c>
      <c r="X484" s="44" t="str">
        <f t="shared" si="60"/>
        <v/>
      </c>
      <c r="Y484" s="44" t="str">
        <f t="shared" si="61"/>
        <v/>
      </c>
      <c r="Z484" s="44" t="str">
        <f t="shared" si="62"/>
        <v/>
      </c>
      <c r="AA484" s="50" t="str">
        <f t="shared" si="63"/>
        <v/>
      </c>
      <c r="AB484" s="50" t="str">
        <f>IF(OR(B484="",C484&lt;&gt;"Expense"),"",IF(E484&gt;IFERROR(AVERAGEIFS($E$8:$E$1007,$I$8:$I$1007,I484,$C$8:$C$1007,"Expense")*SETTINGS!$B$20,0),"Unusually High","Normal"))</f>
        <v/>
      </c>
      <c r="AC484" s="51"/>
      <c r="AD484" s="51"/>
      <c r="AE484" s="51"/>
      <c r="AF484" s="50" t="str">
        <f>IF(A484&lt;&gt;"Yes","No",IF(AND(AC484="Yes",SETTINGS!$B$16="No"),"No","Yes"))</f>
        <v>No</v>
      </c>
      <c r="AG484" s="50" t="str">
        <f>IF(A484&lt;&gt;"Yes","",IF(OR(B484="",D484="",E484&lt;=0,F484="",I484=""),"Check Required Fields",IF(AA484="Possible Duplicate","Possible Duplicate",IF(E484&gt;SETTINGS!$B$22,"Review Extreme Value","OK"))))</f>
        <v/>
      </c>
    </row>
    <row r="485" spans="1:33" ht="14.4">
      <c r="A485" s="9"/>
      <c r="B485" s="13"/>
      <c r="C485" s="9"/>
      <c r="D485" s="9"/>
      <c r="E485" s="11"/>
      <c r="F485" s="9"/>
      <c r="G485" s="9"/>
      <c r="H485" s="44" t="str">
        <f>IF(D485="","",IF(ISNUMBER(SEARCH(SETTINGS!$K$4,D485)),SETTINGS!$L$4,IF(ISNUMBER(SEARCH(SETTINGS!$K$5,D485)),SETTINGS!$L$5,IF(ISNUMBER(SEARCH(SETTINGS!$K$6,D485)),SETTINGS!$L$6,IF(ISNUMBER(SEARCH(SETTINGS!$K$7,D485)),SETTINGS!$L$7,IF(ISNUMBER(SEARCH(SETTINGS!$K$8,D485)),SETTINGS!$L$8,IF(ISNUMBER(SEARCH(SETTINGS!$K$9,D485)),SETTINGS!$L$9,IF(ISNUMBER(SEARCH(SETTINGS!$K$10,D485)),SETTINGS!$L$10,IF(ISNUMBER(SEARCH(SETTINGS!$K$11,D485)),SETTINGS!$L$11,IF(ISNUMBER(SEARCH(SETTINGS!$K$12,D485)),SETTINGS!$L$12,IF(ISNUMBER(SEARCH(SETTINGS!$K$13,D485)),SETTINGS!$L$13,IF(ISNUMBER(SEARCH(SETTINGS!$K$14,D485)),SETTINGS!$L$14,IF(ISNUMBER(SEARCH(SETTINGS!$K$15,D485)),SETTINGS!$L$15,IF(ISNUMBER(SEARCH(SETTINGS!$K$16,D485)),SETTINGS!$L$16,IF(ISNUMBER(SEARCH(SETTINGS!$K$17,D485)),SETTINGS!$L$17,IF(ISNUMBER(SEARCH(SETTINGS!$K$18,D485)),SETTINGS!$L$18,"Miscellaneous"))))))))))))))))</f>
        <v/>
      </c>
      <c r="I485" s="44" t="str">
        <f t="shared" si="56"/>
        <v/>
      </c>
      <c r="J485" s="9"/>
      <c r="K485" s="9"/>
      <c r="L485" s="9"/>
      <c r="M485" s="9"/>
      <c r="N485" s="9"/>
      <c r="O485" s="9"/>
      <c r="P485" s="13"/>
      <c r="Q485" s="9"/>
      <c r="R485" s="9"/>
      <c r="S485" s="9"/>
      <c r="T485" s="11"/>
      <c r="U485" s="44" t="str">
        <f t="shared" si="57"/>
        <v/>
      </c>
      <c r="V485" s="44" t="str">
        <f t="shared" si="58"/>
        <v/>
      </c>
      <c r="W485" s="44" t="str">
        <f t="shared" si="59"/>
        <v/>
      </c>
      <c r="X485" s="44" t="str">
        <f t="shared" si="60"/>
        <v/>
      </c>
      <c r="Y485" s="44" t="str">
        <f t="shared" si="61"/>
        <v/>
      </c>
      <c r="Z485" s="44" t="str">
        <f t="shared" si="62"/>
        <v/>
      </c>
      <c r="AA485" s="50" t="str">
        <f t="shared" si="63"/>
        <v/>
      </c>
      <c r="AB485" s="50" t="str">
        <f>IF(OR(B485="",C485&lt;&gt;"Expense"),"",IF(E485&gt;IFERROR(AVERAGEIFS($E$8:$E$1007,$I$8:$I$1007,I485,$C$8:$C$1007,"Expense")*SETTINGS!$B$20,0),"Unusually High","Normal"))</f>
        <v/>
      </c>
      <c r="AC485" s="51"/>
      <c r="AD485" s="51"/>
      <c r="AE485" s="51"/>
      <c r="AF485" s="50" t="str">
        <f>IF(A485&lt;&gt;"Yes","No",IF(AND(AC485="Yes",SETTINGS!$B$16="No"),"No","Yes"))</f>
        <v>No</v>
      </c>
      <c r="AG485" s="50" t="str">
        <f>IF(A485&lt;&gt;"Yes","",IF(OR(B485="",D485="",E485&lt;=0,F485="",I485=""),"Check Required Fields",IF(AA485="Possible Duplicate","Possible Duplicate",IF(E485&gt;SETTINGS!$B$22,"Review Extreme Value","OK"))))</f>
        <v/>
      </c>
    </row>
    <row r="486" spans="1:33" ht="14.4">
      <c r="A486" s="9"/>
      <c r="B486" s="13"/>
      <c r="C486" s="9"/>
      <c r="D486" s="9"/>
      <c r="E486" s="11"/>
      <c r="F486" s="9"/>
      <c r="G486" s="9"/>
      <c r="H486" s="44" t="str">
        <f>IF(D486="","",IF(ISNUMBER(SEARCH(SETTINGS!$K$4,D486)),SETTINGS!$L$4,IF(ISNUMBER(SEARCH(SETTINGS!$K$5,D486)),SETTINGS!$L$5,IF(ISNUMBER(SEARCH(SETTINGS!$K$6,D486)),SETTINGS!$L$6,IF(ISNUMBER(SEARCH(SETTINGS!$K$7,D486)),SETTINGS!$L$7,IF(ISNUMBER(SEARCH(SETTINGS!$K$8,D486)),SETTINGS!$L$8,IF(ISNUMBER(SEARCH(SETTINGS!$K$9,D486)),SETTINGS!$L$9,IF(ISNUMBER(SEARCH(SETTINGS!$K$10,D486)),SETTINGS!$L$10,IF(ISNUMBER(SEARCH(SETTINGS!$K$11,D486)),SETTINGS!$L$11,IF(ISNUMBER(SEARCH(SETTINGS!$K$12,D486)),SETTINGS!$L$12,IF(ISNUMBER(SEARCH(SETTINGS!$K$13,D486)),SETTINGS!$L$13,IF(ISNUMBER(SEARCH(SETTINGS!$K$14,D486)),SETTINGS!$L$14,IF(ISNUMBER(SEARCH(SETTINGS!$K$15,D486)),SETTINGS!$L$15,IF(ISNUMBER(SEARCH(SETTINGS!$K$16,D486)),SETTINGS!$L$16,IF(ISNUMBER(SEARCH(SETTINGS!$K$17,D486)),SETTINGS!$L$17,IF(ISNUMBER(SEARCH(SETTINGS!$K$18,D486)),SETTINGS!$L$18,"Miscellaneous"))))))))))))))))</f>
        <v/>
      </c>
      <c r="I486" s="44" t="str">
        <f t="shared" si="56"/>
        <v/>
      </c>
      <c r="J486" s="9"/>
      <c r="K486" s="9"/>
      <c r="L486" s="9"/>
      <c r="M486" s="9"/>
      <c r="N486" s="9"/>
      <c r="O486" s="9"/>
      <c r="P486" s="13"/>
      <c r="Q486" s="9"/>
      <c r="R486" s="9"/>
      <c r="S486" s="9"/>
      <c r="T486" s="11"/>
      <c r="U486" s="44" t="str">
        <f t="shared" si="57"/>
        <v/>
      </c>
      <c r="V486" s="44" t="str">
        <f t="shared" si="58"/>
        <v/>
      </c>
      <c r="W486" s="44" t="str">
        <f t="shared" si="59"/>
        <v/>
      </c>
      <c r="X486" s="44" t="str">
        <f t="shared" si="60"/>
        <v/>
      </c>
      <c r="Y486" s="44" t="str">
        <f t="shared" si="61"/>
        <v/>
      </c>
      <c r="Z486" s="44" t="str">
        <f t="shared" si="62"/>
        <v/>
      </c>
      <c r="AA486" s="50" t="str">
        <f t="shared" si="63"/>
        <v/>
      </c>
      <c r="AB486" s="50" t="str">
        <f>IF(OR(B486="",C486&lt;&gt;"Expense"),"",IF(E486&gt;IFERROR(AVERAGEIFS($E$8:$E$1007,$I$8:$I$1007,I486,$C$8:$C$1007,"Expense")*SETTINGS!$B$20,0),"Unusually High","Normal"))</f>
        <v/>
      </c>
      <c r="AC486" s="51"/>
      <c r="AD486" s="51"/>
      <c r="AE486" s="51"/>
      <c r="AF486" s="50" t="str">
        <f>IF(A486&lt;&gt;"Yes","No",IF(AND(AC486="Yes",SETTINGS!$B$16="No"),"No","Yes"))</f>
        <v>No</v>
      </c>
      <c r="AG486" s="50" t="str">
        <f>IF(A486&lt;&gt;"Yes","",IF(OR(B486="",D486="",E486&lt;=0,F486="",I486=""),"Check Required Fields",IF(AA486="Possible Duplicate","Possible Duplicate",IF(E486&gt;SETTINGS!$B$22,"Review Extreme Value","OK"))))</f>
        <v/>
      </c>
    </row>
    <row r="487" spans="1:33" ht="14.4">
      <c r="A487" s="9"/>
      <c r="B487" s="13"/>
      <c r="C487" s="9"/>
      <c r="D487" s="9"/>
      <c r="E487" s="11"/>
      <c r="F487" s="9"/>
      <c r="G487" s="9"/>
      <c r="H487" s="44" t="str">
        <f>IF(D487="","",IF(ISNUMBER(SEARCH(SETTINGS!$K$4,D487)),SETTINGS!$L$4,IF(ISNUMBER(SEARCH(SETTINGS!$K$5,D487)),SETTINGS!$L$5,IF(ISNUMBER(SEARCH(SETTINGS!$K$6,D487)),SETTINGS!$L$6,IF(ISNUMBER(SEARCH(SETTINGS!$K$7,D487)),SETTINGS!$L$7,IF(ISNUMBER(SEARCH(SETTINGS!$K$8,D487)),SETTINGS!$L$8,IF(ISNUMBER(SEARCH(SETTINGS!$K$9,D487)),SETTINGS!$L$9,IF(ISNUMBER(SEARCH(SETTINGS!$K$10,D487)),SETTINGS!$L$10,IF(ISNUMBER(SEARCH(SETTINGS!$K$11,D487)),SETTINGS!$L$11,IF(ISNUMBER(SEARCH(SETTINGS!$K$12,D487)),SETTINGS!$L$12,IF(ISNUMBER(SEARCH(SETTINGS!$K$13,D487)),SETTINGS!$L$13,IF(ISNUMBER(SEARCH(SETTINGS!$K$14,D487)),SETTINGS!$L$14,IF(ISNUMBER(SEARCH(SETTINGS!$K$15,D487)),SETTINGS!$L$15,IF(ISNUMBER(SEARCH(SETTINGS!$K$16,D487)),SETTINGS!$L$16,IF(ISNUMBER(SEARCH(SETTINGS!$K$17,D487)),SETTINGS!$L$17,IF(ISNUMBER(SEARCH(SETTINGS!$K$18,D487)),SETTINGS!$L$18,"Miscellaneous"))))))))))))))))</f>
        <v/>
      </c>
      <c r="I487" s="44" t="str">
        <f t="shared" si="56"/>
        <v/>
      </c>
      <c r="J487" s="9"/>
      <c r="K487" s="9"/>
      <c r="L487" s="9"/>
      <c r="M487" s="9"/>
      <c r="N487" s="9"/>
      <c r="O487" s="9"/>
      <c r="P487" s="13"/>
      <c r="Q487" s="9"/>
      <c r="R487" s="9"/>
      <c r="S487" s="9"/>
      <c r="T487" s="11"/>
      <c r="U487" s="44" t="str">
        <f t="shared" si="57"/>
        <v/>
      </c>
      <c r="V487" s="44" t="str">
        <f t="shared" si="58"/>
        <v/>
      </c>
      <c r="W487" s="44" t="str">
        <f t="shared" si="59"/>
        <v/>
      </c>
      <c r="X487" s="44" t="str">
        <f t="shared" si="60"/>
        <v/>
      </c>
      <c r="Y487" s="44" t="str">
        <f t="shared" si="61"/>
        <v/>
      </c>
      <c r="Z487" s="44" t="str">
        <f t="shared" si="62"/>
        <v/>
      </c>
      <c r="AA487" s="50" t="str">
        <f t="shared" si="63"/>
        <v/>
      </c>
      <c r="AB487" s="50" t="str">
        <f>IF(OR(B487="",C487&lt;&gt;"Expense"),"",IF(E487&gt;IFERROR(AVERAGEIFS($E$8:$E$1007,$I$8:$I$1007,I487,$C$8:$C$1007,"Expense")*SETTINGS!$B$20,0),"Unusually High","Normal"))</f>
        <v/>
      </c>
      <c r="AC487" s="51"/>
      <c r="AD487" s="51"/>
      <c r="AE487" s="51"/>
      <c r="AF487" s="50" t="str">
        <f>IF(A487&lt;&gt;"Yes","No",IF(AND(AC487="Yes",SETTINGS!$B$16="No"),"No","Yes"))</f>
        <v>No</v>
      </c>
      <c r="AG487" s="50" t="str">
        <f>IF(A487&lt;&gt;"Yes","",IF(OR(B487="",D487="",E487&lt;=0,F487="",I487=""),"Check Required Fields",IF(AA487="Possible Duplicate","Possible Duplicate",IF(E487&gt;SETTINGS!$B$22,"Review Extreme Value","OK"))))</f>
        <v/>
      </c>
    </row>
    <row r="488" spans="1:33" ht="14.4">
      <c r="A488" s="9"/>
      <c r="B488" s="13"/>
      <c r="C488" s="9"/>
      <c r="D488" s="9"/>
      <c r="E488" s="11"/>
      <c r="F488" s="9"/>
      <c r="G488" s="9"/>
      <c r="H488" s="44" t="str">
        <f>IF(D488="","",IF(ISNUMBER(SEARCH(SETTINGS!$K$4,D488)),SETTINGS!$L$4,IF(ISNUMBER(SEARCH(SETTINGS!$K$5,D488)),SETTINGS!$L$5,IF(ISNUMBER(SEARCH(SETTINGS!$K$6,D488)),SETTINGS!$L$6,IF(ISNUMBER(SEARCH(SETTINGS!$K$7,D488)),SETTINGS!$L$7,IF(ISNUMBER(SEARCH(SETTINGS!$K$8,D488)),SETTINGS!$L$8,IF(ISNUMBER(SEARCH(SETTINGS!$K$9,D488)),SETTINGS!$L$9,IF(ISNUMBER(SEARCH(SETTINGS!$K$10,D488)),SETTINGS!$L$10,IF(ISNUMBER(SEARCH(SETTINGS!$K$11,D488)),SETTINGS!$L$11,IF(ISNUMBER(SEARCH(SETTINGS!$K$12,D488)),SETTINGS!$L$12,IF(ISNUMBER(SEARCH(SETTINGS!$K$13,D488)),SETTINGS!$L$13,IF(ISNUMBER(SEARCH(SETTINGS!$K$14,D488)),SETTINGS!$L$14,IF(ISNUMBER(SEARCH(SETTINGS!$K$15,D488)),SETTINGS!$L$15,IF(ISNUMBER(SEARCH(SETTINGS!$K$16,D488)),SETTINGS!$L$16,IF(ISNUMBER(SEARCH(SETTINGS!$K$17,D488)),SETTINGS!$L$17,IF(ISNUMBER(SEARCH(SETTINGS!$K$18,D488)),SETTINGS!$L$18,"Miscellaneous"))))))))))))))))</f>
        <v/>
      </c>
      <c r="I488" s="44" t="str">
        <f t="shared" si="56"/>
        <v/>
      </c>
      <c r="J488" s="9"/>
      <c r="K488" s="9"/>
      <c r="L488" s="9"/>
      <c r="M488" s="9"/>
      <c r="N488" s="9"/>
      <c r="O488" s="9"/>
      <c r="P488" s="13"/>
      <c r="Q488" s="9"/>
      <c r="R488" s="9"/>
      <c r="S488" s="9"/>
      <c r="T488" s="11"/>
      <c r="U488" s="44" t="str">
        <f t="shared" si="57"/>
        <v/>
      </c>
      <c r="V488" s="44" t="str">
        <f t="shared" si="58"/>
        <v/>
      </c>
      <c r="W488" s="44" t="str">
        <f t="shared" si="59"/>
        <v/>
      </c>
      <c r="X488" s="44" t="str">
        <f t="shared" si="60"/>
        <v/>
      </c>
      <c r="Y488" s="44" t="str">
        <f t="shared" si="61"/>
        <v/>
      </c>
      <c r="Z488" s="44" t="str">
        <f t="shared" si="62"/>
        <v/>
      </c>
      <c r="AA488" s="50" t="str">
        <f t="shared" si="63"/>
        <v/>
      </c>
      <c r="AB488" s="50" t="str">
        <f>IF(OR(B488="",C488&lt;&gt;"Expense"),"",IF(E488&gt;IFERROR(AVERAGEIFS($E$8:$E$1007,$I$8:$I$1007,I488,$C$8:$C$1007,"Expense")*SETTINGS!$B$20,0),"Unusually High","Normal"))</f>
        <v/>
      </c>
      <c r="AC488" s="51"/>
      <c r="AD488" s="51"/>
      <c r="AE488" s="51"/>
      <c r="AF488" s="50" t="str">
        <f>IF(A488&lt;&gt;"Yes","No",IF(AND(AC488="Yes",SETTINGS!$B$16="No"),"No","Yes"))</f>
        <v>No</v>
      </c>
      <c r="AG488" s="50" t="str">
        <f>IF(A488&lt;&gt;"Yes","",IF(OR(B488="",D488="",E488&lt;=0,F488="",I488=""),"Check Required Fields",IF(AA488="Possible Duplicate","Possible Duplicate",IF(E488&gt;SETTINGS!$B$22,"Review Extreme Value","OK"))))</f>
        <v/>
      </c>
    </row>
    <row r="489" spans="1:33" ht="14.4">
      <c r="A489" s="9"/>
      <c r="B489" s="13"/>
      <c r="C489" s="9"/>
      <c r="D489" s="9"/>
      <c r="E489" s="11"/>
      <c r="F489" s="9"/>
      <c r="G489" s="9"/>
      <c r="H489" s="44" t="str">
        <f>IF(D489="","",IF(ISNUMBER(SEARCH(SETTINGS!$K$4,D489)),SETTINGS!$L$4,IF(ISNUMBER(SEARCH(SETTINGS!$K$5,D489)),SETTINGS!$L$5,IF(ISNUMBER(SEARCH(SETTINGS!$K$6,D489)),SETTINGS!$L$6,IF(ISNUMBER(SEARCH(SETTINGS!$K$7,D489)),SETTINGS!$L$7,IF(ISNUMBER(SEARCH(SETTINGS!$K$8,D489)),SETTINGS!$L$8,IF(ISNUMBER(SEARCH(SETTINGS!$K$9,D489)),SETTINGS!$L$9,IF(ISNUMBER(SEARCH(SETTINGS!$K$10,D489)),SETTINGS!$L$10,IF(ISNUMBER(SEARCH(SETTINGS!$K$11,D489)),SETTINGS!$L$11,IF(ISNUMBER(SEARCH(SETTINGS!$K$12,D489)),SETTINGS!$L$12,IF(ISNUMBER(SEARCH(SETTINGS!$K$13,D489)),SETTINGS!$L$13,IF(ISNUMBER(SEARCH(SETTINGS!$K$14,D489)),SETTINGS!$L$14,IF(ISNUMBER(SEARCH(SETTINGS!$K$15,D489)),SETTINGS!$L$15,IF(ISNUMBER(SEARCH(SETTINGS!$K$16,D489)),SETTINGS!$L$16,IF(ISNUMBER(SEARCH(SETTINGS!$K$17,D489)),SETTINGS!$L$17,IF(ISNUMBER(SEARCH(SETTINGS!$K$18,D489)),SETTINGS!$L$18,"Miscellaneous"))))))))))))))))</f>
        <v/>
      </c>
      <c r="I489" s="44" t="str">
        <f t="shared" si="56"/>
        <v/>
      </c>
      <c r="J489" s="9"/>
      <c r="K489" s="9"/>
      <c r="L489" s="9"/>
      <c r="M489" s="9"/>
      <c r="N489" s="9"/>
      <c r="O489" s="9"/>
      <c r="P489" s="13"/>
      <c r="Q489" s="9"/>
      <c r="R489" s="9"/>
      <c r="S489" s="9"/>
      <c r="T489" s="11"/>
      <c r="U489" s="44" t="str">
        <f t="shared" si="57"/>
        <v/>
      </c>
      <c r="V489" s="44" t="str">
        <f t="shared" si="58"/>
        <v/>
      </c>
      <c r="W489" s="44" t="str">
        <f t="shared" si="59"/>
        <v/>
      </c>
      <c r="X489" s="44" t="str">
        <f t="shared" si="60"/>
        <v/>
      </c>
      <c r="Y489" s="44" t="str">
        <f t="shared" si="61"/>
        <v/>
      </c>
      <c r="Z489" s="44" t="str">
        <f t="shared" si="62"/>
        <v/>
      </c>
      <c r="AA489" s="50" t="str">
        <f t="shared" si="63"/>
        <v/>
      </c>
      <c r="AB489" s="50" t="str">
        <f>IF(OR(B489="",C489&lt;&gt;"Expense"),"",IF(E489&gt;IFERROR(AVERAGEIFS($E$8:$E$1007,$I$8:$I$1007,I489,$C$8:$C$1007,"Expense")*SETTINGS!$B$20,0),"Unusually High","Normal"))</f>
        <v/>
      </c>
      <c r="AC489" s="51"/>
      <c r="AD489" s="51"/>
      <c r="AE489" s="51"/>
      <c r="AF489" s="50" t="str">
        <f>IF(A489&lt;&gt;"Yes","No",IF(AND(AC489="Yes",SETTINGS!$B$16="No"),"No","Yes"))</f>
        <v>No</v>
      </c>
      <c r="AG489" s="50" t="str">
        <f>IF(A489&lt;&gt;"Yes","",IF(OR(B489="",D489="",E489&lt;=0,F489="",I489=""),"Check Required Fields",IF(AA489="Possible Duplicate","Possible Duplicate",IF(E489&gt;SETTINGS!$B$22,"Review Extreme Value","OK"))))</f>
        <v/>
      </c>
    </row>
    <row r="490" spans="1:33" ht="14.4">
      <c r="A490" s="9"/>
      <c r="B490" s="13"/>
      <c r="C490" s="9"/>
      <c r="D490" s="9"/>
      <c r="E490" s="11"/>
      <c r="F490" s="9"/>
      <c r="G490" s="9"/>
      <c r="H490" s="44" t="str">
        <f>IF(D490="","",IF(ISNUMBER(SEARCH(SETTINGS!$K$4,D490)),SETTINGS!$L$4,IF(ISNUMBER(SEARCH(SETTINGS!$K$5,D490)),SETTINGS!$L$5,IF(ISNUMBER(SEARCH(SETTINGS!$K$6,D490)),SETTINGS!$L$6,IF(ISNUMBER(SEARCH(SETTINGS!$K$7,D490)),SETTINGS!$L$7,IF(ISNUMBER(SEARCH(SETTINGS!$K$8,D490)),SETTINGS!$L$8,IF(ISNUMBER(SEARCH(SETTINGS!$K$9,D490)),SETTINGS!$L$9,IF(ISNUMBER(SEARCH(SETTINGS!$K$10,D490)),SETTINGS!$L$10,IF(ISNUMBER(SEARCH(SETTINGS!$K$11,D490)),SETTINGS!$L$11,IF(ISNUMBER(SEARCH(SETTINGS!$K$12,D490)),SETTINGS!$L$12,IF(ISNUMBER(SEARCH(SETTINGS!$K$13,D490)),SETTINGS!$L$13,IF(ISNUMBER(SEARCH(SETTINGS!$K$14,D490)),SETTINGS!$L$14,IF(ISNUMBER(SEARCH(SETTINGS!$K$15,D490)),SETTINGS!$L$15,IF(ISNUMBER(SEARCH(SETTINGS!$K$16,D490)),SETTINGS!$L$16,IF(ISNUMBER(SEARCH(SETTINGS!$K$17,D490)),SETTINGS!$L$17,IF(ISNUMBER(SEARCH(SETTINGS!$K$18,D490)),SETTINGS!$L$18,"Miscellaneous"))))))))))))))))</f>
        <v/>
      </c>
      <c r="I490" s="44" t="str">
        <f t="shared" si="56"/>
        <v/>
      </c>
      <c r="J490" s="9"/>
      <c r="K490" s="9"/>
      <c r="L490" s="9"/>
      <c r="M490" s="9"/>
      <c r="N490" s="9"/>
      <c r="O490" s="9"/>
      <c r="P490" s="13"/>
      <c r="Q490" s="9"/>
      <c r="R490" s="9"/>
      <c r="S490" s="9"/>
      <c r="T490" s="11"/>
      <c r="U490" s="44" t="str">
        <f t="shared" si="57"/>
        <v/>
      </c>
      <c r="V490" s="44" t="str">
        <f t="shared" si="58"/>
        <v/>
      </c>
      <c r="W490" s="44" t="str">
        <f t="shared" si="59"/>
        <v/>
      </c>
      <c r="X490" s="44" t="str">
        <f t="shared" si="60"/>
        <v/>
      </c>
      <c r="Y490" s="44" t="str">
        <f t="shared" si="61"/>
        <v/>
      </c>
      <c r="Z490" s="44" t="str">
        <f t="shared" si="62"/>
        <v/>
      </c>
      <c r="AA490" s="50" t="str">
        <f t="shared" si="63"/>
        <v/>
      </c>
      <c r="AB490" s="50" t="str">
        <f>IF(OR(B490="",C490&lt;&gt;"Expense"),"",IF(E490&gt;IFERROR(AVERAGEIFS($E$8:$E$1007,$I$8:$I$1007,I490,$C$8:$C$1007,"Expense")*SETTINGS!$B$20,0),"Unusually High","Normal"))</f>
        <v/>
      </c>
      <c r="AC490" s="51"/>
      <c r="AD490" s="51"/>
      <c r="AE490" s="51"/>
      <c r="AF490" s="50" t="str">
        <f>IF(A490&lt;&gt;"Yes","No",IF(AND(AC490="Yes",SETTINGS!$B$16="No"),"No","Yes"))</f>
        <v>No</v>
      </c>
      <c r="AG490" s="50" t="str">
        <f>IF(A490&lt;&gt;"Yes","",IF(OR(B490="",D490="",E490&lt;=0,F490="",I490=""),"Check Required Fields",IF(AA490="Possible Duplicate","Possible Duplicate",IF(E490&gt;SETTINGS!$B$22,"Review Extreme Value","OK"))))</f>
        <v/>
      </c>
    </row>
    <row r="491" spans="1:33" ht="14.4">
      <c r="A491" s="9"/>
      <c r="B491" s="13"/>
      <c r="C491" s="9"/>
      <c r="D491" s="9"/>
      <c r="E491" s="11"/>
      <c r="F491" s="9"/>
      <c r="G491" s="9"/>
      <c r="H491" s="44" t="str">
        <f>IF(D491="","",IF(ISNUMBER(SEARCH(SETTINGS!$K$4,D491)),SETTINGS!$L$4,IF(ISNUMBER(SEARCH(SETTINGS!$K$5,D491)),SETTINGS!$L$5,IF(ISNUMBER(SEARCH(SETTINGS!$K$6,D491)),SETTINGS!$L$6,IF(ISNUMBER(SEARCH(SETTINGS!$K$7,D491)),SETTINGS!$L$7,IF(ISNUMBER(SEARCH(SETTINGS!$K$8,D491)),SETTINGS!$L$8,IF(ISNUMBER(SEARCH(SETTINGS!$K$9,D491)),SETTINGS!$L$9,IF(ISNUMBER(SEARCH(SETTINGS!$K$10,D491)),SETTINGS!$L$10,IF(ISNUMBER(SEARCH(SETTINGS!$K$11,D491)),SETTINGS!$L$11,IF(ISNUMBER(SEARCH(SETTINGS!$K$12,D491)),SETTINGS!$L$12,IF(ISNUMBER(SEARCH(SETTINGS!$K$13,D491)),SETTINGS!$L$13,IF(ISNUMBER(SEARCH(SETTINGS!$K$14,D491)),SETTINGS!$L$14,IF(ISNUMBER(SEARCH(SETTINGS!$K$15,D491)),SETTINGS!$L$15,IF(ISNUMBER(SEARCH(SETTINGS!$K$16,D491)),SETTINGS!$L$16,IF(ISNUMBER(SEARCH(SETTINGS!$K$17,D491)),SETTINGS!$L$17,IF(ISNUMBER(SEARCH(SETTINGS!$K$18,D491)),SETTINGS!$L$18,"Miscellaneous"))))))))))))))))</f>
        <v/>
      </c>
      <c r="I491" s="44" t="str">
        <f t="shared" si="56"/>
        <v/>
      </c>
      <c r="J491" s="9"/>
      <c r="K491" s="9"/>
      <c r="L491" s="9"/>
      <c r="M491" s="9"/>
      <c r="N491" s="9"/>
      <c r="O491" s="9"/>
      <c r="P491" s="13"/>
      <c r="Q491" s="9"/>
      <c r="R491" s="9"/>
      <c r="S491" s="9"/>
      <c r="T491" s="11"/>
      <c r="U491" s="44" t="str">
        <f t="shared" si="57"/>
        <v/>
      </c>
      <c r="V491" s="44" t="str">
        <f t="shared" si="58"/>
        <v/>
      </c>
      <c r="W491" s="44" t="str">
        <f t="shared" si="59"/>
        <v/>
      </c>
      <c r="X491" s="44" t="str">
        <f t="shared" si="60"/>
        <v/>
      </c>
      <c r="Y491" s="44" t="str">
        <f t="shared" si="61"/>
        <v/>
      </c>
      <c r="Z491" s="44" t="str">
        <f t="shared" si="62"/>
        <v/>
      </c>
      <c r="AA491" s="50" t="str">
        <f t="shared" si="63"/>
        <v/>
      </c>
      <c r="AB491" s="50" t="str">
        <f>IF(OR(B491="",C491&lt;&gt;"Expense"),"",IF(E491&gt;IFERROR(AVERAGEIFS($E$8:$E$1007,$I$8:$I$1007,I491,$C$8:$C$1007,"Expense")*SETTINGS!$B$20,0),"Unusually High","Normal"))</f>
        <v/>
      </c>
      <c r="AC491" s="51"/>
      <c r="AD491" s="51"/>
      <c r="AE491" s="51"/>
      <c r="AF491" s="50" t="str">
        <f>IF(A491&lt;&gt;"Yes","No",IF(AND(AC491="Yes",SETTINGS!$B$16="No"),"No","Yes"))</f>
        <v>No</v>
      </c>
      <c r="AG491" s="50" t="str">
        <f>IF(A491&lt;&gt;"Yes","",IF(OR(B491="",D491="",E491&lt;=0,F491="",I491=""),"Check Required Fields",IF(AA491="Possible Duplicate","Possible Duplicate",IF(E491&gt;SETTINGS!$B$22,"Review Extreme Value","OK"))))</f>
        <v/>
      </c>
    </row>
    <row r="492" spans="1:33" ht="14.4">
      <c r="A492" s="9"/>
      <c r="B492" s="13"/>
      <c r="C492" s="9"/>
      <c r="D492" s="9"/>
      <c r="E492" s="11"/>
      <c r="F492" s="9"/>
      <c r="G492" s="9"/>
      <c r="H492" s="44" t="str">
        <f>IF(D492="","",IF(ISNUMBER(SEARCH(SETTINGS!$K$4,D492)),SETTINGS!$L$4,IF(ISNUMBER(SEARCH(SETTINGS!$K$5,D492)),SETTINGS!$L$5,IF(ISNUMBER(SEARCH(SETTINGS!$K$6,D492)),SETTINGS!$L$6,IF(ISNUMBER(SEARCH(SETTINGS!$K$7,D492)),SETTINGS!$L$7,IF(ISNUMBER(SEARCH(SETTINGS!$K$8,D492)),SETTINGS!$L$8,IF(ISNUMBER(SEARCH(SETTINGS!$K$9,D492)),SETTINGS!$L$9,IF(ISNUMBER(SEARCH(SETTINGS!$K$10,D492)),SETTINGS!$L$10,IF(ISNUMBER(SEARCH(SETTINGS!$K$11,D492)),SETTINGS!$L$11,IF(ISNUMBER(SEARCH(SETTINGS!$K$12,D492)),SETTINGS!$L$12,IF(ISNUMBER(SEARCH(SETTINGS!$K$13,D492)),SETTINGS!$L$13,IF(ISNUMBER(SEARCH(SETTINGS!$K$14,D492)),SETTINGS!$L$14,IF(ISNUMBER(SEARCH(SETTINGS!$K$15,D492)),SETTINGS!$L$15,IF(ISNUMBER(SEARCH(SETTINGS!$K$16,D492)),SETTINGS!$L$16,IF(ISNUMBER(SEARCH(SETTINGS!$K$17,D492)),SETTINGS!$L$17,IF(ISNUMBER(SEARCH(SETTINGS!$K$18,D492)),SETTINGS!$L$18,"Miscellaneous"))))))))))))))))</f>
        <v/>
      </c>
      <c r="I492" s="44" t="str">
        <f t="shared" si="56"/>
        <v/>
      </c>
      <c r="J492" s="9"/>
      <c r="K492" s="9"/>
      <c r="L492" s="9"/>
      <c r="M492" s="9"/>
      <c r="N492" s="9"/>
      <c r="O492" s="9"/>
      <c r="P492" s="13"/>
      <c r="Q492" s="9"/>
      <c r="R492" s="9"/>
      <c r="S492" s="9"/>
      <c r="T492" s="11"/>
      <c r="U492" s="44" t="str">
        <f t="shared" si="57"/>
        <v/>
      </c>
      <c r="V492" s="44" t="str">
        <f t="shared" si="58"/>
        <v/>
      </c>
      <c r="W492" s="44" t="str">
        <f t="shared" si="59"/>
        <v/>
      </c>
      <c r="X492" s="44" t="str">
        <f t="shared" si="60"/>
        <v/>
      </c>
      <c r="Y492" s="44" t="str">
        <f t="shared" si="61"/>
        <v/>
      </c>
      <c r="Z492" s="44" t="str">
        <f t="shared" si="62"/>
        <v/>
      </c>
      <c r="AA492" s="50" t="str">
        <f t="shared" si="63"/>
        <v/>
      </c>
      <c r="AB492" s="50" t="str">
        <f>IF(OR(B492="",C492&lt;&gt;"Expense"),"",IF(E492&gt;IFERROR(AVERAGEIFS($E$8:$E$1007,$I$8:$I$1007,I492,$C$8:$C$1007,"Expense")*SETTINGS!$B$20,0),"Unusually High","Normal"))</f>
        <v/>
      </c>
      <c r="AC492" s="51"/>
      <c r="AD492" s="51"/>
      <c r="AE492" s="51"/>
      <c r="AF492" s="50" t="str">
        <f>IF(A492&lt;&gt;"Yes","No",IF(AND(AC492="Yes",SETTINGS!$B$16="No"),"No","Yes"))</f>
        <v>No</v>
      </c>
      <c r="AG492" s="50" t="str">
        <f>IF(A492&lt;&gt;"Yes","",IF(OR(B492="",D492="",E492&lt;=0,F492="",I492=""),"Check Required Fields",IF(AA492="Possible Duplicate","Possible Duplicate",IF(E492&gt;SETTINGS!$B$22,"Review Extreme Value","OK"))))</f>
        <v/>
      </c>
    </row>
    <row r="493" spans="1:33" ht="14.4">
      <c r="A493" s="9"/>
      <c r="B493" s="13"/>
      <c r="C493" s="9"/>
      <c r="D493" s="9"/>
      <c r="E493" s="11"/>
      <c r="F493" s="9"/>
      <c r="G493" s="9"/>
      <c r="H493" s="44" t="str">
        <f>IF(D493="","",IF(ISNUMBER(SEARCH(SETTINGS!$K$4,D493)),SETTINGS!$L$4,IF(ISNUMBER(SEARCH(SETTINGS!$K$5,D493)),SETTINGS!$L$5,IF(ISNUMBER(SEARCH(SETTINGS!$K$6,D493)),SETTINGS!$L$6,IF(ISNUMBER(SEARCH(SETTINGS!$K$7,D493)),SETTINGS!$L$7,IF(ISNUMBER(SEARCH(SETTINGS!$K$8,D493)),SETTINGS!$L$8,IF(ISNUMBER(SEARCH(SETTINGS!$K$9,D493)),SETTINGS!$L$9,IF(ISNUMBER(SEARCH(SETTINGS!$K$10,D493)),SETTINGS!$L$10,IF(ISNUMBER(SEARCH(SETTINGS!$K$11,D493)),SETTINGS!$L$11,IF(ISNUMBER(SEARCH(SETTINGS!$K$12,D493)),SETTINGS!$L$12,IF(ISNUMBER(SEARCH(SETTINGS!$K$13,D493)),SETTINGS!$L$13,IF(ISNUMBER(SEARCH(SETTINGS!$K$14,D493)),SETTINGS!$L$14,IF(ISNUMBER(SEARCH(SETTINGS!$K$15,D493)),SETTINGS!$L$15,IF(ISNUMBER(SEARCH(SETTINGS!$K$16,D493)),SETTINGS!$L$16,IF(ISNUMBER(SEARCH(SETTINGS!$K$17,D493)),SETTINGS!$L$17,IF(ISNUMBER(SEARCH(SETTINGS!$K$18,D493)),SETTINGS!$L$18,"Miscellaneous"))))))))))))))))</f>
        <v/>
      </c>
      <c r="I493" s="44" t="str">
        <f t="shared" si="56"/>
        <v/>
      </c>
      <c r="J493" s="9"/>
      <c r="K493" s="9"/>
      <c r="L493" s="9"/>
      <c r="M493" s="9"/>
      <c r="N493" s="9"/>
      <c r="O493" s="9"/>
      <c r="P493" s="13"/>
      <c r="Q493" s="9"/>
      <c r="R493" s="9"/>
      <c r="S493" s="9"/>
      <c r="T493" s="11"/>
      <c r="U493" s="44" t="str">
        <f t="shared" si="57"/>
        <v/>
      </c>
      <c r="V493" s="44" t="str">
        <f t="shared" si="58"/>
        <v/>
      </c>
      <c r="W493" s="44" t="str">
        <f t="shared" si="59"/>
        <v/>
      </c>
      <c r="X493" s="44" t="str">
        <f t="shared" si="60"/>
        <v/>
      </c>
      <c r="Y493" s="44" t="str">
        <f t="shared" si="61"/>
        <v/>
      </c>
      <c r="Z493" s="44" t="str">
        <f t="shared" si="62"/>
        <v/>
      </c>
      <c r="AA493" s="50" t="str">
        <f t="shared" si="63"/>
        <v/>
      </c>
      <c r="AB493" s="50" t="str">
        <f>IF(OR(B493="",C493&lt;&gt;"Expense"),"",IF(E493&gt;IFERROR(AVERAGEIFS($E$8:$E$1007,$I$8:$I$1007,I493,$C$8:$C$1007,"Expense")*SETTINGS!$B$20,0),"Unusually High","Normal"))</f>
        <v/>
      </c>
      <c r="AC493" s="51"/>
      <c r="AD493" s="51"/>
      <c r="AE493" s="51"/>
      <c r="AF493" s="50" t="str">
        <f>IF(A493&lt;&gt;"Yes","No",IF(AND(AC493="Yes",SETTINGS!$B$16="No"),"No","Yes"))</f>
        <v>No</v>
      </c>
      <c r="AG493" s="50" t="str">
        <f>IF(A493&lt;&gt;"Yes","",IF(OR(B493="",D493="",E493&lt;=0,F493="",I493=""),"Check Required Fields",IF(AA493="Possible Duplicate","Possible Duplicate",IF(E493&gt;SETTINGS!$B$22,"Review Extreme Value","OK"))))</f>
        <v/>
      </c>
    </row>
    <row r="494" spans="1:33" ht="14.4">
      <c r="A494" s="9"/>
      <c r="B494" s="13"/>
      <c r="C494" s="9"/>
      <c r="D494" s="9"/>
      <c r="E494" s="11"/>
      <c r="F494" s="9"/>
      <c r="G494" s="9"/>
      <c r="H494" s="44" t="str">
        <f>IF(D494="","",IF(ISNUMBER(SEARCH(SETTINGS!$K$4,D494)),SETTINGS!$L$4,IF(ISNUMBER(SEARCH(SETTINGS!$K$5,D494)),SETTINGS!$L$5,IF(ISNUMBER(SEARCH(SETTINGS!$K$6,D494)),SETTINGS!$L$6,IF(ISNUMBER(SEARCH(SETTINGS!$K$7,D494)),SETTINGS!$L$7,IF(ISNUMBER(SEARCH(SETTINGS!$K$8,D494)),SETTINGS!$L$8,IF(ISNUMBER(SEARCH(SETTINGS!$K$9,D494)),SETTINGS!$L$9,IF(ISNUMBER(SEARCH(SETTINGS!$K$10,D494)),SETTINGS!$L$10,IF(ISNUMBER(SEARCH(SETTINGS!$K$11,D494)),SETTINGS!$L$11,IF(ISNUMBER(SEARCH(SETTINGS!$K$12,D494)),SETTINGS!$L$12,IF(ISNUMBER(SEARCH(SETTINGS!$K$13,D494)),SETTINGS!$L$13,IF(ISNUMBER(SEARCH(SETTINGS!$K$14,D494)),SETTINGS!$L$14,IF(ISNUMBER(SEARCH(SETTINGS!$K$15,D494)),SETTINGS!$L$15,IF(ISNUMBER(SEARCH(SETTINGS!$K$16,D494)),SETTINGS!$L$16,IF(ISNUMBER(SEARCH(SETTINGS!$K$17,D494)),SETTINGS!$L$17,IF(ISNUMBER(SEARCH(SETTINGS!$K$18,D494)),SETTINGS!$L$18,"Miscellaneous"))))))))))))))))</f>
        <v/>
      </c>
      <c r="I494" s="44" t="str">
        <f t="shared" si="56"/>
        <v/>
      </c>
      <c r="J494" s="9"/>
      <c r="K494" s="9"/>
      <c r="L494" s="9"/>
      <c r="M494" s="9"/>
      <c r="N494" s="9"/>
      <c r="O494" s="9"/>
      <c r="P494" s="13"/>
      <c r="Q494" s="9"/>
      <c r="R494" s="9"/>
      <c r="S494" s="9"/>
      <c r="T494" s="11"/>
      <c r="U494" s="44" t="str">
        <f t="shared" si="57"/>
        <v/>
      </c>
      <c r="V494" s="44" t="str">
        <f t="shared" si="58"/>
        <v/>
      </c>
      <c r="W494" s="44" t="str">
        <f t="shared" si="59"/>
        <v/>
      </c>
      <c r="X494" s="44" t="str">
        <f t="shared" si="60"/>
        <v/>
      </c>
      <c r="Y494" s="44" t="str">
        <f t="shared" si="61"/>
        <v/>
      </c>
      <c r="Z494" s="44" t="str">
        <f t="shared" si="62"/>
        <v/>
      </c>
      <c r="AA494" s="50" t="str">
        <f t="shared" si="63"/>
        <v/>
      </c>
      <c r="AB494" s="50" t="str">
        <f>IF(OR(B494="",C494&lt;&gt;"Expense"),"",IF(E494&gt;IFERROR(AVERAGEIFS($E$8:$E$1007,$I$8:$I$1007,I494,$C$8:$C$1007,"Expense")*SETTINGS!$B$20,0),"Unusually High","Normal"))</f>
        <v/>
      </c>
      <c r="AC494" s="51"/>
      <c r="AD494" s="51"/>
      <c r="AE494" s="51"/>
      <c r="AF494" s="50" t="str">
        <f>IF(A494&lt;&gt;"Yes","No",IF(AND(AC494="Yes",SETTINGS!$B$16="No"),"No","Yes"))</f>
        <v>No</v>
      </c>
      <c r="AG494" s="50" t="str">
        <f>IF(A494&lt;&gt;"Yes","",IF(OR(B494="",D494="",E494&lt;=0,F494="",I494=""),"Check Required Fields",IF(AA494="Possible Duplicate","Possible Duplicate",IF(E494&gt;SETTINGS!$B$22,"Review Extreme Value","OK"))))</f>
        <v/>
      </c>
    </row>
    <row r="495" spans="1:33" ht="14.4">
      <c r="A495" s="9"/>
      <c r="B495" s="13"/>
      <c r="C495" s="9"/>
      <c r="D495" s="9"/>
      <c r="E495" s="11"/>
      <c r="F495" s="9"/>
      <c r="G495" s="9"/>
      <c r="H495" s="44" t="str">
        <f>IF(D495="","",IF(ISNUMBER(SEARCH(SETTINGS!$K$4,D495)),SETTINGS!$L$4,IF(ISNUMBER(SEARCH(SETTINGS!$K$5,D495)),SETTINGS!$L$5,IF(ISNUMBER(SEARCH(SETTINGS!$K$6,D495)),SETTINGS!$L$6,IF(ISNUMBER(SEARCH(SETTINGS!$K$7,D495)),SETTINGS!$L$7,IF(ISNUMBER(SEARCH(SETTINGS!$K$8,D495)),SETTINGS!$L$8,IF(ISNUMBER(SEARCH(SETTINGS!$K$9,D495)),SETTINGS!$L$9,IF(ISNUMBER(SEARCH(SETTINGS!$K$10,D495)),SETTINGS!$L$10,IF(ISNUMBER(SEARCH(SETTINGS!$K$11,D495)),SETTINGS!$L$11,IF(ISNUMBER(SEARCH(SETTINGS!$K$12,D495)),SETTINGS!$L$12,IF(ISNUMBER(SEARCH(SETTINGS!$K$13,D495)),SETTINGS!$L$13,IF(ISNUMBER(SEARCH(SETTINGS!$K$14,D495)),SETTINGS!$L$14,IF(ISNUMBER(SEARCH(SETTINGS!$K$15,D495)),SETTINGS!$L$15,IF(ISNUMBER(SEARCH(SETTINGS!$K$16,D495)),SETTINGS!$L$16,IF(ISNUMBER(SEARCH(SETTINGS!$K$17,D495)),SETTINGS!$L$17,IF(ISNUMBER(SEARCH(SETTINGS!$K$18,D495)),SETTINGS!$L$18,"Miscellaneous"))))))))))))))))</f>
        <v/>
      </c>
      <c r="I495" s="44" t="str">
        <f t="shared" si="56"/>
        <v/>
      </c>
      <c r="J495" s="9"/>
      <c r="K495" s="9"/>
      <c r="L495" s="9"/>
      <c r="M495" s="9"/>
      <c r="N495" s="9"/>
      <c r="O495" s="9"/>
      <c r="P495" s="13"/>
      <c r="Q495" s="9"/>
      <c r="R495" s="9"/>
      <c r="S495" s="9"/>
      <c r="T495" s="11"/>
      <c r="U495" s="44" t="str">
        <f t="shared" si="57"/>
        <v/>
      </c>
      <c r="V495" s="44" t="str">
        <f t="shared" si="58"/>
        <v/>
      </c>
      <c r="W495" s="44" t="str">
        <f t="shared" si="59"/>
        <v/>
      </c>
      <c r="X495" s="44" t="str">
        <f t="shared" si="60"/>
        <v/>
      </c>
      <c r="Y495" s="44" t="str">
        <f t="shared" si="61"/>
        <v/>
      </c>
      <c r="Z495" s="44" t="str">
        <f t="shared" si="62"/>
        <v/>
      </c>
      <c r="AA495" s="50" t="str">
        <f t="shared" si="63"/>
        <v/>
      </c>
      <c r="AB495" s="50" t="str">
        <f>IF(OR(B495="",C495&lt;&gt;"Expense"),"",IF(E495&gt;IFERROR(AVERAGEIFS($E$8:$E$1007,$I$8:$I$1007,I495,$C$8:$C$1007,"Expense")*SETTINGS!$B$20,0),"Unusually High","Normal"))</f>
        <v/>
      </c>
      <c r="AC495" s="51"/>
      <c r="AD495" s="51"/>
      <c r="AE495" s="51"/>
      <c r="AF495" s="50" t="str">
        <f>IF(A495&lt;&gt;"Yes","No",IF(AND(AC495="Yes",SETTINGS!$B$16="No"),"No","Yes"))</f>
        <v>No</v>
      </c>
      <c r="AG495" s="50" t="str">
        <f>IF(A495&lt;&gt;"Yes","",IF(OR(B495="",D495="",E495&lt;=0,F495="",I495=""),"Check Required Fields",IF(AA495="Possible Duplicate","Possible Duplicate",IF(E495&gt;SETTINGS!$B$22,"Review Extreme Value","OK"))))</f>
        <v/>
      </c>
    </row>
    <row r="496" spans="1:33" ht="14.4">
      <c r="A496" s="9"/>
      <c r="B496" s="13"/>
      <c r="C496" s="9"/>
      <c r="D496" s="9"/>
      <c r="E496" s="11"/>
      <c r="F496" s="9"/>
      <c r="G496" s="9"/>
      <c r="H496" s="44" t="str">
        <f>IF(D496="","",IF(ISNUMBER(SEARCH(SETTINGS!$K$4,D496)),SETTINGS!$L$4,IF(ISNUMBER(SEARCH(SETTINGS!$K$5,D496)),SETTINGS!$L$5,IF(ISNUMBER(SEARCH(SETTINGS!$K$6,D496)),SETTINGS!$L$6,IF(ISNUMBER(SEARCH(SETTINGS!$K$7,D496)),SETTINGS!$L$7,IF(ISNUMBER(SEARCH(SETTINGS!$K$8,D496)),SETTINGS!$L$8,IF(ISNUMBER(SEARCH(SETTINGS!$K$9,D496)),SETTINGS!$L$9,IF(ISNUMBER(SEARCH(SETTINGS!$K$10,D496)),SETTINGS!$L$10,IF(ISNUMBER(SEARCH(SETTINGS!$K$11,D496)),SETTINGS!$L$11,IF(ISNUMBER(SEARCH(SETTINGS!$K$12,D496)),SETTINGS!$L$12,IF(ISNUMBER(SEARCH(SETTINGS!$K$13,D496)),SETTINGS!$L$13,IF(ISNUMBER(SEARCH(SETTINGS!$K$14,D496)),SETTINGS!$L$14,IF(ISNUMBER(SEARCH(SETTINGS!$K$15,D496)),SETTINGS!$L$15,IF(ISNUMBER(SEARCH(SETTINGS!$K$16,D496)),SETTINGS!$L$16,IF(ISNUMBER(SEARCH(SETTINGS!$K$17,D496)),SETTINGS!$L$17,IF(ISNUMBER(SEARCH(SETTINGS!$K$18,D496)),SETTINGS!$L$18,"Miscellaneous"))))))))))))))))</f>
        <v/>
      </c>
      <c r="I496" s="44" t="str">
        <f t="shared" si="56"/>
        <v/>
      </c>
      <c r="J496" s="9"/>
      <c r="K496" s="9"/>
      <c r="L496" s="9"/>
      <c r="M496" s="9"/>
      <c r="N496" s="9"/>
      <c r="O496" s="9"/>
      <c r="P496" s="13"/>
      <c r="Q496" s="9"/>
      <c r="R496" s="9"/>
      <c r="S496" s="9"/>
      <c r="T496" s="11"/>
      <c r="U496" s="44" t="str">
        <f t="shared" si="57"/>
        <v/>
      </c>
      <c r="V496" s="44" t="str">
        <f t="shared" si="58"/>
        <v/>
      </c>
      <c r="W496" s="44" t="str">
        <f t="shared" si="59"/>
        <v/>
      </c>
      <c r="X496" s="44" t="str">
        <f t="shared" si="60"/>
        <v/>
      </c>
      <c r="Y496" s="44" t="str">
        <f t="shared" si="61"/>
        <v/>
      </c>
      <c r="Z496" s="44" t="str">
        <f t="shared" si="62"/>
        <v/>
      </c>
      <c r="AA496" s="50" t="str">
        <f t="shared" si="63"/>
        <v/>
      </c>
      <c r="AB496" s="50" t="str">
        <f>IF(OR(B496="",C496&lt;&gt;"Expense"),"",IF(E496&gt;IFERROR(AVERAGEIFS($E$8:$E$1007,$I$8:$I$1007,I496,$C$8:$C$1007,"Expense")*SETTINGS!$B$20,0),"Unusually High","Normal"))</f>
        <v/>
      </c>
      <c r="AC496" s="51"/>
      <c r="AD496" s="51"/>
      <c r="AE496" s="51"/>
      <c r="AF496" s="50" t="str">
        <f>IF(A496&lt;&gt;"Yes","No",IF(AND(AC496="Yes",SETTINGS!$B$16="No"),"No","Yes"))</f>
        <v>No</v>
      </c>
      <c r="AG496" s="50" t="str">
        <f>IF(A496&lt;&gt;"Yes","",IF(OR(B496="",D496="",E496&lt;=0,F496="",I496=""),"Check Required Fields",IF(AA496="Possible Duplicate","Possible Duplicate",IF(E496&gt;SETTINGS!$B$22,"Review Extreme Value","OK"))))</f>
        <v/>
      </c>
    </row>
    <row r="497" spans="1:33" ht="14.4">
      <c r="A497" s="9"/>
      <c r="B497" s="13"/>
      <c r="C497" s="9"/>
      <c r="D497" s="9"/>
      <c r="E497" s="11"/>
      <c r="F497" s="9"/>
      <c r="G497" s="9"/>
      <c r="H497" s="44" t="str">
        <f>IF(D497="","",IF(ISNUMBER(SEARCH(SETTINGS!$K$4,D497)),SETTINGS!$L$4,IF(ISNUMBER(SEARCH(SETTINGS!$K$5,D497)),SETTINGS!$L$5,IF(ISNUMBER(SEARCH(SETTINGS!$K$6,D497)),SETTINGS!$L$6,IF(ISNUMBER(SEARCH(SETTINGS!$K$7,D497)),SETTINGS!$L$7,IF(ISNUMBER(SEARCH(SETTINGS!$K$8,D497)),SETTINGS!$L$8,IF(ISNUMBER(SEARCH(SETTINGS!$K$9,D497)),SETTINGS!$L$9,IF(ISNUMBER(SEARCH(SETTINGS!$K$10,D497)),SETTINGS!$L$10,IF(ISNUMBER(SEARCH(SETTINGS!$K$11,D497)),SETTINGS!$L$11,IF(ISNUMBER(SEARCH(SETTINGS!$K$12,D497)),SETTINGS!$L$12,IF(ISNUMBER(SEARCH(SETTINGS!$K$13,D497)),SETTINGS!$L$13,IF(ISNUMBER(SEARCH(SETTINGS!$K$14,D497)),SETTINGS!$L$14,IF(ISNUMBER(SEARCH(SETTINGS!$K$15,D497)),SETTINGS!$L$15,IF(ISNUMBER(SEARCH(SETTINGS!$K$16,D497)),SETTINGS!$L$16,IF(ISNUMBER(SEARCH(SETTINGS!$K$17,D497)),SETTINGS!$L$17,IF(ISNUMBER(SEARCH(SETTINGS!$K$18,D497)),SETTINGS!$L$18,"Miscellaneous"))))))))))))))))</f>
        <v/>
      </c>
      <c r="I497" s="44" t="str">
        <f t="shared" si="56"/>
        <v/>
      </c>
      <c r="J497" s="9"/>
      <c r="K497" s="9"/>
      <c r="L497" s="9"/>
      <c r="M497" s="9"/>
      <c r="N497" s="9"/>
      <c r="O497" s="9"/>
      <c r="P497" s="13"/>
      <c r="Q497" s="9"/>
      <c r="R497" s="9"/>
      <c r="S497" s="9"/>
      <c r="T497" s="11"/>
      <c r="U497" s="44" t="str">
        <f t="shared" si="57"/>
        <v/>
      </c>
      <c r="V497" s="44" t="str">
        <f t="shared" si="58"/>
        <v/>
      </c>
      <c r="W497" s="44" t="str">
        <f t="shared" si="59"/>
        <v/>
      </c>
      <c r="X497" s="44" t="str">
        <f t="shared" si="60"/>
        <v/>
      </c>
      <c r="Y497" s="44" t="str">
        <f t="shared" si="61"/>
        <v/>
      </c>
      <c r="Z497" s="44" t="str">
        <f t="shared" si="62"/>
        <v/>
      </c>
      <c r="AA497" s="50" t="str">
        <f t="shared" si="63"/>
        <v/>
      </c>
      <c r="AB497" s="50" t="str">
        <f>IF(OR(B497="",C497&lt;&gt;"Expense"),"",IF(E497&gt;IFERROR(AVERAGEIFS($E$8:$E$1007,$I$8:$I$1007,I497,$C$8:$C$1007,"Expense")*SETTINGS!$B$20,0),"Unusually High","Normal"))</f>
        <v/>
      </c>
      <c r="AC497" s="51"/>
      <c r="AD497" s="51"/>
      <c r="AE497" s="51"/>
      <c r="AF497" s="50" t="str">
        <f>IF(A497&lt;&gt;"Yes","No",IF(AND(AC497="Yes",SETTINGS!$B$16="No"),"No","Yes"))</f>
        <v>No</v>
      </c>
      <c r="AG497" s="50" t="str">
        <f>IF(A497&lt;&gt;"Yes","",IF(OR(B497="",D497="",E497&lt;=0,F497="",I497=""),"Check Required Fields",IF(AA497="Possible Duplicate","Possible Duplicate",IF(E497&gt;SETTINGS!$B$22,"Review Extreme Value","OK"))))</f>
        <v/>
      </c>
    </row>
    <row r="498" spans="1:33" ht="14.4">
      <c r="A498" s="9"/>
      <c r="B498" s="13"/>
      <c r="C498" s="9"/>
      <c r="D498" s="9"/>
      <c r="E498" s="11"/>
      <c r="F498" s="9"/>
      <c r="G498" s="9"/>
      <c r="H498" s="44" t="str">
        <f>IF(D498="","",IF(ISNUMBER(SEARCH(SETTINGS!$K$4,D498)),SETTINGS!$L$4,IF(ISNUMBER(SEARCH(SETTINGS!$K$5,D498)),SETTINGS!$L$5,IF(ISNUMBER(SEARCH(SETTINGS!$K$6,D498)),SETTINGS!$L$6,IF(ISNUMBER(SEARCH(SETTINGS!$K$7,D498)),SETTINGS!$L$7,IF(ISNUMBER(SEARCH(SETTINGS!$K$8,D498)),SETTINGS!$L$8,IF(ISNUMBER(SEARCH(SETTINGS!$K$9,D498)),SETTINGS!$L$9,IF(ISNUMBER(SEARCH(SETTINGS!$K$10,D498)),SETTINGS!$L$10,IF(ISNUMBER(SEARCH(SETTINGS!$K$11,D498)),SETTINGS!$L$11,IF(ISNUMBER(SEARCH(SETTINGS!$K$12,D498)),SETTINGS!$L$12,IF(ISNUMBER(SEARCH(SETTINGS!$K$13,D498)),SETTINGS!$L$13,IF(ISNUMBER(SEARCH(SETTINGS!$K$14,D498)),SETTINGS!$L$14,IF(ISNUMBER(SEARCH(SETTINGS!$K$15,D498)),SETTINGS!$L$15,IF(ISNUMBER(SEARCH(SETTINGS!$K$16,D498)),SETTINGS!$L$16,IF(ISNUMBER(SEARCH(SETTINGS!$K$17,D498)),SETTINGS!$L$17,IF(ISNUMBER(SEARCH(SETTINGS!$K$18,D498)),SETTINGS!$L$18,"Miscellaneous"))))))))))))))))</f>
        <v/>
      </c>
      <c r="I498" s="44" t="str">
        <f t="shared" si="56"/>
        <v/>
      </c>
      <c r="J498" s="9"/>
      <c r="K498" s="9"/>
      <c r="L498" s="9"/>
      <c r="M498" s="9"/>
      <c r="N498" s="9"/>
      <c r="O498" s="9"/>
      <c r="P498" s="13"/>
      <c r="Q498" s="9"/>
      <c r="R498" s="9"/>
      <c r="S498" s="9"/>
      <c r="T498" s="11"/>
      <c r="U498" s="44" t="str">
        <f t="shared" si="57"/>
        <v/>
      </c>
      <c r="V498" s="44" t="str">
        <f t="shared" si="58"/>
        <v/>
      </c>
      <c r="W498" s="44" t="str">
        <f t="shared" si="59"/>
        <v/>
      </c>
      <c r="X498" s="44" t="str">
        <f t="shared" si="60"/>
        <v/>
      </c>
      <c r="Y498" s="44" t="str">
        <f t="shared" si="61"/>
        <v/>
      </c>
      <c r="Z498" s="44" t="str">
        <f t="shared" si="62"/>
        <v/>
      </c>
      <c r="AA498" s="50" t="str">
        <f t="shared" si="63"/>
        <v/>
      </c>
      <c r="AB498" s="50" t="str">
        <f>IF(OR(B498="",C498&lt;&gt;"Expense"),"",IF(E498&gt;IFERROR(AVERAGEIFS($E$8:$E$1007,$I$8:$I$1007,I498,$C$8:$C$1007,"Expense")*SETTINGS!$B$20,0),"Unusually High","Normal"))</f>
        <v/>
      </c>
      <c r="AC498" s="51"/>
      <c r="AD498" s="51"/>
      <c r="AE498" s="51"/>
      <c r="AF498" s="50" t="str">
        <f>IF(A498&lt;&gt;"Yes","No",IF(AND(AC498="Yes",SETTINGS!$B$16="No"),"No","Yes"))</f>
        <v>No</v>
      </c>
      <c r="AG498" s="50" t="str">
        <f>IF(A498&lt;&gt;"Yes","",IF(OR(B498="",D498="",E498&lt;=0,F498="",I498=""),"Check Required Fields",IF(AA498="Possible Duplicate","Possible Duplicate",IF(E498&gt;SETTINGS!$B$22,"Review Extreme Value","OK"))))</f>
        <v/>
      </c>
    </row>
    <row r="499" spans="1:33" ht="14.4">
      <c r="A499" s="9"/>
      <c r="B499" s="13"/>
      <c r="C499" s="9"/>
      <c r="D499" s="9"/>
      <c r="E499" s="11"/>
      <c r="F499" s="9"/>
      <c r="G499" s="9"/>
      <c r="H499" s="44" t="str">
        <f>IF(D499="","",IF(ISNUMBER(SEARCH(SETTINGS!$K$4,D499)),SETTINGS!$L$4,IF(ISNUMBER(SEARCH(SETTINGS!$K$5,D499)),SETTINGS!$L$5,IF(ISNUMBER(SEARCH(SETTINGS!$K$6,D499)),SETTINGS!$L$6,IF(ISNUMBER(SEARCH(SETTINGS!$K$7,D499)),SETTINGS!$L$7,IF(ISNUMBER(SEARCH(SETTINGS!$K$8,D499)),SETTINGS!$L$8,IF(ISNUMBER(SEARCH(SETTINGS!$K$9,D499)),SETTINGS!$L$9,IF(ISNUMBER(SEARCH(SETTINGS!$K$10,D499)),SETTINGS!$L$10,IF(ISNUMBER(SEARCH(SETTINGS!$K$11,D499)),SETTINGS!$L$11,IF(ISNUMBER(SEARCH(SETTINGS!$K$12,D499)),SETTINGS!$L$12,IF(ISNUMBER(SEARCH(SETTINGS!$K$13,D499)),SETTINGS!$L$13,IF(ISNUMBER(SEARCH(SETTINGS!$K$14,D499)),SETTINGS!$L$14,IF(ISNUMBER(SEARCH(SETTINGS!$K$15,D499)),SETTINGS!$L$15,IF(ISNUMBER(SEARCH(SETTINGS!$K$16,D499)),SETTINGS!$L$16,IF(ISNUMBER(SEARCH(SETTINGS!$K$17,D499)),SETTINGS!$L$17,IF(ISNUMBER(SEARCH(SETTINGS!$K$18,D499)),SETTINGS!$L$18,"Miscellaneous"))))))))))))))))</f>
        <v/>
      </c>
      <c r="I499" s="44" t="str">
        <f t="shared" si="56"/>
        <v/>
      </c>
      <c r="J499" s="9"/>
      <c r="K499" s="9"/>
      <c r="L499" s="9"/>
      <c r="M499" s="9"/>
      <c r="N499" s="9"/>
      <c r="O499" s="9"/>
      <c r="P499" s="13"/>
      <c r="Q499" s="9"/>
      <c r="R499" s="9"/>
      <c r="S499" s="9"/>
      <c r="T499" s="11"/>
      <c r="U499" s="44" t="str">
        <f t="shared" si="57"/>
        <v/>
      </c>
      <c r="V499" s="44" t="str">
        <f t="shared" si="58"/>
        <v/>
      </c>
      <c r="W499" s="44" t="str">
        <f t="shared" si="59"/>
        <v/>
      </c>
      <c r="X499" s="44" t="str">
        <f t="shared" si="60"/>
        <v/>
      </c>
      <c r="Y499" s="44" t="str">
        <f t="shared" si="61"/>
        <v/>
      </c>
      <c r="Z499" s="44" t="str">
        <f t="shared" si="62"/>
        <v/>
      </c>
      <c r="AA499" s="50" t="str">
        <f t="shared" si="63"/>
        <v/>
      </c>
      <c r="AB499" s="50" t="str">
        <f>IF(OR(B499="",C499&lt;&gt;"Expense"),"",IF(E499&gt;IFERROR(AVERAGEIFS($E$8:$E$1007,$I$8:$I$1007,I499,$C$8:$C$1007,"Expense")*SETTINGS!$B$20,0),"Unusually High","Normal"))</f>
        <v/>
      </c>
      <c r="AC499" s="51"/>
      <c r="AD499" s="51"/>
      <c r="AE499" s="51"/>
      <c r="AF499" s="50" t="str">
        <f>IF(A499&lt;&gt;"Yes","No",IF(AND(AC499="Yes",SETTINGS!$B$16="No"),"No","Yes"))</f>
        <v>No</v>
      </c>
      <c r="AG499" s="50" t="str">
        <f>IF(A499&lt;&gt;"Yes","",IF(OR(B499="",D499="",E499&lt;=0,F499="",I499=""),"Check Required Fields",IF(AA499="Possible Duplicate","Possible Duplicate",IF(E499&gt;SETTINGS!$B$22,"Review Extreme Value","OK"))))</f>
        <v/>
      </c>
    </row>
    <row r="500" spans="1:33" ht="14.4">
      <c r="A500" s="9"/>
      <c r="B500" s="13"/>
      <c r="C500" s="9"/>
      <c r="D500" s="9"/>
      <c r="E500" s="11"/>
      <c r="F500" s="9"/>
      <c r="G500" s="9"/>
      <c r="H500" s="44" t="str">
        <f>IF(D500="","",IF(ISNUMBER(SEARCH(SETTINGS!$K$4,D500)),SETTINGS!$L$4,IF(ISNUMBER(SEARCH(SETTINGS!$K$5,D500)),SETTINGS!$L$5,IF(ISNUMBER(SEARCH(SETTINGS!$K$6,D500)),SETTINGS!$L$6,IF(ISNUMBER(SEARCH(SETTINGS!$K$7,D500)),SETTINGS!$L$7,IF(ISNUMBER(SEARCH(SETTINGS!$K$8,D500)),SETTINGS!$L$8,IF(ISNUMBER(SEARCH(SETTINGS!$K$9,D500)),SETTINGS!$L$9,IF(ISNUMBER(SEARCH(SETTINGS!$K$10,D500)),SETTINGS!$L$10,IF(ISNUMBER(SEARCH(SETTINGS!$K$11,D500)),SETTINGS!$L$11,IF(ISNUMBER(SEARCH(SETTINGS!$K$12,D500)),SETTINGS!$L$12,IF(ISNUMBER(SEARCH(SETTINGS!$K$13,D500)),SETTINGS!$L$13,IF(ISNUMBER(SEARCH(SETTINGS!$K$14,D500)),SETTINGS!$L$14,IF(ISNUMBER(SEARCH(SETTINGS!$K$15,D500)),SETTINGS!$L$15,IF(ISNUMBER(SEARCH(SETTINGS!$K$16,D500)),SETTINGS!$L$16,IF(ISNUMBER(SEARCH(SETTINGS!$K$17,D500)),SETTINGS!$L$17,IF(ISNUMBER(SEARCH(SETTINGS!$K$18,D500)),SETTINGS!$L$18,"Miscellaneous"))))))))))))))))</f>
        <v/>
      </c>
      <c r="I500" s="44" t="str">
        <f t="shared" si="56"/>
        <v/>
      </c>
      <c r="J500" s="9"/>
      <c r="K500" s="9"/>
      <c r="L500" s="9"/>
      <c r="M500" s="9"/>
      <c r="N500" s="9"/>
      <c r="O500" s="9"/>
      <c r="P500" s="13"/>
      <c r="Q500" s="9"/>
      <c r="R500" s="9"/>
      <c r="S500" s="9"/>
      <c r="T500" s="11"/>
      <c r="U500" s="44" t="str">
        <f t="shared" si="57"/>
        <v/>
      </c>
      <c r="V500" s="44" t="str">
        <f t="shared" si="58"/>
        <v/>
      </c>
      <c r="W500" s="44" t="str">
        <f t="shared" si="59"/>
        <v/>
      </c>
      <c r="X500" s="44" t="str">
        <f t="shared" si="60"/>
        <v/>
      </c>
      <c r="Y500" s="44" t="str">
        <f t="shared" si="61"/>
        <v/>
      </c>
      <c r="Z500" s="44" t="str">
        <f t="shared" si="62"/>
        <v/>
      </c>
      <c r="AA500" s="50" t="str">
        <f t="shared" si="63"/>
        <v/>
      </c>
      <c r="AB500" s="50" t="str">
        <f>IF(OR(B500="",C500&lt;&gt;"Expense"),"",IF(E500&gt;IFERROR(AVERAGEIFS($E$8:$E$1007,$I$8:$I$1007,I500,$C$8:$C$1007,"Expense")*SETTINGS!$B$20,0),"Unusually High","Normal"))</f>
        <v/>
      </c>
      <c r="AC500" s="51"/>
      <c r="AD500" s="51"/>
      <c r="AE500" s="51"/>
      <c r="AF500" s="50" t="str">
        <f>IF(A500&lt;&gt;"Yes","No",IF(AND(AC500="Yes",SETTINGS!$B$16="No"),"No","Yes"))</f>
        <v>No</v>
      </c>
      <c r="AG500" s="50" t="str">
        <f>IF(A500&lt;&gt;"Yes","",IF(OR(B500="",D500="",E500&lt;=0,F500="",I500=""),"Check Required Fields",IF(AA500="Possible Duplicate","Possible Duplicate",IF(E500&gt;SETTINGS!$B$22,"Review Extreme Value","OK"))))</f>
        <v/>
      </c>
    </row>
    <row r="501" spans="1:33" ht="14.4">
      <c r="A501" s="9"/>
      <c r="B501" s="13"/>
      <c r="C501" s="9"/>
      <c r="D501" s="9"/>
      <c r="E501" s="11"/>
      <c r="F501" s="9"/>
      <c r="G501" s="9"/>
      <c r="H501" s="44" t="str">
        <f>IF(D501="","",IF(ISNUMBER(SEARCH(SETTINGS!$K$4,D501)),SETTINGS!$L$4,IF(ISNUMBER(SEARCH(SETTINGS!$K$5,D501)),SETTINGS!$L$5,IF(ISNUMBER(SEARCH(SETTINGS!$K$6,D501)),SETTINGS!$L$6,IF(ISNUMBER(SEARCH(SETTINGS!$K$7,D501)),SETTINGS!$L$7,IF(ISNUMBER(SEARCH(SETTINGS!$K$8,D501)),SETTINGS!$L$8,IF(ISNUMBER(SEARCH(SETTINGS!$K$9,D501)),SETTINGS!$L$9,IF(ISNUMBER(SEARCH(SETTINGS!$K$10,D501)),SETTINGS!$L$10,IF(ISNUMBER(SEARCH(SETTINGS!$K$11,D501)),SETTINGS!$L$11,IF(ISNUMBER(SEARCH(SETTINGS!$K$12,D501)),SETTINGS!$L$12,IF(ISNUMBER(SEARCH(SETTINGS!$K$13,D501)),SETTINGS!$L$13,IF(ISNUMBER(SEARCH(SETTINGS!$K$14,D501)),SETTINGS!$L$14,IF(ISNUMBER(SEARCH(SETTINGS!$K$15,D501)),SETTINGS!$L$15,IF(ISNUMBER(SEARCH(SETTINGS!$K$16,D501)),SETTINGS!$L$16,IF(ISNUMBER(SEARCH(SETTINGS!$K$17,D501)),SETTINGS!$L$17,IF(ISNUMBER(SEARCH(SETTINGS!$K$18,D501)),SETTINGS!$L$18,"Miscellaneous"))))))))))))))))</f>
        <v/>
      </c>
      <c r="I501" s="44" t="str">
        <f t="shared" si="56"/>
        <v/>
      </c>
      <c r="J501" s="9"/>
      <c r="K501" s="9"/>
      <c r="L501" s="9"/>
      <c r="M501" s="9"/>
      <c r="N501" s="9"/>
      <c r="O501" s="9"/>
      <c r="P501" s="13"/>
      <c r="Q501" s="9"/>
      <c r="R501" s="9"/>
      <c r="S501" s="9"/>
      <c r="T501" s="11"/>
      <c r="U501" s="44" t="str">
        <f t="shared" si="57"/>
        <v/>
      </c>
      <c r="V501" s="44" t="str">
        <f t="shared" si="58"/>
        <v/>
      </c>
      <c r="W501" s="44" t="str">
        <f t="shared" si="59"/>
        <v/>
      </c>
      <c r="X501" s="44" t="str">
        <f t="shared" si="60"/>
        <v/>
      </c>
      <c r="Y501" s="44" t="str">
        <f t="shared" si="61"/>
        <v/>
      </c>
      <c r="Z501" s="44" t="str">
        <f t="shared" si="62"/>
        <v/>
      </c>
      <c r="AA501" s="50" t="str">
        <f t="shared" si="63"/>
        <v/>
      </c>
      <c r="AB501" s="50" t="str">
        <f>IF(OR(B501="",C501&lt;&gt;"Expense"),"",IF(E501&gt;IFERROR(AVERAGEIFS($E$8:$E$1007,$I$8:$I$1007,I501,$C$8:$C$1007,"Expense")*SETTINGS!$B$20,0),"Unusually High","Normal"))</f>
        <v/>
      </c>
      <c r="AC501" s="51"/>
      <c r="AD501" s="51"/>
      <c r="AE501" s="51"/>
      <c r="AF501" s="50" t="str">
        <f>IF(A501&lt;&gt;"Yes","No",IF(AND(AC501="Yes",SETTINGS!$B$16="No"),"No","Yes"))</f>
        <v>No</v>
      </c>
      <c r="AG501" s="50" t="str">
        <f>IF(A501&lt;&gt;"Yes","",IF(OR(B501="",D501="",E501&lt;=0,F501="",I501=""),"Check Required Fields",IF(AA501="Possible Duplicate","Possible Duplicate",IF(E501&gt;SETTINGS!$B$22,"Review Extreme Value","OK"))))</f>
        <v/>
      </c>
    </row>
    <row r="502" spans="1:33" ht="14.4">
      <c r="A502" s="9"/>
      <c r="B502" s="13"/>
      <c r="C502" s="9"/>
      <c r="D502" s="9"/>
      <c r="E502" s="11"/>
      <c r="F502" s="9"/>
      <c r="G502" s="9"/>
      <c r="H502" s="44" t="str">
        <f>IF(D502="","",IF(ISNUMBER(SEARCH(SETTINGS!$K$4,D502)),SETTINGS!$L$4,IF(ISNUMBER(SEARCH(SETTINGS!$K$5,D502)),SETTINGS!$L$5,IF(ISNUMBER(SEARCH(SETTINGS!$K$6,D502)),SETTINGS!$L$6,IF(ISNUMBER(SEARCH(SETTINGS!$K$7,D502)),SETTINGS!$L$7,IF(ISNUMBER(SEARCH(SETTINGS!$K$8,D502)),SETTINGS!$L$8,IF(ISNUMBER(SEARCH(SETTINGS!$K$9,D502)),SETTINGS!$L$9,IF(ISNUMBER(SEARCH(SETTINGS!$K$10,D502)),SETTINGS!$L$10,IF(ISNUMBER(SEARCH(SETTINGS!$K$11,D502)),SETTINGS!$L$11,IF(ISNUMBER(SEARCH(SETTINGS!$K$12,D502)),SETTINGS!$L$12,IF(ISNUMBER(SEARCH(SETTINGS!$K$13,D502)),SETTINGS!$L$13,IF(ISNUMBER(SEARCH(SETTINGS!$K$14,D502)),SETTINGS!$L$14,IF(ISNUMBER(SEARCH(SETTINGS!$K$15,D502)),SETTINGS!$L$15,IF(ISNUMBER(SEARCH(SETTINGS!$K$16,D502)),SETTINGS!$L$16,IF(ISNUMBER(SEARCH(SETTINGS!$K$17,D502)),SETTINGS!$L$17,IF(ISNUMBER(SEARCH(SETTINGS!$K$18,D502)),SETTINGS!$L$18,"Miscellaneous"))))))))))))))))</f>
        <v/>
      </c>
      <c r="I502" s="44" t="str">
        <f t="shared" si="56"/>
        <v/>
      </c>
      <c r="J502" s="9"/>
      <c r="K502" s="9"/>
      <c r="L502" s="9"/>
      <c r="M502" s="9"/>
      <c r="N502" s="9"/>
      <c r="O502" s="9"/>
      <c r="P502" s="13"/>
      <c r="Q502" s="9"/>
      <c r="R502" s="9"/>
      <c r="S502" s="9"/>
      <c r="T502" s="11"/>
      <c r="U502" s="44" t="str">
        <f t="shared" si="57"/>
        <v/>
      </c>
      <c r="V502" s="44" t="str">
        <f t="shared" si="58"/>
        <v/>
      </c>
      <c r="W502" s="44" t="str">
        <f t="shared" si="59"/>
        <v/>
      </c>
      <c r="X502" s="44" t="str">
        <f t="shared" si="60"/>
        <v/>
      </c>
      <c r="Y502" s="44" t="str">
        <f t="shared" si="61"/>
        <v/>
      </c>
      <c r="Z502" s="44" t="str">
        <f t="shared" si="62"/>
        <v/>
      </c>
      <c r="AA502" s="50" t="str">
        <f t="shared" si="63"/>
        <v/>
      </c>
      <c r="AB502" s="50" t="str">
        <f>IF(OR(B502="",C502&lt;&gt;"Expense"),"",IF(E502&gt;IFERROR(AVERAGEIFS($E$8:$E$1007,$I$8:$I$1007,I502,$C$8:$C$1007,"Expense")*SETTINGS!$B$20,0),"Unusually High","Normal"))</f>
        <v/>
      </c>
      <c r="AC502" s="51"/>
      <c r="AD502" s="51"/>
      <c r="AE502" s="51"/>
      <c r="AF502" s="50" t="str">
        <f>IF(A502&lt;&gt;"Yes","No",IF(AND(AC502="Yes",SETTINGS!$B$16="No"),"No","Yes"))</f>
        <v>No</v>
      </c>
      <c r="AG502" s="50" t="str">
        <f>IF(A502&lt;&gt;"Yes","",IF(OR(B502="",D502="",E502&lt;=0,F502="",I502=""),"Check Required Fields",IF(AA502="Possible Duplicate","Possible Duplicate",IF(E502&gt;SETTINGS!$B$22,"Review Extreme Value","OK"))))</f>
        <v/>
      </c>
    </row>
    <row r="503" spans="1:33" ht="14.4">
      <c r="A503" s="9"/>
      <c r="B503" s="13"/>
      <c r="C503" s="9"/>
      <c r="D503" s="9"/>
      <c r="E503" s="11"/>
      <c r="F503" s="9"/>
      <c r="G503" s="9"/>
      <c r="H503" s="44" t="str">
        <f>IF(D503="","",IF(ISNUMBER(SEARCH(SETTINGS!$K$4,D503)),SETTINGS!$L$4,IF(ISNUMBER(SEARCH(SETTINGS!$K$5,D503)),SETTINGS!$L$5,IF(ISNUMBER(SEARCH(SETTINGS!$K$6,D503)),SETTINGS!$L$6,IF(ISNUMBER(SEARCH(SETTINGS!$K$7,D503)),SETTINGS!$L$7,IF(ISNUMBER(SEARCH(SETTINGS!$K$8,D503)),SETTINGS!$L$8,IF(ISNUMBER(SEARCH(SETTINGS!$K$9,D503)),SETTINGS!$L$9,IF(ISNUMBER(SEARCH(SETTINGS!$K$10,D503)),SETTINGS!$L$10,IF(ISNUMBER(SEARCH(SETTINGS!$K$11,D503)),SETTINGS!$L$11,IF(ISNUMBER(SEARCH(SETTINGS!$K$12,D503)),SETTINGS!$L$12,IF(ISNUMBER(SEARCH(SETTINGS!$K$13,D503)),SETTINGS!$L$13,IF(ISNUMBER(SEARCH(SETTINGS!$K$14,D503)),SETTINGS!$L$14,IF(ISNUMBER(SEARCH(SETTINGS!$K$15,D503)),SETTINGS!$L$15,IF(ISNUMBER(SEARCH(SETTINGS!$K$16,D503)),SETTINGS!$L$16,IF(ISNUMBER(SEARCH(SETTINGS!$K$17,D503)),SETTINGS!$L$17,IF(ISNUMBER(SEARCH(SETTINGS!$K$18,D503)),SETTINGS!$L$18,"Miscellaneous"))))))))))))))))</f>
        <v/>
      </c>
      <c r="I503" s="44" t="str">
        <f t="shared" si="56"/>
        <v/>
      </c>
      <c r="J503" s="9"/>
      <c r="K503" s="9"/>
      <c r="L503" s="9"/>
      <c r="M503" s="9"/>
      <c r="N503" s="9"/>
      <c r="O503" s="9"/>
      <c r="P503" s="13"/>
      <c r="Q503" s="9"/>
      <c r="R503" s="9"/>
      <c r="S503" s="9"/>
      <c r="T503" s="11"/>
      <c r="U503" s="44" t="str">
        <f t="shared" si="57"/>
        <v/>
      </c>
      <c r="V503" s="44" t="str">
        <f t="shared" si="58"/>
        <v/>
      </c>
      <c r="W503" s="44" t="str">
        <f t="shared" si="59"/>
        <v/>
      </c>
      <c r="X503" s="44" t="str">
        <f t="shared" si="60"/>
        <v/>
      </c>
      <c r="Y503" s="44" t="str">
        <f t="shared" si="61"/>
        <v/>
      </c>
      <c r="Z503" s="44" t="str">
        <f t="shared" si="62"/>
        <v/>
      </c>
      <c r="AA503" s="50" t="str">
        <f t="shared" si="63"/>
        <v/>
      </c>
      <c r="AB503" s="50" t="str">
        <f>IF(OR(B503="",C503&lt;&gt;"Expense"),"",IF(E503&gt;IFERROR(AVERAGEIFS($E$8:$E$1007,$I$8:$I$1007,I503,$C$8:$C$1007,"Expense")*SETTINGS!$B$20,0),"Unusually High","Normal"))</f>
        <v/>
      </c>
      <c r="AC503" s="51"/>
      <c r="AD503" s="51"/>
      <c r="AE503" s="51"/>
      <c r="AF503" s="50" t="str">
        <f>IF(A503&lt;&gt;"Yes","No",IF(AND(AC503="Yes",SETTINGS!$B$16="No"),"No","Yes"))</f>
        <v>No</v>
      </c>
      <c r="AG503" s="50" t="str">
        <f>IF(A503&lt;&gt;"Yes","",IF(OR(B503="",D503="",E503&lt;=0,F503="",I503=""),"Check Required Fields",IF(AA503="Possible Duplicate","Possible Duplicate",IF(E503&gt;SETTINGS!$B$22,"Review Extreme Value","OK"))))</f>
        <v/>
      </c>
    </row>
    <row r="504" spans="1:33" ht="14.4">
      <c r="A504" s="9"/>
      <c r="B504" s="13"/>
      <c r="C504" s="9"/>
      <c r="D504" s="9"/>
      <c r="E504" s="11"/>
      <c r="F504" s="9"/>
      <c r="G504" s="9"/>
      <c r="H504" s="44" t="str">
        <f>IF(D504="","",IF(ISNUMBER(SEARCH(SETTINGS!$K$4,D504)),SETTINGS!$L$4,IF(ISNUMBER(SEARCH(SETTINGS!$K$5,D504)),SETTINGS!$L$5,IF(ISNUMBER(SEARCH(SETTINGS!$K$6,D504)),SETTINGS!$L$6,IF(ISNUMBER(SEARCH(SETTINGS!$K$7,D504)),SETTINGS!$L$7,IF(ISNUMBER(SEARCH(SETTINGS!$K$8,D504)),SETTINGS!$L$8,IF(ISNUMBER(SEARCH(SETTINGS!$K$9,D504)),SETTINGS!$L$9,IF(ISNUMBER(SEARCH(SETTINGS!$K$10,D504)),SETTINGS!$L$10,IF(ISNUMBER(SEARCH(SETTINGS!$K$11,D504)),SETTINGS!$L$11,IF(ISNUMBER(SEARCH(SETTINGS!$K$12,D504)),SETTINGS!$L$12,IF(ISNUMBER(SEARCH(SETTINGS!$K$13,D504)),SETTINGS!$L$13,IF(ISNUMBER(SEARCH(SETTINGS!$K$14,D504)),SETTINGS!$L$14,IF(ISNUMBER(SEARCH(SETTINGS!$K$15,D504)),SETTINGS!$L$15,IF(ISNUMBER(SEARCH(SETTINGS!$K$16,D504)),SETTINGS!$L$16,IF(ISNUMBER(SEARCH(SETTINGS!$K$17,D504)),SETTINGS!$L$17,IF(ISNUMBER(SEARCH(SETTINGS!$K$18,D504)),SETTINGS!$L$18,"Miscellaneous"))))))))))))))))</f>
        <v/>
      </c>
      <c r="I504" s="44" t="str">
        <f t="shared" si="56"/>
        <v/>
      </c>
      <c r="J504" s="9"/>
      <c r="K504" s="9"/>
      <c r="L504" s="9"/>
      <c r="M504" s="9"/>
      <c r="N504" s="9"/>
      <c r="O504" s="9"/>
      <c r="P504" s="13"/>
      <c r="Q504" s="9"/>
      <c r="R504" s="9"/>
      <c r="S504" s="9"/>
      <c r="T504" s="11"/>
      <c r="U504" s="44" t="str">
        <f t="shared" si="57"/>
        <v/>
      </c>
      <c r="V504" s="44" t="str">
        <f t="shared" si="58"/>
        <v/>
      </c>
      <c r="W504" s="44" t="str">
        <f t="shared" si="59"/>
        <v/>
      </c>
      <c r="X504" s="44" t="str">
        <f t="shared" si="60"/>
        <v/>
      </c>
      <c r="Y504" s="44" t="str">
        <f t="shared" si="61"/>
        <v/>
      </c>
      <c r="Z504" s="44" t="str">
        <f t="shared" si="62"/>
        <v/>
      </c>
      <c r="AA504" s="50" t="str">
        <f t="shared" si="63"/>
        <v/>
      </c>
      <c r="AB504" s="50" t="str">
        <f>IF(OR(B504="",C504&lt;&gt;"Expense"),"",IF(E504&gt;IFERROR(AVERAGEIFS($E$8:$E$1007,$I$8:$I$1007,I504,$C$8:$C$1007,"Expense")*SETTINGS!$B$20,0),"Unusually High","Normal"))</f>
        <v/>
      </c>
      <c r="AC504" s="51"/>
      <c r="AD504" s="51"/>
      <c r="AE504" s="51"/>
      <c r="AF504" s="50" t="str">
        <f>IF(A504&lt;&gt;"Yes","No",IF(AND(AC504="Yes",SETTINGS!$B$16="No"),"No","Yes"))</f>
        <v>No</v>
      </c>
      <c r="AG504" s="50" t="str">
        <f>IF(A504&lt;&gt;"Yes","",IF(OR(B504="",D504="",E504&lt;=0,F504="",I504=""),"Check Required Fields",IF(AA504="Possible Duplicate","Possible Duplicate",IF(E504&gt;SETTINGS!$B$22,"Review Extreme Value","OK"))))</f>
        <v/>
      </c>
    </row>
    <row r="505" spans="1:33" ht="14.4">
      <c r="A505" s="9"/>
      <c r="B505" s="13"/>
      <c r="C505" s="9"/>
      <c r="D505" s="9"/>
      <c r="E505" s="11"/>
      <c r="F505" s="9"/>
      <c r="G505" s="9"/>
      <c r="H505" s="44" t="str">
        <f>IF(D505="","",IF(ISNUMBER(SEARCH(SETTINGS!$K$4,D505)),SETTINGS!$L$4,IF(ISNUMBER(SEARCH(SETTINGS!$K$5,D505)),SETTINGS!$L$5,IF(ISNUMBER(SEARCH(SETTINGS!$K$6,D505)),SETTINGS!$L$6,IF(ISNUMBER(SEARCH(SETTINGS!$K$7,D505)),SETTINGS!$L$7,IF(ISNUMBER(SEARCH(SETTINGS!$K$8,D505)),SETTINGS!$L$8,IF(ISNUMBER(SEARCH(SETTINGS!$K$9,D505)),SETTINGS!$L$9,IF(ISNUMBER(SEARCH(SETTINGS!$K$10,D505)),SETTINGS!$L$10,IF(ISNUMBER(SEARCH(SETTINGS!$K$11,D505)),SETTINGS!$L$11,IF(ISNUMBER(SEARCH(SETTINGS!$K$12,D505)),SETTINGS!$L$12,IF(ISNUMBER(SEARCH(SETTINGS!$K$13,D505)),SETTINGS!$L$13,IF(ISNUMBER(SEARCH(SETTINGS!$K$14,D505)),SETTINGS!$L$14,IF(ISNUMBER(SEARCH(SETTINGS!$K$15,D505)),SETTINGS!$L$15,IF(ISNUMBER(SEARCH(SETTINGS!$K$16,D505)),SETTINGS!$L$16,IF(ISNUMBER(SEARCH(SETTINGS!$K$17,D505)),SETTINGS!$L$17,IF(ISNUMBER(SEARCH(SETTINGS!$K$18,D505)),SETTINGS!$L$18,"Miscellaneous"))))))))))))))))</f>
        <v/>
      </c>
      <c r="I505" s="44" t="str">
        <f t="shared" si="56"/>
        <v/>
      </c>
      <c r="J505" s="9"/>
      <c r="K505" s="9"/>
      <c r="L505" s="9"/>
      <c r="M505" s="9"/>
      <c r="N505" s="9"/>
      <c r="O505" s="9"/>
      <c r="P505" s="13"/>
      <c r="Q505" s="9"/>
      <c r="R505" s="9"/>
      <c r="S505" s="9"/>
      <c r="T505" s="11"/>
      <c r="U505" s="44" t="str">
        <f t="shared" si="57"/>
        <v/>
      </c>
      <c r="V505" s="44" t="str">
        <f t="shared" si="58"/>
        <v/>
      </c>
      <c r="W505" s="44" t="str">
        <f t="shared" si="59"/>
        <v/>
      </c>
      <c r="X505" s="44" t="str">
        <f t="shared" si="60"/>
        <v/>
      </c>
      <c r="Y505" s="44" t="str">
        <f t="shared" si="61"/>
        <v/>
      </c>
      <c r="Z505" s="44" t="str">
        <f t="shared" si="62"/>
        <v/>
      </c>
      <c r="AA505" s="50" t="str">
        <f t="shared" si="63"/>
        <v/>
      </c>
      <c r="AB505" s="50" t="str">
        <f>IF(OR(B505="",C505&lt;&gt;"Expense"),"",IF(E505&gt;IFERROR(AVERAGEIFS($E$8:$E$1007,$I$8:$I$1007,I505,$C$8:$C$1007,"Expense")*SETTINGS!$B$20,0),"Unusually High","Normal"))</f>
        <v/>
      </c>
      <c r="AC505" s="51"/>
      <c r="AD505" s="51"/>
      <c r="AE505" s="51"/>
      <c r="AF505" s="50" t="str">
        <f>IF(A505&lt;&gt;"Yes","No",IF(AND(AC505="Yes",SETTINGS!$B$16="No"),"No","Yes"))</f>
        <v>No</v>
      </c>
      <c r="AG505" s="50" t="str">
        <f>IF(A505&lt;&gt;"Yes","",IF(OR(B505="",D505="",E505&lt;=0,F505="",I505=""),"Check Required Fields",IF(AA505="Possible Duplicate","Possible Duplicate",IF(E505&gt;SETTINGS!$B$22,"Review Extreme Value","OK"))))</f>
        <v/>
      </c>
    </row>
    <row r="506" spans="1:33" ht="14.4">
      <c r="A506" s="9"/>
      <c r="B506" s="13"/>
      <c r="C506" s="9"/>
      <c r="D506" s="9"/>
      <c r="E506" s="11"/>
      <c r="F506" s="9"/>
      <c r="G506" s="9"/>
      <c r="H506" s="44" t="str">
        <f>IF(D506="","",IF(ISNUMBER(SEARCH(SETTINGS!$K$4,D506)),SETTINGS!$L$4,IF(ISNUMBER(SEARCH(SETTINGS!$K$5,D506)),SETTINGS!$L$5,IF(ISNUMBER(SEARCH(SETTINGS!$K$6,D506)),SETTINGS!$L$6,IF(ISNUMBER(SEARCH(SETTINGS!$K$7,D506)),SETTINGS!$L$7,IF(ISNUMBER(SEARCH(SETTINGS!$K$8,D506)),SETTINGS!$L$8,IF(ISNUMBER(SEARCH(SETTINGS!$K$9,D506)),SETTINGS!$L$9,IF(ISNUMBER(SEARCH(SETTINGS!$K$10,D506)),SETTINGS!$L$10,IF(ISNUMBER(SEARCH(SETTINGS!$K$11,D506)),SETTINGS!$L$11,IF(ISNUMBER(SEARCH(SETTINGS!$K$12,D506)),SETTINGS!$L$12,IF(ISNUMBER(SEARCH(SETTINGS!$K$13,D506)),SETTINGS!$L$13,IF(ISNUMBER(SEARCH(SETTINGS!$K$14,D506)),SETTINGS!$L$14,IF(ISNUMBER(SEARCH(SETTINGS!$K$15,D506)),SETTINGS!$L$15,IF(ISNUMBER(SEARCH(SETTINGS!$K$16,D506)),SETTINGS!$L$16,IF(ISNUMBER(SEARCH(SETTINGS!$K$17,D506)),SETTINGS!$L$17,IF(ISNUMBER(SEARCH(SETTINGS!$K$18,D506)),SETTINGS!$L$18,"Miscellaneous"))))))))))))))))</f>
        <v/>
      </c>
      <c r="I506" s="44" t="str">
        <f t="shared" si="56"/>
        <v/>
      </c>
      <c r="J506" s="9"/>
      <c r="K506" s="9"/>
      <c r="L506" s="9"/>
      <c r="M506" s="9"/>
      <c r="N506" s="9"/>
      <c r="O506" s="9"/>
      <c r="P506" s="13"/>
      <c r="Q506" s="9"/>
      <c r="R506" s="9"/>
      <c r="S506" s="9"/>
      <c r="T506" s="11"/>
      <c r="U506" s="44" t="str">
        <f t="shared" si="57"/>
        <v/>
      </c>
      <c r="V506" s="44" t="str">
        <f t="shared" si="58"/>
        <v/>
      </c>
      <c r="W506" s="44" t="str">
        <f t="shared" si="59"/>
        <v/>
      </c>
      <c r="X506" s="44" t="str">
        <f t="shared" si="60"/>
        <v/>
      </c>
      <c r="Y506" s="44" t="str">
        <f t="shared" si="61"/>
        <v/>
      </c>
      <c r="Z506" s="44" t="str">
        <f t="shared" si="62"/>
        <v/>
      </c>
      <c r="AA506" s="50" t="str">
        <f t="shared" si="63"/>
        <v/>
      </c>
      <c r="AB506" s="50" t="str">
        <f>IF(OR(B506="",C506&lt;&gt;"Expense"),"",IF(E506&gt;IFERROR(AVERAGEIFS($E$8:$E$1007,$I$8:$I$1007,I506,$C$8:$C$1007,"Expense")*SETTINGS!$B$20,0),"Unusually High","Normal"))</f>
        <v/>
      </c>
      <c r="AC506" s="51"/>
      <c r="AD506" s="51"/>
      <c r="AE506" s="51"/>
      <c r="AF506" s="50" t="str">
        <f>IF(A506&lt;&gt;"Yes","No",IF(AND(AC506="Yes",SETTINGS!$B$16="No"),"No","Yes"))</f>
        <v>No</v>
      </c>
      <c r="AG506" s="50" t="str">
        <f>IF(A506&lt;&gt;"Yes","",IF(OR(B506="",D506="",E506&lt;=0,F506="",I506=""),"Check Required Fields",IF(AA506="Possible Duplicate","Possible Duplicate",IF(E506&gt;SETTINGS!$B$22,"Review Extreme Value","OK"))))</f>
        <v/>
      </c>
    </row>
    <row r="507" spans="1:33" ht="14.4">
      <c r="A507" s="9"/>
      <c r="B507" s="13"/>
      <c r="C507" s="9"/>
      <c r="D507" s="9"/>
      <c r="E507" s="11"/>
      <c r="F507" s="9"/>
      <c r="G507" s="9"/>
      <c r="H507" s="44" t="str">
        <f>IF(D507="","",IF(ISNUMBER(SEARCH(SETTINGS!$K$4,D507)),SETTINGS!$L$4,IF(ISNUMBER(SEARCH(SETTINGS!$K$5,D507)),SETTINGS!$L$5,IF(ISNUMBER(SEARCH(SETTINGS!$K$6,D507)),SETTINGS!$L$6,IF(ISNUMBER(SEARCH(SETTINGS!$K$7,D507)),SETTINGS!$L$7,IF(ISNUMBER(SEARCH(SETTINGS!$K$8,D507)),SETTINGS!$L$8,IF(ISNUMBER(SEARCH(SETTINGS!$K$9,D507)),SETTINGS!$L$9,IF(ISNUMBER(SEARCH(SETTINGS!$K$10,D507)),SETTINGS!$L$10,IF(ISNUMBER(SEARCH(SETTINGS!$K$11,D507)),SETTINGS!$L$11,IF(ISNUMBER(SEARCH(SETTINGS!$K$12,D507)),SETTINGS!$L$12,IF(ISNUMBER(SEARCH(SETTINGS!$K$13,D507)),SETTINGS!$L$13,IF(ISNUMBER(SEARCH(SETTINGS!$K$14,D507)),SETTINGS!$L$14,IF(ISNUMBER(SEARCH(SETTINGS!$K$15,D507)),SETTINGS!$L$15,IF(ISNUMBER(SEARCH(SETTINGS!$K$16,D507)),SETTINGS!$L$16,IF(ISNUMBER(SEARCH(SETTINGS!$K$17,D507)),SETTINGS!$L$17,IF(ISNUMBER(SEARCH(SETTINGS!$K$18,D507)),SETTINGS!$L$18,"Miscellaneous"))))))))))))))))</f>
        <v/>
      </c>
      <c r="I507" s="44" t="str">
        <f t="shared" si="56"/>
        <v/>
      </c>
      <c r="J507" s="9"/>
      <c r="K507" s="9"/>
      <c r="L507" s="9"/>
      <c r="M507" s="9"/>
      <c r="N507" s="9"/>
      <c r="O507" s="9"/>
      <c r="P507" s="13"/>
      <c r="Q507" s="9"/>
      <c r="R507" s="9"/>
      <c r="S507" s="9"/>
      <c r="T507" s="11"/>
      <c r="U507" s="44" t="str">
        <f t="shared" si="57"/>
        <v/>
      </c>
      <c r="V507" s="44" t="str">
        <f t="shared" si="58"/>
        <v/>
      </c>
      <c r="W507" s="44" t="str">
        <f t="shared" si="59"/>
        <v/>
      </c>
      <c r="X507" s="44" t="str">
        <f t="shared" si="60"/>
        <v/>
      </c>
      <c r="Y507" s="44" t="str">
        <f t="shared" si="61"/>
        <v/>
      </c>
      <c r="Z507" s="44" t="str">
        <f t="shared" si="62"/>
        <v/>
      </c>
      <c r="AA507" s="50" t="str">
        <f t="shared" si="63"/>
        <v/>
      </c>
      <c r="AB507" s="50" t="str">
        <f>IF(OR(B507="",C507&lt;&gt;"Expense"),"",IF(E507&gt;IFERROR(AVERAGEIFS($E$8:$E$1007,$I$8:$I$1007,I507,$C$8:$C$1007,"Expense")*SETTINGS!$B$20,0),"Unusually High","Normal"))</f>
        <v/>
      </c>
      <c r="AC507" s="51"/>
      <c r="AD507" s="51"/>
      <c r="AE507" s="51"/>
      <c r="AF507" s="50" t="str">
        <f>IF(A507&lt;&gt;"Yes","No",IF(AND(AC507="Yes",SETTINGS!$B$16="No"),"No","Yes"))</f>
        <v>No</v>
      </c>
      <c r="AG507" s="50" t="str">
        <f>IF(A507&lt;&gt;"Yes","",IF(OR(B507="",D507="",E507&lt;=0,F507="",I507=""),"Check Required Fields",IF(AA507="Possible Duplicate","Possible Duplicate",IF(E507&gt;SETTINGS!$B$22,"Review Extreme Value","OK"))))</f>
        <v/>
      </c>
    </row>
    <row r="508" spans="1:33" ht="14.4">
      <c r="A508" s="9"/>
      <c r="B508" s="13"/>
      <c r="C508" s="9"/>
      <c r="D508" s="9"/>
      <c r="E508" s="11"/>
      <c r="F508" s="9"/>
      <c r="G508" s="9"/>
      <c r="H508" s="44" t="str">
        <f>IF(D508="","",IF(ISNUMBER(SEARCH(SETTINGS!$K$4,D508)),SETTINGS!$L$4,IF(ISNUMBER(SEARCH(SETTINGS!$K$5,D508)),SETTINGS!$L$5,IF(ISNUMBER(SEARCH(SETTINGS!$K$6,D508)),SETTINGS!$L$6,IF(ISNUMBER(SEARCH(SETTINGS!$K$7,D508)),SETTINGS!$L$7,IF(ISNUMBER(SEARCH(SETTINGS!$K$8,D508)),SETTINGS!$L$8,IF(ISNUMBER(SEARCH(SETTINGS!$K$9,D508)),SETTINGS!$L$9,IF(ISNUMBER(SEARCH(SETTINGS!$K$10,D508)),SETTINGS!$L$10,IF(ISNUMBER(SEARCH(SETTINGS!$K$11,D508)),SETTINGS!$L$11,IF(ISNUMBER(SEARCH(SETTINGS!$K$12,D508)),SETTINGS!$L$12,IF(ISNUMBER(SEARCH(SETTINGS!$K$13,D508)),SETTINGS!$L$13,IF(ISNUMBER(SEARCH(SETTINGS!$K$14,D508)),SETTINGS!$L$14,IF(ISNUMBER(SEARCH(SETTINGS!$K$15,D508)),SETTINGS!$L$15,IF(ISNUMBER(SEARCH(SETTINGS!$K$16,D508)),SETTINGS!$L$16,IF(ISNUMBER(SEARCH(SETTINGS!$K$17,D508)),SETTINGS!$L$17,IF(ISNUMBER(SEARCH(SETTINGS!$K$18,D508)),SETTINGS!$L$18,"Miscellaneous"))))))))))))))))</f>
        <v/>
      </c>
      <c r="I508" s="44" t="str">
        <f t="shared" si="56"/>
        <v/>
      </c>
      <c r="J508" s="9"/>
      <c r="K508" s="9"/>
      <c r="L508" s="9"/>
      <c r="M508" s="9"/>
      <c r="N508" s="9"/>
      <c r="O508" s="9"/>
      <c r="P508" s="13"/>
      <c r="Q508" s="9"/>
      <c r="R508" s="9"/>
      <c r="S508" s="9"/>
      <c r="T508" s="11"/>
      <c r="U508" s="44" t="str">
        <f t="shared" si="57"/>
        <v/>
      </c>
      <c r="V508" s="44" t="str">
        <f t="shared" si="58"/>
        <v/>
      </c>
      <c r="W508" s="44" t="str">
        <f t="shared" si="59"/>
        <v/>
      </c>
      <c r="X508" s="44" t="str">
        <f t="shared" si="60"/>
        <v/>
      </c>
      <c r="Y508" s="44" t="str">
        <f t="shared" si="61"/>
        <v/>
      </c>
      <c r="Z508" s="44" t="str">
        <f t="shared" si="62"/>
        <v/>
      </c>
      <c r="AA508" s="50" t="str">
        <f t="shared" si="63"/>
        <v/>
      </c>
      <c r="AB508" s="50" t="str">
        <f>IF(OR(B508="",C508&lt;&gt;"Expense"),"",IF(E508&gt;IFERROR(AVERAGEIFS($E$8:$E$1007,$I$8:$I$1007,I508,$C$8:$C$1007,"Expense")*SETTINGS!$B$20,0),"Unusually High","Normal"))</f>
        <v/>
      </c>
      <c r="AC508" s="51"/>
      <c r="AD508" s="51"/>
      <c r="AE508" s="51"/>
      <c r="AF508" s="50" t="str">
        <f>IF(A508&lt;&gt;"Yes","No",IF(AND(AC508="Yes",SETTINGS!$B$16="No"),"No","Yes"))</f>
        <v>No</v>
      </c>
      <c r="AG508" s="50" t="str">
        <f>IF(A508&lt;&gt;"Yes","",IF(OR(B508="",D508="",E508&lt;=0,F508="",I508=""),"Check Required Fields",IF(AA508="Possible Duplicate","Possible Duplicate",IF(E508&gt;SETTINGS!$B$22,"Review Extreme Value","OK"))))</f>
        <v/>
      </c>
    </row>
    <row r="509" spans="1:33" ht="14.4">
      <c r="A509" s="9"/>
      <c r="B509" s="13"/>
      <c r="C509" s="9"/>
      <c r="D509" s="9"/>
      <c r="E509" s="11"/>
      <c r="F509" s="9"/>
      <c r="G509" s="9"/>
      <c r="H509" s="44" t="str">
        <f>IF(D509="","",IF(ISNUMBER(SEARCH(SETTINGS!$K$4,D509)),SETTINGS!$L$4,IF(ISNUMBER(SEARCH(SETTINGS!$K$5,D509)),SETTINGS!$L$5,IF(ISNUMBER(SEARCH(SETTINGS!$K$6,D509)),SETTINGS!$L$6,IF(ISNUMBER(SEARCH(SETTINGS!$K$7,D509)),SETTINGS!$L$7,IF(ISNUMBER(SEARCH(SETTINGS!$K$8,D509)),SETTINGS!$L$8,IF(ISNUMBER(SEARCH(SETTINGS!$K$9,D509)),SETTINGS!$L$9,IF(ISNUMBER(SEARCH(SETTINGS!$K$10,D509)),SETTINGS!$L$10,IF(ISNUMBER(SEARCH(SETTINGS!$K$11,D509)),SETTINGS!$L$11,IF(ISNUMBER(SEARCH(SETTINGS!$K$12,D509)),SETTINGS!$L$12,IF(ISNUMBER(SEARCH(SETTINGS!$K$13,D509)),SETTINGS!$L$13,IF(ISNUMBER(SEARCH(SETTINGS!$K$14,D509)),SETTINGS!$L$14,IF(ISNUMBER(SEARCH(SETTINGS!$K$15,D509)),SETTINGS!$L$15,IF(ISNUMBER(SEARCH(SETTINGS!$K$16,D509)),SETTINGS!$L$16,IF(ISNUMBER(SEARCH(SETTINGS!$K$17,D509)),SETTINGS!$L$17,IF(ISNUMBER(SEARCH(SETTINGS!$K$18,D509)),SETTINGS!$L$18,"Miscellaneous"))))))))))))))))</f>
        <v/>
      </c>
      <c r="I509" s="44" t="str">
        <f t="shared" si="56"/>
        <v/>
      </c>
      <c r="J509" s="9"/>
      <c r="K509" s="9"/>
      <c r="L509" s="9"/>
      <c r="M509" s="9"/>
      <c r="N509" s="9"/>
      <c r="O509" s="9"/>
      <c r="P509" s="13"/>
      <c r="Q509" s="9"/>
      <c r="R509" s="9"/>
      <c r="S509" s="9"/>
      <c r="T509" s="11"/>
      <c r="U509" s="44" t="str">
        <f t="shared" si="57"/>
        <v/>
      </c>
      <c r="V509" s="44" t="str">
        <f t="shared" si="58"/>
        <v/>
      </c>
      <c r="W509" s="44" t="str">
        <f t="shared" si="59"/>
        <v/>
      </c>
      <c r="X509" s="44" t="str">
        <f t="shared" si="60"/>
        <v/>
      </c>
      <c r="Y509" s="44" t="str">
        <f t="shared" si="61"/>
        <v/>
      </c>
      <c r="Z509" s="44" t="str">
        <f t="shared" si="62"/>
        <v/>
      </c>
      <c r="AA509" s="50" t="str">
        <f t="shared" si="63"/>
        <v/>
      </c>
      <c r="AB509" s="50" t="str">
        <f>IF(OR(B509="",C509&lt;&gt;"Expense"),"",IF(E509&gt;IFERROR(AVERAGEIFS($E$8:$E$1007,$I$8:$I$1007,I509,$C$8:$C$1007,"Expense")*SETTINGS!$B$20,0),"Unusually High","Normal"))</f>
        <v/>
      </c>
      <c r="AC509" s="51"/>
      <c r="AD509" s="51"/>
      <c r="AE509" s="51"/>
      <c r="AF509" s="50" t="str">
        <f>IF(A509&lt;&gt;"Yes","No",IF(AND(AC509="Yes",SETTINGS!$B$16="No"),"No","Yes"))</f>
        <v>No</v>
      </c>
      <c r="AG509" s="50" t="str">
        <f>IF(A509&lt;&gt;"Yes","",IF(OR(B509="",D509="",E509&lt;=0,F509="",I509=""),"Check Required Fields",IF(AA509="Possible Duplicate","Possible Duplicate",IF(E509&gt;SETTINGS!$B$22,"Review Extreme Value","OK"))))</f>
        <v/>
      </c>
    </row>
    <row r="510" spans="1:33" ht="14.4">
      <c r="A510" s="9"/>
      <c r="B510" s="13"/>
      <c r="C510" s="9"/>
      <c r="D510" s="9"/>
      <c r="E510" s="11"/>
      <c r="F510" s="9"/>
      <c r="G510" s="9"/>
      <c r="H510" s="44" t="str">
        <f>IF(D510="","",IF(ISNUMBER(SEARCH(SETTINGS!$K$4,D510)),SETTINGS!$L$4,IF(ISNUMBER(SEARCH(SETTINGS!$K$5,D510)),SETTINGS!$L$5,IF(ISNUMBER(SEARCH(SETTINGS!$K$6,D510)),SETTINGS!$L$6,IF(ISNUMBER(SEARCH(SETTINGS!$K$7,D510)),SETTINGS!$L$7,IF(ISNUMBER(SEARCH(SETTINGS!$K$8,D510)),SETTINGS!$L$8,IF(ISNUMBER(SEARCH(SETTINGS!$K$9,D510)),SETTINGS!$L$9,IF(ISNUMBER(SEARCH(SETTINGS!$K$10,D510)),SETTINGS!$L$10,IF(ISNUMBER(SEARCH(SETTINGS!$K$11,D510)),SETTINGS!$L$11,IF(ISNUMBER(SEARCH(SETTINGS!$K$12,D510)),SETTINGS!$L$12,IF(ISNUMBER(SEARCH(SETTINGS!$K$13,D510)),SETTINGS!$L$13,IF(ISNUMBER(SEARCH(SETTINGS!$K$14,D510)),SETTINGS!$L$14,IF(ISNUMBER(SEARCH(SETTINGS!$K$15,D510)),SETTINGS!$L$15,IF(ISNUMBER(SEARCH(SETTINGS!$K$16,D510)),SETTINGS!$L$16,IF(ISNUMBER(SEARCH(SETTINGS!$K$17,D510)),SETTINGS!$L$17,IF(ISNUMBER(SEARCH(SETTINGS!$K$18,D510)),SETTINGS!$L$18,"Miscellaneous"))))))))))))))))</f>
        <v/>
      </c>
      <c r="I510" s="44" t="str">
        <f t="shared" si="56"/>
        <v/>
      </c>
      <c r="J510" s="9"/>
      <c r="K510" s="9"/>
      <c r="L510" s="9"/>
      <c r="M510" s="9"/>
      <c r="N510" s="9"/>
      <c r="O510" s="9"/>
      <c r="P510" s="13"/>
      <c r="Q510" s="9"/>
      <c r="R510" s="9"/>
      <c r="S510" s="9"/>
      <c r="T510" s="11"/>
      <c r="U510" s="44" t="str">
        <f t="shared" si="57"/>
        <v/>
      </c>
      <c r="V510" s="44" t="str">
        <f t="shared" si="58"/>
        <v/>
      </c>
      <c r="W510" s="44" t="str">
        <f t="shared" si="59"/>
        <v/>
      </c>
      <c r="X510" s="44" t="str">
        <f t="shared" si="60"/>
        <v/>
      </c>
      <c r="Y510" s="44" t="str">
        <f t="shared" si="61"/>
        <v/>
      </c>
      <c r="Z510" s="44" t="str">
        <f t="shared" si="62"/>
        <v/>
      </c>
      <c r="AA510" s="50" t="str">
        <f t="shared" si="63"/>
        <v/>
      </c>
      <c r="AB510" s="50" t="str">
        <f>IF(OR(B510="",C510&lt;&gt;"Expense"),"",IF(E510&gt;IFERROR(AVERAGEIFS($E$8:$E$1007,$I$8:$I$1007,I510,$C$8:$C$1007,"Expense")*SETTINGS!$B$20,0),"Unusually High","Normal"))</f>
        <v/>
      </c>
      <c r="AC510" s="51"/>
      <c r="AD510" s="51"/>
      <c r="AE510" s="51"/>
      <c r="AF510" s="50" t="str">
        <f>IF(A510&lt;&gt;"Yes","No",IF(AND(AC510="Yes",SETTINGS!$B$16="No"),"No","Yes"))</f>
        <v>No</v>
      </c>
      <c r="AG510" s="50" t="str">
        <f>IF(A510&lt;&gt;"Yes","",IF(OR(B510="",D510="",E510&lt;=0,F510="",I510=""),"Check Required Fields",IF(AA510="Possible Duplicate","Possible Duplicate",IF(E510&gt;SETTINGS!$B$22,"Review Extreme Value","OK"))))</f>
        <v/>
      </c>
    </row>
    <row r="511" spans="1:33" ht="14.4">
      <c r="A511" s="9"/>
      <c r="B511" s="13"/>
      <c r="C511" s="9"/>
      <c r="D511" s="9"/>
      <c r="E511" s="11"/>
      <c r="F511" s="9"/>
      <c r="G511" s="9"/>
      <c r="H511" s="44" t="str">
        <f>IF(D511="","",IF(ISNUMBER(SEARCH(SETTINGS!$K$4,D511)),SETTINGS!$L$4,IF(ISNUMBER(SEARCH(SETTINGS!$K$5,D511)),SETTINGS!$L$5,IF(ISNUMBER(SEARCH(SETTINGS!$K$6,D511)),SETTINGS!$L$6,IF(ISNUMBER(SEARCH(SETTINGS!$K$7,D511)),SETTINGS!$L$7,IF(ISNUMBER(SEARCH(SETTINGS!$K$8,D511)),SETTINGS!$L$8,IF(ISNUMBER(SEARCH(SETTINGS!$K$9,D511)),SETTINGS!$L$9,IF(ISNUMBER(SEARCH(SETTINGS!$K$10,D511)),SETTINGS!$L$10,IF(ISNUMBER(SEARCH(SETTINGS!$K$11,D511)),SETTINGS!$L$11,IF(ISNUMBER(SEARCH(SETTINGS!$K$12,D511)),SETTINGS!$L$12,IF(ISNUMBER(SEARCH(SETTINGS!$K$13,D511)),SETTINGS!$L$13,IF(ISNUMBER(SEARCH(SETTINGS!$K$14,D511)),SETTINGS!$L$14,IF(ISNUMBER(SEARCH(SETTINGS!$K$15,D511)),SETTINGS!$L$15,IF(ISNUMBER(SEARCH(SETTINGS!$K$16,D511)),SETTINGS!$L$16,IF(ISNUMBER(SEARCH(SETTINGS!$K$17,D511)),SETTINGS!$L$17,IF(ISNUMBER(SEARCH(SETTINGS!$K$18,D511)),SETTINGS!$L$18,"Miscellaneous"))))))))))))))))</f>
        <v/>
      </c>
      <c r="I511" s="44" t="str">
        <f t="shared" si="56"/>
        <v/>
      </c>
      <c r="J511" s="9"/>
      <c r="K511" s="9"/>
      <c r="L511" s="9"/>
      <c r="M511" s="9"/>
      <c r="N511" s="9"/>
      <c r="O511" s="9"/>
      <c r="P511" s="13"/>
      <c r="Q511" s="9"/>
      <c r="R511" s="9"/>
      <c r="S511" s="9"/>
      <c r="T511" s="11"/>
      <c r="U511" s="44" t="str">
        <f t="shared" si="57"/>
        <v/>
      </c>
      <c r="V511" s="44" t="str">
        <f t="shared" si="58"/>
        <v/>
      </c>
      <c r="W511" s="44" t="str">
        <f t="shared" si="59"/>
        <v/>
      </c>
      <c r="X511" s="44" t="str">
        <f t="shared" si="60"/>
        <v/>
      </c>
      <c r="Y511" s="44" t="str">
        <f t="shared" si="61"/>
        <v/>
      </c>
      <c r="Z511" s="44" t="str">
        <f t="shared" si="62"/>
        <v/>
      </c>
      <c r="AA511" s="50" t="str">
        <f t="shared" si="63"/>
        <v/>
      </c>
      <c r="AB511" s="50" t="str">
        <f>IF(OR(B511="",C511&lt;&gt;"Expense"),"",IF(E511&gt;IFERROR(AVERAGEIFS($E$8:$E$1007,$I$8:$I$1007,I511,$C$8:$C$1007,"Expense")*SETTINGS!$B$20,0),"Unusually High","Normal"))</f>
        <v/>
      </c>
      <c r="AC511" s="51"/>
      <c r="AD511" s="51"/>
      <c r="AE511" s="51"/>
      <c r="AF511" s="50" t="str">
        <f>IF(A511&lt;&gt;"Yes","No",IF(AND(AC511="Yes",SETTINGS!$B$16="No"),"No","Yes"))</f>
        <v>No</v>
      </c>
      <c r="AG511" s="50" t="str">
        <f>IF(A511&lt;&gt;"Yes","",IF(OR(B511="",D511="",E511&lt;=0,F511="",I511=""),"Check Required Fields",IF(AA511="Possible Duplicate","Possible Duplicate",IF(E511&gt;SETTINGS!$B$22,"Review Extreme Value","OK"))))</f>
        <v/>
      </c>
    </row>
    <row r="512" spans="1:33" ht="14.4">
      <c r="A512" s="9"/>
      <c r="B512" s="13"/>
      <c r="C512" s="9"/>
      <c r="D512" s="9"/>
      <c r="E512" s="11"/>
      <c r="F512" s="9"/>
      <c r="G512" s="9"/>
      <c r="H512" s="44" t="str">
        <f>IF(D512="","",IF(ISNUMBER(SEARCH(SETTINGS!$K$4,D512)),SETTINGS!$L$4,IF(ISNUMBER(SEARCH(SETTINGS!$K$5,D512)),SETTINGS!$L$5,IF(ISNUMBER(SEARCH(SETTINGS!$K$6,D512)),SETTINGS!$L$6,IF(ISNUMBER(SEARCH(SETTINGS!$K$7,D512)),SETTINGS!$L$7,IF(ISNUMBER(SEARCH(SETTINGS!$K$8,D512)),SETTINGS!$L$8,IF(ISNUMBER(SEARCH(SETTINGS!$K$9,D512)),SETTINGS!$L$9,IF(ISNUMBER(SEARCH(SETTINGS!$K$10,D512)),SETTINGS!$L$10,IF(ISNUMBER(SEARCH(SETTINGS!$K$11,D512)),SETTINGS!$L$11,IF(ISNUMBER(SEARCH(SETTINGS!$K$12,D512)),SETTINGS!$L$12,IF(ISNUMBER(SEARCH(SETTINGS!$K$13,D512)),SETTINGS!$L$13,IF(ISNUMBER(SEARCH(SETTINGS!$K$14,D512)),SETTINGS!$L$14,IF(ISNUMBER(SEARCH(SETTINGS!$K$15,D512)),SETTINGS!$L$15,IF(ISNUMBER(SEARCH(SETTINGS!$K$16,D512)),SETTINGS!$L$16,IF(ISNUMBER(SEARCH(SETTINGS!$K$17,D512)),SETTINGS!$L$17,IF(ISNUMBER(SEARCH(SETTINGS!$K$18,D512)),SETTINGS!$L$18,"Miscellaneous"))))))))))))))))</f>
        <v/>
      </c>
      <c r="I512" s="44" t="str">
        <f t="shared" si="56"/>
        <v/>
      </c>
      <c r="J512" s="9"/>
      <c r="K512" s="9"/>
      <c r="L512" s="9"/>
      <c r="M512" s="9"/>
      <c r="N512" s="9"/>
      <c r="O512" s="9"/>
      <c r="P512" s="13"/>
      <c r="Q512" s="9"/>
      <c r="R512" s="9"/>
      <c r="S512" s="9"/>
      <c r="T512" s="11"/>
      <c r="U512" s="44" t="str">
        <f t="shared" si="57"/>
        <v/>
      </c>
      <c r="V512" s="44" t="str">
        <f t="shared" si="58"/>
        <v/>
      </c>
      <c r="W512" s="44" t="str">
        <f t="shared" si="59"/>
        <v/>
      </c>
      <c r="X512" s="44" t="str">
        <f t="shared" si="60"/>
        <v/>
      </c>
      <c r="Y512" s="44" t="str">
        <f t="shared" si="61"/>
        <v/>
      </c>
      <c r="Z512" s="44" t="str">
        <f t="shared" si="62"/>
        <v/>
      </c>
      <c r="AA512" s="50" t="str">
        <f t="shared" si="63"/>
        <v/>
      </c>
      <c r="AB512" s="50" t="str">
        <f>IF(OR(B512="",C512&lt;&gt;"Expense"),"",IF(E512&gt;IFERROR(AVERAGEIFS($E$8:$E$1007,$I$8:$I$1007,I512,$C$8:$C$1007,"Expense")*SETTINGS!$B$20,0),"Unusually High","Normal"))</f>
        <v/>
      </c>
      <c r="AC512" s="51"/>
      <c r="AD512" s="51"/>
      <c r="AE512" s="51"/>
      <c r="AF512" s="50" t="str">
        <f>IF(A512&lt;&gt;"Yes","No",IF(AND(AC512="Yes",SETTINGS!$B$16="No"),"No","Yes"))</f>
        <v>No</v>
      </c>
      <c r="AG512" s="50" t="str">
        <f>IF(A512&lt;&gt;"Yes","",IF(OR(B512="",D512="",E512&lt;=0,F512="",I512=""),"Check Required Fields",IF(AA512="Possible Duplicate","Possible Duplicate",IF(E512&gt;SETTINGS!$B$22,"Review Extreme Value","OK"))))</f>
        <v/>
      </c>
    </row>
    <row r="513" spans="1:33" ht="14.4">
      <c r="A513" s="9"/>
      <c r="B513" s="13"/>
      <c r="C513" s="9"/>
      <c r="D513" s="9"/>
      <c r="E513" s="11"/>
      <c r="F513" s="9"/>
      <c r="G513" s="9"/>
      <c r="H513" s="44" t="str">
        <f>IF(D513="","",IF(ISNUMBER(SEARCH(SETTINGS!$K$4,D513)),SETTINGS!$L$4,IF(ISNUMBER(SEARCH(SETTINGS!$K$5,D513)),SETTINGS!$L$5,IF(ISNUMBER(SEARCH(SETTINGS!$K$6,D513)),SETTINGS!$L$6,IF(ISNUMBER(SEARCH(SETTINGS!$K$7,D513)),SETTINGS!$L$7,IF(ISNUMBER(SEARCH(SETTINGS!$K$8,D513)),SETTINGS!$L$8,IF(ISNUMBER(SEARCH(SETTINGS!$K$9,D513)),SETTINGS!$L$9,IF(ISNUMBER(SEARCH(SETTINGS!$K$10,D513)),SETTINGS!$L$10,IF(ISNUMBER(SEARCH(SETTINGS!$K$11,D513)),SETTINGS!$L$11,IF(ISNUMBER(SEARCH(SETTINGS!$K$12,D513)),SETTINGS!$L$12,IF(ISNUMBER(SEARCH(SETTINGS!$K$13,D513)),SETTINGS!$L$13,IF(ISNUMBER(SEARCH(SETTINGS!$K$14,D513)),SETTINGS!$L$14,IF(ISNUMBER(SEARCH(SETTINGS!$K$15,D513)),SETTINGS!$L$15,IF(ISNUMBER(SEARCH(SETTINGS!$K$16,D513)),SETTINGS!$L$16,IF(ISNUMBER(SEARCH(SETTINGS!$K$17,D513)),SETTINGS!$L$17,IF(ISNUMBER(SEARCH(SETTINGS!$K$18,D513)),SETTINGS!$L$18,"Miscellaneous"))))))))))))))))</f>
        <v/>
      </c>
      <c r="I513" s="44" t="str">
        <f t="shared" si="56"/>
        <v/>
      </c>
      <c r="J513" s="9"/>
      <c r="K513" s="9"/>
      <c r="L513" s="9"/>
      <c r="M513" s="9"/>
      <c r="N513" s="9"/>
      <c r="O513" s="9"/>
      <c r="P513" s="13"/>
      <c r="Q513" s="9"/>
      <c r="R513" s="9"/>
      <c r="S513" s="9"/>
      <c r="T513" s="11"/>
      <c r="U513" s="44" t="str">
        <f t="shared" si="57"/>
        <v/>
      </c>
      <c r="V513" s="44" t="str">
        <f t="shared" si="58"/>
        <v/>
      </c>
      <c r="W513" s="44" t="str">
        <f t="shared" si="59"/>
        <v/>
      </c>
      <c r="X513" s="44" t="str">
        <f t="shared" si="60"/>
        <v/>
      </c>
      <c r="Y513" s="44" t="str">
        <f t="shared" si="61"/>
        <v/>
      </c>
      <c r="Z513" s="44" t="str">
        <f t="shared" si="62"/>
        <v/>
      </c>
      <c r="AA513" s="50" t="str">
        <f t="shared" si="63"/>
        <v/>
      </c>
      <c r="AB513" s="50" t="str">
        <f>IF(OR(B513="",C513&lt;&gt;"Expense"),"",IF(E513&gt;IFERROR(AVERAGEIFS($E$8:$E$1007,$I$8:$I$1007,I513,$C$8:$C$1007,"Expense")*SETTINGS!$B$20,0),"Unusually High","Normal"))</f>
        <v/>
      </c>
      <c r="AC513" s="51"/>
      <c r="AD513" s="51"/>
      <c r="AE513" s="51"/>
      <c r="AF513" s="50" t="str">
        <f>IF(A513&lt;&gt;"Yes","No",IF(AND(AC513="Yes",SETTINGS!$B$16="No"),"No","Yes"))</f>
        <v>No</v>
      </c>
      <c r="AG513" s="50" t="str">
        <f>IF(A513&lt;&gt;"Yes","",IF(OR(B513="",D513="",E513&lt;=0,F513="",I513=""),"Check Required Fields",IF(AA513="Possible Duplicate","Possible Duplicate",IF(E513&gt;SETTINGS!$B$22,"Review Extreme Value","OK"))))</f>
        <v/>
      </c>
    </row>
    <row r="514" spans="1:33" ht="14.4">
      <c r="A514" s="9"/>
      <c r="B514" s="13"/>
      <c r="C514" s="9"/>
      <c r="D514" s="9"/>
      <c r="E514" s="11"/>
      <c r="F514" s="9"/>
      <c r="G514" s="9"/>
      <c r="H514" s="44" t="str">
        <f>IF(D514="","",IF(ISNUMBER(SEARCH(SETTINGS!$K$4,D514)),SETTINGS!$L$4,IF(ISNUMBER(SEARCH(SETTINGS!$K$5,D514)),SETTINGS!$L$5,IF(ISNUMBER(SEARCH(SETTINGS!$K$6,D514)),SETTINGS!$L$6,IF(ISNUMBER(SEARCH(SETTINGS!$K$7,D514)),SETTINGS!$L$7,IF(ISNUMBER(SEARCH(SETTINGS!$K$8,D514)),SETTINGS!$L$8,IF(ISNUMBER(SEARCH(SETTINGS!$K$9,D514)),SETTINGS!$L$9,IF(ISNUMBER(SEARCH(SETTINGS!$K$10,D514)),SETTINGS!$L$10,IF(ISNUMBER(SEARCH(SETTINGS!$K$11,D514)),SETTINGS!$L$11,IF(ISNUMBER(SEARCH(SETTINGS!$K$12,D514)),SETTINGS!$L$12,IF(ISNUMBER(SEARCH(SETTINGS!$K$13,D514)),SETTINGS!$L$13,IF(ISNUMBER(SEARCH(SETTINGS!$K$14,D514)),SETTINGS!$L$14,IF(ISNUMBER(SEARCH(SETTINGS!$K$15,D514)),SETTINGS!$L$15,IF(ISNUMBER(SEARCH(SETTINGS!$K$16,D514)),SETTINGS!$L$16,IF(ISNUMBER(SEARCH(SETTINGS!$K$17,D514)),SETTINGS!$L$17,IF(ISNUMBER(SEARCH(SETTINGS!$K$18,D514)),SETTINGS!$L$18,"Miscellaneous"))))))))))))))))</f>
        <v/>
      </c>
      <c r="I514" s="44" t="str">
        <f t="shared" si="56"/>
        <v/>
      </c>
      <c r="J514" s="9"/>
      <c r="K514" s="9"/>
      <c r="L514" s="9"/>
      <c r="M514" s="9"/>
      <c r="N514" s="9"/>
      <c r="O514" s="9"/>
      <c r="P514" s="13"/>
      <c r="Q514" s="9"/>
      <c r="R514" s="9"/>
      <c r="S514" s="9"/>
      <c r="T514" s="11"/>
      <c r="U514" s="44" t="str">
        <f t="shared" si="57"/>
        <v/>
      </c>
      <c r="V514" s="44" t="str">
        <f t="shared" si="58"/>
        <v/>
      </c>
      <c r="W514" s="44" t="str">
        <f t="shared" si="59"/>
        <v/>
      </c>
      <c r="X514" s="44" t="str">
        <f t="shared" si="60"/>
        <v/>
      </c>
      <c r="Y514" s="44" t="str">
        <f t="shared" si="61"/>
        <v/>
      </c>
      <c r="Z514" s="44" t="str">
        <f t="shared" si="62"/>
        <v/>
      </c>
      <c r="AA514" s="50" t="str">
        <f t="shared" si="63"/>
        <v/>
      </c>
      <c r="AB514" s="50" t="str">
        <f>IF(OR(B514="",C514&lt;&gt;"Expense"),"",IF(E514&gt;IFERROR(AVERAGEIFS($E$8:$E$1007,$I$8:$I$1007,I514,$C$8:$C$1007,"Expense")*SETTINGS!$B$20,0),"Unusually High","Normal"))</f>
        <v/>
      </c>
      <c r="AC514" s="51"/>
      <c r="AD514" s="51"/>
      <c r="AE514" s="51"/>
      <c r="AF514" s="50" t="str">
        <f>IF(A514&lt;&gt;"Yes","No",IF(AND(AC514="Yes",SETTINGS!$B$16="No"),"No","Yes"))</f>
        <v>No</v>
      </c>
      <c r="AG514" s="50" t="str">
        <f>IF(A514&lt;&gt;"Yes","",IF(OR(B514="",D514="",E514&lt;=0,F514="",I514=""),"Check Required Fields",IF(AA514="Possible Duplicate","Possible Duplicate",IF(E514&gt;SETTINGS!$B$22,"Review Extreme Value","OK"))))</f>
        <v/>
      </c>
    </row>
    <row r="515" spans="1:33" ht="14.4">
      <c r="A515" s="9"/>
      <c r="B515" s="13"/>
      <c r="C515" s="9"/>
      <c r="D515" s="9"/>
      <c r="E515" s="11"/>
      <c r="F515" s="9"/>
      <c r="G515" s="9"/>
      <c r="H515" s="44" t="str">
        <f>IF(D515="","",IF(ISNUMBER(SEARCH(SETTINGS!$K$4,D515)),SETTINGS!$L$4,IF(ISNUMBER(SEARCH(SETTINGS!$K$5,D515)),SETTINGS!$L$5,IF(ISNUMBER(SEARCH(SETTINGS!$K$6,D515)),SETTINGS!$L$6,IF(ISNUMBER(SEARCH(SETTINGS!$K$7,D515)),SETTINGS!$L$7,IF(ISNUMBER(SEARCH(SETTINGS!$K$8,D515)),SETTINGS!$L$8,IF(ISNUMBER(SEARCH(SETTINGS!$K$9,D515)),SETTINGS!$L$9,IF(ISNUMBER(SEARCH(SETTINGS!$K$10,D515)),SETTINGS!$L$10,IF(ISNUMBER(SEARCH(SETTINGS!$K$11,D515)),SETTINGS!$L$11,IF(ISNUMBER(SEARCH(SETTINGS!$K$12,D515)),SETTINGS!$L$12,IF(ISNUMBER(SEARCH(SETTINGS!$K$13,D515)),SETTINGS!$L$13,IF(ISNUMBER(SEARCH(SETTINGS!$K$14,D515)),SETTINGS!$L$14,IF(ISNUMBER(SEARCH(SETTINGS!$K$15,D515)),SETTINGS!$L$15,IF(ISNUMBER(SEARCH(SETTINGS!$K$16,D515)),SETTINGS!$L$16,IF(ISNUMBER(SEARCH(SETTINGS!$K$17,D515)),SETTINGS!$L$17,IF(ISNUMBER(SEARCH(SETTINGS!$K$18,D515)),SETTINGS!$L$18,"Miscellaneous"))))))))))))))))</f>
        <v/>
      </c>
      <c r="I515" s="44" t="str">
        <f t="shared" si="56"/>
        <v/>
      </c>
      <c r="J515" s="9"/>
      <c r="K515" s="9"/>
      <c r="L515" s="9"/>
      <c r="M515" s="9"/>
      <c r="N515" s="9"/>
      <c r="O515" s="9"/>
      <c r="P515" s="13"/>
      <c r="Q515" s="9"/>
      <c r="R515" s="9"/>
      <c r="S515" s="9"/>
      <c r="T515" s="11"/>
      <c r="U515" s="44" t="str">
        <f t="shared" si="57"/>
        <v/>
      </c>
      <c r="V515" s="44" t="str">
        <f t="shared" si="58"/>
        <v/>
      </c>
      <c r="W515" s="44" t="str">
        <f t="shared" si="59"/>
        <v/>
      </c>
      <c r="X515" s="44" t="str">
        <f t="shared" si="60"/>
        <v/>
      </c>
      <c r="Y515" s="44" t="str">
        <f t="shared" si="61"/>
        <v/>
      </c>
      <c r="Z515" s="44" t="str">
        <f t="shared" si="62"/>
        <v/>
      </c>
      <c r="AA515" s="50" t="str">
        <f t="shared" si="63"/>
        <v/>
      </c>
      <c r="AB515" s="50" t="str">
        <f>IF(OR(B515="",C515&lt;&gt;"Expense"),"",IF(E515&gt;IFERROR(AVERAGEIFS($E$8:$E$1007,$I$8:$I$1007,I515,$C$8:$C$1007,"Expense")*SETTINGS!$B$20,0),"Unusually High","Normal"))</f>
        <v/>
      </c>
      <c r="AC515" s="51"/>
      <c r="AD515" s="51"/>
      <c r="AE515" s="51"/>
      <c r="AF515" s="50" t="str">
        <f>IF(A515&lt;&gt;"Yes","No",IF(AND(AC515="Yes",SETTINGS!$B$16="No"),"No","Yes"))</f>
        <v>No</v>
      </c>
      <c r="AG515" s="50" t="str">
        <f>IF(A515&lt;&gt;"Yes","",IF(OR(B515="",D515="",E515&lt;=0,F515="",I515=""),"Check Required Fields",IF(AA515="Possible Duplicate","Possible Duplicate",IF(E515&gt;SETTINGS!$B$22,"Review Extreme Value","OK"))))</f>
        <v/>
      </c>
    </row>
    <row r="516" spans="1:33" ht="14.4">
      <c r="A516" s="9"/>
      <c r="B516" s="13"/>
      <c r="C516" s="9"/>
      <c r="D516" s="9"/>
      <c r="E516" s="11"/>
      <c r="F516" s="9"/>
      <c r="G516" s="9"/>
      <c r="H516" s="44" t="str">
        <f>IF(D516="","",IF(ISNUMBER(SEARCH(SETTINGS!$K$4,D516)),SETTINGS!$L$4,IF(ISNUMBER(SEARCH(SETTINGS!$K$5,D516)),SETTINGS!$L$5,IF(ISNUMBER(SEARCH(SETTINGS!$K$6,D516)),SETTINGS!$L$6,IF(ISNUMBER(SEARCH(SETTINGS!$K$7,D516)),SETTINGS!$L$7,IF(ISNUMBER(SEARCH(SETTINGS!$K$8,D516)),SETTINGS!$L$8,IF(ISNUMBER(SEARCH(SETTINGS!$K$9,D516)),SETTINGS!$L$9,IF(ISNUMBER(SEARCH(SETTINGS!$K$10,D516)),SETTINGS!$L$10,IF(ISNUMBER(SEARCH(SETTINGS!$K$11,D516)),SETTINGS!$L$11,IF(ISNUMBER(SEARCH(SETTINGS!$K$12,D516)),SETTINGS!$L$12,IF(ISNUMBER(SEARCH(SETTINGS!$K$13,D516)),SETTINGS!$L$13,IF(ISNUMBER(SEARCH(SETTINGS!$K$14,D516)),SETTINGS!$L$14,IF(ISNUMBER(SEARCH(SETTINGS!$K$15,D516)),SETTINGS!$L$15,IF(ISNUMBER(SEARCH(SETTINGS!$K$16,D516)),SETTINGS!$L$16,IF(ISNUMBER(SEARCH(SETTINGS!$K$17,D516)),SETTINGS!$L$17,IF(ISNUMBER(SEARCH(SETTINGS!$K$18,D516)),SETTINGS!$L$18,"Miscellaneous"))))))))))))))))</f>
        <v/>
      </c>
      <c r="I516" s="44" t="str">
        <f t="shared" si="56"/>
        <v/>
      </c>
      <c r="J516" s="9"/>
      <c r="K516" s="9"/>
      <c r="L516" s="9"/>
      <c r="M516" s="9"/>
      <c r="N516" s="9"/>
      <c r="O516" s="9"/>
      <c r="P516" s="13"/>
      <c r="Q516" s="9"/>
      <c r="R516" s="9"/>
      <c r="S516" s="9"/>
      <c r="T516" s="11"/>
      <c r="U516" s="44" t="str">
        <f t="shared" si="57"/>
        <v/>
      </c>
      <c r="V516" s="44" t="str">
        <f t="shared" si="58"/>
        <v/>
      </c>
      <c r="W516" s="44" t="str">
        <f t="shared" si="59"/>
        <v/>
      </c>
      <c r="X516" s="44" t="str">
        <f t="shared" si="60"/>
        <v/>
      </c>
      <c r="Y516" s="44" t="str">
        <f t="shared" si="61"/>
        <v/>
      </c>
      <c r="Z516" s="44" t="str">
        <f t="shared" si="62"/>
        <v/>
      </c>
      <c r="AA516" s="50" t="str">
        <f t="shared" si="63"/>
        <v/>
      </c>
      <c r="AB516" s="50" t="str">
        <f>IF(OR(B516="",C516&lt;&gt;"Expense"),"",IF(E516&gt;IFERROR(AVERAGEIFS($E$8:$E$1007,$I$8:$I$1007,I516,$C$8:$C$1007,"Expense")*SETTINGS!$B$20,0),"Unusually High","Normal"))</f>
        <v/>
      </c>
      <c r="AC516" s="51"/>
      <c r="AD516" s="51"/>
      <c r="AE516" s="51"/>
      <c r="AF516" s="50" t="str">
        <f>IF(A516&lt;&gt;"Yes","No",IF(AND(AC516="Yes",SETTINGS!$B$16="No"),"No","Yes"))</f>
        <v>No</v>
      </c>
      <c r="AG516" s="50" t="str">
        <f>IF(A516&lt;&gt;"Yes","",IF(OR(B516="",D516="",E516&lt;=0,F516="",I516=""),"Check Required Fields",IF(AA516="Possible Duplicate","Possible Duplicate",IF(E516&gt;SETTINGS!$B$22,"Review Extreme Value","OK"))))</f>
        <v/>
      </c>
    </row>
    <row r="517" spans="1:33" ht="14.4">
      <c r="A517" s="9"/>
      <c r="B517" s="13"/>
      <c r="C517" s="9"/>
      <c r="D517" s="9"/>
      <c r="E517" s="11"/>
      <c r="F517" s="9"/>
      <c r="G517" s="9"/>
      <c r="H517" s="44" t="str">
        <f>IF(D517="","",IF(ISNUMBER(SEARCH(SETTINGS!$K$4,D517)),SETTINGS!$L$4,IF(ISNUMBER(SEARCH(SETTINGS!$K$5,D517)),SETTINGS!$L$5,IF(ISNUMBER(SEARCH(SETTINGS!$K$6,D517)),SETTINGS!$L$6,IF(ISNUMBER(SEARCH(SETTINGS!$K$7,D517)),SETTINGS!$L$7,IF(ISNUMBER(SEARCH(SETTINGS!$K$8,D517)),SETTINGS!$L$8,IF(ISNUMBER(SEARCH(SETTINGS!$K$9,D517)),SETTINGS!$L$9,IF(ISNUMBER(SEARCH(SETTINGS!$K$10,D517)),SETTINGS!$L$10,IF(ISNUMBER(SEARCH(SETTINGS!$K$11,D517)),SETTINGS!$L$11,IF(ISNUMBER(SEARCH(SETTINGS!$K$12,D517)),SETTINGS!$L$12,IF(ISNUMBER(SEARCH(SETTINGS!$K$13,D517)),SETTINGS!$L$13,IF(ISNUMBER(SEARCH(SETTINGS!$K$14,D517)),SETTINGS!$L$14,IF(ISNUMBER(SEARCH(SETTINGS!$K$15,D517)),SETTINGS!$L$15,IF(ISNUMBER(SEARCH(SETTINGS!$K$16,D517)),SETTINGS!$L$16,IF(ISNUMBER(SEARCH(SETTINGS!$K$17,D517)),SETTINGS!$L$17,IF(ISNUMBER(SEARCH(SETTINGS!$K$18,D517)),SETTINGS!$L$18,"Miscellaneous"))))))))))))))))</f>
        <v/>
      </c>
      <c r="I517" s="44" t="str">
        <f t="shared" si="56"/>
        <v/>
      </c>
      <c r="J517" s="9"/>
      <c r="K517" s="9"/>
      <c r="L517" s="9"/>
      <c r="M517" s="9"/>
      <c r="N517" s="9"/>
      <c r="O517" s="9"/>
      <c r="P517" s="13"/>
      <c r="Q517" s="9"/>
      <c r="R517" s="9"/>
      <c r="S517" s="9"/>
      <c r="T517" s="11"/>
      <c r="U517" s="44" t="str">
        <f t="shared" si="57"/>
        <v/>
      </c>
      <c r="V517" s="44" t="str">
        <f t="shared" si="58"/>
        <v/>
      </c>
      <c r="W517" s="44" t="str">
        <f t="shared" si="59"/>
        <v/>
      </c>
      <c r="X517" s="44" t="str">
        <f t="shared" si="60"/>
        <v/>
      </c>
      <c r="Y517" s="44" t="str">
        <f t="shared" si="61"/>
        <v/>
      </c>
      <c r="Z517" s="44" t="str">
        <f t="shared" si="62"/>
        <v/>
      </c>
      <c r="AA517" s="50" t="str">
        <f t="shared" si="63"/>
        <v/>
      </c>
      <c r="AB517" s="50" t="str">
        <f>IF(OR(B517="",C517&lt;&gt;"Expense"),"",IF(E517&gt;IFERROR(AVERAGEIFS($E$8:$E$1007,$I$8:$I$1007,I517,$C$8:$C$1007,"Expense")*SETTINGS!$B$20,0),"Unusually High","Normal"))</f>
        <v/>
      </c>
      <c r="AC517" s="51"/>
      <c r="AD517" s="51"/>
      <c r="AE517" s="51"/>
      <c r="AF517" s="50" t="str">
        <f>IF(A517&lt;&gt;"Yes","No",IF(AND(AC517="Yes",SETTINGS!$B$16="No"),"No","Yes"))</f>
        <v>No</v>
      </c>
      <c r="AG517" s="50" t="str">
        <f>IF(A517&lt;&gt;"Yes","",IF(OR(B517="",D517="",E517&lt;=0,F517="",I517=""),"Check Required Fields",IF(AA517="Possible Duplicate","Possible Duplicate",IF(E517&gt;SETTINGS!$B$22,"Review Extreme Value","OK"))))</f>
        <v/>
      </c>
    </row>
    <row r="518" spans="1:33" ht="14.4">
      <c r="A518" s="9"/>
      <c r="B518" s="13"/>
      <c r="C518" s="9"/>
      <c r="D518" s="9"/>
      <c r="E518" s="11"/>
      <c r="F518" s="9"/>
      <c r="G518" s="9"/>
      <c r="H518" s="44" t="str">
        <f>IF(D518="","",IF(ISNUMBER(SEARCH(SETTINGS!$K$4,D518)),SETTINGS!$L$4,IF(ISNUMBER(SEARCH(SETTINGS!$K$5,D518)),SETTINGS!$L$5,IF(ISNUMBER(SEARCH(SETTINGS!$K$6,D518)),SETTINGS!$L$6,IF(ISNUMBER(SEARCH(SETTINGS!$K$7,D518)),SETTINGS!$L$7,IF(ISNUMBER(SEARCH(SETTINGS!$K$8,D518)),SETTINGS!$L$8,IF(ISNUMBER(SEARCH(SETTINGS!$K$9,D518)),SETTINGS!$L$9,IF(ISNUMBER(SEARCH(SETTINGS!$K$10,D518)),SETTINGS!$L$10,IF(ISNUMBER(SEARCH(SETTINGS!$K$11,D518)),SETTINGS!$L$11,IF(ISNUMBER(SEARCH(SETTINGS!$K$12,D518)),SETTINGS!$L$12,IF(ISNUMBER(SEARCH(SETTINGS!$K$13,D518)),SETTINGS!$L$13,IF(ISNUMBER(SEARCH(SETTINGS!$K$14,D518)),SETTINGS!$L$14,IF(ISNUMBER(SEARCH(SETTINGS!$K$15,D518)),SETTINGS!$L$15,IF(ISNUMBER(SEARCH(SETTINGS!$K$16,D518)),SETTINGS!$L$16,IF(ISNUMBER(SEARCH(SETTINGS!$K$17,D518)),SETTINGS!$L$17,IF(ISNUMBER(SEARCH(SETTINGS!$K$18,D518)),SETTINGS!$L$18,"Miscellaneous"))))))))))))))))</f>
        <v/>
      </c>
      <c r="I518" s="44" t="str">
        <f t="shared" si="56"/>
        <v/>
      </c>
      <c r="J518" s="9"/>
      <c r="K518" s="9"/>
      <c r="L518" s="9"/>
      <c r="M518" s="9"/>
      <c r="N518" s="9"/>
      <c r="O518" s="9"/>
      <c r="P518" s="13"/>
      <c r="Q518" s="9"/>
      <c r="R518" s="9"/>
      <c r="S518" s="9"/>
      <c r="T518" s="11"/>
      <c r="U518" s="44" t="str">
        <f t="shared" si="57"/>
        <v/>
      </c>
      <c r="V518" s="44" t="str">
        <f t="shared" si="58"/>
        <v/>
      </c>
      <c r="W518" s="44" t="str">
        <f t="shared" si="59"/>
        <v/>
      </c>
      <c r="X518" s="44" t="str">
        <f t="shared" si="60"/>
        <v/>
      </c>
      <c r="Y518" s="44" t="str">
        <f t="shared" si="61"/>
        <v/>
      </c>
      <c r="Z518" s="44" t="str">
        <f t="shared" si="62"/>
        <v/>
      </c>
      <c r="AA518" s="50" t="str">
        <f t="shared" si="63"/>
        <v/>
      </c>
      <c r="AB518" s="50" t="str">
        <f>IF(OR(B518="",C518&lt;&gt;"Expense"),"",IF(E518&gt;IFERROR(AVERAGEIFS($E$8:$E$1007,$I$8:$I$1007,I518,$C$8:$C$1007,"Expense")*SETTINGS!$B$20,0),"Unusually High","Normal"))</f>
        <v/>
      </c>
      <c r="AC518" s="51"/>
      <c r="AD518" s="51"/>
      <c r="AE518" s="51"/>
      <c r="AF518" s="50" t="str">
        <f>IF(A518&lt;&gt;"Yes","No",IF(AND(AC518="Yes",SETTINGS!$B$16="No"),"No","Yes"))</f>
        <v>No</v>
      </c>
      <c r="AG518" s="50" t="str">
        <f>IF(A518&lt;&gt;"Yes","",IF(OR(B518="",D518="",E518&lt;=0,F518="",I518=""),"Check Required Fields",IF(AA518="Possible Duplicate","Possible Duplicate",IF(E518&gt;SETTINGS!$B$22,"Review Extreme Value","OK"))))</f>
        <v/>
      </c>
    </row>
    <row r="519" spans="1:33" ht="14.4">
      <c r="A519" s="9"/>
      <c r="B519" s="13"/>
      <c r="C519" s="9"/>
      <c r="D519" s="9"/>
      <c r="E519" s="11"/>
      <c r="F519" s="9"/>
      <c r="G519" s="9"/>
      <c r="H519" s="44" t="str">
        <f>IF(D519="","",IF(ISNUMBER(SEARCH(SETTINGS!$K$4,D519)),SETTINGS!$L$4,IF(ISNUMBER(SEARCH(SETTINGS!$K$5,D519)),SETTINGS!$L$5,IF(ISNUMBER(SEARCH(SETTINGS!$K$6,D519)),SETTINGS!$L$6,IF(ISNUMBER(SEARCH(SETTINGS!$K$7,D519)),SETTINGS!$L$7,IF(ISNUMBER(SEARCH(SETTINGS!$K$8,D519)),SETTINGS!$L$8,IF(ISNUMBER(SEARCH(SETTINGS!$K$9,D519)),SETTINGS!$L$9,IF(ISNUMBER(SEARCH(SETTINGS!$K$10,D519)),SETTINGS!$L$10,IF(ISNUMBER(SEARCH(SETTINGS!$K$11,D519)),SETTINGS!$L$11,IF(ISNUMBER(SEARCH(SETTINGS!$K$12,D519)),SETTINGS!$L$12,IF(ISNUMBER(SEARCH(SETTINGS!$K$13,D519)),SETTINGS!$L$13,IF(ISNUMBER(SEARCH(SETTINGS!$K$14,D519)),SETTINGS!$L$14,IF(ISNUMBER(SEARCH(SETTINGS!$K$15,D519)),SETTINGS!$L$15,IF(ISNUMBER(SEARCH(SETTINGS!$K$16,D519)),SETTINGS!$L$16,IF(ISNUMBER(SEARCH(SETTINGS!$K$17,D519)),SETTINGS!$L$17,IF(ISNUMBER(SEARCH(SETTINGS!$K$18,D519)),SETTINGS!$L$18,"Miscellaneous"))))))))))))))))</f>
        <v/>
      </c>
      <c r="I519" s="44" t="str">
        <f t="shared" si="56"/>
        <v/>
      </c>
      <c r="J519" s="9"/>
      <c r="K519" s="9"/>
      <c r="L519" s="9"/>
      <c r="M519" s="9"/>
      <c r="N519" s="9"/>
      <c r="O519" s="9"/>
      <c r="P519" s="13"/>
      <c r="Q519" s="9"/>
      <c r="R519" s="9"/>
      <c r="S519" s="9"/>
      <c r="T519" s="11"/>
      <c r="U519" s="44" t="str">
        <f t="shared" si="57"/>
        <v/>
      </c>
      <c r="V519" s="44" t="str">
        <f t="shared" si="58"/>
        <v/>
      </c>
      <c r="W519" s="44" t="str">
        <f t="shared" si="59"/>
        <v/>
      </c>
      <c r="X519" s="44" t="str">
        <f t="shared" si="60"/>
        <v/>
      </c>
      <c r="Y519" s="44" t="str">
        <f t="shared" si="61"/>
        <v/>
      </c>
      <c r="Z519" s="44" t="str">
        <f t="shared" si="62"/>
        <v/>
      </c>
      <c r="AA519" s="50" t="str">
        <f t="shared" si="63"/>
        <v/>
      </c>
      <c r="AB519" s="50" t="str">
        <f>IF(OR(B519="",C519&lt;&gt;"Expense"),"",IF(E519&gt;IFERROR(AVERAGEIFS($E$8:$E$1007,$I$8:$I$1007,I519,$C$8:$C$1007,"Expense")*SETTINGS!$B$20,0),"Unusually High","Normal"))</f>
        <v/>
      </c>
      <c r="AC519" s="51"/>
      <c r="AD519" s="51"/>
      <c r="AE519" s="51"/>
      <c r="AF519" s="50" t="str">
        <f>IF(A519&lt;&gt;"Yes","No",IF(AND(AC519="Yes",SETTINGS!$B$16="No"),"No","Yes"))</f>
        <v>No</v>
      </c>
      <c r="AG519" s="50" t="str">
        <f>IF(A519&lt;&gt;"Yes","",IF(OR(B519="",D519="",E519&lt;=0,F519="",I519=""),"Check Required Fields",IF(AA519="Possible Duplicate","Possible Duplicate",IF(E519&gt;SETTINGS!$B$22,"Review Extreme Value","OK"))))</f>
        <v/>
      </c>
    </row>
    <row r="520" spans="1:33" ht="14.4">
      <c r="A520" s="9"/>
      <c r="B520" s="13"/>
      <c r="C520" s="9"/>
      <c r="D520" s="9"/>
      <c r="E520" s="11"/>
      <c r="F520" s="9"/>
      <c r="G520" s="9"/>
      <c r="H520" s="44" t="str">
        <f>IF(D520="","",IF(ISNUMBER(SEARCH(SETTINGS!$K$4,D520)),SETTINGS!$L$4,IF(ISNUMBER(SEARCH(SETTINGS!$K$5,D520)),SETTINGS!$L$5,IF(ISNUMBER(SEARCH(SETTINGS!$K$6,D520)),SETTINGS!$L$6,IF(ISNUMBER(SEARCH(SETTINGS!$K$7,D520)),SETTINGS!$L$7,IF(ISNUMBER(SEARCH(SETTINGS!$K$8,D520)),SETTINGS!$L$8,IF(ISNUMBER(SEARCH(SETTINGS!$K$9,D520)),SETTINGS!$L$9,IF(ISNUMBER(SEARCH(SETTINGS!$K$10,D520)),SETTINGS!$L$10,IF(ISNUMBER(SEARCH(SETTINGS!$K$11,D520)),SETTINGS!$L$11,IF(ISNUMBER(SEARCH(SETTINGS!$K$12,D520)),SETTINGS!$L$12,IF(ISNUMBER(SEARCH(SETTINGS!$K$13,D520)),SETTINGS!$L$13,IF(ISNUMBER(SEARCH(SETTINGS!$K$14,D520)),SETTINGS!$L$14,IF(ISNUMBER(SEARCH(SETTINGS!$K$15,D520)),SETTINGS!$L$15,IF(ISNUMBER(SEARCH(SETTINGS!$K$16,D520)),SETTINGS!$L$16,IF(ISNUMBER(SEARCH(SETTINGS!$K$17,D520)),SETTINGS!$L$17,IF(ISNUMBER(SEARCH(SETTINGS!$K$18,D520)),SETTINGS!$L$18,"Miscellaneous"))))))))))))))))</f>
        <v/>
      </c>
      <c r="I520" s="44" t="str">
        <f t="shared" ref="I520:I583" si="64">IF(B520="","",IF(G520&lt;&gt;"",G520,H520))</f>
        <v/>
      </c>
      <c r="J520" s="9"/>
      <c r="K520" s="9"/>
      <c r="L520" s="9"/>
      <c r="M520" s="9"/>
      <c r="N520" s="9"/>
      <c r="O520" s="9"/>
      <c r="P520" s="13"/>
      <c r="Q520" s="9"/>
      <c r="R520" s="9"/>
      <c r="S520" s="9"/>
      <c r="T520" s="11"/>
      <c r="U520" s="44" t="str">
        <f t="shared" ref="U520:U583" si="65">IF(B520="","",IF(C520="Income","INC-",IF(C520="Expense","EXP-","TRX-"))&amp;TEXT(YEAR(B520),"0000")&amp;"-"&amp;TEXT(ROW()-7,"0000"))</f>
        <v/>
      </c>
      <c r="V520" s="44" t="str">
        <f t="shared" ref="V520:V583" si="66">IF(B520="","",TEXT(B520,"mmmm"))</f>
        <v/>
      </c>
      <c r="W520" s="44" t="str">
        <f t="shared" ref="W520:W583" si="67">IF(B520="","",MONTH(B520))</f>
        <v/>
      </c>
      <c r="X520" s="44" t="str">
        <f t="shared" ref="X520:X583" si="68">IF(B520="","",YEAR(B520))</f>
        <v/>
      </c>
      <c r="Y520" s="44" t="str">
        <f t="shared" ref="Y520:Y583" si="69">IF(B520="","",DAY(B520))</f>
        <v/>
      </c>
      <c r="Z520" s="44" t="str">
        <f t="shared" ref="Z520:Z583" si="70">IF(B520="","",IF(WEEKDAY(B520,2)&gt;5,"Weekend","Weekday"))</f>
        <v/>
      </c>
      <c r="AA520" s="50" t="str">
        <f t="shared" ref="AA520:AA583" si="71">IF(B520="","",IF(COUNTIFS($B$8:$B$1007,B520,$E$8:$E$1007,E520,$D$8:$D$1007,D520,$I$8:$I$1007,I520)&gt;1,"Possible Duplicate","OK"))</f>
        <v/>
      </c>
      <c r="AB520" s="50" t="str">
        <f>IF(OR(B520="",C520&lt;&gt;"Expense"),"",IF(E520&gt;IFERROR(AVERAGEIFS($E$8:$E$1007,$I$8:$I$1007,I520,$C$8:$C$1007,"Expense")*SETTINGS!$B$20,0),"Unusually High","Normal"))</f>
        <v/>
      </c>
      <c r="AC520" s="51"/>
      <c r="AD520" s="51"/>
      <c r="AE520" s="51"/>
      <c r="AF520" s="50" t="str">
        <f>IF(A520&lt;&gt;"Yes","No",IF(AND(AC520="Yes",SETTINGS!$B$16="No"),"No","Yes"))</f>
        <v>No</v>
      </c>
      <c r="AG520" s="50" t="str">
        <f>IF(A520&lt;&gt;"Yes","",IF(OR(B520="",D520="",E520&lt;=0,F520="",I520=""),"Check Required Fields",IF(AA520="Possible Duplicate","Possible Duplicate",IF(E520&gt;SETTINGS!$B$22,"Review Extreme Value","OK"))))</f>
        <v/>
      </c>
    </row>
    <row r="521" spans="1:33" ht="14.4">
      <c r="A521" s="9"/>
      <c r="B521" s="13"/>
      <c r="C521" s="9"/>
      <c r="D521" s="9"/>
      <c r="E521" s="11"/>
      <c r="F521" s="9"/>
      <c r="G521" s="9"/>
      <c r="H521" s="44" t="str">
        <f>IF(D521="","",IF(ISNUMBER(SEARCH(SETTINGS!$K$4,D521)),SETTINGS!$L$4,IF(ISNUMBER(SEARCH(SETTINGS!$K$5,D521)),SETTINGS!$L$5,IF(ISNUMBER(SEARCH(SETTINGS!$K$6,D521)),SETTINGS!$L$6,IF(ISNUMBER(SEARCH(SETTINGS!$K$7,D521)),SETTINGS!$L$7,IF(ISNUMBER(SEARCH(SETTINGS!$K$8,D521)),SETTINGS!$L$8,IF(ISNUMBER(SEARCH(SETTINGS!$K$9,D521)),SETTINGS!$L$9,IF(ISNUMBER(SEARCH(SETTINGS!$K$10,D521)),SETTINGS!$L$10,IF(ISNUMBER(SEARCH(SETTINGS!$K$11,D521)),SETTINGS!$L$11,IF(ISNUMBER(SEARCH(SETTINGS!$K$12,D521)),SETTINGS!$L$12,IF(ISNUMBER(SEARCH(SETTINGS!$K$13,D521)),SETTINGS!$L$13,IF(ISNUMBER(SEARCH(SETTINGS!$K$14,D521)),SETTINGS!$L$14,IF(ISNUMBER(SEARCH(SETTINGS!$K$15,D521)),SETTINGS!$L$15,IF(ISNUMBER(SEARCH(SETTINGS!$K$16,D521)),SETTINGS!$L$16,IF(ISNUMBER(SEARCH(SETTINGS!$K$17,D521)),SETTINGS!$L$17,IF(ISNUMBER(SEARCH(SETTINGS!$K$18,D521)),SETTINGS!$L$18,"Miscellaneous"))))))))))))))))</f>
        <v/>
      </c>
      <c r="I521" s="44" t="str">
        <f t="shared" si="64"/>
        <v/>
      </c>
      <c r="J521" s="9"/>
      <c r="K521" s="9"/>
      <c r="L521" s="9"/>
      <c r="M521" s="9"/>
      <c r="N521" s="9"/>
      <c r="O521" s="9"/>
      <c r="P521" s="13"/>
      <c r="Q521" s="9"/>
      <c r="R521" s="9"/>
      <c r="S521" s="9"/>
      <c r="T521" s="11"/>
      <c r="U521" s="44" t="str">
        <f t="shared" si="65"/>
        <v/>
      </c>
      <c r="V521" s="44" t="str">
        <f t="shared" si="66"/>
        <v/>
      </c>
      <c r="W521" s="44" t="str">
        <f t="shared" si="67"/>
        <v/>
      </c>
      <c r="X521" s="44" t="str">
        <f t="shared" si="68"/>
        <v/>
      </c>
      <c r="Y521" s="44" t="str">
        <f t="shared" si="69"/>
        <v/>
      </c>
      <c r="Z521" s="44" t="str">
        <f t="shared" si="70"/>
        <v/>
      </c>
      <c r="AA521" s="50" t="str">
        <f t="shared" si="71"/>
        <v/>
      </c>
      <c r="AB521" s="50" t="str">
        <f>IF(OR(B521="",C521&lt;&gt;"Expense"),"",IF(E521&gt;IFERROR(AVERAGEIFS($E$8:$E$1007,$I$8:$I$1007,I521,$C$8:$C$1007,"Expense")*SETTINGS!$B$20,0),"Unusually High","Normal"))</f>
        <v/>
      </c>
      <c r="AC521" s="51"/>
      <c r="AD521" s="51"/>
      <c r="AE521" s="51"/>
      <c r="AF521" s="50" t="str">
        <f>IF(A521&lt;&gt;"Yes","No",IF(AND(AC521="Yes",SETTINGS!$B$16="No"),"No","Yes"))</f>
        <v>No</v>
      </c>
      <c r="AG521" s="50" t="str">
        <f>IF(A521&lt;&gt;"Yes","",IF(OR(B521="",D521="",E521&lt;=0,F521="",I521=""),"Check Required Fields",IF(AA521="Possible Duplicate","Possible Duplicate",IF(E521&gt;SETTINGS!$B$22,"Review Extreme Value","OK"))))</f>
        <v/>
      </c>
    </row>
    <row r="522" spans="1:33" ht="14.4">
      <c r="A522" s="9"/>
      <c r="B522" s="13"/>
      <c r="C522" s="9"/>
      <c r="D522" s="9"/>
      <c r="E522" s="11"/>
      <c r="F522" s="9"/>
      <c r="G522" s="9"/>
      <c r="H522" s="44" t="str">
        <f>IF(D522="","",IF(ISNUMBER(SEARCH(SETTINGS!$K$4,D522)),SETTINGS!$L$4,IF(ISNUMBER(SEARCH(SETTINGS!$K$5,D522)),SETTINGS!$L$5,IF(ISNUMBER(SEARCH(SETTINGS!$K$6,D522)),SETTINGS!$L$6,IF(ISNUMBER(SEARCH(SETTINGS!$K$7,D522)),SETTINGS!$L$7,IF(ISNUMBER(SEARCH(SETTINGS!$K$8,D522)),SETTINGS!$L$8,IF(ISNUMBER(SEARCH(SETTINGS!$K$9,D522)),SETTINGS!$L$9,IF(ISNUMBER(SEARCH(SETTINGS!$K$10,D522)),SETTINGS!$L$10,IF(ISNUMBER(SEARCH(SETTINGS!$K$11,D522)),SETTINGS!$L$11,IF(ISNUMBER(SEARCH(SETTINGS!$K$12,D522)),SETTINGS!$L$12,IF(ISNUMBER(SEARCH(SETTINGS!$K$13,D522)),SETTINGS!$L$13,IF(ISNUMBER(SEARCH(SETTINGS!$K$14,D522)),SETTINGS!$L$14,IF(ISNUMBER(SEARCH(SETTINGS!$K$15,D522)),SETTINGS!$L$15,IF(ISNUMBER(SEARCH(SETTINGS!$K$16,D522)),SETTINGS!$L$16,IF(ISNUMBER(SEARCH(SETTINGS!$K$17,D522)),SETTINGS!$L$17,IF(ISNUMBER(SEARCH(SETTINGS!$K$18,D522)),SETTINGS!$L$18,"Miscellaneous"))))))))))))))))</f>
        <v/>
      </c>
      <c r="I522" s="44" t="str">
        <f t="shared" si="64"/>
        <v/>
      </c>
      <c r="J522" s="9"/>
      <c r="K522" s="9"/>
      <c r="L522" s="9"/>
      <c r="M522" s="9"/>
      <c r="N522" s="9"/>
      <c r="O522" s="9"/>
      <c r="P522" s="13"/>
      <c r="Q522" s="9"/>
      <c r="R522" s="9"/>
      <c r="S522" s="9"/>
      <c r="T522" s="11"/>
      <c r="U522" s="44" t="str">
        <f t="shared" si="65"/>
        <v/>
      </c>
      <c r="V522" s="44" t="str">
        <f t="shared" si="66"/>
        <v/>
      </c>
      <c r="W522" s="44" t="str">
        <f t="shared" si="67"/>
        <v/>
      </c>
      <c r="X522" s="44" t="str">
        <f t="shared" si="68"/>
        <v/>
      </c>
      <c r="Y522" s="44" t="str">
        <f t="shared" si="69"/>
        <v/>
      </c>
      <c r="Z522" s="44" t="str">
        <f t="shared" si="70"/>
        <v/>
      </c>
      <c r="AA522" s="50" t="str">
        <f t="shared" si="71"/>
        <v/>
      </c>
      <c r="AB522" s="50" t="str">
        <f>IF(OR(B522="",C522&lt;&gt;"Expense"),"",IF(E522&gt;IFERROR(AVERAGEIFS($E$8:$E$1007,$I$8:$I$1007,I522,$C$8:$C$1007,"Expense")*SETTINGS!$B$20,0),"Unusually High","Normal"))</f>
        <v/>
      </c>
      <c r="AC522" s="51"/>
      <c r="AD522" s="51"/>
      <c r="AE522" s="51"/>
      <c r="AF522" s="50" t="str">
        <f>IF(A522&lt;&gt;"Yes","No",IF(AND(AC522="Yes",SETTINGS!$B$16="No"),"No","Yes"))</f>
        <v>No</v>
      </c>
      <c r="AG522" s="50" t="str">
        <f>IF(A522&lt;&gt;"Yes","",IF(OR(B522="",D522="",E522&lt;=0,F522="",I522=""),"Check Required Fields",IF(AA522="Possible Duplicate","Possible Duplicate",IF(E522&gt;SETTINGS!$B$22,"Review Extreme Value","OK"))))</f>
        <v/>
      </c>
    </row>
    <row r="523" spans="1:33" ht="14.4">
      <c r="A523" s="9"/>
      <c r="B523" s="13"/>
      <c r="C523" s="9"/>
      <c r="D523" s="9"/>
      <c r="E523" s="11"/>
      <c r="F523" s="9"/>
      <c r="G523" s="9"/>
      <c r="H523" s="44" t="str">
        <f>IF(D523="","",IF(ISNUMBER(SEARCH(SETTINGS!$K$4,D523)),SETTINGS!$L$4,IF(ISNUMBER(SEARCH(SETTINGS!$K$5,D523)),SETTINGS!$L$5,IF(ISNUMBER(SEARCH(SETTINGS!$K$6,D523)),SETTINGS!$L$6,IF(ISNUMBER(SEARCH(SETTINGS!$K$7,D523)),SETTINGS!$L$7,IF(ISNUMBER(SEARCH(SETTINGS!$K$8,D523)),SETTINGS!$L$8,IF(ISNUMBER(SEARCH(SETTINGS!$K$9,D523)),SETTINGS!$L$9,IF(ISNUMBER(SEARCH(SETTINGS!$K$10,D523)),SETTINGS!$L$10,IF(ISNUMBER(SEARCH(SETTINGS!$K$11,D523)),SETTINGS!$L$11,IF(ISNUMBER(SEARCH(SETTINGS!$K$12,D523)),SETTINGS!$L$12,IF(ISNUMBER(SEARCH(SETTINGS!$K$13,D523)),SETTINGS!$L$13,IF(ISNUMBER(SEARCH(SETTINGS!$K$14,D523)),SETTINGS!$L$14,IF(ISNUMBER(SEARCH(SETTINGS!$K$15,D523)),SETTINGS!$L$15,IF(ISNUMBER(SEARCH(SETTINGS!$K$16,D523)),SETTINGS!$L$16,IF(ISNUMBER(SEARCH(SETTINGS!$K$17,D523)),SETTINGS!$L$17,IF(ISNUMBER(SEARCH(SETTINGS!$K$18,D523)),SETTINGS!$L$18,"Miscellaneous"))))))))))))))))</f>
        <v/>
      </c>
      <c r="I523" s="44" t="str">
        <f t="shared" si="64"/>
        <v/>
      </c>
      <c r="J523" s="9"/>
      <c r="K523" s="9"/>
      <c r="L523" s="9"/>
      <c r="M523" s="9"/>
      <c r="N523" s="9"/>
      <c r="O523" s="9"/>
      <c r="P523" s="13"/>
      <c r="Q523" s="9"/>
      <c r="R523" s="9"/>
      <c r="S523" s="9"/>
      <c r="T523" s="11"/>
      <c r="U523" s="44" t="str">
        <f t="shared" si="65"/>
        <v/>
      </c>
      <c r="V523" s="44" t="str">
        <f t="shared" si="66"/>
        <v/>
      </c>
      <c r="W523" s="44" t="str">
        <f t="shared" si="67"/>
        <v/>
      </c>
      <c r="X523" s="44" t="str">
        <f t="shared" si="68"/>
        <v/>
      </c>
      <c r="Y523" s="44" t="str">
        <f t="shared" si="69"/>
        <v/>
      </c>
      <c r="Z523" s="44" t="str">
        <f t="shared" si="70"/>
        <v/>
      </c>
      <c r="AA523" s="50" t="str">
        <f t="shared" si="71"/>
        <v/>
      </c>
      <c r="AB523" s="50" t="str">
        <f>IF(OR(B523="",C523&lt;&gt;"Expense"),"",IF(E523&gt;IFERROR(AVERAGEIFS($E$8:$E$1007,$I$8:$I$1007,I523,$C$8:$C$1007,"Expense")*SETTINGS!$B$20,0),"Unusually High","Normal"))</f>
        <v/>
      </c>
      <c r="AC523" s="51"/>
      <c r="AD523" s="51"/>
      <c r="AE523" s="51"/>
      <c r="AF523" s="50" t="str">
        <f>IF(A523&lt;&gt;"Yes","No",IF(AND(AC523="Yes",SETTINGS!$B$16="No"),"No","Yes"))</f>
        <v>No</v>
      </c>
      <c r="AG523" s="50" t="str">
        <f>IF(A523&lt;&gt;"Yes","",IF(OR(B523="",D523="",E523&lt;=0,F523="",I523=""),"Check Required Fields",IF(AA523="Possible Duplicate","Possible Duplicate",IF(E523&gt;SETTINGS!$B$22,"Review Extreme Value","OK"))))</f>
        <v/>
      </c>
    </row>
    <row r="524" spans="1:33" ht="14.4">
      <c r="A524" s="9"/>
      <c r="B524" s="13"/>
      <c r="C524" s="9"/>
      <c r="D524" s="9"/>
      <c r="E524" s="11"/>
      <c r="F524" s="9"/>
      <c r="G524" s="9"/>
      <c r="H524" s="44" t="str">
        <f>IF(D524="","",IF(ISNUMBER(SEARCH(SETTINGS!$K$4,D524)),SETTINGS!$L$4,IF(ISNUMBER(SEARCH(SETTINGS!$K$5,D524)),SETTINGS!$L$5,IF(ISNUMBER(SEARCH(SETTINGS!$K$6,D524)),SETTINGS!$L$6,IF(ISNUMBER(SEARCH(SETTINGS!$K$7,D524)),SETTINGS!$L$7,IF(ISNUMBER(SEARCH(SETTINGS!$K$8,D524)),SETTINGS!$L$8,IF(ISNUMBER(SEARCH(SETTINGS!$K$9,D524)),SETTINGS!$L$9,IF(ISNUMBER(SEARCH(SETTINGS!$K$10,D524)),SETTINGS!$L$10,IF(ISNUMBER(SEARCH(SETTINGS!$K$11,D524)),SETTINGS!$L$11,IF(ISNUMBER(SEARCH(SETTINGS!$K$12,D524)),SETTINGS!$L$12,IF(ISNUMBER(SEARCH(SETTINGS!$K$13,D524)),SETTINGS!$L$13,IF(ISNUMBER(SEARCH(SETTINGS!$K$14,D524)),SETTINGS!$L$14,IF(ISNUMBER(SEARCH(SETTINGS!$K$15,D524)),SETTINGS!$L$15,IF(ISNUMBER(SEARCH(SETTINGS!$K$16,D524)),SETTINGS!$L$16,IF(ISNUMBER(SEARCH(SETTINGS!$K$17,D524)),SETTINGS!$L$17,IF(ISNUMBER(SEARCH(SETTINGS!$K$18,D524)),SETTINGS!$L$18,"Miscellaneous"))))))))))))))))</f>
        <v/>
      </c>
      <c r="I524" s="44" t="str">
        <f t="shared" si="64"/>
        <v/>
      </c>
      <c r="J524" s="9"/>
      <c r="K524" s="9"/>
      <c r="L524" s="9"/>
      <c r="M524" s="9"/>
      <c r="N524" s="9"/>
      <c r="O524" s="9"/>
      <c r="P524" s="13"/>
      <c r="Q524" s="9"/>
      <c r="R524" s="9"/>
      <c r="S524" s="9"/>
      <c r="T524" s="11"/>
      <c r="U524" s="44" t="str">
        <f t="shared" si="65"/>
        <v/>
      </c>
      <c r="V524" s="44" t="str">
        <f t="shared" si="66"/>
        <v/>
      </c>
      <c r="W524" s="44" t="str">
        <f t="shared" si="67"/>
        <v/>
      </c>
      <c r="X524" s="44" t="str">
        <f t="shared" si="68"/>
        <v/>
      </c>
      <c r="Y524" s="44" t="str">
        <f t="shared" si="69"/>
        <v/>
      </c>
      <c r="Z524" s="44" t="str">
        <f t="shared" si="70"/>
        <v/>
      </c>
      <c r="AA524" s="50" t="str">
        <f t="shared" si="71"/>
        <v/>
      </c>
      <c r="AB524" s="50" t="str">
        <f>IF(OR(B524="",C524&lt;&gt;"Expense"),"",IF(E524&gt;IFERROR(AVERAGEIFS($E$8:$E$1007,$I$8:$I$1007,I524,$C$8:$C$1007,"Expense")*SETTINGS!$B$20,0),"Unusually High","Normal"))</f>
        <v/>
      </c>
      <c r="AC524" s="51"/>
      <c r="AD524" s="51"/>
      <c r="AE524" s="51"/>
      <c r="AF524" s="50" t="str">
        <f>IF(A524&lt;&gt;"Yes","No",IF(AND(AC524="Yes",SETTINGS!$B$16="No"),"No","Yes"))</f>
        <v>No</v>
      </c>
      <c r="AG524" s="50" t="str">
        <f>IF(A524&lt;&gt;"Yes","",IF(OR(B524="",D524="",E524&lt;=0,F524="",I524=""),"Check Required Fields",IF(AA524="Possible Duplicate","Possible Duplicate",IF(E524&gt;SETTINGS!$B$22,"Review Extreme Value","OK"))))</f>
        <v/>
      </c>
    </row>
    <row r="525" spans="1:33" ht="14.4">
      <c r="A525" s="9"/>
      <c r="B525" s="13"/>
      <c r="C525" s="9"/>
      <c r="D525" s="9"/>
      <c r="E525" s="11"/>
      <c r="F525" s="9"/>
      <c r="G525" s="9"/>
      <c r="H525" s="44" t="str">
        <f>IF(D525="","",IF(ISNUMBER(SEARCH(SETTINGS!$K$4,D525)),SETTINGS!$L$4,IF(ISNUMBER(SEARCH(SETTINGS!$K$5,D525)),SETTINGS!$L$5,IF(ISNUMBER(SEARCH(SETTINGS!$K$6,D525)),SETTINGS!$L$6,IF(ISNUMBER(SEARCH(SETTINGS!$K$7,D525)),SETTINGS!$L$7,IF(ISNUMBER(SEARCH(SETTINGS!$K$8,D525)),SETTINGS!$L$8,IF(ISNUMBER(SEARCH(SETTINGS!$K$9,D525)),SETTINGS!$L$9,IF(ISNUMBER(SEARCH(SETTINGS!$K$10,D525)),SETTINGS!$L$10,IF(ISNUMBER(SEARCH(SETTINGS!$K$11,D525)),SETTINGS!$L$11,IF(ISNUMBER(SEARCH(SETTINGS!$K$12,D525)),SETTINGS!$L$12,IF(ISNUMBER(SEARCH(SETTINGS!$K$13,D525)),SETTINGS!$L$13,IF(ISNUMBER(SEARCH(SETTINGS!$K$14,D525)),SETTINGS!$L$14,IF(ISNUMBER(SEARCH(SETTINGS!$K$15,D525)),SETTINGS!$L$15,IF(ISNUMBER(SEARCH(SETTINGS!$K$16,D525)),SETTINGS!$L$16,IF(ISNUMBER(SEARCH(SETTINGS!$K$17,D525)),SETTINGS!$L$17,IF(ISNUMBER(SEARCH(SETTINGS!$K$18,D525)),SETTINGS!$L$18,"Miscellaneous"))))))))))))))))</f>
        <v/>
      </c>
      <c r="I525" s="44" t="str">
        <f t="shared" si="64"/>
        <v/>
      </c>
      <c r="J525" s="9"/>
      <c r="K525" s="9"/>
      <c r="L525" s="9"/>
      <c r="M525" s="9"/>
      <c r="N525" s="9"/>
      <c r="O525" s="9"/>
      <c r="P525" s="13"/>
      <c r="Q525" s="9"/>
      <c r="R525" s="9"/>
      <c r="S525" s="9"/>
      <c r="T525" s="11"/>
      <c r="U525" s="44" t="str">
        <f t="shared" si="65"/>
        <v/>
      </c>
      <c r="V525" s="44" t="str">
        <f t="shared" si="66"/>
        <v/>
      </c>
      <c r="W525" s="44" t="str">
        <f t="shared" si="67"/>
        <v/>
      </c>
      <c r="X525" s="44" t="str">
        <f t="shared" si="68"/>
        <v/>
      </c>
      <c r="Y525" s="44" t="str">
        <f t="shared" si="69"/>
        <v/>
      </c>
      <c r="Z525" s="44" t="str">
        <f t="shared" si="70"/>
        <v/>
      </c>
      <c r="AA525" s="50" t="str">
        <f t="shared" si="71"/>
        <v/>
      </c>
      <c r="AB525" s="50" t="str">
        <f>IF(OR(B525="",C525&lt;&gt;"Expense"),"",IF(E525&gt;IFERROR(AVERAGEIFS($E$8:$E$1007,$I$8:$I$1007,I525,$C$8:$C$1007,"Expense")*SETTINGS!$B$20,0),"Unusually High","Normal"))</f>
        <v/>
      </c>
      <c r="AC525" s="51"/>
      <c r="AD525" s="51"/>
      <c r="AE525" s="51"/>
      <c r="AF525" s="50" t="str">
        <f>IF(A525&lt;&gt;"Yes","No",IF(AND(AC525="Yes",SETTINGS!$B$16="No"),"No","Yes"))</f>
        <v>No</v>
      </c>
      <c r="AG525" s="50" t="str">
        <f>IF(A525&lt;&gt;"Yes","",IF(OR(B525="",D525="",E525&lt;=0,F525="",I525=""),"Check Required Fields",IF(AA525="Possible Duplicate","Possible Duplicate",IF(E525&gt;SETTINGS!$B$22,"Review Extreme Value","OK"))))</f>
        <v/>
      </c>
    </row>
    <row r="526" spans="1:33" ht="14.4">
      <c r="A526" s="9"/>
      <c r="B526" s="13"/>
      <c r="C526" s="9"/>
      <c r="D526" s="9"/>
      <c r="E526" s="11"/>
      <c r="F526" s="9"/>
      <c r="G526" s="9"/>
      <c r="H526" s="44" t="str">
        <f>IF(D526="","",IF(ISNUMBER(SEARCH(SETTINGS!$K$4,D526)),SETTINGS!$L$4,IF(ISNUMBER(SEARCH(SETTINGS!$K$5,D526)),SETTINGS!$L$5,IF(ISNUMBER(SEARCH(SETTINGS!$K$6,D526)),SETTINGS!$L$6,IF(ISNUMBER(SEARCH(SETTINGS!$K$7,D526)),SETTINGS!$L$7,IF(ISNUMBER(SEARCH(SETTINGS!$K$8,D526)),SETTINGS!$L$8,IF(ISNUMBER(SEARCH(SETTINGS!$K$9,D526)),SETTINGS!$L$9,IF(ISNUMBER(SEARCH(SETTINGS!$K$10,D526)),SETTINGS!$L$10,IF(ISNUMBER(SEARCH(SETTINGS!$K$11,D526)),SETTINGS!$L$11,IF(ISNUMBER(SEARCH(SETTINGS!$K$12,D526)),SETTINGS!$L$12,IF(ISNUMBER(SEARCH(SETTINGS!$K$13,D526)),SETTINGS!$L$13,IF(ISNUMBER(SEARCH(SETTINGS!$K$14,D526)),SETTINGS!$L$14,IF(ISNUMBER(SEARCH(SETTINGS!$K$15,D526)),SETTINGS!$L$15,IF(ISNUMBER(SEARCH(SETTINGS!$K$16,D526)),SETTINGS!$L$16,IF(ISNUMBER(SEARCH(SETTINGS!$K$17,D526)),SETTINGS!$L$17,IF(ISNUMBER(SEARCH(SETTINGS!$K$18,D526)),SETTINGS!$L$18,"Miscellaneous"))))))))))))))))</f>
        <v/>
      </c>
      <c r="I526" s="44" t="str">
        <f t="shared" si="64"/>
        <v/>
      </c>
      <c r="J526" s="9"/>
      <c r="K526" s="9"/>
      <c r="L526" s="9"/>
      <c r="M526" s="9"/>
      <c r="N526" s="9"/>
      <c r="O526" s="9"/>
      <c r="P526" s="13"/>
      <c r="Q526" s="9"/>
      <c r="R526" s="9"/>
      <c r="S526" s="9"/>
      <c r="T526" s="11"/>
      <c r="U526" s="44" t="str">
        <f t="shared" si="65"/>
        <v/>
      </c>
      <c r="V526" s="44" t="str">
        <f t="shared" si="66"/>
        <v/>
      </c>
      <c r="W526" s="44" t="str">
        <f t="shared" si="67"/>
        <v/>
      </c>
      <c r="X526" s="44" t="str">
        <f t="shared" si="68"/>
        <v/>
      </c>
      <c r="Y526" s="44" t="str">
        <f t="shared" si="69"/>
        <v/>
      </c>
      <c r="Z526" s="44" t="str">
        <f t="shared" si="70"/>
        <v/>
      </c>
      <c r="AA526" s="50" t="str">
        <f t="shared" si="71"/>
        <v/>
      </c>
      <c r="AB526" s="50" t="str">
        <f>IF(OR(B526="",C526&lt;&gt;"Expense"),"",IF(E526&gt;IFERROR(AVERAGEIFS($E$8:$E$1007,$I$8:$I$1007,I526,$C$8:$C$1007,"Expense")*SETTINGS!$B$20,0),"Unusually High","Normal"))</f>
        <v/>
      </c>
      <c r="AC526" s="51"/>
      <c r="AD526" s="51"/>
      <c r="AE526" s="51"/>
      <c r="AF526" s="50" t="str">
        <f>IF(A526&lt;&gt;"Yes","No",IF(AND(AC526="Yes",SETTINGS!$B$16="No"),"No","Yes"))</f>
        <v>No</v>
      </c>
      <c r="AG526" s="50" t="str">
        <f>IF(A526&lt;&gt;"Yes","",IF(OR(B526="",D526="",E526&lt;=0,F526="",I526=""),"Check Required Fields",IF(AA526="Possible Duplicate","Possible Duplicate",IF(E526&gt;SETTINGS!$B$22,"Review Extreme Value","OK"))))</f>
        <v/>
      </c>
    </row>
    <row r="527" spans="1:33" ht="14.4">
      <c r="A527" s="9"/>
      <c r="B527" s="13"/>
      <c r="C527" s="9"/>
      <c r="D527" s="9"/>
      <c r="E527" s="11"/>
      <c r="F527" s="9"/>
      <c r="G527" s="9"/>
      <c r="H527" s="44" t="str">
        <f>IF(D527="","",IF(ISNUMBER(SEARCH(SETTINGS!$K$4,D527)),SETTINGS!$L$4,IF(ISNUMBER(SEARCH(SETTINGS!$K$5,D527)),SETTINGS!$L$5,IF(ISNUMBER(SEARCH(SETTINGS!$K$6,D527)),SETTINGS!$L$6,IF(ISNUMBER(SEARCH(SETTINGS!$K$7,D527)),SETTINGS!$L$7,IF(ISNUMBER(SEARCH(SETTINGS!$K$8,D527)),SETTINGS!$L$8,IF(ISNUMBER(SEARCH(SETTINGS!$K$9,D527)),SETTINGS!$L$9,IF(ISNUMBER(SEARCH(SETTINGS!$K$10,D527)),SETTINGS!$L$10,IF(ISNUMBER(SEARCH(SETTINGS!$K$11,D527)),SETTINGS!$L$11,IF(ISNUMBER(SEARCH(SETTINGS!$K$12,D527)),SETTINGS!$L$12,IF(ISNUMBER(SEARCH(SETTINGS!$K$13,D527)),SETTINGS!$L$13,IF(ISNUMBER(SEARCH(SETTINGS!$K$14,D527)),SETTINGS!$L$14,IF(ISNUMBER(SEARCH(SETTINGS!$K$15,D527)),SETTINGS!$L$15,IF(ISNUMBER(SEARCH(SETTINGS!$K$16,D527)),SETTINGS!$L$16,IF(ISNUMBER(SEARCH(SETTINGS!$K$17,D527)),SETTINGS!$L$17,IF(ISNUMBER(SEARCH(SETTINGS!$K$18,D527)),SETTINGS!$L$18,"Miscellaneous"))))))))))))))))</f>
        <v/>
      </c>
      <c r="I527" s="44" t="str">
        <f t="shared" si="64"/>
        <v/>
      </c>
      <c r="J527" s="9"/>
      <c r="K527" s="9"/>
      <c r="L527" s="9"/>
      <c r="M527" s="9"/>
      <c r="N527" s="9"/>
      <c r="O527" s="9"/>
      <c r="P527" s="13"/>
      <c r="Q527" s="9"/>
      <c r="R527" s="9"/>
      <c r="S527" s="9"/>
      <c r="T527" s="11"/>
      <c r="U527" s="44" t="str">
        <f t="shared" si="65"/>
        <v/>
      </c>
      <c r="V527" s="44" t="str">
        <f t="shared" si="66"/>
        <v/>
      </c>
      <c r="W527" s="44" t="str">
        <f t="shared" si="67"/>
        <v/>
      </c>
      <c r="X527" s="44" t="str">
        <f t="shared" si="68"/>
        <v/>
      </c>
      <c r="Y527" s="44" t="str">
        <f t="shared" si="69"/>
        <v/>
      </c>
      <c r="Z527" s="44" t="str">
        <f t="shared" si="70"/>
        <v/>
      </c>
      <c r="AA527" s="50" t="str">
        <f t="shared" si="71"/>
        <v/>
      </c>
      <c r="AB527" s="50" t="str">
        <f>IF(OR(B527="",C527&lt;&gt;"Expense"),"",IF(E527&gt;IFERROR(AVERAGEIFS($E$8:$E$1007,$I$8:$I$1007,I527,$C$8:$C$1007,"Expense")*SETTINGS!$B$20,0),"Unusually High","Normal"))</f>
        <v/>
      </c>
      <c r="AC527" s="51"/>
      <c r="AD527" s="51"/>
      <c r="AE527" s="51"/>
      <c r="AF527" s="50" t="str">
        <f>IF(A527&lt;&gt;"Yes","No",IF(AND(AC527="Yes",SETTINGS!$B$16="No"),"No","Yes"))</f>
        <v>No</v>
      </c>
      <c r="AG527" s="50" t="str">
        <f>IF(A527&lt;&gt;"Yes","",IF(OR(B527="",D527="",E527&lt;=0,F527="",I527=""),"Check Required Fields",IF(AA527="Possible Duplicate","Possible Duplicate",IF(E527&gt;SETTINGS!$B$22,"Review Extreme Value","OK"))))</f>
        <v/>
      </c>
    </row>
    <row r="528" spans="1:33" ht="14.4">
      <c r="A528" s="9"/>
      <c r="B528" s="13"/>
      <c r="C528" s="9"/>
      <c r="D528" s="9"/>
      <c r="E528" s="11"/>
      <c r="F528" s="9"/>
      <c r="G528" s="9"/>
      <c r="H528" s="44" t="str">
        <f>IF(D528="","",IF(ISNUMBER(SEARCH(SETTINGS!$K$4,D528)),SETTINGS!$L$4,IF(ISNUMBER(SEARCH(SETTINGS!$K$5,D528)),SETTINGS!$L$5,IF(ISNUMBER(SEARCH(SETTINGS!$K$6,D528)),SETTINGS!$L$6,IF(ISNUMBER(SEARCH(SETTINGS!$K$7,D528)),SETTINGS!$L$7,IF(ISNUMBER(SEARCH(SETTINGS!$K$8,D528)),SETTINGS!$L$8,IF(ISNUMBER(SEARCH(SETTINGS!$K$9,D528)),SETTINGS!$L$9,IF(ISNUMBER(SEARCH(SETTINGS!$K$10,D528)),SETTINGS!$L$10,IF(ISNUMBER(SEARCH(SETTINGS!$K$11,D528)),SETTINGS!$L$11,IF(ISNUMBER(SEARCH(SETTINGS!$K$12,D528)),SETTINGS!$L$12,IF(ISNUMBER(SEARCH(SETTINGS!$K$13,D528)),SETTINGS!$L$13,IF(ISNUMBER(SEARCH(SETTINGS!$K$14,D528)),SETTINGS!$L$14,IF(ISNUMBER(SEARCH(SETTINGS!$K$15,D528)),SETTINGS!$L$15,IF(ISNUMBER(SEARCH(SETTINGS!$K$16,D528)),SETTINGS!$L$16,IF(ISNUMBER(SEARCH(SETTINGS!$K$17,D528)),SETTINGS!$L$17,IF(ISNUMBER(SEARCH(SETTINGS!$K$18,D528)),SETTINGS!$L$18,"Miscellaneous"))))))))))))))))</f>
        <v/>
      </c>
      <c r="I528" s="44" t="str">
        <f t="shared" si="64"/>
        <v/>
      </c>
      <c r="J528" s="9"/>
      <c r="K528" s="9"/>
      <c r="L528" s="9"/>
      <c r="M528" s="9"/>
      <c r="N528" s="9"/>
      <c r="O528" s="9"/>
      <c r="P528" s="13"/>
      <c r="Q528" s="9"/>
      <c r="R528" s="9"/>
      <c r="S528" s="9"/>
      <c r="T528" s="11"/>
      <c r="U528" s="44" t="str">
        <f t="shared" si="65"/>
        <v/>
      </c>
      <c r="V528" s="44" t="str">
        <f t="shared" si="66"/>
        <v/>
      </c>
      <c r="W528" s="44" t="str">
        <f t="shared" si="67"/>
        <v/>
      </c>
      <c r="X528" s="44" t="str">
        <f t="shared" si="68"/>
        <v/>
      </c>
      <c r="Y528" s="44" t="str">
        <f t="shared" si="69"/>
        <v/>
      </c>
      <c r="Z528" s="44" t="str">
        <f t="shared" si="70"/>
        <v/>
      </c>
      <c r="AA528" s="50" t="str">
        <f t="shared" si="71"/>
        <v/>
      </c>
      <c r="AB528" s="50" t="str">
        <f>IF(OR(B528="",C528&lt;&gt;"Expense"),"",IF(E528&gt;IFERROR(AVERAGEIFS($E$8:$E$1007,$I$8:$I$1007,I528,$C$8:$C$1007,"Expense")*SETTINGS!$B$20,0),"Unusually High","Normal"))</f>
        <v/>
      </c>
      <c r="AC528" s="51"/>
      <c r="AD528" s="51"/>
      <c r="AE528" s="51"/>
      <c r="AF528" s="50" t="str">
        <f>IF(A528&lt;&gt;"Yes","No",IF(AND(AC528="Yes",SETTINGS!$B$16="No"),"No","Yes"))</f>
        <v>No</v>
      </c>
      <c r="AG528" s="50" t="str">
        <f>IF(A528&lt;&gt;"Yes","",IF(OR(B528="",D528="",E528&lt;=0,F528="",I528=""),"Check Required Fields",IF(AA528="Possible Duplicate","Possible Duplicate",IF(E528&gt;SETTINGS!$B$22,"Review Extreme Value","OK"))))</f>
        <v/>
      </c>
    </row>
    <row r="529" spans="1:33" ht="14.4">
      <c r="A529" s="9"/>
      <c r="B529" s="13"/>
      <c r="C529" s="9"/>
      <c r="D529" s="9"/>
      <c r="E529" s="11"/>
      <c r="F529" s="9"/>
      <c r="G529" s="9"/>
      <c r="H529" s="44" t="str">
        <f>IF(D529="","",IF(ISNUMBER(SEARCH(SETTINGS!$K$4,D529)),SETTINGS!$L$4,IF(ISNUMBER(SEARCH(SETTINGS!$K$5,D529)),SETTINGS!$L$5,IF(ISNUMBER(SEARCH(SETTINGS!$K$6,D529)),SETTINGS!$L$6,IF(ISNUMBER(SEARCH(SETTINGS!$K$7,D529)),SETTINGS!$L$7,IF(ISNUMBER(SEARCH(SETTINGS!$K$8,D529)),SETTINGS!$L$8,IF(ISNUMBER(SEARCH(SETTINGS!$K$9,D529)),SETTINGS!$L$9,IF(ISNUMBER(SEARCH(SETTINGS!$K$10,D529)),SETTINGS!$L$10,IF(ISNUMBER(SEARCH(SETTINGS!$K$11,D529)),SETTINGS!$L$11,IF(ISNUMBER(SEARCH(SETTINGS!$K$12,D529)),SETTINGS!$L$12,IF(ISNUMBER(SEARCH(SETTINGS!$K$13,D529)),SETTINGS!$L$13,IF(ISNUMBER(SEARCH(SETTINGS!$K$14,D529)),SETTINGS!$L$14,IF(ISNUMBER(SEARCH(SETTINGS!$K$15,D529)),SETTINGS!$L$15,IF(ISNUMBER(SEARCH(SETTINGS!$K$16,D529)),SETTINGS!$L$16,IF(ISNUMBER(SEARCH(SETTINGS!$K$17,D529)),SETTINGS!$L$17,IF(ISNUMBER(SEARCH(SETTINGS!$K$18,D529)),SETTINGS!$L$18,"Miscellaneous"))))))))))))))))</f>
        <v/>
      </c>
      <c r="I529" s="44" t="str">
        <f t="shared" si="64"/>
        <v/>
      </c>
      <c r="J529" s="9"/>
      <c r="K529" s="9"/>
      <c r="L529" s="9"/>
      <c r="M529" s="9"/>
      <c r="N529" s="9"/>
      <c r="O529" s="9"/>
      <c r="P529" s="13"/>
      <c r="Q529" s="9"/>
      <c r="R529" s="9"/>
      <c r="S529" s="9"/>
      <c r="T529" s="11"/>
      <c r="U529" s="44" t="str">
        <f t="shared" si="65"/>
        <v/>
      </c>
      <c r="V529" s="44" t="str">
        <f t="shared" si="66"/>
        <v/>
      </c>
      <c r="W529" s="44" t="str">
        <f t="shared" si="67"/>
        <v/>
      </c>
      <c r="X529" s="44" t="str">
        <f t="shared" si="68"/>
        <v/>
      </c>
      <c r="Y529" s="44" t="str">
        <f t="shared" si="69"/>
        <v/>
      </c>
      <c r="Z529" s="44" t="str">
        <f t="shared" si="70"/>
        <v/>
      </c>
      <c r="AA529" s="50" t="str">
        <f t="shared" si="71"/>
        <v/>
      </c>
      <c r="AB529" s="50" t="str">
        <f>IF(OR(B529="",C529&lt;&gt;"Expense"),"",IF(E529&gt;IFERROR(AVERAGEIFS($E$8:$E$1007,$I$8:$I$1007,I529,$C$8:$C$1007,"Expense")*SETTINGS!$B$20,0),"Unusually High","Normal"))</f>
        <v/>
      </c>
      <c r="AC529" s="51"/>
      <c r="AD529" s="51"/>
      <c r="AE529" s="51"/>
      <c r="AF529" s="50" t="str">
        <f>IF(A529&lt;&gt;"Yes","No",IF(AND(AC529="Yes",SETTINGS!$B$16="No"),"No","Yes"))</f>
        <v>No</v>
      </c>
      <c r="AG529" s="50" t="str">
        <f>IF(A529&lt;&gt;"Yes","",IF(OR(B529="",D529="",E529&lt;=0,F529="",I529=""),"Check Required Fields",IF(AA529="Possible Duplicate","Possible Duplicate",IF(E529&gt;SETTINGS!$B$22,"Review Extreme Value","OK"))))</f>
        <v/>
      </c>
    </row>
    <row r="530" spans="1:33" ht="14.4">
      <c r="A530" s="9"/>
      <c r="B530" s="13"/>
      <c r="C530" s="9"/>
      <c r="D530" s="9"/>
      <c r="E530" s="11"/>
      <c r="F530" s="9"/>
      <c r="G530" s="9"/>
      <c r="H530" s="44" t="str">
        <f>IF(D530="","",IF(ISNUMBER(SEARCH(SETTINGS!$K$4,D530)),SETTINGS!$L$4,IF(ISNUMBER(SEARCH(SETTINGS!$K$5,D530)),SETTINGS!$L$5,IF(ISNUMBER(SEARCH(SETTINGS!$K$6,D530)),SETTINGS!$L$6,IF(ISNUMBER(SEARCH(SETTINGS!$K$7,D530)),SETTINGS!$L$7,IF(ISNUMBER(SEARCH(SETTINGS!$K$8,D530)),SETTINGS!$L$8,IF(ISNUMBER(SEARCH(SETTINGS!$K$9,D530)),SETTINGS!$L$9,IF(ISNUMBER(SEARCH(SETTINGS!$K$10,D530)),SETTINGS!$L$10,IF(ISNUMBER(SEARCH(SETTINGS!$K$11,D530)),SETTINGS!$L$11,IF(ISNUMBER(SEARCH(SETTINGS!$K$12,D530)),SETTINGS!$L$12,IF(ISNUMBER(SEARCH(SETTINGS!$K$13,D530)),SETTINGS!$L$13,IF(ISNUMBER(SEARCH(SETTINGS!$K$14,D530)),SETTINGS!$L$14,IF(ISNUMBER(SEARCH(SETTINGS!$K$15,D530)),SETTINGS!$L$15,IF(ISNUMBER(SEARCH(SETTINGS!$K$16,D530)),SETTINGS!$L$16,IF(ISNUMBER(SEARCH(SETTINGS!$K$17,D530)),SETTINGS!$L$17,IF(ISNUMBER(SEARCH(SETTINGS!$K$18,D530)),SETTINGS!$L$18,"Miscellaneous"))))))))))))))))</f>
        <v/>
      </c>
      <c r="I530" s="44" t="str">
        <f t="shared" si="64"/>
        <v/>
      </c>
      <c r="J530" s="9"/>
      <c r="K530" s="9"/>
      <c r="L530" s="9"/>
      <c r="M530" s="9"/>
      <c r="N530" s="9"/>
      <c r="O530" s="9"/>
      <c r="P530" s="13"/>
      <c r="Q530" s="9"/>
      <c r="R530" s="9"/>
      <c r="S530" s="9"/>
      <c r="T530" s="11"/>
      <c r="U530" s="44" t="str">
        <f t="shared" si="65"/>
        <v/>
      </c>
      <c r="V530" s="44" t="str">
        <f t="shared" si="66"/>
        <v/>
      </c>
      <c r="W530" s="44" t="str">
        <f t="shared" si="67"/>
        <v/>
      </c>
      <c r="X530" s="44" t="str">
        <f t="shared" si="68"/>
        <v/>
      </c>
      <c r="Y530" s="44" t="str">
        <f t="shared" si="69"/>
        <v/>
      </c>
      <c r="Z530" s="44" t="str">
        <f t="shared" si="70"/>
        <v/>
      </c>
      <c r="AA530" s="50" t="str">
        <f t="shared" si="71"/>
        <v/>
      </c>
      <c r="AB530" s="50" t="str">
        <f>IF(OR(B530="",C530&lt;&gt;"Expense"),"",IF(E530&gt;IFERROR(AVERAGEIFS($E$8:$E$1007,$I$8:$I$1007,I530,$C$8:$C$1007,"Expense")*SETTINGS!$B$20,0),"Unusually High","Normal"))</f>
        <v/>
      </c>
      <c r="AC530" s="51"/>
      <c r="AD530" s="51"/>
      <c r="AE530" s="51"/>
      <c r="AF530" s="50" t="str">
        <f>IF(A530&lt;&gt;"Yes","No",IF(AND(AC530="Yes",SETTINGS!$B$16="No"),"No","Yes"))</f>
        <v>No</v>
      </c>
      <c r="AG530" s="50" t="str">
        <f>IF(A530&lt;&gt;"Yes","",IF(OR(B530="",D530="",E530&lt;=0,F530="",I530=""),"Check Required Fields",IF(AA530="Possible Duplicate","Possible Duplicate",IF(E530&gt;SETTINGS!$B$22,"Review Extreme Value","OK"))))</f>
        <v/>
      </c>
    </row>
    <row r="531" spans="1:33" ht="14.4">
      <c r="A531" s="9"/>
      <c r="B531" s="13"/>
      <c r="C531" s="9"/>
      <c r="D531" s="9"/>
      <c r="E531" s="11"/>
      <c r="F531" s="9"/>
      <c r="G531" s="9"/>
      <c r="H531" s="44" t="str">
        <f>IF(D531="","",IF(ISNUMBER(SEARCH(SETTINGS!$K$4,D531)),SETTINGS!$L$4,IF(ISNUMBER(SEARCH(SETTINGS!$K$5,D531)),SETTINGS!$L$5,IF(ISNUMBER(SEARCH(SETTINGS!$K$6,D531)),SETTINGS!$L$6,IF(ISNUMBER(SEARCH(SETTINGS!$K$7,D531)),SETTINGS!$L$7,IF(ISNUMBER(SEARCH(SETTINGS!$K$8,D531)),SETTINGS!$L$8,IF(ISNUMBER(SEARCH(SETTINGS!$K$9,D531)),SETTINGS!$L$9,IF(ISNUMBER(SEARCH(SETTINGS!$K$10,D531)),SETTINGS!$L$10,IF(ISNUMBER(SEARCH(SETTINGS!$K$11,D531)),SETTINGS!$L$11,IF(ISNUMBER(SEARCH(SETTINGS!$K$12,D531)),SETTINGS!$L$12,IF(ISNUMBER(SEARCH(SETTINGS!$K$13,D531)),SETTINGS!$L$13,IF(ISNUMBER(SEARCH(SETTINGS!$K$14,D531)),SETTINGS!$L$14,IF(ISNUMBER(SEARCH(SETTINGS!$K$15,D531)),SETTINGS!$L$15,IF(ISNUMBER(SEARCH(SETTINGS!$K$16,D531)),SETTINGS!$L$16,IF(ISNUMBER(SEARCH(SETTINGS!$K$17,D531)),SETTINGS!$L$17,IF(ISNUMBER(SEARCH(SETTINGS!$K$18,D531)),SETTINGS!$L$18,"Miscellaneous"))))))))))))))))</f>
        <v/>
      </c>
      <c r="I531" s="44" t="str">
        <f t="shared" si="64"/>
        <v/>
      </c>
      <c r="J531" s="9"/>
      <c r="K531" s="9"/>
      <c r="L531" s="9"/>
      <c r="M531" s="9"/>
      <c r="N531" s="9"/>
      <c r="O531" s="9"/>
      <c r="P531" s="13"/>
      <c r="Q531" s="9"/>
      <c r="R531" s="9"/>
      <c r="S531" s="9"/>
      <c r="T531" s="11"/>
      <c r="U531" s="44" t="str">
        <f t="shared" si="65"/>
        <v/>
      </c>
      <c r="V531" s="44" t="str">
        <f t="shared" si="66"/>
        <v/>
      </c>
      <c r="W531" s="44" t="str">
        <f t="shared" si="67"/>
        <v/>
      </c>
      <c r="X531" s="44" t="str">
        <f t="shared" si="68"/>
        <v/>
      </c>
      <c r="Y531" s="44" t="str">
        <f t="shared" si="69"/>
        <v/>
      </c>
      <c r="Z531" s="44" t="str">
        <f t="shared" si="70"/>
        <v/>
      </c>
      <c r="AA531" s="50" t="str">
        <f t="shared" si="71"/>
        <v/>
      </c>
      <c r="AB531" s="50" t="str">
        <f>IF(OR(B531="",C531&lt;&gt;"Expense"),"",IF(E531&gt;IFERROR(AVERAGEIFS($E$8:$E$1007,$I$8:$I$1007,I531,$C$8:$C$1007,"Expense")*SETTINGS!$B$20,0),"Unusually High","Normal"))</f>
        <v/>
      </c>
      <c r="AC531" s="51"/>
      <c r="AD531" s="51"/>
      <c r="AE531" s="51"/>
      <c r="AF531" s="50" t="str">
        <f>IF(A531&lt;&gt;"Yes","No",IF(AND(AC531="Yes",SETTINGS!$B$16="No"),"No","Yes"))</f>
        <v>No</v>
      </c>
      <c r="AG531" s="50" t="str">
        <f>IF(A531&lt;&gt;"Yes","",IF(OR(B531="",D531="",E531&lt;=0,F531="",I531=""),"Check Required Fields",IF(AA531="Possible Duplicate","Possible Duplicate",IF(E531&gt;SETTINGS!$B$22,"Review Extreme Value","OK"))))</f>
        <v/>
      </c>
    </row>
    <row r="532" spans="1:33" ht="14.4">
      <c r="A532" s="9"/>
      <c r="B532" s="13"/>
      <c r="C532" s="9"/>
      <c r="D532" s="9"/>
      <c r="E532" s="11"/>
      <c r="F532" s="9"/>
      <c r="G532" s="9"/>
      <c r="H532" s="44" t="str">
        <f>IF(D532="","",IF(ISNUMBER(SEARCH(SETTINGS!$K$4,D532)),SETTINGS!$L$4,IF(ISNUMBER(SEARCH(SETTINGS!$K$5,D532)),SETTINGS!$L$5,IF(ISNUMBER(SEARCH(SETTINGS!$K$6,D532)),SETTINGS!$L$6,IF(ISNUMBER(SEARCH(SETTINGS!$K$7,D532)),SETTINGS!$L$7,IF(ISNUMBER(SEARCH(SETTINGS!$K$8,D532)),SETTINGS!$L$8,IF(ISNUMBER(SEARCH(SETTINGS!$K$9,D532)),SETTINGS!$L$9,IF(ISNUMBER(SEARCH(SETTINGS!$K$10,D532)),SETTINGS!$L$10,IF(ISNUMBER(SEARCH(SETTINGS!$K$11,D532)),SETTINGS!$L$11,IF(ISNUMBER(SEARCH(SETTINGS!$K$12,D532)),SETTINGS!$L$12,IF(ISNUMBER(SEARCH(SETTINGS!$K$13,D532)),SETTINGS!$L$13,IF(ISNUMBER(SEARCH(SETTINGS!$K$14,D532)),SETTINGS!$L$14,IF(ISNUMBER(SEARCH(SETTINGS!$K$15,D532)),SETTINGS!$L$15,IF(ISNUMBER(SEARCH(SETTINGS!$K$16,D532)),SETTINGS!$L$16,IF(ISNUMBER(SEARCH(SETTINGS!$K$17,D532)),SETTINGS!$L$17,IF(ISNUMBER(SEARCH(SETTINGS!$K$18,D532)),SETTINGS!$L$18,"Miscellaneous"))))))))))))))))</f>
        <v/>
      </c>
      <c r="I532" s="44" t="str">
        <f t="shared" si="64"/>
        <v/>
      </c>
      <c r="J532" s="9"/>
      <c r="K532" s="9"/>
      <c r="L532" s="9"/>
      <c r="M532" s="9"/>
      <c r="N532" s="9"/>
      <c r="O532" s="9"/>
      <c r="P532" s="13"/>
      <c r="Q532" s="9"/>
      <c r="R532" s="9"/>
      <c r="S532" s="9"/>
      <c r="T532" s="11"/>
      <c r="U532" s="44" t="str">
        <f t="shared" si="65"/>
        <v/>
      </c>
      <c r="V532" s="44" t="str">
        <f t="shared" si="66"/>
        <v/>
      </c>
      <c r="W532" s="44" t="str">
        <f t="shared" si="67"/>
        <v/>
      </c>
      <c r="X532" s="44" t="str">
        <f t="shared" si="68"/>
        <v/>
      </c>
      <c r="Y532" s="44" t="str">
        <f t="shared" si="69"/>
        <v/>
      </c>
      <c r="Z532" s="44" t="str">
        <f t="shared" si="70"/>
        <v/>
      </c>
      <c r="AA532" s="50" t="str">
        <f t="shared" si="71"/>
        <v/>
      </c>
      <c r="AB532" s="50" t="str">
        <f>IF(OR(B532="",C532&lt;&gt;"Expense"),"",IF(E532&gt;IFERROR(AVERAGEIFS($E$8:$E$1007,$I$8:$I$1007,I532,$C$8:$C$1007,"Expense")*SETTINGS!$B$20,0),"Unusually High","Normal"))</f>
        <v/>
      </c>
      <c r="AC532" s="51"/>
      <c r="AD532" s="51"/>
      <c r="AE532" s="51"/>
      <c r="AF532" s="50" t="str">
        <f>IF(A532&lt;&gt;"Yes","No",IF(AND(AC532="Yes",SETTINGS!$B$16="No"),"No","Yes"))</f>
        <v>No</v>
      </c>
      <c r="AG532" s="50" t="str">
        <f>IF(A532&lt;&gt;"Yes","",IF(OR(B532="",D532="",E532&lt;=0,F532="",I532=""),"Check Required Fields",IF(AA532="Possible Duplicate","Possible Duplicate",IF(E532&gt;SETTINGS!$B$22,"Review Extreme Value","OK"))))</f>
        <v/>
      </c>
    </row>
    <row r="533" spans="1:33" ht="14.4">
      <c r="A533" s="9"/>
      <c r="B533" s="13"/>
      <c r="C533" s="9"/>
      <c r="D533" s="9"/>
      <c r="E533" s="11"/>
      <c r="F533" s="9"/>
      <c r="G533" s="9"/>
      <c r="H533" s="44" t="str">
        <f>IF(D533="","",IF(ISNUMBER(SEARCH(SETTINGS!$K$4,D533)),SETTINGS!$L$4,IF(ISNUMBER(SEARCH(SETTINGS!$K$5,D533)),SETTINGS!$L$5,IF(ISNUMBER(SEARCH(SETTINGS!$K$6,D533)),SETTINGS!$L$6,IF(ISNUMBER(SEARCH(SETTINGS!$K$7,D533)),SETTINGS!$L$7,IF(ISNUMBER(SEARCH(SETTINGS!$K$8,D533)),SETTINGS!$L$8,IF(ISNUMBER(SEARCH(SETTINGS!$K$9,D533)),SETTINGS!$L$9,IF(ISNUMBER(SEARCH(SETTINGS!$K$10,D533)),SETTINGS!$L$10,IF(ISNUMBER(SEARCH(SETTINGS!$K$11,D533)),SETTINGS!$L$11,IF(ISNUMBER(SEARCH(SETTINGS!$K$12,D533)),SETTINGS!$L$12,IF(ISNUMBER(SEARCH(SETTINGS!$K$13,D533)),SETTINGS!$L$13,IF(ISNUMBER(SEARCH(SETTINGS!$K$14,D533)),SETTINGS!$L$14,IF(ISNUMBER(SEARCH(SETTINGS!$K$15,D533)),SETTINGS!$L$15,IF(ISNUMBER(SEARCH(SETTINGS!$K$16,D533)),SETTINGS!$L$16,IF(ISNUMBER(SEARCH(SETTINGS!$K$17,D533)),SETTINGS!$L$17,IF(ISNUMBER(SEARCH(SETTINGS!$K$18,D533)),SETTINGS!$L$18,"Miscellaneous"))))))))))))))))</f>
        <v/>
      </c>
      <c r="I533" s="44" t="str">
        <f t="shared" si="64"/>
        <v/>
      </c>
      <c r="J533" s="9"/>
      <c r="K533" s="9"/>
      <c r="L533" s="9"/>
      <c r="M533" s="9"/>
      <c r="N533" s="9"/>
      <c r="O533" s="9"/>
      <c r="P533" s="13"/>
      <c r="Q533" s="9"/>
      <c r="R533" s="9"/>
      <c r="S533" s="9"/>
      <c r="T533" s="11"/>
      <c r="U533" s="44" t="str">
        <f t="shared" si="65"/>
        <v/>
      </c>
      <c r="V533" s="44" t="str">
        <f t="shared" si="66"/>
        <v/>
      </c>
      <c r="W533" s="44" t="str">
        <f t="shared" si="67"/>
        <v/>
      </c>
      <c r="X533" s="44" t="str">
        <f t="shared" si="68"/>
        <v/>
      </c>
      <c r="Y533" s="44" t="str">
        <f t="shared" si="69"/>
        <v/>
      </c>
      <c r="Z533" s="44" t="str">
        <f t="shared" si="70"/>
        <v/>
      </c>
      <c r="AA533" s="50" t="str">
        <f t="shared" si="71"/>
        <v/>
      </c>
      <c r="AB533" s="50" t="str">
        <f>IF(OR(B533="",C533&lt;&gt;"Expense"),"",IF(E533&gt;IFERROR(AVERAGEIFS($E$8:$E$1007,$I$8:$I$1007,I533,$C$8:$C$1007,"Expense")*SETTINGS!$B$20,0),"Unusually High","Normal"))</f>
        <v/>
      </c>
      <c r="AC533" s="51"/>
      <c r="AD533" s="51"/>
      <c r="AE533" s="51"/>
      <c r="AF533" s="50" t="str">
        <f>IF(A533&lt;&gt;"Yes","No",IF(AND(AC533="Yes",SETTINGS!$B$16="No"),"No","Yes"))</f>
        <v>No</v>
      </c>
      <c r="AG533" s="50" t="str">
        <f>IF(A533&lt;&gt;"Yes","",IF(OR(B533="",D533="",E533&lt;=0,F533="",I533=""),"Check Required Fields",IF(AA533="Possible Duplicate","Possible Duplicate",IF(E533&gt;SETTINGS!$B$22,"Review Extreme Value","OK"))))</f>
        <v/>
      </c>
    </row>
    <row r="534" spans="1:33" ht="14.4">
      <c r="A534" s="9"/>
      <c r="B534" s="13"/>
      <c r="C534" s="9"/>
      <c r="D534" s="9"/>
      <c r="E534" s="11"/>
      <c r="F534" s="9"/>
      <c r="G534" s="9"/>
      <c r="H534" s="44" t="str">
        <f>IF(D534="","",IF(ISNUMBER(SEARCH(SETTINGS!$K$4,D534)),SETTINGS!$L$4,IF(ISNUMBER(SEARCH(SETTINGS!$K$5,D534)),SETTINGS!$L$5,IF(ISNUMBER(SEARCH(SETTINGS!$K$6,D534)),SETTINGS!$L$6,IF(ISNUMBER(SEARCH(SETTINGS!$K$7,D534)),SETTINGS!$L$7,IF(ISNUMBER(SEARCH(SETTINGS!$K$8,D534)),SETTINGS!$L$8,IF(ISNUMBER(SEARCH(SETTINGS!$K$9,D534)),SETTINGS!$L$9,IF(ISNUMBER(SEARCH(SETTINGS!$K$10,D534)),SETTINGS!$L$10,IF(ISNUMBER(SEARCH(SETTINGS!$K$11,D534)),SETTINGS!$L$11,IF(ISNUMBER(SEARCH(SETTINGS!$K$12,D534)),SETTINGS!$L$12,IF(ISNUMBER(SEARCH(SETTINGS!$K$13,D534)),SETTINGS!$L$13,IF(ISNUMBER(SEARCH(SETTINGS!$K$14,D534)),SETTINGS!$L$14,IF(ISNUMBER(SEARCH(SETTINGS!$K$15,D534)),SETTINGS!$L$15,IF(ISNUMBER(SEARCH(SETTINGS!$K$16,D534)),SETTINGS!$L$16,IF(ISNUMBER(SEARCH(SETTINGS!$K$17,D534)),SETTINGS!$L$17,IF(ISNUMBER(SEARCH(SETTINGS!$K$18,D534)),SETTINGS!$L$18,"Miscellaneous"))))))))))))))))</f>
        <v/>
      </c>
      <c r="I534" s="44" t="str">
        <f t="shared" si="64"/>
        <v/>
      </c>
      <c r="J534" s="9"/>
      <c r="K534" s="9"/>
      <c r="L534" s="9"/>
      <c r="M534" s="9"/>
      <c r="N534" s="9"/>
      <c r="O534" s="9"/>
      <c r="P534" s="13"/>
      <c r="Q534" s="9"/>
      <c r="R534" s="9"/>
      <c r="S534" s="9"/>
      <c r="T534" s="11"/>
      <c r="U534" s="44" t="str">
        <f t="shared" si="65"/>
        <v/>
      </c>
      <c r="V534" s="44" t="str">
        <f t="shared" si="66"/>
        <v/>
      </c>
      <c r="W534" s="44" t="str">
        <f t="shared" si="67"/>
        <v/>
      </c>
      <c r="X534" s="44" t="str">
        <f t="shared" si="68"/>
        <v/>
      </c>
      <c r="Y534" s="44" t="str">
        <f t="shared" si="69"/>
        <v/>
      </c>
      <c r="Z534" s="44" t="str">
        <f t="shared" si="70"/>
        <v/>
      </c>
      <c r="AA534" s="50" t="str">
        <f t="shared" si="71"/>
        <v/>
      </c>
      <c r="AB534" s="50" t="str">
        <f>IF(OR(B534="",C534&lt;&gt;"Expense"),"",IF(E534&gt;IFERROR(AVERAGEIFS($E$8:$E$1007,$I$8:$I$1007,I534,$C$8:$C$1007,"Expense")*SETTINGS!$B$20,0),"Unusually High","Normal"))</f>
        <v/>
      </c>
      <c r="AC534" s="51"/>
      <c r="AD534" s="51"/>
      <c r="AE534" s="51"/>
      <c r="AF534" s="50" t="str">
        <f>IF(A534&lt;&gt;"Yes","No",IF(AND(AC534="Yes",SETTINGS!$B$16="No"),"No","Yes"))</f>
        <v>No</v>
      </c>
      <c r="AG534" s="50" t="str">
        <f>IF(A534&lt;&gt;"Yes","",IF(OR(B534="",D534="",E534&lt;=0,F534="",I534=""),"Check Required Fields",IF(AA534="Possible Duplicate","Possible Duplicate",IF(E534&gt;SETTINGS!$B$22,"Review Extreme Value","OK"))))</f>
        <v/>
      </c>
    </row>
    <row r="535" spans="1:33" ht="14.4">
      <c r="A535" s="9"/>
      <c r="B535" s="13"/>
      <c r="C535" s="9"/>
      <c r="D535" s="9"/>
      <c r="E535" s="11"/>
      <c r="F535" s="9"/>
      <c r="G535" s="9"/>
      <c r="H535" s="44" t="str">
        <f>IF(D535="","",IF(ISNUMBER(SEARCH(SETTINGS!$K$4,D535)),SETTINGS!$L$4,IF(ISNUMBER(SEARCH(SETTINGS!$K$5,D535)),SETTINGS!$L$5,IF(ISNUMBER(SEARCH(SETTINGS!$K$6,D535)),SETTINGS!$L$6,IF(ISNUMBER(SEARCH(SETTINGS!$K$7,D535)),SETTINGS!$L$7,IF(ISNUMBER(SEARCH(SETTINGS!$K$8,D535)),SETTINGS!$L$8,IF(ISNUMBER(SEARCH(SETTINGS!$K$9,D535)),SETTINGS!$L$9,IF(ISNUMBER(SEARCH(SETTINGS!$K$10,D535)),SETTINGS!$L$10,IF(ISNUMBER(SEARCH(SETTINGS!$K$11,D535)),SETTINGS!$L$11,IF(ISNUMBER(SEARCH(SETTINGS!$K$12,D535)),SETTINGS!$L$12,IF(ISNUMBER(SEARCH(SETTINGS!$K$13,D535)),SETTINGS!$L$13,IF(ISNUMBER(SEARCH(SETTINGS!$K$14,D535)),SETTINGS!$L$14,IF(ISNUMBER(SEARCH(SETTINGS!$K$15,D535)),SETTINGS!$L$15,IF(ISNUMBER(SEARCH(SETTINGS!$K$16,D535)),SETTINGS!$L$16,IF(ISNUMBER(SEARCH(SETTINGS!$K$17,D535)),SETTINGS!$L$17,IF(ISNUMBER(SEARCH(SETTINGS!$K$18,D535)),SETTINGS!$L$18,"Miscellaneous"))))))))))))))))</f>
        <v/>
      </c>
      <c r="I535" s="44" t="str">
        <f t="shared" si="64"/>
        <v/>
      </c>
      <c r="J535" s="9"/>
      <c r="K535" s="9"/>
      <c r="L535" s="9"/>
      <c r="M535" s="9"/>
      <c r="N535" s="9"/>
      <c r="O535" s="9"/>
      <c r="P535" s="13"/>
      <c r="Q535" s="9"/>
      <c r="R535" s="9"/>
      <c r="S535" s="9"/>
      <c r="T535" s="11"/>
      <c r="U535" s="44" t="str">
        <f t="shared" si="65"/>
        <v/>
      </c>
      <c r="V535" s="44" t="str">
        <f t="shared" si="66"/>
        <v/>
      </c>
      <c r="W535" s="44" t="str">
        <f t="shared" si="67"/>
        <v/>
      </c>
      <c r="X535" s="44" t="str">
        <f t="shared" si="68"/>
        <v/>
      </c>
      <c r="Y535" s="44" t="str">
        <f t="shared" si="69"/>
        <v/>
      </c>
      <c r="Z535" s="44" t="str">
        <f t="shared" si="70"/>
        <v/>
      </c>
      <c r="AA535" s="50" t="str">
        <f t="shared" si="71"/>
        <v/>
      </c>
      <c r="AB535" s="50" t="str">
        <f>IF(OR(B535="",C535&lt;&gt;"Expense"),"",IF(E535&gt;IFERROR(AVERAGEIFS($E$8:$E$1007,$I$8:$I$1007,I535,$C$8:$C$1007,"Expense")*SETTINGS!$B$20,0),"Unusually High","Normal"))</f>
        <v/>
      </c>
      <c r="AC535" s="51"/>
      <c r="AD535" s="51"/>
      <c r="AE535" s="51"/>
      <c r="AF535" s="50" t="str">
        <f>IF(A535&lt;&gt;"Yes","No",IF(AND(AC535="Yes",SETTINGS!$B$16="No"),"No","Yes"))</f>
        <v>No</v>
      </c>
      <c r="AG535" s="50" t="str">
        <f>IF(A535&lt;&gt;"Yes","",IF(OR(B535="",D535="",E535&lt;=0,F535="",I535=""),"Check Required Fields",IF(AA535="Possible Duplicate","Possible Duplicate",IF(E535&gt;SETTINGS!$B$22,"Review Extreme Value","OK"))))</f>
        <v/>
      </c>
    </row>
    <row r="536" spans="1:33" ht="14.4">
      <c r="A536" s="9"/>
      <c r="B536" s="13"/>
      <c r="C536" s="9"/>
      <c r="D536" s="9"/>
      <c r="E536" s="11"/>
      <c r="F536" s="9"/>
      <c r="G536" s="9"/>
      <c r="H536" s="44" t="str">
        <f>IF(D536="","",IF(ISNUMBER(SEARCH(SETTINGS!$K$4,D536)),SETTINGS!$L$4,IF(ISNUMBER(SEARCH(SETTINGS!$K$5,D536)),SETTINGS!$L$5,IF(ISNUMBER(SEARCH(SETTINGS!$K$6,D536)),SETTINGS!$L$6,IF(ISNUMBER(SEARCH(SETTINGS!$K$7,D536)),SETTINGS!$L$7,IF(ISNUMBER(SEARCH(SETTINGS!$K$8,D536)),SETTINGS!$L$8,IF(ISNUMBER(SEARCH(SETTINGS!$K$9,D536)),SETTINGS!$L$9,IF(ISNUMBER(SEARCH(SETTINGS!$K$10,D536)),SETTINGS!$L$10,IF(ISNUMBER(SEARCH(SETTINGS!$K$11,D536)),SETTINGS!$L$11,IF(ISNUMBER(SEARCH(SETTINGS!$K$12,D536)),SETTINGS!$L$12,IF(ISNUMBER(SEARCH(SETTINGS!$K$13,D536)),SETTINGS!$L$13,IF(ISNUMBER(SEARCH(SETTINGS!$K$14,D536)),SETTINGS!$L$14,IF(ISNUMBER(SEARCH(SETTINGS!$K$15,D536)),SETTINGS!$L$15,IF(ISNUMBER(SEARCH(SETTINGS!$K$16,D536)),SETTINGS!$L$16,IF(ISNUMBER(SEARCH(SETTINGS!$K$17,D536)),SETTINGS!$L$17,IF(ISNUMBER(SEARCH(SETTINGS!$K$18,D536)),SETTINGS!$L$18,"Miscellaneous"))))))))))))))))</f>
        <v/>
      </c>
      <c r="I536" s="44" t="str">
        <f t="shared" si="64"/>
        <v/>
      </c>
      <c r="J536" s="9"/>
      <c r="K536" s="9"/>
      <c r="L536" s="9"/>
      <c r="M536" s="9"/>
      <c r="N536" s="9"/>
      <c r="O536" s="9"/>
      <c r="P536" s="13"/>
      <c r="Q536" s="9"/>
      <c r="R536" s="9"/>
      <c r="S536" s="9"/>
      <c r="T536" s="11"/>
      <c r="U536" s="44" t="str">
        <f t="shared" si="65"/>
        <v/>
      </c>
      <c r="V536" s="44" t="str">
        <f t="shared" si="66"/>
        <v/>
      </c>
      <c r="W536" s="44" t="str">
        <f t="shared" si="67"/>
        <v/>
      </c>
      <c r="X536" s="44" t="str">
        <f t="shared" si="68"/>
        <v/>
      </c>
      <c r="Y536" s="44" t="str">
        <f t="shared" si="69"/>
        <v/>
      </c>
      <c r="Z536" s="44" t="str">
        <f t="shared" si="70"/>
        <v/>
      </c>
      <c r="AA536" s="50" t="str">
        <f t="shared" si="71"/>
        <v/>
      </c>
      <c r="AB536" s="50" t="str">
        <f>IF(OR(B536="",C536&lt;&gt;"Expense"),"",IF(E536&gt;IFERROR(AVERAGEIFS($E$8:$E$1007,$I$8:$I$1007,I536,$C$8:$C$1007,"Expense")*SETTINGS!$B$20,0),"Unusually High","Normal"))</f>
        <v/>
      </c>
      <c r="AC536" s="51"/>
      <c r="AD536" s="51"/>
      <c r="AE536" s="51"/>
      <c r="AF536" s="50" t="str">
        <f>IF(A536&lt;&gt;"Yes","No",IF(AND(AC536="Yes",SETTINGS!$B$16="No"),"No","Yes"))</f>
        <v>No</v>
      </c>
      <c r="AG536" s="50" t="str">
        <f>IF(A536&lt;&gt;"Yes","",IF(OR(B536="",D536="",E536&lt;=0,F536="",I536=""),"Check Required Fields",IF(AA536="Possible Duplicate","Possible Duplicate",IF(E536&gt;SETTINGS!$B$22,"Review Extreme Value","OK"))))</f>
        <v/>
      </c>
    </row>
    <row r="537" spans="1:33" ht="14.4">
      <c r="A537" s="9"/>
      <c r="B537" s="13"/>
      <c r="C537" s="9"/>
      <c r="D537" s="9"/>
      <c r="E537" s="11"/>
      <c r="F537" s="9"/>
      <c r="G537" s="9"/>
      <c r="H537" s="44" t="str">
        <f>IF(D537="","",IF(ISNUMBER(SEARCH(SETTINGS!$K$4,D537)),SETTINGS!$L$4,IF(ISNUMBER(SEARCH(SETTINGS!$K$5,D537)),SETTINGS!$L$5,IF(ISNUMBER(SEARCH(SETTINGS!$K$6,D537)),SETTINGS!$L$6,IF(ISNUMBER(SEARCH(SETTINGS!$K$7,D537)),SETTINGS!$L$7,IF(ISNUMBER(SEARCH(SETTINGS!$K$8,D537)),SETTINGS!$L$8,IF(ISNUMBER(SEARCH(SETTINGS!$K$9,D537)),SETTINGS!$L$9,IF(ISNUMBER(SEARCH(SETTINGS!$K$10,D537)),SETTINGS!$L$10,IF(ISNUMBER(SEARCH(SETTINGS!$K$11,D537)),SETTINGS!$L$11,IF(ISNUMBER(SEARCH(SETTINGS!$K$12,D537)),SETTINGS!$L$12,IF(ISNUMBER(SEARCH(SETTINGS!$K$13,D537)),SETTINGS!$L$13,IF(ISNUMBER(SEARCH(SETTINGS!$K$14,D537)),SETTINGS!$L$14,IF(ISNUMBER(SEARCH(SETTINGS!$K$15,D537)),SETTINGS!$L$15,IF(ISNUMBER(SEARCH(SETTINGS!$K$16,D537)),SETTINGS!$L$16,IF(ISNUMBER(SEARCH(SETTINGS!$K$17,D537)),SETTINGS!$L$17,IF(ISNUMBER(SEARCH(SETTINGS!$K$18,D537)),SETTINGS!$L$18,"Miscellaneous"))))))))))))))))</f>
        <v/>
      </c>
      <c r="I537" s="44" t="str">
        <f t="shared" si="64"/>
        <v/>
      </c>
      <c r="J537" s="9"/>
      <c r="K537" s="9"/>
      <c r="L537" s="9"/>
      <c r="M537" s="9"/>
      <c r="N537" s="9"/>
      <c r="O537" s="9"/>
      <c r="P537" s="13"/>
      <c r="Q537" s="9"/>
      <c r="R537" s="9"/>
      <c r="S537" s="9"/>
      <c r="T537" s="11"/>
      <c r="U537" s="44" t="str">
        <f t="shared" si="65"/>
        <v/>
      </c>
      <c r="V537" s="44" t="str">
        <f t="shared" si="66"/>
        <v/>
      </c>
      <c r="W537" s="44" t="str">
        <f t="shared" si="67"/>
        <v/>
      </c>
      <c r="X537" s="44" t="str">
        <f t="shared" si="68"/>
        <v/>
      </c>
      <c r="Y537" s="44" t="str">
        <f t="shared" si="69"/>
        <v/>
      </c>
      <c r="Z537" s="44" t="str">
        <f t="shared" si="70"/>
        <v/>
      </c>
      <c r="AA537" s="50" t="str">
        <f t="shared" si="71"/>
        <v/>
      </c>
      <c r="AB537" s="50" t="str">
        <f>IF(OR(B537="",C537&lt;&gt;"Expense"),"",IF(E537&gt;IFERROR(AVERAGEIFS($E$8:$E$1007,$I$8:$I$1007,I537,$C$8:$C$1007,"Expense")*SETTINGS!$B$20,0),"Unusually High","Normal"))</f>
        <v/>
      </c>
      <c r="AC537" s="51"/>
      <c r="AD537" s="51"/>
      <c r="AE537" s="51"/>
      <c r="AF537" s="50" t="str">
        <f>IF(A537&lt;&gt;"Yes","No",IF(AND(AC537="Yes",SETTINGS!$B$16="No"),"No","Yes"))</f>
        <v>No</v>
      </c>
      <c r="AG537" s="50" t="str">
        <f>IF(A537&lt;&gt;"Yes","",IF(OR(B537="",D537="",E537&lt;=0,F537="",I537=""),"Check Required Fields",IF(AA537="Possible Duplicate","Possible Duplicate",IF(E537&gt;SETTINGS!$B$22,"Review Extreme Value","OK"))))</f>
        <v/>
      </c>
    </row>
    <row r="538" spans="1:33" ht="14.4">
      <c r="A538" s="9"/>
      <c r="B538" s="13"/>
      <c r="C538" s="9"/>
      <c r="D538" s="9"/>
      <c r="E538" s="11"/>
      <c r="F538" s="9"/>
      <c r="G538" s="9"/>
      <c r="H538" s="44" t="str">
        <f>IF(D538="","",IF(ISNUMBER(SEARCH(SETTINGS!$K$4,D538)),SETTINGS!$L$4,IF(ISNUMBER(SEARCH(SETTINGS!$K$5,D538)),SETTINGS!$L$5,IF(ISNUMBER(SEARCH(SETTINGS!$K$6,D538)),SETTINGS!$L$6,IF(ISNUMBER(SEARCH(SETTINGS!$K$7,D538)),SETTINGS!$L$7,IF(ISNUMBER(SEARCH(SETTINGS!$K$8,D538)),SETTINGS!$L$8,IF(ISNUMBER(SEARCH(SETTINGS!$K$9,D538)),SETTINGS!$L$9,IF(ISNUMBER(SEARCH(SETTINGS!$K$10,D538)),SETTINGS!$L$10,IF(ISNUMBER(SEARCH(SETTINGS!$K$11,D538)),SETTINGS!$L$11,IF(ISNUMBER(SEARCH(SETTINGS!$K$12,D538)),SETTINGS!$L$12,IF(ISNUMBER(SEARCH(SETTINGS!$K$13,D538)),SETTINGS!$L$13,IF(ISNUMBER(SEARCH(SETTINGS!$K$14,D538)),SETTINGS!$L$14,IF(ISNUMBER(SEARCH(SETTINGS!$K$15,D538)),SETTINGS!$L$15,IF(ISNUMBER(SEARCH(SETTINGS!$K$16,D538)),SETTINGS!$L$16,IF(ISNUMBER(SEARCH(SETTINGS!$K$17,D538)),SETTINGS!$L$17,IF(ISNUMBER(SEARCH(SETTINGS!$K$18,D538)),SETTINGS!$L$18,"Miscellaneous"))))))))))))))))</f>
        <v/>
      </c>
      <c r="I538" s="44" t="str">
        <f t="shared" si="64"/>
        <v/>
      </c>
      <c r="J538" s="9"/>
      <c r="K538" s="9"/>
      <c r="L538" s="9"/>
      <c r="M538" s="9"/>
      <c r="N538" s="9"/>
      <c r="O538" s="9"/>
      <c r="P538" s="13"/>
      <c r="Q538" s="9"/>
      <c r="R538" s="9"/>
      <c r="S538" s="9"/>
      <c r="T538" s="11"/>
      <c r="U538" s="44" t="str">
        <f t="shared" si="65"/>
        <v/>
      </c>
      <c r="V538" s="44" t="str">
        <f t="shared" si="66"/>
        <v/>
      </c>
      <c r="W538" s="44" t="str">
        <f t="shared" si="67"/>
        <v/>
      </c>
      <c r="X538" s="44" t="str">
        <f t="shared" si="68"/>
        <v/>
      </c>
      <c r="Y538" s="44" t="str">
        <f t="shared" si="69"/>
        <v/>
      </c>
      <c r="Z538" s="44" t="str">
        <f t="shared" si="70"/>
        <v/>
      </c>
      <c r="AA538" s="50" t="str">
        <f t="shared" si="71"/>
        <v/>
      </c>
      <c r="AB538" s="50" t="str">
        <f>IF(OR(B538="",C538&lt;&gt;"Expense"),"",IF(E538&gt;IFERROR(AVERAGEIFS($E$8:$E$1007,$I$8:$I$1007,I538,$C$8:$C$1007,"Expense")*SETTINGS!$B$20,0),"Unusually High","Normal"))</f>
        <v/>
      </c>
      <c r="AC538" s="51"/>
      <c r="AD538" s="51"/>
      <c r="AE538" s="51"/>
      <c r="AF538" s="50" t="str">
        <f>IF(A538&lt;&gt;"Yes","No",IF(AND(AC538="Yes",SETTINGS!$B$16="No"),"No","Yes"))</f>
        <v>No</v>
      </c>
      <c r="AG538" s="50" t="str">
        <f>IF(A538&lt;&gt;"Yes","",IF(OR(B538="",D538="",E538&lt;=0,F538="",I538=""),"Check Required Fields",IF(AA538="Possible Duplicate","Possible Duplicate",IF(E538&gt;SETTINGS!$B$22,"Review Extreme Value","OK"))))</f>
        <v/>
      </c>
    </row>
    <row r="539" spans="1:33" ht="14.4">
      <c r="A539" s="9"/>
      <c r="B539" s="13"/>
      <c r="C539" s="9"/>
      <c r="D539" s="9"/>
      <c r="E539" s="11"/>
      <c r="F539" s="9"/>
      <c r="G539" s="9"/>
      <c r="H539" s="44" t="str">
        <f>IF(D539="","",IF(ISNUMBER(SEARCH(SETTINGS!$K$4,D539)),SETTINGS!$L$4,IF(ISNUMBER(SEARCH(SETTINGS!$K$5,D539)),SETTINGS!$L$5,IF(ISNUMBER(SEARCH(SETTINGS!$K$6,D539)),SETTINGS!$L$6,IF(ISNUMBER(SEARCH(SETTINGS!$K$7,D539)),SETTINGS!$L$7,IF(ISNUMBER(SEARCH(SETTINGS!$K$8,D539)),SETTINGS!$L$8,IF(ISNUMBER(SEARCH(SETTINGS!$K$9,D539)),SETTINGS!$L$9,IF(ISNUMBER(SEARCH(SETTINGS!$K$10,D539)),SETTINGS!$L$10,IF(ISNUMBER(SEARCH(SETTINGS!$K$11,D539)),SETTINGS!$L$11,IF(ISNUMBER(SEARCH(SETTINGS!$K$12,D539)),SETTINGS!$L$12,IF(ISNUMBER(SEARCH(SETTINGS!$K$13,D539)),SETTINGS!$L$13,IF(ISNUMBER(SEARCH(SETTINGS!$K$14,D539)),SETTINGS!$L$14,IF(ISNUMBER(SEARCH(SETTINGS!$K$15,D539)),SETTINGS!$L$15,IF(ISNUMBER(SEARCH(SETTINGS!$K$16,D539)),SETTINGS!$L$16,IF(ISNUMBER(SEARCH(SETTINGS!$K$17,D539)),SETTINGS!$L$17,IF(ISNUMBER(SEARCH(SETTINGS!$K$18,D539)),SETTINGS!$L$18,"Miscellaneous"))))))))))))))))</f>
        <v/>
      </c>
      <c r="I539" s="44" t="str">
        <f t="shared" si="64"/>
        <v/>
      </c>
      <c r="J539" s="9"/>
      <c r="K539" s="9"/>
      <c r="L539" s="9"/>
      <c r="M539" s="9"/>
      <c r="N539" s="9"/>
      <c r="O539" s="9"/>
      <c r="P539" s="13"/>
      <c r="Q539" s="9"/>
      <c r="R539" s="9"/>
      <c r="S539" s="9"/>
      <c r="T539" s="11"/>
      <c r="U539" s="44" t="str">
        <f t="shared" si="65"/>
        <v/>
      </c>
      <c r="V539" s="44" t="str">
        <f t="shared" si="66"/>
        <v/>
      </c>
      <c r="W539" s="44" t="str">
        <f t="shared" si="67"/>
        <v/>
      </c>
      <c r="X539" s="44" t="str">
        <f t="shared" si="68"/>
        <v/>
      </c>
      <c r="Y539" s="44" t="str">
        <f t="shared" si="69"/>
        <v/>
      </c>
      <c r="Z539" s="44" t="str">
        <f t="shared" si="70"/>
        <v/>
      </c>
      <c r="AA539" s="50" t="str">
        <f t="shared" si="71"/>
        <v/>
      </c>
      <c r="AB539" s="50" t="str">
        <f>IF(OR(B539="",C539&lt;&gt;"Expense"),"",IF(E539&gt;IFERROR(AVERAGEIFS($E$8:$E$1007,$I$8:$I$1007,I539,$C$8:$C$1007,"Expense")*SETTINGS!$B$20,0),"Unusually High","Normal"))</f>
        <v/>
      </c>
      <c r="AC539" s="51"/>
      <c r="AD539" s="51"/>
      <c r="AE539" s="51"/>
      <c r="AF539" s="50" t="str">
        <f>IF(A539&lt;&gt;"Yes","No",IF(AND(AC539="Yes",SETTINGS!$B$16="No"),"No","Yes"))</f>
        <v>No</v>
      </c>
      <c r="AG539" s="50" t="str">
        <f>IF(A539&lt;&gt;"Yes","",IF(OR(B539="",D539="",E539&lt;=0,F539="",I539=""),"Check Required Fields",IF(AA539="Possible Duplicate","Possible Duplicate",IF(E539&gt;SETTINGS!$B$22,"Review Extreme Value","OK"))))</f>
        <v/>
      </c>
    </row>
    <row r="540" spans="1:33" ht="14.4">
      <c r="A540" s="9"/>
      <c r="B540" s="13"/>
      <c r="C540" s="9"/>
      <c r="D540" s="9"/>
      <c r="E540" s="11"/>
      <c r="F540" s="9"/>
      <c r="G540" s="9"/>
      <c r="H540" s="44" t="str">
        <f>IF(D540="","",IF(ISNUMBER(SEARCH(SETTINGS!$K$4,D540)),SETTINGS!$L$4,IF(ISNUMBER(SEARCH(SETTINGS!$K$5,D540)),SETTINGS!$L$5,IF(ISNUMBER(SEARCH(SETTINGS!$K$6,D540)),SETTINGS!$L$6,IF(ISNUMBER(SEARCH(SETTINGS!$K$7,D540)),SETTINGS!$L$7,IF(ISNUMBER(SEARCH(SETTINGS!$K$8,D540)),SETTINGS!$L$8,IF(ISNUMBER(SEARCH(SETTINGS!$K$9,D540)),SETTINGS!$L$9,IF(ISNUMBER(SEARCH(SETTINGS!$K$10,D540)),SETTINGS!$L$10,IF(ISNUMBER(SEARCH(SETTINGS!$K$11,D540)),SETTINGS!$L$11,IF(ISNUMBER(SEARCH(SETTINGS!$K$12,D540)),SETTINGS!$L$12,IF(ISNUMBER(SEARCH(SETTINGS!$K$13,D540)),SETTINGS!$L$13,IF(ISNUMBER(SEARCH(SETTINGS!$K$14,D540)),SETTINGS!$L$14,IF(ISNUMBER(SEARCH(SETTINGS!$K$15,D540)),SETTINGS!$L$15,IF(ISNUMBER(SEARCH(SETTINGS!$K$16,D540)),SETTINGS!$L$16,IF(ISNUMBER(SEARCH(SETTINGS!$K$17,D540)),SETTINGS!$L$17,IF(ISNUMBER(SEARCH(SETTINGS!$K$18,D540)),SETTINGS!$L$18,"Miscellaneous"))))))))))))))))</f>
        <v/>
      </c>
      <c r="I540" s="44" t="str">
        <f t="shared" si="64"/>
        <v/>
      </c>
      <c r="J540" s="9"/>
      <c r="K540" s="9"/>
      <c r="L540" s="9"/>
      <c r="M540" s="9"/>
      <c r="N540" s="9"/>
      <c r="O540" s="9"/>
      <c r="P540" s="13"/>
      <c r="Q540" s="9"/>
      <c r="R540" s="9"/>
      <c r="S540" s="9"/>
      <c r="T540" s="11"/>
      <c r="U540" s="44" t="str">
        <f t="shared" si="65"/>
        <v/>
      </c>
      <c r="V540" s="44" t="str">
        <f t="shared" si="66"/>
        <v/>
      </c>
      <c r="W540" s="44" t="str">
        <f t="shared" si="67"/>
        <v/>
      </c>
      <c r="X540" s="44" t="str">
        <f t="shared" si="68"/>
        <v/>
      </c>
      <c r="Y540" s="44" t="str">
        <f t="shared" si="69"/>
        <v/>
      </c>
      <c r="Z540" s="44" t="str">
        <f t="shared" si="70"/>
        <v/>
      </c>
      <c r="AA540" s="50" t="str">
        <f t="shared" si="71"/>
        <v/>
      </c>
      <c r="AB540" s="50" t="str">
        <f>IF(OR(B540="",C540&lt;&gt;"Expense"),"",IF(E540&gt;IFERROR(AVERAGEIFS($E$8:$E$1007,$I$8:$I$1007,I540,$C$8:$C$1007,"Expense")*SETTINGS!$B$20,0),"Unusually High","Normal"))</f>
        <v/>
      </c>
      <c r="AC540" s="51"/>
      <c r="AD540" s="51"/>
      <c r="AE540" s="51"/>
      <c r="AF540" s="50" t="str">
        <f>IF(A540&lt;&gt;"Yes","No",IF(AND(AC540="Yes",SETTINGS!$B$16="No"),"No","Yes"))</f>
        <v>No</v>
      </c>
      <c r="AG540" s="50" t="str">
        <f>IF(A540&lt;&gt;"Yes","",IF(OR(B540="",D540="",E540&lt;=0,F540="",I540=""),"Check Required Fields",IF(AA540="Possible Duplicate","Possible Duplicate",IF(E540&gt;SETTINGS!$B$22,"Review Extreme Value","OK"))))</f>
        <v/>
      </c>
    </row>
    <row r="541" spans="1:33" ht="14.4">
      <c r="A541" s="9"/>
      <c r="B541" s="13"/>
      <c r="C541" s="9"/>
      <c r="D541" s="9"/>
      <c r="E541" s="11"/>
      <c r="F541" s="9"/>
      <c r="G541" s="9"/>
      <c r="H541" s="44" t="str">
        <f>IF(D541="","",IF(ISNUMBER(SEARCH(SETTINGS!$K$4,D541)),SETTINGS!$L$4,IF(ISNUMBER(SEARCH(SETTINGS!$K$5,D541)),SETTINGS!$L$5,IF(ISNUMBER(SEARCH(SETTINGS!$K$6,D541)),SETTINGS!$L$6,IF(ISNUMBER(SEARCH(SETTINGS!$K$7,D541)),SETTINGS!$L$7,IF(ISNUMBER(SEARCH(SETTINGS!$K$8,D541)),SETTINGS!$L$8,IF(ISNUMBER(SEARCH(SETTINGS!$K$9,D541)),SETTINGS!$L$9,IF(ISNUMBER(SEARCH(SETTINGS!$K$10,D541)),SETTINGS!$L$10,IF(ISNUMBER(SEARCH(SETTINGS!$K$11,D541)),SETTINGS!$L$11,IF(ISNUMBER(SEARCH(SETTINGS!$K$12,D541)),SETTINGS!$L$12,IF(ISNUMBER(SEARCH(SETTINGS!$K$13,D541)),SETTINGS!$L$13,IF(ISNUMBER(SEARCH(SETTINGS!$K$14,D541)),SETTINGS!$L$14,IF(ISNUMBER(SEARCH(SETTINGS!$K$15,D541)),SETTINGS!$L$15,IF(ISNUMBER(SEARCH(SETTINGS!$K$16,D541)),SETTINGS!$L$16,IF(ISNUMBER(SEARCH(SETTINGS!$K$17,D541)),SETTINGS!$L$17,IF(ISNUMBER(SEARCH(SETTINGS!$K$18,D541)),SETTINGS!$L$18,"Miscellaneous"))))))))))))))))</f>
        <v/>
      </c>
      <c r="I541" s="44" t="str">
        <f t="shared" si="64"/>
        <v/>
      </c>
      <c r="J541" s="9"/>
      <c r="K541" s="9"/>
      <c r="L541" s="9"/>
      <c r="M541" s="9"/>
      <c r="N541" s="9"/>
      <c r="O541" s="9"/>
      <c r="P541" s="13"/>
      <c r="Q541" s="9"/>
      <c r="R541" s="9"/>
      <c r="S541" s="9"/>
      <c r="T541" s="11"/>
      <c r="U541" s="44" t="str">
        <f t="shared" si="65"/>
        <v/>
      </c>
      <c r="V541" s="44" t="str">
        <f t="shared" si="66"/>
        <v/>
      </c>
      <c r="W541" s="44" t="str">
        <f t="shared" si="67"/>
        <v/>
      </c>
      <c r="X541" s="44" t="str">
        <f t="shared" si="68"/>
        <v/>
      </c>
      <c r="Y541" s="44" t="str">
        <f t="shared" si="69"/>
        <v/>
      </c>
      <c r="Z541" s="44" t="str">
        <f t="shared" si="70"/>
        <v/>
      </c>
      <c r="AA541" s="50" t="str">
        <f t="shared" si="71"/>
        <v/>
      </c>
      <c r="AB541" s="50" t="str">
        <f>IF(OR(B541="",C541&lt;&gt;"Expense"),"",IF(E541&gt;IFERROR(AVERAGEIFS($E$8:$E$1007,$I$8:$I$1007,I541,$C$8:$C$1007,"Expense")*SETTINGS!$B$20,0),"Unusually High","Normal"))</f>
        <v/>
      </c>
      <c r="AC541" s="51"/>
      <c r="AD541" s="51"/>
      <c r="AE541" s="51"/>
      <c r="AF541" s="50" t="str">
        <f>IF(A541&lt;&gt;"Yes","No",IF(AND(AC541="Yes",SETTINGS!$B$16="No"),"No","Yes"))</f>
        <v>No</v>
      </c>
      <c r="AG541" s="50" t="str">
        <f>IF(A541&lt;&gt;"Yes","",IF(OR(B541="",D541="",E541&lt;=0,F541="",I541=""),"Check Required Fields",IF(AA541="Possible Duplicate","Possible Duplicate",IF(E541&gt;SETTINGS!$B$22,"Review Extreme Value","OK"))))</f>
        <v/>
      </c>
    </row>
    <row r="542" spans="1:33" ht="14.4">
      <c r="A542" s="9"/>
      <c r="B542" s="13"/>
      <c r="C542" s="9"/>
      <c r="D542" s="9"/>
      <c r="E542" s="11"/>
      <c r="F542" s="9"/>
      <c r="G542" s="9"/>
      <c r="H542" s="44" t="str">
        <f>IF(D542="","",IF(ISNUMBER(SEARCH(SETTINGS!$K$4,D542)),SETTINGS!$L$4,IF(ISNUMBER(SEARCH(SETTINGS!$K$5,D542)),SETTINGS!$L$5,IF(ISNUMBER(SEARCH(SETTINGS!$K$6,D542)),SETTINGS!$L$6,IF(ISNUMBER(SEARCH(SETTINGS!$K$7,D542)),SETTINGS!$L$7,IF(ISNUMBER(SEARCH(SETTINGS!$K$8,D542)),SETTINGS!$L$8,IF(ISNUMBER(SEARCH(SETTINGS!$K$9,D542)),SETTINGS!$L$9,IF(ISNUMBER(SEARCH(SETTINGS!$K$10,D542)),SETTINGS!$L$10,IF(ISNUMBER(SEARCH(SETTINGS!$K$11,D542)),SETTINGS!$L$11,IF(ISNUMBER(SEARCH(SETTINGS!$K$12,D542)),SETTINGS!$L$12,IF(ISNUMBER(SEARCH(SETTINGS!$K$13,D542)),SETTINGS!$L$13,IF(ISNUMBER(SEARCH(SETTINGS!$K$14,D542)),SETTINGS!$L$14,IF(ISNUMBER(SEARCH(SETTINGS!$K$15,D542)),SETTINGS!$L$15,IF(ISNUMBER(SEARCH(SETTINGS!$K$16,D542)),SETTINGS!$L$16,IF(ISNUMBER(SEARCH(SETTINGS!$K$17,D542)),SETTINGS!$L$17,IF(ISNUMBER(SEARCH(SETTINGS!$K$18,D542)),SETTINGS!$L$18,"Miscellaneous"))))))))))))))))</f>
        <v/>
      </c>
      <c r="I542" s="44" t="str">
        <f t="shared" si="64"/>
        <v/>
      </c>
      <c r="J542" s="9"/>
      <c r="K542" s="9"/>
      <c r="L542" s="9"/>
      <c r="M542" s="9"/>
      <c r="N542" s="9"/>
      <c r="O542" s="9"/>
      <c r="P542" s="13"/>
      <c r="Q542" s="9"/>
      <c r="R542" s="9"/>
      <c r="S542" s="9"/>
      <c r="T542" s="11"/>
      <c r="U542" s="44" t="str">
        <f t="shared" si="65"/>
        <v/>
      </c>
      <c r="V542" s="44" t="str">
        <f t="shared" si="66"/>
        <v/>
      </c>
      <c r="W542" s="44" t="str">
        <f t="shared" si="67"/>
        <v/>
      </c>
      <c r="X542" s="44" t="str">
        <f t="shared" si="68"/>
        <v/>
      </c>
      <c r="Y542" s="44" t="str">
        <f t="shared" si="69"/>
        <v/>
      </c>
      <c r="Z542" s="44" t="str">
        <f t="shared" si="70"/>
        <v/>
      </c>
      <c r="AA542" s="50" t="str">
        <f t="shared" si="71"/>
        <v/>
      </c>
      <c r="AB542" s="50" t="str">
        <f>IF(OR(B542="",C542&lt;&gt;"Expense"),"",IF(E542&gt;IFERROR(AVERAGEIFS($E$8:$E$1007,$I$8:$I$1007,I542,$C$8:$C$1007,"Expense")*SETTINGS!$B$20,0),"Unusually High","Normal"))</f>
        <v/>
      </c>
      <c r="AC542" s="51"/>
      <c r="AD542" s="51"/>
      <c r="AE542" s="51"/>
      <c r="AF542" s="50" t="str">
        <f>IF(A542&lt;&gt;"Yes","No",IF(AND(AC542="Yes",SETTINGS!$B$16="No"),"No","Yes"))</f>
        <v>No</v>
      </c>
      <c r="AG542" s="50" t="str">
        <f>IF(A542&lt;&gt;"Yes","",IF(OR(B542="",D542="",E542&lt;=0,F542="",I542=""),"Check Required Fields",IF(AA542="Possible Duplicate","Possible Duplicate",IF(E542&gt;SETTINGS!$B$22,"Review Extreme Value","OK"))))</f>
        <v/>
      </c>
    </row>
    <row r="543" spans="1:33" ht="14.4">
      <c r="A543" s="9"/>
      <c r="B543" s="13"/>
      <c r="C543" s="9"/>
      <c r="D543" s="9"/>
      <c r="E543" s="11"/>
      <c r="F543" s="9"/>
      <c r="G543" s="9"/>
      <c r="H543" s="44" t="str">
        <f>IF(D543="","",IF(ISNUMBER(SEARCH(SETTINGS!$K$4,D543)),SETTINGS!$L$4,IF(ISNUMBER(SEARCH(SETTINGS!$K$5,D543)),SETTINGS!$L$5,IF(ISNUMBER(SEARCH(SETTINGS!$K$6,D543)),SETTINGS!$L$6,IF(ISNUMBER(SEARCH(SETTINGS!$K$7,D543)),SETTINGS!$L$7,IF(ISNUMBER(SEARCH(SETTINGS!$K$8,D543)),SETTINGS!$L$8,IF(ISNUMBER(SEARCH(SETTINGS!$K$9,D543)),SETTINGS!$L$9,IF(ISNUMBER(SEARCH(SETTINGS!$K$10,D543)),SETTINGS!$L$10,IF(ISNUMBER(SEARCH(SETTINGS!$K$11,D543)),SETTINGS!$L$11,IF(ISNUMBER(SEARCH(SETTINGS!$K$12,D543)),SETTINGS!$L$12,IF(ISNUMBER(SEARCH(SETTINGS!$K$13,D543)),SETTINGS!$L$13,IF(ISNUMBER(SEARCH(SETTINGS!$K$14,D543)),SETTINGS!$L$14,IF(ISNUMBER(SEARCH(SETTINGS!$K$15,D543)),SETTINGS!$L$15,IF(ISNUMBER(SEARCH(SETTINGS!$K$16,D543)),SETTINGS!$L$16,IF(ISNUMBER(SEARCH(SETTINGS!$K$17,D543)),SETTINGS!$L$17,IF(ISNUMBER(SEARCH(SETTINGS!$K$18,D543)),SETTINGS!$L$18,"Miscellaneous"))))))))))))))))</f>
        <v/>
      </c>
      <c r="I543" s="44" t="str">
        <f t="shared" si="64"/>
        <v/>
      </c>
      <c r="J543" s="9"/>
      <c r="K543" s="9"/>
      <c r="L543" s="9"/>
      <c r="M543" s="9"/>
      <c r="N543" s="9"/>
      <c r="O543" s="9"/>
      <c r="P543" s="13"/>
      <c r="Q543" s="9"/>
      <c r="R543" s="9"/>
      <c r="S543" s="9"/>
      <c r="T543" s="11"/>
      <c r="U543" s="44" t="str">
        <f t="shared" si="65"/>
        <v/>
      </c>
      <c r="V543" s="44" t="str">
        <f t="shared" si="66"/>
        <v/>
      </c>
      <c r="W543" s="44" t="str">
        <f t="shared" si="67"/>
        <v/>
      </c>
      <c r="X543" s="44" t="str">
        <f t="shared" si="68"/>
        <v/>
      </c>
      <c r="Y543" s="44" t="str">
        <f t="shared" si="69"/>
        <v/>
      </c>
      <c r="Z543" s="44" t="str">
        <f t="shared" si="70"/>
        <v/>
      </c>
      <c r="AA543" s="50" t="str">
        <f t="shared" si="71"/>
        <v/>
      </c>
      <c r="AB543" s="50" t="str">
        <f>IF(OR(B543="",C543&lt;&gt;"Expense"),"",IF(E543&gt;IFERROR(AVERAGEIFS($E$8:$E$1007,$I$8:$I$1007,I543,$C$8:$C$1007,"Expense")*SETTINGS!$B$20,0),"Unusually High","Normal"))</f>
        <v/>
      </c>
      <c r="AC543" s="51"/>
      <c r="AD543" s="51"/>
      <c r="AE543" s="51"/>
      <c r="AF543" s="50" t="str">
        <f>IF(A543&lt;&gt;"Yes","No",IF(AND(AC543="Yes",SETTINGS!$B$16="No"),"No","Yes"))</f>
        <v>No</v>
      </c>
      <c r="AG543" s="50" t="str">
        <f>IF(A543&lt;&gt;"Yes","",IF(OR(B543="",D543="",E543&lt;=0,F543="",I543=""),"Check Required Fields",IF(AA543="Possible Duplicate","Possible Duplicate",IF(E543&gt;SETTINGS!$B$22,"Review Extreme Value","OK"))))</f>
        <v/>
      </c>
    </row>
    <row r="544" spans="1:33" ht="14.4">
      <c r="A544" s="9"/>
      <c r="B544" s="13"/>
      <c r="C544" s="9"/>
      <c r="D544" s="9"/>
      <c r="E544" s="11"/>
      <c r="F544" s="9"/>
      <c r="G544" s="9"/>
      <c r="H544" s="44" t="str">
        <f>IF(D544="","",IF(ISNUMBER(SEARCH(SETTINGS!$K$4,D544)),SETTINGS!$L$4,IF(ISNUMBER(SEARCH(SETTINGS!$K$5,D544)),SETTINGS!$L$5,IF(ISNUMBER(SEARCH(SETTINGS!$K$6,D544)),SETTINGS!$L$6,IF(ISNUMBER(SEARCH(SETTINGS!$K$7,D544)),SETTINGS!$L$7,IF(ISNUMBER(SEARCH(SETTINGS!$K$8,D544)),SETTINGS!$L$8,IF(ISNUMBER(SEARCH(SETTINGS!$K$9,D544)),SETTINGS!$L$9,IF(ISNUMBER(SEARCH(SETTINGS!$K$10,D544)),SETTINGS!$L$10,IF(ISNUMBER(SEARCH(SETTINGS!$K$11,D544)),SETTINGS!$L$11,IF(ISNUMBER(SEARCH(SETTINGS!$K$12,D544)),SETTINGS!$L$12,IF(ISNUMBER(SEARCH(SETTINGS!$K$13,D544)),SETTINGS!$L$13,IF(ISNUMBER(SEARCH(SETTINGS!$K$14,D544)),SETTINGS!$L$14,IF(ISNUMBER(SEARCH(SETTINGS!$K$15,D544)),SETTINGS!$L$15,IF(ISNUMBER(SEARCH(SETTINGS!$K$16,D544)),SETTINGS!$L$16,IF(ISNUMBER(SEARCH(SETTINGS!$K$17,D544)),SETTINGS!$L$17,IF(ISNUMBER(SEARCH(SETTINGS!$K$18,D544)),SETTINGS!$L$18,"Miscellaneous"))))))))))))))))</f>
        <v/>
      </c>
      <c r="I544" s="44" t="str">
        <f t="shared" si="64"/>
        <v/>
      </c>
      <c r="J544" s="9"/>
      <c r="K544" s="9"/>
      <c r="L544" s="9"/>
      <c r="M544" s="9"/>
      <c r="N544" s="9"/>
      <c r="O544" s="9"/>
      <c r="P544" s="13"/>
      <c r="Q544" s="9"/>
      <c r="R544" s="9"/>
      <c r="S544" s="9"/>
      <c r="T544" s="11"/>
      <c r="U544" s="44" t="str">
        <f t="shared" si="65"/>
        <v/>
      </c>
      <c r="V544" s="44" t="str">
        <f t="shared" si="66"/>
        <v/>
      </c>
      <c r="W544" s="44" t="str">
        <f t="shared" si="67"/>
        <v/>
      </c>
      <c r="X544" s="44" t="str">
        <f t="shared" si="68"/>
        <v/>
      </c>
      <c r="Y544" s="44" t="str">
        <f t="shared" si="69"/>
        <v/>
      </c>
      <c r="Z544" s="44" t="str">
        <f t="shared" si="70"/>
        <v/>
      </c>
      <c r="AA544" s="50" t="str">
        <f t="shared" si="71"/>
        <v/>
      </c>
      <c r="AB544" s="50" t="str">
        <f>IF(OR(B544="",C544&lt;&gt;"Expense"),"",IF(E544&gt;IFERROR(AVERAGEIFS($E$8:$E$1007,$I$8:$I$1007,I544,$C$8:$C$1007,"Expense")*SETTINGS!$B$20,0),"Unusually High","Normal"))</f>
        <v/>
      </c>
      <c r="AC544" s="51"/>
      <c r="AD544" s="51"/>
      <c r="AE544" s="51"/>
      <c r="AF544" s="50" t="str">
        <f>IF(A544&lt;&gt;"Yes","No",IF(AND(AC544="Yes",SETTINGS!$B$16="No"),"No","Yes"))</f>
        <v>No</v>
      </c>
      <c r="AG544" s="50" t="str">
        <f>IF(A544&lt;&gt;"Yes","",IF(OR(B544="",D544="",E544&lt;=0,F544="",I544=""),"Check Required Fields",IF(AA544="Possible Duplicate","Possible Duplicate",IF(E544&gt;SETTINGS!$B$22,"Review Extreme Value","OK"))))</f>
        <v/>
      </c>
    </row>
    <row r="545" spans="1:33" ht="14.4">
      <c r="A545" s="9"/>
      <c r="B545" s="13"/>
      <c r="C545" s="9"/>
      <c r="D545" s="9"/>
      <c r="E545" s="11"/>
      <c r="F545" s="9"/>
      <c r="G545" s="9"/>
      <c r="H545" s="44" t="str">
        <f>IF(D545="","",IF(ISNUMBER(SEARCH(SETTINGS!$K$4,D545)),SETTINGS!$L$4,IF(ISNUMBER(SEARCH(SETTINGS!$K$5,D545)),SETTINGS!$L$5,IF(ISNUMBER(SEARCH(SETTINGS!$K$6,D545)),SETTINGS!$L$6,IF(ISNUMBER(SEARCH(SETTINGS!$K$7,D545)),SETTINGS!$L$7,IF(ISNUMBER(SEARCH(SETTINGS!$K$8,D545)),SETTINGS!$L$8,IF(ISNUMBER(SEARCH(SETTINGS!$K$9,D545)),SETTINGS!$L$9,IF(ISNUMBER(SEARCH(SETTINGS!$K$10,D545)),SETTINGS!$L$10,IF(ISNUMBER(SEARCH(SETTINGS!$K$11,D545)),SETTINGS!$L$11,IF(ISNUMBER(SEARCH(SETTINGS!$K$12,D545)),SETTINGS!$L$12,IF(ISNUMBER(SEARCH(SETTINGS!$K$13,D545)),SETTINGS!$L$13,IF(ISNUMBER(SEARCH(SETTINGS!$K$14,D545)),SETTINGS!$L$14,IF(ISNUMBER(SEARCH(SETTINGS!$K$15,D545)),SETTINGS!$L$15,IF(ISNUMBER(SEARCH(SETTINGS!$K$16,D545)),SETTINGS!$L$16,IF(ISNUMBER(SEARCH(SETTINGS!$K$17,D545)),SETTINGS!$L$17,IF(ISNUMBER(SEARCH(SETTINGS!$K$18,D545)),SETTINGS!$L$18,"Miscellaneous"))))))))))))))))</f>
        <v/>
      </c>
      <c r="I545" s="44" t="str">
        <f t="shared" si="64"/>
        <v/>
      </c>
      <c r="J545" s="9"/>
      <c r="K545" s="9"/>
      <c r="L545" s="9"/>
      <c r="M545" s="9"/>
      <c r="N545" s="9"/>
      <c r="O545" s="9"/>
      <c r="P545" s="13"/>
      <c r="Q545" s="9"/>
      <c r="R545" s="9"/>
      <c r="S545" s="9"/>
      <c r="T545" s="11"/>
      <c r="U545" s="44" t="str">
        <f t="shared" si="65"/>
        <v/>
      </c>
      <c r="V545" s="44" t="str">
        <f t="shared" si="66"/>
        <v/>
      </c>
      <c r="W545" s="44" t="str">
        <f t="shared" si="67"/>
        <v/>
      </c>
      <c r="X545" s="44" t="str">
        <f t="shared" si="68"/>
        <v/>
      </c>
      <c r="Y545" s="44" t="str">
        <f t="shared" si="69"/>
        <v/>
      </c>
      <c r="Z545" s="44" t="str">
        <f t="shared" si="70"/>
        <v/>
      </c>
      <c r="AA545" s="50" t="str">
        <f t="shared" si="71"/>
        <v/>
      </c>
      <c r="AB545" s="50" t="str">
        <f>IF(OR(B545="",C545&lt;&gt;"Expense"),"",IF(E545&gt;IFERROR(AVERAGEIFS($E$8:$E$1007,$I$8:$I$1007,I545,$C$8:$C$1007,"Expense")*SETTINGS!$B$20,0),"Unusually High","Normal"))</f>
        <v/>
      </c>
      <c r="AC545" s="51"/>
      <c r="AD545" s="51"/>
      <c r="AE545" s="51"/>
      <c r="AF545" s="50" t="str">
        <f>IF(A545&lt;&gt;"Yes","No",IF(AND(AC545="Yes",SETTINGS!$B$16="No"),"No","Yes"))</f>
        <v>No</v>
      </c>
      <c r="AG545" s="50" t="str">
        <f>IF(A545&lt;&gt;"Yes","",IF(OR(B545="",D545="",E545&lt;=0,F545="",I545=""),"Check Required Fields",IF(AA545="Possible Duplicate","Possible Duplicate",IF(E545&gt;SETTINGS!$B$22,"Review Extreme Value","OK"))))</f>
        <v/>
      </c>
    </row>
    <row r="546" spans="1:33" ht="14.4">
      <c r="A546" s="9"/>
      <c r="B546" s="13"/>
      <c r="C546" s="9"/>
      <c r="D546" s="9"/>
      <c r="E546" s="11"/>
      <c r="F546" s="9"/>
      <c r="G546" s="9"/>
      <c r="H546" s="44" t="str">
        <f>IF(D546="","",IF(ISNUMBER(SEARCH(SETTINGS!$K$4,D546)),SETTINGS!$L$4,IF(ISNUMBER(SEARCH(SETTINGS!$K$5,D546)),SETTINGS!$L$5,IF(ISNUMBER(SEARCH(SETTINGS!$K$6,D546)),SETTINGS!$L$6,IF(ISNUMBER(SEARCH(SETTINGS!$K$7,D546)),SETTINGS!$L$7,IF(ISNUMBER(SEARCH(SETTINGS!$K$8,D546)),SETTINGS!$L$8,IF(ISNUMBER(SEARCH(SETTINGS!$K$9,D546)),SETTINGS!$L$9,IF(ISNUMBER(SEARCH(SETTINGS!$K$10,D546)),SETTINGS!$L$10,IF(ISNUMBER(SEARCH(SETTINGS!$K$11,D546)),SETTINGS!$L$11,IF(ISNUMBER(SEARCH(SETTINGS!$K$12,D546)),SETTINGS!$L$12,IF(ISNUMBER(SEARCH(SETTINGS!$K$13,D546)),SETTINGS!$L$13,IF(ISNUMBER(SEARCH(SETTINGS!$K$14,D546)),SETTINGS!$L$14,IF(ISNUMBER(SEARCH(SETTINGS!$K$15,D546)),SETTINGS!$L$15,IF(ISNUMBER(SEARCH(SETTINGS!$K$16,D546)),SETTINGS!$L$16,IF(ISNUMBER(SEARCH(SETTINGS!$K$17,D546)),SETTINGS!$L$17,IF(ISNUMBER(SEARCH(SETTINGS!$K$18,D546)),SETTINGS!$L$18,"Miscellaneous"))))))))))))))))</f>
        <v/>
      </c>
      <c r="I546" s="44" t="str">
        <f t="shared" si="64"/>
        <v/>
      </c>
      <c r="J546" s="9"/>
      <c r="K546" s="9"/>
      <c r="L546" s="9"/>
      <c r="M546" s="9"/>
      <c r="N546" s="9"/>
      <c r="O546" s="9"/>
      <c r="P546" s="13"/>
      <c r="Q546" s="9"/>
      <c r="R546" s="9"/>
      <c r="S546" s="9"/>
      <c r="T546" s="11"/>
      <c r="U546" s="44" t="str">
        <f t="shared" si="65"/>
        <v/>
      </c>
      <c r="V546" s="44" t="str">
        <f t="shared" si="66"/>
        <v/>
      </c>
      <c r="W546" s="44" t="str">
        <f t="shared" si="67"/>
        <v/>
      </c>
      <c r="X546" s="44" t="str">
        <f t="shared" si="68"/>
        <v/>
      </c>
      <c r="Y546" s="44" t="str">
        <f t="shared" si="69"/>
        <v/>
      </c>
      <c r="Z546" s="44" t="str">
        <f t="shared" si="70"/>
        <v/>
      </c>
      <c r="AA546" s="50" t="str">
        <f t="shared" si="71"/>
        <v/>
      </c>
      <c r="AB546" s="50" t="str">
        <f>IF(OR(B546="",C546&lt;&gt;"Expense"),"",IF(E546&gt;IFERROR(AVERAGEIFS($E$8:$E$1007,$I$8:$I$1007,I546,$C$8:$C$1007,"Expense")*SETTINGS!$B$20,0),"Unusually High","Normal"))</f>
        <v/>
      </c>
      <c r="AC546" s="51"/>
      <c r="AD546" s="51"/>
      <c r="AE546" s="51"/>
      <c r="AF546" s="50" t="str">
        <f>IF(A546&lt;&gt;"Yes","No",IF(AND(AC546="Yes",SETTINGS!$B$16="No"),"No","Yes"))</f>
        <v>No</v>
      </c>
      <c r="AG546" s="50" t="str">
        <f>IF(A546&lt;&gt;"Yes","",IF(OR(B546="",D546="",E546&lt;=0,F546="",I546=""),"Check Required Fields",IF(AA546="Possible Duplicate","Possible Duplicate",IF(E546&gt;SETTINGS!$B$22,"Review Extreme Value","OK"))))</f>
        <v/>
      </c>
    </row>
    <row r="547" spans="1:33" ht="14.4">
      <c r="A547" s="9"/>
      <c r="B547" s="13"/>
      <c r="C547" s="9"/>
      <c r="D547" s="9"/>
      <c r="E547" s="11"/>
      <c r="F547" s="9"/>
      <c r="G547" s="9"/>
      <c r="H547" s="44" t="str">
        <f>IF(D547="","",IF(ISNUMBER(SEARCH(SETTINGS!$K$4,D547)),SETTINGS!$L$4,IF(ISNUMBER(SEARCH(SETTINGS!$K$5,D547)),SETTINGS!$L$5,IF(ISNUMBER(SEARCH(SETTINGS!$K$6,D547)),SETTINGS!$L$6,IF(ISNUMBER(SEARCH(SETTINGS!$K$7,D547)),SETTINGS!$L$7,IF(ISNUMBER(SEARCH(SETTINGS!$K$8,D547)),SETTINGS!$L$8,IF(ISNUMBER(SEARCH(SETTINGS!$K$9,D547)),SETTINGS!$L$9,IF(ISNUMBER(SEARCH(SETTINGS!$K$10,D547)),SETTINGS!$L$10,IF(ISNUMBER(SEARCH(SETTINGS!$K$11,D547)),SETTINGS!$L$11,IF(ISNUMBER(SEARCH(SETTINGS!$K$12,D547)),SETTINGS!$L$12,IF(ISNUMBER(SEARCH(SETTINGS!$K$13,D547)),SETTINGS!$L$13,IF(ISNUMBER(SEARCH(SETTINGS!$K$14,D547)),SETTINGS!$L$14,IF(ISNUMBER(SEARCH(SETTINGS!$K$15,D547)),SETTINGS!$L$15,IF(ISNUMBER(SEARCH(SETTINGS!$K$16,D547)),SETTINGS!$L$16,IF(ISNUMBER(SEARCH(SETTINGS!$K$17,D547)),SETTINGS!$L$17,IF(ISNUMBER(SEARCH(SETTINGS!$K$18,D547)),SETTINGS!$L$18,"Miscellaneous"))))))))))))))))</f>
        <v/>
      </c>
      <c r="I547" s="44" t="str">
        <f t="shared" si="64"/>
        <v/>
      </c>
      <c r="J547" s="9"/>
      <c r="K547" s="9"/>
      <c r="L547" s="9"/>
      <c r="M547" s="9"/>
      <c r="N547" s="9"/>
      <c r="O547" s="9"/>
      <c r="P547" s="13"/>
      <c r="Q547" s="9"/>
      <c r="R547" s="9"/>
      <c r="S547" s="9"/>
      <c r="T547" s="11"/>
      <c r="U547" s="44" t="str">
        <f t="shared" si="65"/>
        <v/>
      </c>
      <c r="V547" s="44" t="str">
        <f t="shared" si="66"/>
        <v/>
      </c>
      <c r="W547" s="44" t="str">
        <f t="shared" si="67"/>
        <v/>
      </c>
      <c r="X547" s="44" t="str">
        <f t="shared" si="68"/>
        <v/>
      </c>
      <c r="Y547" s="44" t="str">
        <f t="shared" si="69"/>
        <v/>
      </c>
      <c r="Z547" s="44" t="str">
        <f t="shared" si="70"/>
        <v/>
      </c>
      <c r="AA547" s="50" t="str">
        <f t="shared" si="71"/>
        <v/>
      </c>
      <c r="AB547" s="50" t="str">
        <f>IF(OR(B547="",C547&lt;&gt;"Expense"),"",IF(E547&gt;IFERROR(AVERAGEIFS($E$8:$E$1007,$I$8:$I$1007,I547,$C$8:$C$1007,"Expense")*SETTINGS!$B$20,0),"Unusually High","Normal"))</f>
        <v/>
      </c>
      <c r="AC547" s="51"/>
      <c r="AD547" s="51"/>
      <c r="AE547" s="51"/>
      <c r="AF547" s="50" t="str">
        <f>IF(A547&lt;&gt;"Yes","No",IF(AND(AC547="Yes",SETTINGS!$B$16="No"),"No","Yes"))</f>
        <v>No</v>
      </c>
      <c r="AG547" s="50" t="str">
        <f>IF(A547&lt;&gt;"Yes","",IF(OR(B547="",D547="",E547&lt;=0,F547="",I547=""),"Check Required Fields",IF(AA547="Possible Duplicate","Possible Duplicate",IF(E547&gt;SETTINGS!$B$22,"Review Extreme Value","OK"))))</f>
        <v/>
      </c>
    </row>
    <row r="548" spans="1:33" ht="14.4">
      <c r="A548" s="9"/>
      <c r="B548" s="13"/>
      <c r="C548" s="9"/>
      <c r="D548" s="9"/>
      <c r="E548" s="11"/>
      <c r="F548" s="9"/>
      <c r="G548" s="9"/>
      <c r="H548" s="44" t="str">
        <f>IF(D548="","",IF(ISNUMBER(SEARCH(SETTINGS!$K$4,D548)),SETTINGS!$L$4,IF(ISNUMBER(SEARCH(SETTINGS!$K$5,D548)),SETTINGS!$L$5,IF(ISNUMBER(SEARCH(SETTINGS!$K$6,D548)),SETTINGS!$L$6,IF(ISNUMBER(SEARCH(SETTINGS!$K$7,D548)),SETTINGS!$L$7,IF(ISNUMBER(SEARCH(SETTINGS!$K$8,D548)),SETTINGS!$L$8,IF(ISNUMBER(SEARCH(SETTINGS!$K$9,D548)),SETTINGS!$L$9,IF(ISNUMBER(SEARCH(SETTINGS!$K$10,D548)),SETTINGS!$L$10,IF(ISNUMBER(SEARCH(SETTINGS!$K$11,D548)),SETTINGS!$L$11,IF(ISNUMBER(SEARCH(SETTINGS!$K$12,D548)),SETTINGS!$L$12,IF(ISNUMBER(SEARCH(SETTINGS!$K$13,D548)),SETTINGS!$L$13,IF(ISNUMBER(SEARCH(SETTINGS!$K$14,D548)),SETTINGS!$L$14,IF(ISNUMBER(SEARCH(SETTINGS!$K$15,D548)),SETTINGS!$L$15,IF(ISNUMBER(SEARCH(SETTINGS!$K$16,D548)),SETTINGS!$L$16,IF(ISNUMBER(SEARCH(SETTINGS!$K$17,D548)),SETTINGS!$L$17,IF(ISNUMBER(SEARCH(SETTINGS!$K$18,D548)),SETTINGS!$L$18,"Miscellaneous"))))))))))))))))</f>
        <v/>
      </c>
      <c r="I548" s="44" t="str">
        <f t="shared" si="64"/>
        <v/>
      </c>
      <c r="J548" s="9"/>
      <c r="K548" s="9"/>
      <c r="L548" s="9"/>
      <c r="M548" s="9"/>
      <c r="N548" s="9"/>
      <c r="O548" s="9"/>
      <c r="P548" s="13"/>
      <c r="Q548" s="9"/>
      <c r="R548" s="9"/>
      <c r="S548" s="9"/>
      <c r="T548" s="11"/>
      <c r="U548" s="44" t="str">
        <f t="shared" si="65"/>
        <v/>
      </c>
      <c r="V548" s="44" t="str">
        <f t="shared" si="66"/>
        <v/>
      </c>
      <c r="W548" s="44" t="str">
        <f t="shared" si="67"/>
        <v/>
      </c>
      <c r="X548" s="44" t="str">
        <f t="shared" si="68"/>
        <v/>
      </c>
      <c r="Y548" s="44" t="str">
        <f t="shared" si="69"/>
        <v/>
      </c>
      <c r="Z548" s="44" t="str">
        <f t="shared" si="70"/>
        <v/>
      </c>
      <c r="AA548" s="50" t="str">
        <f t="shared" si="71"/>
        <v/>
      </c>
      <c r="AB548" s="50" t="str">
        <f>IF(OR(B548="",C548&lt;&gt;"Expense"),"",IF(E548&gt;IFERROR(AVERAGEIFS($E$8:$E$1007,$I$8:$I$1007,I548,$C$8:$C$1007,"Expense")*SETTINGS!$B$20,0),"Unusually High","Normal"))</f>
        <v/>
      </c>
      <c r="AC548" s="51"/>
      <c r="AD548" s="51"/>
      <c r="AE548" s="51"/>
      <c r="AF548" s="50" t="str">
        <f>IF(A548&lt;&gt;"Yes","No",IF(AND(AC548="Yes",SETTINGS!$B$16="No"),"No","Yes"))</f>
        <v>No</v>
      </c>
      <c r="AG548" s="50" t="str">
        <f>IF(A548&lt;&gt;"Yes","",IF(OR(B548="",D548="",E548&lt;=0,F548="",I548=""),"Check Required Fields",IF(AA548="Possible Duplicate","Possible Duplicate",IF(E548&gt;SETTINGS!$B$22,"Review Extreme Value","OK"))))</f>
        <v/>
      </c>
    </row>
    <row r="549" spans="1:33" ht="14.4">
      <c r="A549" s="9"/>
      <c r="B549" s="13"/>
      <c r="C549" s="9"/>
      <c r="D549" s="9"/>
      <c r="E549" s="11"/>
      <c r="F549" s="9"/>
      <c r="G549" s="9"/>
      <c r="H549" s="44" t="str">
        <f>IF(D549="","",IF(ISNUMBER(SEARCH(SETTINGS!$K$4,D549)),SETTINGS!$L$4,IF(ISNUMBER(SEARCH(SETTINGS!$K$5,D549)),SETTINGS!$L$5,IF(ISNUMBER(SEARCH(SETTINGS!$K$6,D549)),SETTINGS!$L$6,IF(ISNUMBER(SEARCH(SETTINGS!$K$7,D549)),SETTINGS!$L$7,IF(ISNUMBER(SEARCH(SETTINGS!$K$8,D549)),SETTINGS!$L$8,IF(ISNUMBER(SEARCH(SETTINGS!$K$9,D549)),SETTINGS!$L$9,IF(ISNUMBER(SEARCH(SETTINGS!$K$10,D549)),SETTINGS!$L$10,IF(ISNUMBER(SEARCH(SETTINGS!$K$11,D549)),SETTINGS!$L$11,IF(ISNUMBER(SEARCH(SETTINGS!$K$12,D549)),SETTINGS!$L$12,IF(ISNUMBER(SEARCH(SETTINGS!$K$13,D549)),SETTINGS!$L$13,IF(ISNUMBER(SEARCH(SETTINGS!$K$14,D549)),SETTINGS!$L$14,IF(ISNUMBER(SEARCH(SETTINGS!$K$15,D549)),SETTINGS!$L$15,IF(ISNUMBER(SEARCH(SETTINGS!$K$16,D549)),SETTINGS!$L$16,IF(ISNUMBER(SEARCH(SETTINGS!$K$17,D549)),SETTINGS!$L$17,IF(ISNUMBER(SEARCH(SETTINGS!$K$18,D549)),SETTINGS!$L$18,"Miscellaneous"))))))))))))))))</f>
        <v/>
      </c>
      <c r="I549" s="44" t="str">
        <f t="shared" si="64"/>
        <v/>
      </c>
      <c r="J549" s="9"/>
      <c r="K549" s="9"/>
      <c r="L549" s="9"/>
      <c r="M549" s="9"/>
      <c r="N549" s="9"/>
      <c r="O549" s="9"/>
      <c r="P549" s="13"/>
      <c r="Q549" s="9"/>
      <c r="R549" s="9"/>
      <c r="S549" s="9"/>
      <c r="T549" s="11"/>
      <c r="U549" s="44" t="str">
        <f t="shared" si="65"/>
        <v/>
      </c>
      <c r="V549" s="44" t="str">
        <f t="shared" si="66"/>
        <v/>
      </c>
      <c r="W549" s="44" t="str">
        <f t="shared" si="67"/>
        <v/>
      </c>
      <c r="X549" s="44" t="str">
        <f t="shared" si="68"/>
        <v/>
      </c>
      <c r="Y549" s="44" t="str">
        <f t="shared" si="69"/>
        <v/>
      </c>
      <c r="Z549" s="44" t="str">
        <f t="shared" si="70"/>
        <v/>
      </c>
      <c r="AA549" s="50" t="str">
        <f t="shared" si="71"/>
        <v/>
      </c>
      <c r="AB549" s="50" t="str">
        <f>IF(OR(B549="",C549&lt;&gt;"Expense"),"",IF(E549&gt;IFERROR(AVERAGEIFS($E$8:$E$1007,$I$8:$I$1007,I549,$C$8:$C$1007,"Expense")*SETTINGS!$B$20,0),"Unusually High","Normal"))</f>
        <v/>
      </c>
      <c r="AC549" s="51"/>
      <c r="AD549" s="51"/>
      <c r="AE549" s="51"/>
      <c r="AF549" s="50" t="str">
        <f>IF(A549&lt;&gt;"Yes","No",IF(AND(AC549="Yes",SETTINGS!$B$16="No"),"No","Yes"))</f>
        <v>No</v>
      </c>
      <c r="AG549" s="50" t="str">
        <f>IF(A549&lt;&gt;"Yes","",IF(OR(B549="",D549="",E549&lt;=0,F549="",I549=""),"Check Required Fields",IF(AA549="Possible Duplicate","Possible Duplicate",IF(E549&gt;SETTINGS!$B$22,"Review Extreme Value","OK"))))</f>
        <v/>
      </c>
    </row>
    <row r="550" spans="1:33" ht="14.4">
      <c r="A550" s="9"/>
      <c r="B550" s="13"/>
      <c r="C550" s="9"/>
      <c r="D550" s="9"/>
      <c r="E550" s="11"/>
      <c r="F550" s="9"/>
      <c r="G550" s="9"/>
      <c r="H550" s="44" t="str">
        <f>IF(D550="","",IF(ISNUMBER(SEARCH(SETTINGS!$K$4,D550)),SETTINGS!$L$4,IF(ISNUMBER(SEARCH(SETTINGS!$K$5,D550)),SETTINGS!$L$5,IF(ISNUMBER(SEARCH(SETTINGS!$K$6,D550)),SETTINGS!$L$6,IF(ISNUMBER(SEARCH(SETTINGS!$K$7,D550)),SETTINGS!$L$7,IF(ISNUMBER(SEARCH(SETTINGS!$K$8,D550)),SETTINGS!$L$8,IF(ISNUMBER(SEARCH(SETTINGS!$K$9,D550)),SETTINGS!$L$9,IF(ISNUMBER(SEARCH(SETTINGS!$K$10,D550)),SETTINGS!$L$10,IF(ISNUMBER(SEARCH(SETTINGS!$K$11,D550)),SETTINGS!$L$11,IF(ISNUMBER(SEARCH(SETTINGS!$K$12,D550)),SETTINGS!$L$12,IF(ISNUMBER(SEARCH(SETTINGS!$K$13,D550)),SETTINGS!$L$13,IF(ISNUMBER(SEARCH(SETTINGS!$K$14,D550)),SETTINGS!$L$14,IF(ISNUMBER(SEARCH(SETTINGS!$K$15,D550)),SETTINGS!$L$15,IF(ISNUMBER(SEARCH(SETTINGS!$K$16,D550)),SETTINGS!$L$16,IF(ISNUMBER(SEARCH(SETTINGS!$K$17,D550)),SETTINGS!$L$17,IF(ISNUMBER(SEARCH(SETTINGS!$K$18,D550)),SETTINGS!$L$18,"Miscellaneous"))))))))))))))))</f>
        <v/>
      </c>
      <c r="I550" s="44" t="str">
        <f t="shared" si="64"/>
        <v/>
      </c>
      <c r="J550" s="9"/>
      <c r="K550" s="9"/>
      <c r="L550" s="9"/>
      <c r="M550" s="9"/>
      <c r="N550" s="9"/>
      <c r="O550" s="9"/>
      <c r="P550" s="13"/>
      <c r="Q550" s="9"/>
      <c r="R550" s="9"/>
      <c r="S550" s="9"/>
      <c r="T550" s="11"/>
      <c r="U550" s="44" t="str">
        <f t="shared" si="65"/>
        <v/>
      </c>
      <c r="V550" s="44" t="str">
        <f t="shared" si="66"/>
        <v/>
      </c>
      <c r="W550" s="44" t="str">
        <f t="shared" si="67"/>
        <v/>
      </c>
      <c r="X550" s="44" t="str">
        <f t="shared" si="68"/>
        <v/>
      </c>
      <c r="Y550" s="44" t="str">
        <f t="shared" si="69"/>
        <v/>
      </c>
      <c r="Z550" s="44" t="str">
        <f t="shared" si="70"/>
        <v/>
      </c>
      <c r="AA550" s="50" t="str">
        <f t="shared" si="71"/>
        <v/>
      </c>
      <c r="AB550" s="50" t="str">
        <f>IF(OR(B550="",C550&lt;&gt;"Expense"),"",IF(E550&gt;IFERROR(AVERAGEIFS($E$8:$E$1007,$I$8:$I$1007,I550,$C$8:$C$1007,"Expense")*SETTINGS!$B$20,0),"Unusually High","Normal"))</f>
        <v/>
      </c>
      <c r="AC550" s="51"/>
      <c r="AD550" s="51"/>
      <c r="AE550" s="51"/>
      <c r="AF550" s="50" t="str">
        <f>IF(A550&lt;&gt;"Yes","No",IF(AND(AC550="Yes",SETTINGS!$B$16="No"),"No","Yes"))</f>
        <v>No</v>
      </c>
      <c r="AG550" s="50" t="str">
        <f>IF(A550&lt;&gt;"Yes","",IF(OR(B550="",D550="",E550&lt;=0,F550="",I550=""),"Check Required Fields",IF(AA550="Possible Duplicate","Possible Duplicate",IF(E550&gt;SETTINGS!$B$22,"Review Extreme Value","OK"))))</f>
        <v/>
      </c>
    </row>
    <row r="551" spans="1:33" ht="14.4">
      <c r="A551" s="9"/>
      <c r="B551" s="13"/>
      <c r="C551" s="9"/>
      <c r="D551" s="9"/>
      <c r="E551" s="11"/>
      <c r="F551" s="9"/>
      <c r="G551" s="9"/>
      <c r="H551" s="44" t="str">
        <f>IF(D551="","",IF(ISNUMBER(SEARCH(SETTINGS!$K$4,D551)),SETTINGS!$L$4,IF(ISNUMBER(SEARCH(SETTINGS!$K$5,D551)),SETTINGS!$L$5,IF(ISNUMBER(SEARCH(SETTINGS!$K$6,D551)),SETTINGS!$L$6,IF(ISNUMBER(SEARCH(SETTINGS!$K$7,D551)),SETTINGS!$L$7,IF(ISNUMBER(SEARCH(SETTINGS!$K$8,D551)),SETTINGS!$L$8,IF(ISNUMBER(SEARCH(SETTINGS!$K$9,D551)),SETTINGS!$L$9,IF(ISNUMBER(SEARCH(SETTINGS!$K$10,D551)),SETTINGS!$L$10,IF(ISNUMBER(SEARCH(SETTINGS!$K$11,D551)),SETTINGS!$L$11,IF(ISNUMBER(SEARCH(SETTINGS!$K$12,D551)),SETTINGS!$L$12,IF(ISNUMBER(SEARCH(SETTINGS!$K$13,D551)),SETTINGS!$L$13,IF(ISNUMBER(SEARCH(SETTINGS!$K$14,D551)),SETTINGS!$L$14,IF(ISNUMBER(SEARCH(SETTINGS!$K$15,D551)),SETTINGS!$L$15,IF(ISNUMBER(SEARCH(SETTINGS!$K$16,D551)),SETTINGS!$L$16,IF(ISNUMBER(SEARCH(SETTINGS!$K$17,D551)),SETTINGS!$L$17,IF(ISNUMBER(SEARCH(SETTINGS!$K$18,D551)),SETTINGS!$L$18,"Miscellaneous"))))))))))))))))</f>
        <v/>
      </c>
      <c r="I551" s="44" t="str">
        <f t="shared" si="64"/>
        <v/>
      </c>
      <c r="J551" s="9"/>
      <c r="K551" s="9"/>
      <c r="L551" s="9"/>
      <c r="M551" s="9"/>
      <c r="N551" s="9"/>
      <c r="O551" s="9"/>
      <c r="P551" s="13"/>
      <c r="Q551" s="9"/>
      <c r="R551" s="9"/>
      <c r="S551" s="9"/>
      <c r="T551" s="11"/>
      <c r="U551" s="44" t="str">
        <f t="shared" si="65"/>
        <v/>
      </c>
      <c r="V551" s="44" t="str">
        <f t="shared" si="66"/>
        <v/>
      </c>
      <c r="W551" s="44" t="str">
        <f t="shared" si="67"/>
        <v/>
      </c>
      <c r="X551" s="44" t="str">
        <f t="shared" si="68"/>
        <v/>
      </c>
      <c r="Y551" s="44" t="str">
        <f t="shared" si="69"/>
        <v/>
      </c>
      <c r="Z551" s="44" t="str">
        <f t="shared" si="70"/>
        <v/>
      </c>
      <c r="AA551" s="50" t="str">
        <f t="shared" si="71"/>
        <v/>
      </c>
      <c r="AB551" s="50" t="str">
        <f>IF(OR(B551="",C551&lt;&gt;"Expense"),"",IF(E551&gt;IFERROR(AVERAGEIFS($E$8:$E$1007,$I$8:$I$1007,I551,$C$8:$C$1007,"Expense")*SETTINGS!$B$20,0),"Unusually High","Normal"))</f>
        <v/>
      </c>
      <c r="AC551" s="51"/>
      <c r="AD551" s="51"/>
      <c r="AE551" s="51"/>
      <c r="AF551" s="50" t="str">
        <f>IF(A551&lt;&gt;"Yes","No",IF(AND(AC551="Yes",SETTINGS!$B$16="No"),"No","Yes"))</f>
        <v>No</v>
      </c>
      <c r="AG551" s="50" t="str">
        <f>IF(A551&lt;&gt;"Yes","",IF(OR(B551="",D551="",E551&lt;=0,F551="",I551=""),"Check Required Fields",IF(AA551="Possible Duplicate","Possible Duplicate",IF(E551&gt;SETTINGS!$B$22,"Review Extreme Value","OK"))))</f>
        <v/>
      </c>
    </row>
    <row r="552" spans="1:33" ht="14.4">
      <c r="A552" s="9"/>
      <c r="B552" s="13"/>
      <c r="C552" s="9"/>
      <c r="D552" s="9"/>
      <c r="E552" s="11"/>
      <c r="F552" s="9"/>
      <c r="G552" s="9"/>
      <c r="H552" s="44" t="str">
        <f>IF(D552="","",IF(ISNUMBER(SEARCH(SETTINGS!$K$4,D552)),SETTINGS!$L$4,IF(ISNUMBER(SEARCH(SETTINGS!$K$5,D552)),SETTINGS!$L$5,IF(ISNUMBER(SEARCH(SETTINGS!$K$6,D552)),SETTINGS!$L$6,IF(ISNUMBER(SEARCH(SETTINGS!$K$7,D552)),SETTINGS!$L$7,IF(ISNUMBER(SEARCH(SETTINGS!$K$8,D552)),SETTINGS!$L$8,IF(ISNUMBER(SEARCH(SETTINGS!$K$9,D552)),SETTINGS!$L$9,IF(ISNUMBER(SEARCH(SETTINGS!$K$10,D552)),SETTINGS!$L$10,IF(ISNUMBER(SEARCH(SETTINGS!$K$11,D552)),SETTINGS!$L$11,IF(ISNUMBER(SEARCH(SETTINGS!$K$12,D552)),SETTINGS!$L$12,IF(ISNUMBER(SEARCH(SETTINGS!$K$13,D552)),SETTINGS!$L$13,IF(ISNUMBER(SEARCH(SETTINGS!$K$14,D552)),SETTINGS!$L$14,IF(ISNUMBER(SEARCH(SETTINGS!$K$15,D552)),SETTINGS!$L$15,IF(ISNUMBER(SEARCH(SETTINGS!$K$16,D552)),SETTINGS!$L$16,IF(ISNUMBER(SEARCH(SETTINGS!$K$17,D552)),SETTINGS!$L$17,IF(ISNUMBER(SEARCH(SETTINGS!$K$18,D552)),SETTINGS!$L$18,"Miscellaneous"))))))))))))))))</f>
        <v/>
      </c>
      <c r="I552" s="44" t="str">
        <f t="shared" si="64"/>
        <v/>
      </c>
      <c r="J552" s="9"/>
      <c r="K552" s="9"/>
      <c r="L552" s="9"/>
      <c r="M552" s="9"/>
      <c r="N552" s="9"/>
      <c r="O552" s="9"/>
      <c r="P552" s="13"/>
      <c r="Q552" s="9"/>
      <c r="R552" s="9"/>
      <c r="S552" s="9"/>
      <c r="T552" s="11"/>
      <c r="U552" s="44" t="str">
        <f t="shared" si="65"/>
        <v/>
      </c>
      <c r="V552" s="44" t="str">
        <f t="shared" si="66"/>
        <v/>
      </c>
      <c r="W552" s="44" t="str">
        <f t="shared" si="67"/>
        <v/>
      </c>
      <c r="X552" s="44" t="str">
        <f t="shared" si="68"/>
        <v/>
      </c>
      <c r="Y552" s="44" t="str">
        <f t="shared" si="69"/>
        <v/>
      </c>
      <c r="Z552" s="44" t="str">
        <f t="shared" si="70"/>
        <v/>
      </c>
      <c r="AA552" s="50" t="str">
        <f t="shared" si="71"/>
        <v/>
      </c>
      <c r="AB552" s="50" t="str">
        <f>IF(OR(B552="",C552&lt;&gt;"Expense"),"",IF(E552&gt;IFERROR(AVERAGEIFS($E$8:$E$1007,$I$8:$I$1007,I552,$C$8:$C$1007,"Expense")*SETTINGS!$B$20,0),"Unusually High","Normal"))</f>
        <v/>
      </c>
      <c r="AC552" s="51"/>
      <c r="AD552" s="51"/>
      <c r="AE552" s="51"/>
      <c r="AF552" s="50" t="str">
        <f>IF(A552&lt;&gt;"Yes","No",IF(AND(AC552="Yes",SETTINGS!$B$16="No"),"No","Yes"))</f>
        <v>No</v>
      </c>
      <c r="AG552" s="50" t="str">
        <f>IF(A552&lt;&gt;"Yes","",IF(OR(B552="",D552="",E552&lt;=0,F552="",I552=""),"Check Required Fields",IF(AA552="Possible Duplicate","Possible Duplicate",IF(E552&gt;SETTINGS!$B$22,"Review Extreme Value","OK"))))</f>
        <v/>
      </c>
    </row>
    <row r="553" spans="1:33" ht="14.4">
      <c r="A553" s="9"/>
      <c r="B553" s="13"/>
      <c r="C553" s="9"/>
      <c r="D553" s="9"/>
      <c r="E553" s="11"/>
      <c r="F553" s="9"/>
      <c r="G553" s="9"/>
      <c r="H553" s="44" t="str">
        <f>IF(D553="","",IF(ISNUMBER(SEARCH(SETTINGS!$K$4,D553)),SETTINGS!$L$4,IF(ISNUMBER(SEARCH(SETTINGS!$K$5,D553)),SETTINGS!$L$5,IF(ISNUMBER(SEARCH(SETTINGS!$K$6,D553)),SETTINGS!$L$6,IF(ISNUMBER(SEARCH(SETTINGS!$K$7,D553)),SETTINGS!$L$7,IF(ISNUMBER(SEARCH(SETTINGS!$K$8,D553)),SETTINGS!$L$8,IF(ISNUMBER(SEARCH(SETTINGS!$K$9,D553)),SETTINGS!$L$9,IF(ISNUMBER(SEARCH(SETTINGS!$K$10,D553)),SETTINGS!$L$10,IF(ISNUMBER(SEARCH(SETTINGS!$K$11,D553)),SETTINGS!$L$11,IF(ISNUMBER(SEARCH(SETTINGS!$K$12,D553)),SETTINGS!$L$12,IF(ISNUMBER(SEARCH(SETTINGS!$K$13,D553)),SETTINGS!$L$13,IF(ISNUMBER(SEARCH(SETTINGS!$K$14,D553)),SETTINGS!$L$14,IF(ISNUMBER(SEARCH(SETTINGS!$K$15,D553)),SETTINGS!$L$15,IF(ISNUMBER(SEARCH(SETTINGS!$K$16,D553)),SETTINGS!$L$16,IF(ISNUMBER(SEARCH(SETTINGS!$K$17,D553)),SETTINGS!$L$17,IF(ISNUMBER(SEARCH(SETTINGS!$K$18,D553)),SETTINGS!$L$18,"Miscellaneous"))))))))))))))))</f>
        <v/>
      </c>
      <c r="I553" s="44" t="str">
        <f t="shared" si="64"/>
        <v/>
      </c>
      <c r="J553" s="9"/>
      <c r="K553" s="9"/>
      <c r="L553" s="9"/>
      <c r="M553" s="9"/>
      <c r="N553" s="9"/>
      <c r="O553" s="9"/>
      <c r="P553" s="13"/>
      <c r="Q553" s="9"/>
      <c r="R553" s="9"/>
      <c r="S553" s="9"/>
      <c r="T553" s="11"/>
      <c r="U553" s="44" t="str">
        <f t="shared" si="65"/>
        <v/>
      </c>
      <c r="V553" s="44" t="str">
        <f t="shared" si="66"/>
        <v/>
      </c>
      <c r="W553" s="44" t="str">
        <f t="shared" si="67"/>
        <v/>
      </c>
      <c r="X553" s="44" t="str">
        <f t="shared" si="68"/>
        <v/>
      </c>
      <c r="Y553" s="44" t="str">
        <f t="shared" si="69"/>
        <v/>
      </c>
      <c r="Z553" s="44" t="str">
        <f t="shared" si="70"/>
        <v/>
      </c>
      <c r="AA553" s="50" t="str">
        <f t="shared" si="71"/>
        <v/>
      </c>
      <c r="AB553" s="50" t="str">
        <f>IF(OR(B553="",C553&lt;&gt;"Expense"),"",IF(E553&gt;IFERROR(AVERAGEIFS($E$8:$E$1007,$I$8:$I$1007,I553,$C$8:$C$1007,"Expense")*SETTINGS!$B$20,0),"Unusually High","Normal"))</f>
        <v/>
      </c>
      <c r="AC553" s="51"/>
      <c r="AD553" s="51"/>
      <c r="AE553" s="51"/>
      <c r="AF553" s="50" t="str">
        <f>IF(A553&lt;&gt;"Yes","No",IF(AND(AC553="Yes",SETTINGS!$B$16="No"),"No","Yes"))</f>
        <v>No</v>
      </c>
      <c r="AG553" s="50" t="str">
        <f>IF(A553&lt;&gt;"Yes","",IF(OR(B553="",D553="",E553&lt;=0,F553="",I553=""),"Check Required Fields",IF(AA553="Possible Duplicate","Possible Duplicate",IF(E553&gt;SETTINGS!$B$22,"Review Extreme Value","OK"))))</f>
        <v/>
      </c>
    </row>
    <row r="554" spans="1:33" ht="14.4">
      <c r="A554" s="9"/>
      <c r="B554" s="13"/>
      <c r="C554" s="9"/>
      <c r="D554" s="9"/>
      <c r="E554" s="11"/>
      <c r="F554" s="9"/>
      <c r="G554" s="9"/>
      <c r="H554" s="44" t="str">
        <f>IF(D554="","",IF(ISNUMBER(SEARCH(SETTINGS!$K$4,D554)),SETTINGS!$L$4,IF(ISNUMBER(SEARCH(SETTINGS!$K$5,D554)),SETTINGS!$L$5,IF(ISNUMBER(SEARCH(SETTINGS!$K$6,D554)),SETTINGS!$L$6,IF(ISNUMBER(SEARCH(SETTINGS!$K$7,D554)),SETTINGS!$L$7,IF(ISNUMBER(SEARCH(SETTINGS!$K$8,D554)),SETTINGS!$L$8,IF(ISNUMBER(SEARCH(SETTINGS!$K$9,D554)),SETTINGS!$L$9,IF(ISNUMBER(SEARCH(SETTINGS!$K$10,D554)),SETTINGS!$L$10,IF(ISNUMBER(SEARCH(SETTINGS!$K$11,D554)),SETTINGS!$L$11,IF(ISNUMBER(SEARCH(SETTINGS!$K$12,D554)),SETTINGS!$L$12,IF(ISNUMBER(SEARCH(SETTINGS!$K$13,D554)),SETTINGS!$L$13,IF(ISNUMBER(SEARCH(SETTINGS!$K$14,D554)),SETTINGS!$L$14,IF(ISNUMBER(SEARCH(SETTINGS!$K$15,D554)),SETTINGS!$L$15,IF(ISNUMBER(SEARCH(SETTINGS!$K$16,D554)),SETTINGS!$L$16,IF(ISNUMBER(SEARCH(SETTINGS!$K$17,D554)),SETTINGS!$L$17,IF(ISNUMBER(SEARCH(SETTINGS!$K$18,D554)),SETTINGS!$L$18,"Miscellaneous"))))))))))))))))</f>
        <v/>
      </c>
      <c r="I554" s="44" t="str">
        <f t="shared" si="64"/>
        <v/>
      </c>
      <c r="J554" s="9"/>
      <c r="K554" s="9"/>
      <c r="L554" s="9"/>
      <c r="M554" s="9"/>
      <c r="N554" s="9"/>
      <c r="O554" s="9"/>
      <c r="P554" s="13"/>
      <c r="Q554" s="9"/>
      <c r="R554" s="9"/>
      <c r="S554" s="9"/>
      <c r="T554" s="11"/>
      <c r="U554" s="44" t="str">
        <f t="shared" si="65"/>
        <v/>
      </c>
      <c r="V554" s="44" t="str">
        <f t="shared" si="66"/>
        <v/>
      </c>
      <c r="W554" s="44" t="str">
        <f t="shared" si="67"/>
        <v/>
      </c>
      <c r="X554" s="44" t="str">
        <f t="shared" si="68"/>
        <v/>
      </c>
      <c r="Y554" s="44" t="str">
        <f t="shared" si="69"/>
        <v/>
      </c>
      <c r="Z554" s="44" t="str">
        <f t="shared" si="70"/>
        <v/>
      </c>
      <c r="AA554" s="50" t="str">
        <f t="shared" si="71"/>
        <v/>
      </c>
      <c r="AB554" s="50" t="str">
        <f>IF(OR(B554="",C554&lt;&gt;"Expense"),"",IF(E554&gt;IFERROR(AVERAGEIFS($E$8:$E$1007,$I$8:$I$1007,I554,$C$8:$C$1007,"Expense")*SETTINGS!$B$20,0),"Unusually High","Normal"))</f>
        <v/>
      </c>
      <c r="AC554" s="51"/>
      <c r="AD554" s="51"/>
      <c r="AE554" s="51"/>
      <c r="AF554" s="50" t="str">
        <f>IF(A554&lt;&gt;"Yes","No",IF(AND(AC554="Yes",SETTINGS!$B$16="No"),"No","Yes"))</f>
        <v>No</v>
      </c>
      <c r="AG554" s="50" t="str">
        <f>IF(A554&lt;&gt;"Yes","",IF(OR(B554="",D554="",E554&lt;=0,F554="",I554=""),"Check Required Fields",IF(AA554="Possible Duplicate","Possible Duplicate",IF(E554&gt;SETTINGS!$B$22,"Review Extreme Value","OK"))))</f>
        <v/>
      </c>
    </row>
    <row r="555" spans="1:33" ht="14.4">
      <c r="A555" s="9"/>
      <c r="B555" s="13"/>
      <c r="C555" s="9"/>
      <c r="D555" s="9"/>
      <c r="E555" s="11"/>
      <c r="F555" s="9"/>
      <c r="G555" s="9"/>
      <c r="H555" s="44" t="str">
        <f>IF(D555="","",IF(ISNUMBER(SEARCH(SETTINGS!$K$4,D555)),SETTINGS!$L$4,IF(ISNUMBER(SEARCH(SETTINGS!$K$5,D555)),SETTINGS!$L$5,IF(ISNUMBER(SEARCH(SETTINGS!$K$6,D555)),SETTINGS!$L$6,IF(ISNUMBER(SEARCH(SETTINGS!$K$7,D555)),SETTINGS!$L$7,IF(ISNUMBER(SEARCH(SETTINGS!$K$8,D555)),SETTINGS!$L$8,IF(ISNUMBER(SEARCH(SETTINGS!$K$9,D555)),SETTINGS!$L$9,IF(ISNUMBER(SEARCH(SETTINGS!$K$10,D555)),SETTINGS!$L$10,IF(ISNUMBER(SEARCH(SETTINGS!$K$11,D555)),SETTINGS!$L$11,IF(ISNUMBER(SEARCH(SETTINGS!$K$12,D555)),SETTINGS!$L$12,IF(ISNUMBER(SEARCH(SETTINGS!$K$13,D555)),SETTINGS!$L$13,IF(ISNUMBER(SEARCH(SETTINGS!$K$14,D555)),SETTINGS!$L$14,IF(ISNUMBER(SEARCH(SETTINGS!$K$15,D555)),SETTINGS!$L$15,IF(ISNUMBER(SEARCH(SETTINGS!$K$16,D555)),SETTINGS!$L$16,IF(ISNUMBER(SEARCH(SETTINGS!$K$17,D555)),SETTINGS!$L$17,IF(ISNUMBER(SEARCH(SETTINGS!$K$18,D555)),SETTINGS!$L$18,"Miscellaneous"))))))))))))))))</f>
        <v/>
      </c>
      <c r="I555" s="44" t="str">
        <f t="shared" si="64"/>
        <v/>
      </c>
      <c r="J555" s="9"/>
      <c r="K555" s="9"/>
      <c r="L555" s="9"/>
      <c r="M555" s="9"/>
      <c r="N555" s="9"/>
      <c r="O555" s="9"/>
      <c r="P555" s="13"/>
      <c r="Q555" s="9"/>
      <c r="R555" s="9"/>
      <c r="S555" s="9"/>
      <c r="T555" s="11"/>
      <c r="U555" s="44" t="str">
        <f t="shared" si="65"/>
        <v/>
      </c>
      <c r="V555" s="44" t="str">
        <f t="shared" si="66"/>
        <v/>
      </c>
      <c r="W555" s="44" t="str">
        <f t="shared" si="67"/>
        <v/>
      </c>
      <c r="X555" s="44" t="str">
        <f t="shared" si="68"/>
        <v/>
      </c>
      <c r="Y555" s="44" t="str">
        <f t="shared" si="69"/>
        <v/>
      </c>
      <c r="Z555" s="44" t="str">
        <f t="shared" si="70"/>
        <v/>
      </c>
      <c r="AA555" s="50" t="str">
        <f t="shared" si="71"/>
        <v/>
      </c>
      <c r="AB555" s="50" t="str">
        <f>IF(OR(B555="",C555&lt;&gt;"Expense"),"",IF(E555&gt;IFERROR(AVERAGEIFS($E$8:$E$1007,$I$8:$I$1007,I555,$C$8:$C$1007,"Expense")*SETTINGS!$B$20,0),"Unusually High","Normal"))</f>
        <v/>
      </c>
      <c r="AC555" s="51"/>
      <c r="AD555" s="51"/>
      <c r="AE555" s="51"/>
      <c r="AF555" s="50" t="str">
        <f>IF(A555&lt;&gt;"Yes","No",IF(AND(AC555="Yes",SETTINGS!$B$16="No"),"No","Yes"))</f>
        <v>No</v>
      </c>
      <c r="AG555" s="50" t="str">
        <f>IF(A555&lt;&gt;"Yes","",IF(OR(B555="",D555="",E555&lt;=0,F555="",I555=""),"Check Required Fields",IF(AA555="Possible Duplicate","Possible Duplicate",IF(E555&gt;SETTINGS!$B$22,"Review Extreme Value","OK"))))</f>
        <v/>
      </c>
    </row>
    <row r="556" spans="1:33" ht="14.4">
      <c r="A556" s="9"/>
      <c r="B556" s="13"/>
      <c r="C556" s="9"/>
      <c r="D556" s="9"/>
      <c r="E556" s="11"/>
      <c r="F556" s="9"/>
      <c r="G556" s="9"/>
      <c r="H556" s="44" t="str">
        <f>IF(D556="","",IF(ISNUMBER(SEARCH(SETTINGS!$K$4,D556)),SETTINGS!$L$4,IF(ISNUMBER(SEARCH(SETTINGS!$K$5,D556)),SETTINGS!$L$5,IF(ISNUMBER(SEARCH(SETTINGS!$K$6,D556)),SETTINGS!$L$6,IF(ISNUMBER(SEARCH(SETTINGS!$K$7,D556)),SETTINGS!$L$7,IF(ISNUMBER(SEARCH(SETTINGS!$K$8,D556)),SETTINGS!$L$8,IF(ISNUMBER(SEARCH(SETTINGS!$K$9,D556)),SETTINGS!$L$9,IF(ISNUMBER(SEARCH(SETTINGS!$K$10,D556)),SETTINGS!$L$10,IF(ISNUMBER(SEARCH(SETTINGS!$K$11,D556)),SETTINGS!$L$11,IF(ISNUMBER(SEARCH(SETTINGS!$K$12,D556)),SETTINGS!$L$12,IF(ISNUMBER(SEARCH(SETTINGS!$K$13,D556)),SETTINGS!$L$13,IF(ISNUMBER(SEARCH(SETTINGS!$K$14,D556)),SETTINGS!$L$14,IF(ISNUMBER(SEARCH(SETTINGS!$K$15,D556)),SETTINGS!$L$15,IF(ISNUMBER(SEARCH(SETTINGS!$K$16,D556)),SETTINGS!$L$16,IF(ISNUMBER(SEARCH(SETTINGS!$K$17,D556)),SETTINGS!$L$17,IF(ISNUMBER(SEARCH(SETTINGS!$K$18,D556)),SETTINGS!$L$18,"Miscellaneous"))))))))))))))))</f>
        <v/>
      </c>
      <c r="I556" s="44" t="str">
        <f t="shared" si="64"/>
        <v/>
      </c>
      <c r="J556" s="9"/>
      <c r="K556" s="9"/>
      <c r="L556" s="9"/>
      <c r="M556" s="9"/>
      <c r="N556" s="9"/>
      <c r="O556" s="9"/>
      <c r="P556" s="13"/>
      <c r="Q556" s="9"/>
      <c r="R556" s="9"/>
      <c r="S556" s="9"/>
      <c r="T556" s="11"/>
      <c r="U556" s="44" t="str">
        <f t="shared" si="65"/>
        <v/>
      </c>
      <c r="V556" s="44" t="str">
        <f t="shared" si="66"/>
        <v/>
      </c>
      <c r="W556" s="44" t="str">
        <f t="shared" si="67"/>
        <v/>
      </c>
      <c r="X556" s="44" t="str">
        <f t="shared" si="68"/>
        <v/>
      </c>
      <c r="Y556" s="44" t="str">
        <f t="shared" si="69"/>
        <v/>
      </c>
      <c r="Z556" s="44" t="str">
        <f t="shared" si="70"/>
        <v/>
      </c>
      <c r="AA556" s="50" t="str">
        <f t="shared" si="71"/>
        <v/>
      </c>
      <c r="AB556" s="50" t="str">
        <f>IF(OR(B556="",C556&lt;&gt;"Expense"),"",IF(E556&gt;IFERROR(AVERAGEIFS($E$8:$E$1007,$I$8:$I$1007,I556,$C$8:$C$1007,"Expense")*SETTINGS!$B$20,0),"Unusually High","Normal"))</f>
        <v/>
      </c>
      <c r="AC556" s="51"/>
      <c r="AD556" s="51"/>
      <c r="AE556" s="51"/>
      <c r="AF556" s="50" t="str">
        <f>IF(A556&lt;&gt;"Yes","No",IF(AND(AC556="Yes",SETTINGS!$B$16="No"),"No","Yes"))</f>
        <v>No</v>
      </c>
      <c r="AG556" s="50" t="str">
        <f>IF(A556&lt;&gt;"Yes","",IF(OR(B556="",D556="",E556&lt;=0,F556="",I556=""),"Check Required Fields",IF(AA556="Possible Duplicate","Possible Duplicate",IF(E556&gt;SETTINGS!$B$22,"Review Extreme Value","OK"))))</f>
        <v/>
      </c>
    </row>
    <row r="557" spans="1:33" ht="14.4">
      <c r="A557" s="9"/>
      <c r="B557" s="13"/>
      <c r="C557" s="9"/>
      <c r="D557" s="9"/>
      <c r="E557" s="11"/>
      <c r="F557" s="9"/>
      <c r="G557" s="9"/>
      <c r="H557" s="44" t="str">
        <f>IF(D557="","",IF(ISNUMBER(SEARCH(SETTINGS!$K$4,D557)),SETTINGS!$L$4,IF(ISNUMBER(SEARCH(SETTINGS!$K$5,D557)),SETTINGS!$L$5,IF(ISNUMBER(SEARCH(SETTINGS!$K$6,D557)),SETTINGS!$L$6,IF(ISNUMBER(SEARCH(SETTINGS!$K$7,D557)),SETTINGS!$L$7,IF(ISNUMBER(SEARCH(SETTINGS!$K$8,D557)),SETTINGS!$L$8,IF(ISNUMBER(SEARCH(SETTINGS!$K$9,D557)),SETTINGS!$L$9,IF(ISNUMBER(SEARCH(SETTINGS!$K$10,D557)),SETTINGS!$L$10,IF(ISNUMBER(SEARCH(SETTINGS!$K$11,D557)),SETTINGS!$L$11,IF(ISNUMBER(SEARCH(SETTINGS!$K$12,D557)),SETTINGS!$L$12,IF(ISNUMBER(SEARCH(SETTINGS!$K$13,D557)),SETTINGS!$L$13,IF(ISNUMBER(SEARCH(SETTINGS!$K$14,D557)),SETTINGS!$L$14,IF(ISNUMBER(SEARCH(SETTINGS!$K$15,D557)),SETTINGS!$L$15,IF(ISNUMBER(SEARCH(SETTINGS!$K$16,D557)),SETTINGS!$L$16,IF(ISNUMBER(SEARCH(SETTINGS!$K$17,D557)),SETTINGS!$L$17,IF(ISNUMBER(SEARCH(SETTINGS!$K$18,D557)),SETTINGS!$L$18,"Miscellaneous"))))))))))))))))</f>
        <v/>
      </c>
      <c r="I557" s="44" t="str">
        <f t="shared" si="64"/>
        <v/>
      </c>
      <c r="J557" s="9"/>
      <c r="K557" s="9"/>
      <c r="L557" s="9"/>
      <c r="M557" s="9"/>
      <c r="N557" s="9"/>
      <c r="O557" s="9"/>
      <c r="P557" s="13"/>
      <c r="Q557" s="9"/>
      <c r="R557" s="9"/>
      <c r="S557" s="9"/>
      <c r="T557" s="11"/>
      <c r="U557" s="44" t="str">
        <f t="shared" si="65"/>
        <v/>
      </c>
      <c r="V557" s="44" t="str">
        <f t="shared" si="66"/>
        <v/>
      </c>
      <c r="W557" s="44" t="str">
        <f t="shared" si="67"/>
        <v/>
      </c>
      <c r="X557" s="44" t="str">
        <f t="shared" si="68"/>
        <v/>
      </c>
      <c r="Y557" s="44" t="str">
        <f t="shared" si="69"/>
        <v/>
      </c>
      <c r="Z557" s="44" t="str">
        <f t="shared" si="70"/>
        <v/>
      </c>
      <c r="AA557" s="50" t="str">
        <f t="shared" si="71"/>
        <v/>
      </c>
      <c r="AB557" s="50" t="str">
        <f>IF(OR(B557="",C557&lt;&gt;"Expense"),"",IF(E557&gt;IFERROR(AVERAGEIFS($E$8:$E$1007,$I$8:$I$1007,I557,$C$8:$C$1007,"Expense")*SETTINGS!$B$20,0),"Unusually High","Normal"))</f>
        <v/>
      </c>
      <c r="AC557" s="51"/>
      <c r="AD557" s="51"/>
      <c r="AE557" s="51"/>
      <c r="AF557" s="50" t="str">
        <f>IF(A557&lt;&gt;"Yes","No",IF(AND(AC557="Yes",SETTINGS!$B$16="No"),"No","Yes"))</f>
        <v>No</v>
      </c>
      <c r="AG557" s="50" t="str">
        <f>IF(A557&lt;&gt;"Yes","",IF(OR(B557="",D557="",E557&lt;=0,F557="",I557=""),"Check Required Fields",IF(AA557="Possible Duplicate","Possible Duplicate",IF(E557&gt;SETTINGS!$B$22,"Review Extreme Value","OK"))))</f>
        <v/>
      </c>
    </row>
    <row r="558" spans="1:33" ht="14.4">
      <c r="A558" s="9"/>
      <c r="B558" s="13"/>
      <c r="C558" s="9"/>
      <c r="D558" s="9"/>
      <c r="E558" s="11"/>
      <c r="F558" s="9"/>
      <c r="G558" s="9"/>
      <c r="H558" s="44" t="str">
        <f>IF(D558="","",IF(ISNUMBER(SEARCH(SETTINGS!$K$4,D558)),SETTINGS!$L$4,IF(ISNUMBER(SEARCH(SETTINGS!$K$5,D558)),SETTINGS!$L$5,IF(ISNUMBER(SEARCH(SETTINGS!$K$6,D558)),SETTINGS!$L$6,IF(ISNUMBER(SEARCH(SETTINGS!$K$7,D558)),SETTINGS!$L$7,IF(ISNUMBER(SEARCH(SETTINGS!$K$8,D558)),SETTINGS!$L$8,IF(ISNUMBER(SEARCH(SETTINGS!$K$9,D558)),SETTINGS!$L$9,IF(ISNUMBER(SEARCH(SETTINGS!$K$10,D558)),SETTINGS!$L$10,IF(ISNUMBER(SEARCH(SETTINGS!$K$11,D558)),SETTINGS!$L$11,IF(ISNUMBER(SEARCH(SETTINGS!$K$12,D558)),SETTINGS!$L$12,IF(ISNUMBER(SEARCH(SETTINGS!$K$13,D558)),SETTINGS!$L$13,IF(ISNUMBER(SEARCH(SETTINGS!$K$14,D558)),SETTINGS!$L$14,IF(ISNUMBER(SEARCH(SETTINGS!$K$15,D558)),SETTINGS!$L$15,IF(ISNUMBER(SEARCH(SETTINGS!$K$16,D558)),SETTINGS!$L$16,IF(ISNUMBER(SEARCH(SETTINGS!$K$17,D558)),SETTINGS!$L$17,IF(ISNUMBER(SEARCH(SETTINGS!$K$18,D558)),SETTINGS!$L$18,"Miscellaneous"))))))))))))))))</f>
        <v/>
      </c>
      <c r="I558" s="44" t="str">
        <f t="shared" si="64"/>
        <v/>
      </c>
      <c r="J558" s="9"/>
      <c r="K558" s="9"/>
      <c r="L558" s="9"/>
      <c r="M558" s="9"/>
      <c r="N558" s="9"/>
      <c r="O558" s="9"/>
      <c r="P558" s="13"/>
      <c r="Q558" s="9"/>
      <c r="R558" s="9"/>
      <c r="S558" s="9"/>
      <c r="T558" s="11"/>
      <c r="U558" s="44" t="str">
        <f t="shared" si="65"/>
        <v/>
      </c>
      <c r="V558" s="44" t="str">
        <f t="shared" si="66"/>
        <v/>
      </c>
      <c r="W558" s="44" t="str">
        <f t="shared" si="67"/>
        <v/>
      </c>
      <c r="X558" s="44" t="str">
        <f t="shared" si="68"/>
        <v/>
      </c>
      <c r="Y558" s="44" t="str">
        <f t="shared" si="69"/>
        <v/>
      </c>
      <c r="Z558" s="44" t="str">
        <f t="shared" si="70"/>
        <v/>
      </c>
      <c r="AA558" s="50" t="str">
        <f t="shared" si="71"/>
        <v/>
      </c>
      <c r="AB558" s="50" t="str">
        <f>IF(OR(B558="",C558&lt;&gt;"Expense"),"",IF(E558&gt;IFERROR(AVERAGEIFS($E$8:$E$1007,$I$8:$I$1007,I558,$C$8:$C$1007,"Expense")*SETTINGS!$B$20,0),"Unusually High","Normal"))</f>
        <v/>
      </c>
      <c r="AC558" s="51"/>
      <c r="AD558" s="51"/>
      <c r="AE558" s="51"/>
      <c r="AF558" s="50" t="str">
        <f>IF(A558&lt;&gt;"Yes","No",IF(AND(AC558="Yes",SETTINGS!$B$16="No"),"No","Yes"))</f>
        <v>No</v>
      </c>
      <c r="AG558" s="50" t="str">
        <f>IF(A558&lt;&gt;"Yes","",IF(OR(B558="",D558="",E558&lt;=0,F558="",I558=""),"Check Required Fields",IF(AA558="Possible Duplicate","Possible Duplicate",IF(E558&gt;SETTINGS!$B$22,"Review Extreme Value","OK"))))</f>
        <v/>
      </c>
    </row>
    <row r="559" spans="1:33" ht="14.4">
      <c r="A559" s="9"/>
      <c r="B559" s="13"/>
      <c r="C559" s="9"/>
      <c r="D559" s="9"/>
      <c r="E559" s="11"/>
      <c r="F559" s="9"/>
      <c r="G559" s="9"/>
      <c r="H559" s="44" t="str">
        <f>IF(D559="","",IF(ISNUMBER(SEARCH(SETTINGS!$K$4,D559)),SETTINGS!$L$4,IF(ISNUMBER(SEARCH(SETTINGS!$K$5,D559)),SETTINGS!$L$5,IF(ISNUMBER(SEARCH(SETTINGS!$K$6,D559)),SETTINGS!$L$6,IF(ISNUMBER(SEARCH(SETTINGS!$K$7,D559)),SETTINGS!$L$7,IF(ISNUMBER(SEARCH(SETTINGS!$K$8,D559)),SETTINGS!$L$8,IF(ISNUMBER(SEARCH(SETTINGS!$K$9,D559)),SETTINGS!$L$9,IF(ISNUMBER(SEARCH(SETTINGS!$K$10,D559)),SETTINGS!$L$10,IF(ISNUMBER(SEARCH(SETTINGS!$K$11,D559)),SETTINGS!$L$11,IF(ISNUMBER(SEARCH(SETTINGS!$K$12,D559)),SETTINGS!$L$12,IF(ISNUMBER(SEARCH(SETTINGS!$K$13,D559)),SETTINGS!$L$13,IF(ISNUMBER(SEARCH(SETTINGS!$K$14,D559)),SETTINGS!$L$14,IF(ISNUMBER(SEARCH(SETTINGS!$K$15,D559)),SETTINGS!$L$15,IF(ISNUMBER(SEARCH(SETTINGS!$K$16,D559)),SETTINGS!$L$16,IF(ISNUMBER(SEARCH(SETTINGS!$K$17,D559)),SETTINGS!$L$17,IF(ISNUMBER(SEARCH(SETTINGS!$K$18,D559)),SETTINGS!$L$18,"Miscellaneous"))))))))))))))))</f>
        <v/>
      </c>
      <c r="I559" s="44" t="str">
        <f t="shared" si="64"/>
        <v/>
      </c>
      <c r="J559" s="9"/>
      <c r="K559" s="9"/>
      <c r="L559" s="9"/>
      <c r="M559" s="9"/>
      <c r="N559" s="9"/>
      <c r="O559" s="9"/>
      <c r="P559" s="13"/>
      <c r="Q559" s="9"/>
      <c r="R559" s="9"/>
      <c r="S559" s="9"/>
      <c r="T559" s="11"/>
      <c r="U559" s="44" t="str">
        <f t="shared" si="65"/>
        <v/>
      </c>
      <c r="V559" s="44" t="str">
        <f t="shared" si="66"/>
        <v/>
      </c>
      <c r="W559" s="44" t="str">
        <f t="shared" si="67"/>
        <v/>
      </c>
      <c r="X559" s="44" t="str">
        <f t="shared" si="68"/>
        <v/>
      </c>
      <c r="Y559" s="44" t="str">
        <f t="shared" si="69"/>
        <v/>
      </c>
      <c r="Z559" s="44" t="str">
        <f t="shared" si="70"/>
        <v/>
      </c>
      <c r="AA559" s="50" t="str">
        <f t="shared" si="71"/>
        <v/>
      </c>
      <c r="AB559" s="50" t="str">
        <f>IF(OR(B559="",C559&lt;&gt;"Expense"),"",IF(E559&gt;IFERROR(AVERAGEIFS($E$8:$E$1007,$I$8:$I$1007,I559,$C$8:$C$1007,"Expense")*SETTINGS!$B$20,0),"Unusually High","Normal"))</f>
        <v/>
      </c>
      <c r="AC559" s="51"/>
      <c r="AD559" s="51"/>
      <c r="AE559" s="51"/>
      <c r="AF559" s="50" t="str">
        <f>IF(A559&lt;&gt;"Yes","No",IF(AND(AC559="Yes",SETTINGS!$B$16="No"),"No","Yes"))</f>
        <v>No</v>
      </c>
      <c r="AG559" s="50" t="str">
        <f>IF(A559&lt;&gt;"Yes","",IF(OR(B559="",D559="",E559&lt;=0,F559="",I559=""),"Check Required Fields",IF(AA559="Possible Duplicate","Possible Duplicate",IF(E559&gt;SETTINGS!$B$22,"Review Extreme Value","OK"))))</f>
        <v/>
      </c>
    </row>
    <row r="560" spans="1:33" ht="14.4">
      <c r="A560" s="9"/>
      <c r="B560" s="13"/>
      <c r="C560" s="9"/>
      <c r="D560" s="9"/>
      <c r="E560" s="11"/>
      <c r="F560" s="9"/>
      <c r="G560" s="9"/>
      <c r="H560" s="44" t="str">
        <f>IF(D560="","",IF(ISNUMBER(SEARCH(SETTINGS!$K$4,D560)),SETTINGS!$L$4,IF(ISNUMBER(SEARCH(SETTINGS!$K$5,D560)),SETTINGS!$L$5,IF(ISNUMBER(SEARCH(SETTINGS!$K$6,D560)),SETTINGS!$L$6,IF(ISNUMBER(SEARCH(SETTINGS!$K$7,D560)),SETTINGS!$L$7,IF(ISNUMBER(SEARCH(SETTINGS!$K$8,D560)),SETTINGS!$L$8,IF(ISNUMBER(SEARCH(SETTINGS!$K$9,D560)),SETTINGS!$L$9,IF(ISNUMBER(SEARCH(SETTINGS!$K$10,D560)),SETTINGS!$L$10,IF(ISNUMBER(SEARCH(SETTINGS!$K$11,D560)),SETTINGS!$L$11,IF(ISNUMBER(SEARCH(SETTINGS!$K$12,D560)),SETTINGS!$L$12,IF(ISNUMBER(SEARCH(SETTINGS!$K$13,D560)),SETTINGS!$L$13,IF(ISNUMBER(SEARCH(SETTINGS!$K$14,D560)),SETTINGS!$L$14,IF(ISNUMBER(SEARCH(SETTINGS!$K$15,D560)),SETTINGS!$L$15,IF(ISNUMBER(SEARCH(SETTINGS!$K$16,D560)),SETTINGS!$L$16,IF(ISNUMBER(SEARCH(SETTINGS!$K$17,D560)),SETTINGS!$L$17,IF(ISNUMBER(SEARCH(SETTINGS!$K$18,D560)),SETTINGS!$L$18,"Miscellaneous"))))))))))))))))</f>
        <v/>
      </c>
      <c r="I560" s="44" t="str">
        <f t="shared" si="64"/>
        <v/>
      </c>
      <c r="J560" s="9"/>
      <c r="K560" s="9"/>
      <c r="L560" s="9"/>
      <c r="M560" s="9"/>
      <c r="N560" s="9"/>
      <c r="O560" s="9"/>
      <c r="P560" s="13"/>
      <c r="Q560" s="9"/>
      <c r="R560" s="9"/>
      <c r="S560" s="9"/>
      <c r="T560" s="11"/>
      <c r="U560" s="44" t="str">
        <f t="shared" si="65"/>
        <v/>
      </c>
      <c r="V560" s="44" t="str">
        <f t="shared" si="66"/>
        <v/>
      </c>
      <c r="W560" s="44" t="str">
        <f t="shared" si="67"/>
        <v/>
      </c>
      <c r="X560" s="44" t="str">
        <f t="shared" si="68"/>
        <v/>
      </c>
      <c r="Y560" s="44" t="str">
        <f t="shared" si="69"/>
        <v/>
      </c>
      <c r="Z560" s="44" t="str">
        <f t="shared" si="70"/>
        <v/>
      </c>
      <c r="AA560" s="50" t="str">
        <f t="shared" si="71"/>
        <v/>
      </c>
      <c r="AB560" s="50" t="str">
        <f>IF(OR(B560="",C560&lt;&gt;"Expense"),"",IF(E560&gt;IFERROR(AVERAGEIFS($E$8:$E$1007,$I$8:$I$1007,I560,$C$8:$C$1007,"Expense")*SETTINGS!$B$20,0),"Unusually High","Normal"))</f>
        <v/>
      </c>
      <c r="AC560" s="51"/>
      <c r="AD560" s="51"/>
      <c r="AE560" s="51"/>
      <c r="AF560" s="50" t="str">
        <f>IF(A560&lt;&gt;"Yes","No",IF(AND(AC560="Yes",SETTINGS!$B$16="No"),"No","Yes"))</f>
        <v>No</v>
      </c>
      <c r="AG560" s="50" t="str">
        <f>IF(A560&lt;&gt;"Yes","",IF(OR(B560="",D560="",E560&lt;=0,F560="",I560=""),"Check Required Fields",IF(AA560="Possible Duplicate","Possible Duplicate",IF(E560&gt;SETTINGS!$B$22,"Review Extreme Value","OK"))))</f>
        <v/>
      </c>
    </row>
    <row r="561" spans="1:33" ht="14.4">
      <c r="A561" s="9"/>
      <c r="B561" s="13"/>
      <c r="C561" s="9"/>
      <c r="D561" s="9"/>
      <c r="E561" s="11"/>
      <c r="F561" s="9"/>
      <c r="G561" s="9"/>
      <c r="H561" s="44" t="str">
        <f>IF(D561="","",IF(ISNUMBER(SEARCH(SETTINGS!$K$4,D561)),SETTINGS!$L$4,IF(ISNUMBER(SEARCH(SETTINGS!$K$5,D561)),SETTINGS!$L$5,IF(ISNUMBER(SEARCH(SETTINGS!$K$6,D561)),SETTINGS!$L$6,IF(ISNUMBER(SEARCH(SETTINGS!$K$7,D561)),SETTINGS!$L$7,IF(ISNUMBER(SEARCH(SETTINGS!$K$8,D561)),SETTINGS!$L$8,IF(ISNUMBER(SEARCH(SETTINGS!$K$9,D561)),SETTINGS!$L$9,IF(ISNUMBER(SEARCH(SETTINGS!$K$10,D561)),SETTINGS!$L$10,IF(ISNUMBER(SEARCH(SETTINGS!$K$11,D561)),SETTINGS!$L$11,IF(ISNUMBER(SEARCH(SETTINGS!$K$12,D561)),SETTINGS!$L$12,IF(ISNUMBER(SEARCH(SETTINGS!$K$13,D561)),SETTINGS!$L$13,IF(ISNUMBER(SEARCH(SETTINGS!$K$14,D561)),SETTINGS!$L$14,IF(ISNUMBER(SEARCH(SETTINGS!$K$15,D561)),SETTINGS!$L$15,IF(ISNUMBER(SEARCH(SETTINGS!$K$16,D561)),SETTINGS!$L$16,IF(ISNUMBER(SEARCH(SETTINGS!$K$17,D561)),SETTINGS!$L$17,IF(ISNUMBER(SEARCH(SETTINGS!$K$18,D561)),SETTINGS!$L$18,"Miscellaneous"))))))))))))))))</f>
        <v/>
      </c>
      <c r="I561" s="44" t="str">
        <f t="shared" si="64"/>
        <v/>
      </c>
      <c r="J561" s="9"/>
      <c r="K561" s="9"/>
      <c r="L561" s="9"/>
      <c r="M561" s="9"/>
      <c r="N561" s="9"/>
      <c r="O561" s="9"/>
      <c r="P561" s="13"/>
      <c r="Q561" s="9"/>
      <c r="R561" s="9"/>
      <c r="S561" s="9"/>
      <c r="T561" s="11"/>
      <c r="U561" s="44" t="str">
        <f t="shared" si="65"/>
        <v/>
      </c>
      <c r="V561" s="44" t="str">
        <f t="shared" si="66"/>
        <v/>
      </c>
      <c r="W561" s="44" t="str">
        <f t="shared" si="67"/>
        <v/>
      </c>
      <c r="X561" s="44" t="str">
        <f t="shared" si="68"/>
        <v/>
      </c>
      <c r="Y561" s="44" t="str">
        <f t="shared" si="69"/>
        <v/>
      </c>
      <c r="Z561" s="44" t="str">
        <f t="shared" si="70"/>
        <v/>
      </c>
      <c r="AA561" s="50" t="str">
        <f t="shared" si="71"/>
        <v/>
      </c>
      <c r="AB561" s="50" t="str">
        <f>IF(OR(B561="",C561&lt;&gt;"Expense"),"",IF(E561&gt;IFERROR(AVERAGEIFS($E$8:$E$1007,$I$8:$I$1007,I561,$C$8:$C$1007,"Expense")*SETTINGS!$B$20,0),"Unusually High","Normal"))</f>
        <v/>
      </c>
      <c r="AC561" s="51"/>
      <c r="AD561" s="51"/>
      <c r="AE561" s="51"/>
      <c r="AF561" s="50" t="str">
        <f>IF(A561&lt;&gt;"Yes","No",IF(AND(AC561="Yes",SETTINGS!$B$16="No"),"No","Yes"))</f>
        <v>No</v>
      </c>
      <c r="AG561" s="50" t="str">
        <f>IF(A561&lt;&gt;"Yes","",IF(OR(B561="",D561="",E561&lt;=0,F561="",I561=""),"Check Required Fields",IF(AA561="Possible Duplicate","Possible Duplicate",IF(E561&gt;SETTINGS!$B$22,"Review Extreme Value","OK"))))</f>
        <v/>
      </c>
    </row>
    <row r="562" spans="1:33" ht="14.4">
      <c r="A562" s="9"/>
      <c r="B562" s="13"/>
      <c r="C562" s="9"/>
      <c r="D562" s="9"/>
      <c r="E562" s="11"/>
      <c r="F562" s="9"/>
      <c r="G562" s="9"/>
      <c r="H562" s="44" t="str">
        <f>IF(D562="","",IF(ISNUMBER(SEARCH(SETTINGS!$K$4,D562)),SETTINGS!$L$4,IF(ISNUMBER(SEARCH(SETTINGS!$K$5,D562)),SETTINGS!$L$5,IF(ISNUMBER(SEARCH(SETTINGS!$K$6,D562)),SETTINGS!$L$6,IF(ISNUMBER(SEARCH(SETTINGS!$K$7,D562)),SETTINGS!$L$7,IF(ISNUMBER(SEARCH(SETTINGS!$K$8,D562)),SETTINGS!$L$8,IF(ISNUMBER(SEARCH(SETTINGS!$K$9,D562)),SETTINGS!$L$9,IF(ISNUMBER(SEARCH(SETTINGS!$K$10,D562)),SETTINGS!$L$10,IF(ISNUMBER(SEARCH(SETTINGS!$K$11,D562)),SETTINGS!$L$11,IF(ISNUMBER(SEARCH(SETTINGS!$K$12,D562)),SETTINGS!$L$12,IF(ISNUMBER(SEARCH(SETTINGS!$K$13,D562)),SETTINGS!$L$13,IF(ISNUMBER(SEARCH(SETTINGS!$K$14,D562)),SETTINGS!$L$14,IF(ISNUMBER(SEARCH(SETTINGS!$K$15,D562)),SETTINGS!$L$15,IF(ISNUMBER(SEARCH(SETTINGS!$K$16,D562)),SETTINGS!$L$16,IF(ISNUMBER(SEARCH(SETTINGS!$K$17,D562)),SETTINGS!$L$17,IF(ISNUMBER(SEARCH(SETTINGS!$K$18,D562)),SETTINGS!$L$18,"Miscellaneous"))))))))))))))))</f>
        <v/>
      </c>
      <c r="I562" s="44" t="str">
        <f t="shared" si="64"/>
        <v/>
      </c>
      <c r="J562" s="9"/>
      <c r="K562" s="9"/>
      <c r="L562" s="9"/>
      <c r="M562" s="9"/>
      <c r="N562" s="9"/>
      <c r="O562" s="9"/>
      <c r="P562" s="13"/>
      <c r="Q562" s="9"/>
      <c r="R562" s="9"/>
      <c r="S562" s="9"/>
      <c r="T562" s="11"/>
      <c r="U562" s="44" t="str">
        <f t="shared" si="65"/>
        <v/>
      </c>
      <c r="V562" s="44" t="str">
        <f t="shared" si="66"/>
        <v/>
      </c>
      <c r="W562" s="44" t="str">
        <f t="shared" si="67"/>
        <v/>
      </c>
      <c r="X562" s="44" t="str">
        <f t="shared" si="68"/>
        <v/>
      </c>
      <c r="Y562" s="44" t="str">
        <f t="shared" si="69"/>
        <v/>
      </c>
      <c r="Z562" s="44" t="str">
        <f t="shared" si="70"/>
        <v/>
      </c>
      <c r="AA562" s="50" t="str">
        <f t="shared" si="71"/>
        <v/>
      </c>
      <c r="AB562" s="50" t="str">
        <f>IF(OR(B562="",C562&lt;&gt;"Expense"),"",IF(E562&gt;IFERROR(AVERAGEIFS($E$8:$E$1007,$I$8:$I$1007,I562,$C$8:$C$1007,"Expense")*SETTINGS!$B$20,0),"Unusually High","Normal"))</f>
        <v/>
      </c>
      <c r="AC562" s="51"/>
      <c r="AD562" s="51"/>
      <c r="AE562" s="51"/>
      <c r="AF562" s="50" t="str">
        <f>IF(A562&lt;&gt;"Yes","No",IF(AND(AC562="Yes",SETTINGS!$B$16="No"),"No","Yes"))</f>
        <v>No</v>
      </c>
      <c r="AG562" s="50" t="str">
        <f>IF(A562&lt;&gt;"Yes","",IF(OR(B562="",D562="",E562&lt;=0,F562="",I562=""),"Check Required Fields",IF(AA562="Possible Duplicate","Possible Duplicate",IF(E562&gt;SETTINGS!$B$22,"Review Extreme Value","OK"))))</f>
        <v/>
      </c>
    </row>
    <row r="563" spans="1:33" ht="14.4">
      <c r="A563" s="9"/>
      <c r="B563" s="13"/>
      <c r="C563" s="9"/>
      <c r="D563" s="9"/>
      <c r="E563" s="11"/>
      <c r="F563" s="9"/>
      <c r="G563" s="9"/>
      <c r="H563" s="44" t="str">
        <f>IF(D563="","",IF(ISNUMBER(SEARCH(SETTINGS!$K$4,D563)),SETTINGS!$L$4,IF(ISNUMBER(SEARCH(SETTINGS!$K$5,D563)),SETTINGS!$L$5,IF(ISNUMBER(SEARCH(SETTINGS!$K$6,D563)),SETTINGS!$L$6,IF(ISNUMBER(SEARCH(SETTINGS!$K$7,D563)),SETTINGS!$L$7,IF(ISNUMBER(SEARCH(SETTINGS!$K$8,D563)),SETTINGS!$L$8,IF(ISNUMBER(SEARCH(SETTINGS!$K$9,D563)),SETTINGS!$L$9,IF(ISNUMBER(SEARCH(SETTINGS!$K$10,D563)),SETTINGS!$L$10,IF(ISNUMBER(SEARCH(SETTINGS!$K$11,D563)),SETTINGS!$L$11,IF(ISNUMBER(SEARCH(SETTINGS!$K$12,D563)),SETTINGS!$L$12,IF(ISNUMBER(SEARCH(SETTINGS!$K$13,D563)),SETTINGS!$L$13,IF(ISNUMBER(SEARCH(SETTINGS!$K$14,D563)),SETTINGS!$L$14,IF(ISNUMBER(SEARCH(SETTINGS!$K$15,D563)),SETTINGS!$L$15,IF(ISNUMBER(SEARCH(SETTINGS!$K$16,D563)),SETTINGS!$L$16,IF(ISNUMBER(SEARCH(SETTINGS!$K$17,D563)),SETTINGS!$L$17,IF(ISNUMBER(SEARCH(SETTINGS!$K$18,D563)),SETTINGS!$L$18,"Miscellaneous"))))))))))))))))</f>
        <v/>
      </c>
      <c r="I563" s="44" t="str">
        <f t="shared" si="64"/>
        <v/>
      </c>
      <c r="J563" s="9"/>
      <c r="K563" s="9"/>
      <c r="L563" s="9"/>
      <c r="M563" s="9"/>
      <c r="N563" s="9"/>
      <c r="O563" s="9"/>
      <c r="P563" s="13"/>
      <c r="Q563" s="9"/>
      <c r="R563" s="9"/>
      <c r="S563" s="9"/>
      <c r="T563" s="11"/>
      <c r="U563" s="44" t="str">
        <f t="shared" si="65"/>
        <v/>
      </c>
      <c r="V563" s="44" t="str">
        <f t="shared" si="66"/>
        <v/>
      </c>
      <c r="W563" s="44" t="str">
        <f t="shared" si="67"/>
        <v/>
      </c>
      <c r="X563" s="44" t="str">
        <f t="shared" si="68"/>
        <v/>
      </c>
      <c r="Y563" s="44" t="str">
        <f t="shared" si="69"/>
        <v/>
      </c>
      <c r="Z563" s="44" t="str">
        <f t="shared" si="70"/>
        <v/>
      </c>
      <c r="AA563" s="50" t="str">
        <f t="shared" si="71"/>
        <v/>
      </c>
      <c r="AB563" s="50" t="str">
        <f>IF(OR(B563="",C563&lt;&gt;"Expense"),"",IF(E563&gt;IFERROR(AVERAGEIFS($E$8:$E$1007,$I$8:$I$1007,I563,$C$8:$C$1007,"Expense")*SETTINGS!$B$20,0),"Unusually High","Normal"))</f>
        <v/>
      </c>
      <c r="AC563" s="51"/>
      <c r="AD563" s="51"/>
      <c r="AE563" s="51"/>
      <c r="AF563" s="50" t="str">
        <f>IF(A563&lt;&gt;"Yes","No",IF(AND(AC563="Yes",SETTINGS!$B$16="No"),"No","Yes"))</f>
        <v>No</v>
      </c>
      <c r="AG563" s="50" t="str">
        <f>IF(A563&lt;&gt;"Yes","",IF(OR(B563="",D563="",E563&lt;=0,F563="",I563=""),"Check Required Fields",IF(AA563="Possible Duplicate","Possible Duplicate",IF(E563&gt;SETTINGS!$B$22,"Review Extreme Value","OK"))))</f>
        <v/>
      </c>
    </row>
    <row r="564" spans="1:33" ht="14.4">
      <c r="A564" s="9"/>
      <c r="B564" s="13"/>
      <c r="C564" s="9"/>
      <c r="D564" s="9"/>
      <c r="E564" s="11"/>
      <c r="F564" s="9"/>
      <c r="G564" s="9"/>
      <c r="H564" s="44" t="str">
        <f>IF(D564="","",IF(ISNUMBER(SEARCH(SETTINGS!$K$4,D564)),SETTINGS!$L$4,IF(ISNUMBER(SEARCH(SETTINGS!$K$5,D564)),SETTINGS!$L$5,IF(ISNUMBER(SEARCH(SETTINGS!$K$6,D564)),SETTINGS!$L$6,IF(ISNUMBER(SEARCH(SETTINGS!$K$7,D564)),SETTINGS!$L$7,IF(ISNUMBER(SEARCH(SETTINGS!$K$8,D564)),SETTINGS!$L$8,IF(ISNUMBER(SEARCH(SETTINGS!$K$9,D564)),SETTINGS!$L$9,IF(ISNUMBER(SEARCH(SETTINGS!$K$10,D564)),SETTINGS!$L$10,IF(ISNUMBER(SEARCH(SETTINGS!$K$11,D564)),SETTINGS!$L$11,IF(ISNUMBER(SEARCH(SETTINGS!$K$12,D564)),SETTINGS!$L$12,IF(ISNUMBER(SEARCH(SETTINGS!$K$13,D564)),SETTINGS!$L$13,IF(ISNUMBER(SEARCH(SETTINGS!$K$14,D564)),SETTINGS!$L$14,IF(ISNUMBER(SEARCH(SETTINGS!$K$15,D564)),SETTINGS!$L$15,IF(ISNUMBER(SEARCH(SETTINGS!$K$16,D564)),SETTINGS!$L$16,IF(ISNUMBER(SEARCH(SETTINGS!$K$17,D564)),SETTINGS!$L$17,IF(ISNUMBER(SEARCH(SETTINGS!$K$18,D564)),SETTINGS!$L$18,"Miscellaneous"))))))))))))))))</f>
        <v/>
      </c>
      <c r="I564" s="44" t="str">
        <f t="shared" si="64"/>
        <v/>
      </c>
      <c r="J564" s="9"/>
      <c r="K564" s="9"/>
      <c r="L564" s="9"/>
      <c r="M564" s="9"/>
      <c r="N564" s="9"/>
      <c r="O564" s="9"/>
      <c r="P564" s="13"/>
      <c r="Q564" s="9"/>
      <c r="R564" s="9"/>
      <c r="S564" s="9"/>
      <c r="T564" s="11"/>
      <c r="U564" s="44" t="str">
        <f t="shared" si="65"/>
        <v/>
      </c>
      <c r="V564" s="44" t="str">
        <f t="shared" si="66"/>
        <v/>
      </c>
      <c r="W564" s="44" t="str">
        <f t="shared" si="67"/>
        <v/>
      </c>
      <c r="X564" s="44" t="str">
        <f t="shared" si="68"/>
        <v/>
      </c>
      <c r="Y564" s="44" t="str">
        <f t="shared" si="69"/>
        <v/>
      </c>
      <c r="Z564" s="44" t="str">
        <f t="shared" si="70"/>
        <v/>
      </c>
      <c r="AA564" s="50" t="str">
        <f t="shared" si="71"/>
        <v/>
      </c>
      <c r="AB564" s="50" t="str">
        <f>IF(OR(B564="",C564&lt;&gt;"Expense"),"",IF(E564&gt;IFERROR(AVERAGEIFS($E$8:$E$1007,$I$8:$I$1007,I564,$C$8:$C$1007,"Expense")*SETTINGS!$B$20,0),"Unusually High","Normal"))</f>
        <v/>
      </c>
      <c r="AC564" s="51"/>
      <c r="AD564" s="51"/>
      <c r="AE564" s="51"/>
      <c r="AF564" s="50" t="str">
        <f>IF(A564&lt;&gt;"Yes","No",IF(AND(AC564="Yes",SETTINGS!$B$16="No"),"No","Yes"))</f>
        <v>No</v>
      </c>
      <c r="AG564" s="50" t="str">
        <f>IF(A564&lt;&gt;"Yes","",IF(OR(B564="",D564="",E564&lt;=0,F564="",I564=""),"Check Required Fields",IF(AA564="Possible Duplicate","Possible Duplicate",IF(E564&gt;SETTINGS!$B$22,"Review Extreme Value","OK"))))</f>
        <v/>
      </c>
    </row>
    <row r="565" spans="1:33" ht="14.4">
      <c r="A565" s="9"/>
      <c r="B565" s="13"/>
      <c r="C565" s="9"/>
      <c r="D565" s="9"/>
      <c r="E565" s="11"/>
      <c r="F565" s="9"/>
      <c r="G565" s="9"/>
      <c r="H565" s="44" t="str">
        <f>IF(D565="","",IF(ISNUMBER(SEARCH(SETTINGS!$K$4,D565)),SETTINGS!$L$4,IF(ISNUMBER(SEARCH(SETTINGS!$K$5,D565)),SETTINGS!$L$5,IF(ISNUMBER(SEARCH(SETTINGS!$K$6,D565)),SETTINGS!$L$6,IF(ISNUMBER(SEARCH(SETTINGS!$K$7,D565)),SETTINGS!$L$7,IF(ISNUMBER(SEARCH(SETTINGS!$K$8,D565)),SETTINGS!$L$8,IF(ISNUMBER(SEARCH(SETTINGS!$K$9,D565)),SETTINGS!$L$9,IF(ISNUMBER(SEARCH(SETTINGS!$K$10,D565)),SETTINGS!$L$10,IF(ISNUMBER(SEARCH(SETTINGS!$K$11,D565)),SETTINGS!$L$11,IF(ISNUMBER(SEARCH(SETTINGS!$K$12,D565)),SETTINGS!$L$12,IF(ISNUMBER(SEARCH(SETTINGS!$K$13,D565)),SETTINGS!$L$13,IF(ISNUMBER(SEARCH(SETTINGS!$K$14,D565)),SETTINGS!$L$14,IF(ISNUMBER(SEARCH(SETTINGS!$K$15,D565)),SETTINGS!$L$15,IF(ISNUMBER(SEARCH(SETTINGS!$K$16,D565)),SETTINGS!$L$16,IF(ISNUMBER(SEARCH(SETTINGS!$K$17,D565)),SETTINGS!$L$17,IF(ISNUMBER(SEARCH(SETTINGS!$K$18,D565)),SETTINGS!$L$18,"Miscellaneous"))))))))))))))))</f>
        <v/>
      </c>
      <c r="I565" s="44" t="str">
        <f t="shared" si="64"/>
        <v/>
      </c>
      <c r="J565" s="9"/>
      <c r="K565" s="9"/>
      <c r="L565" s="9"/>
      <c r="M565" s="9"/>
      <c r="N565" s="9"/>
      <c r="O565" s="9"/>
      <c r="P565" s="13"/>
      <c r="Q565" s="9"/>
      <c r="R565" s="9"/>
      <c r="S565" s="9"/>
      <c r="T565" s="11"/>
      <c r="U565" s="44" t="str">
        <f t="shared" si="65"/>
        <v/>
      </c>
      <c r="V565" s="44" t="str">
        <f t="shared" si="66"/>
        <v/>
      </c>
      <c r="W565" s="44" t="str">
        <f t="shared" si="67"/>
        <v/>
      </c>
      <c r="X565" s="44" t="str">
        <f t="shared" si="68"/>
        <v/>
      </c>
      <c r="Y565" s="44" t="str">
        <f t="shared" si="69"/>
        <v/>
      </c>
      <c r="Z565" s="44" t="str">
        <f t="shared" si="70"/>
        <v/>
      </c>
      <c r="AA565" s="50" t="str">
        <f t="shared" si="71"/>
        <v/>
      </c>
      <c r="AB565" s="50" t="str">
        <f>IF(OR(B565="",C565&lt;&gt;"Expense"),"",IF(E565&gt;IFERROR(AVERAGEIFS($E$8:$E$1007,$I$8:$I$1007,I565,$C$8:$C$1007,"Expense")*SETTINGS!$B$20,0),"Unusually High","Normal"))</f>
        <v/>
      </c>
      <c r="AC565" s="51"/>
      <c r="AD565" s="51"/>
      <c r="AE565" s="51"/>
      <c r="AF565" s="50" t="str">
        <f>IF(A565&lt;&gt;"Yes","No",IF(AND(AC565="Yes",SETTINGS!$B$16="No"),"No","Yes"))</f>
        <v>No</v>
      </c>
      <c r="AG565" s="50" t="str">
        <f>IF(A565&lt;&gt;"Yes","",IF(OR(B565="",D565="",E565&lt;=0,F565="",I565=""),"Check Required Fields",IF(AA565="Possible Duplicate","Possible Duplicate",IF(E565&gt;SETTINGS!$B$22,"Review Extreme Value","OK"))))</f>
        <v/>
      </c>
    </row>
    <row r="566" spans="1:33" ht="14.4">
      <c r="A566" s="9"/>
      <c r="B566" s="13"/>
      <c r="C566" s="9"/>
      <c r="D566" s="9"/>
      <c r="E566" s="11"/>
      <c r="F566" s="9"/>
      <c r="G566" s="9"/>
      <c r="H566" s="44" t="str">
        <f>IF(D566="","",IF(ISNUMBER(SEARCH(SETTINGS!$K$4,D566)),SETTINGS!$L$4,IF(ISNUMBER(SEARCH(SETTINGS!$K$5,D566)),SETTINGS!$L$5,IF(ISNUMBER(SEARCH(SETTINGS!$K$6,D566)),SETTINGS!$L$6,IF(ISNUMBER(SEARCH(SETTINGS!$K$7,D566)),SETTINGS!$L$7,IF(ISNUMBER(SEARCH(SETTINGS!$K$8,D566)),SETTINGS!$L$8,IF(ISNUMBER(SEARCH(SETTINGS!$K$9,D566)),SETTINGS!$L$9,IF(ISNUMBER(SEARCH(SETTINGS!$K$10,D566)),SETTINGS!$L$10,IF(ISNUMBER(SEARCH(SETTINGS!$K$11,D566)),SETTINGS!$L$11,IF(ISNUMBER(SEARCH(SETTINGS!$K$12,D566)),SETTINGS!$L$12,IF(ISNUMBER(SEARCH(SETTINGS!$K$13,D566)),SETTINGS!$L$13,IF(ISNUMBER(SEARCH(SETTINGS!$K$14,D566)),SETTINGS!$L$14,IF(ISNUMBER(SEARCH(SETTINGS!$K$15,D566)),SETTINGS!$L$15,IF(ISNUMBER(SEARCH(SETTINGS!$K$16,D566)),SETTINGS!$L$16,IF(ISNUMBER(SEARCH(SETTINGS!$K$17,D566)),SETTINGS!$L$17,IF(ISNUMBER(SEARCH(SETTINGS!$K$18,D566)),SETTINGS!$L$18,"Miscellaneous"))))))))))))))))</f>
        <v/>
      </c>
      <c r="I566" s="44" t="str">
        <f t="shared" si="64"/>
        <v/>
      </c>
      <c r="J566" s="9"/>
      <c r="K566" s="9"/>
      <c r="L566" s="9"/>
      <c r="M566" s="9"/>
      <c r="N566" s="9"/>
      <c r="O566" s="9"/>
      <c r="P566" s="13"/>
      <c r="Q566" s="9"/>
      <c r="R566" s="9"/>
      <c r="S566" s="9"/>
      <c r="T566" s="11"/>
      <c r="U566" s="44" t="str">
        <f t="shared" si="65"/>
        <v/>
      </c>
      <c r="V566" s="44" t="str">
        <f t="shared" si="66"/>
        <v/>
      </c>
      <c r="W566" s="44" t="str">
        <f t="shared" si="67"/>
        <v/>
      </c>
      <c r="X566" s="44" t="str">
        <f t="shared" si="68"/>
        <v/>
      </c>
      <c r="Y566" s="44" t="str">
        <f t="shared" si="69"/>
        <v/>
      </c>
      <c r="Z566" s="44" t="str">
        <f t="shared" si="70"/>
        <v/>
      </c>
      <c r="AA566" s="50" t="str">
        <f t="shared" si="71"/>
        <v/>
      </c>
      <c r="AB566" s="50" t="str">
        <f>IF(OR(B566="",C566&lt;&gt;"Expense"),"",IF(E566&gt;IFERROR(AVERAGEIFS($E$8:$E$1007,$I$8:$I$1007,I566,$C$8:$C$1007,"Expense")*SETTINGS!$B$20,0),"Unusually High","Normal"))</f>
        <v/>
      </c>
      <c r="AC566" s="51"/>
      <c r="AD566" s="51"/>
      <c r="AE566" s="51"/>
      <c r="AF566" s="50" t="str">
        <f>IF(A566&lt;&gt;"Yes","No",IF(AND(AC566="Yes",SETTINGS!$B$16="No"),"No","Yes"))</f>
        <v>No</v>
      </c>
      <c r="AG566" s="50" t="str">
        <f>IF(A566&lt;&gt;"Yes","",IF(OR(B566="",D566="",E566&lt;=0,F566="",I566=""),"Check Required Fields",IF(AA566="Possible Duplicate","Possible Duplicate",IF(E566&gt;SETTINGS!$B$22,"Review Extreme Value","OK"))))</f>
        <v/>
      </c>
    </row>
    <row r="567" spans="1:33" ht="14.4">
      <c r="A567" s="9"/>
      <c r="B567" s="13"/>
      <c r="C567" s="9"/>
      <c r="D567" s="9"/>
      <c r="E567" s="11"/>
      <c r="F567" s="9"/>
      <c r="G567" s="9"/>
      <c r="H567" s="44" t="str">
        <f>IF(D567="","",IF(ISNUMBER(SEARCH(SETTINGS!$K$4,D567)),SETTINGS!$L$4,IF(ISNUMBER(SEARCH(SETTINGS!$K$5,D567)),SETTINGS!$L$5,IF(ISNUMBER(SEARCH(SETTINGS!$K$6,D567)),SETTINGS!$L$6,IF(ISNUMBER(SEARCH(SETTINGS!$K$7,D567)),SETTINGS!$L$7,IF(ISNUMBER(SEARCH(SETTINGS!$K$8,D567)),SETTINGS!$L$8,IF(ISNUMBER(SEARCH(SETTINGS!$K$9,D567)),SETTINGS!$L$9,IF(ISNUMBER(SEARCH(SETTINGS!$K$10,D567)),SETTINGS!$L$10,IF(ISNUMBER(SEARCH(SETTINGS!$K$11,D567)),SETTINGS!$L$11,IF(ISNUMBER(SEARCH(SETTINGS!$K$12,D567)),SETTINGS!$L$12,IF(ISNUMBER(SEARCH(SETTINGS!$K$13,D567)),SETTINGS!$L$13,IF(ISNUMBER(SEARCH(SETTINGS!$K$14,D567)),SETTINGS!$L$14,IF(ISNUMBER(SEARCH(SETTINGS!$K$15,D567)),SETTINGS!$L$15,IF(ISNUMBER(SEARCH(SETTINGS!$K$16,D567)),SETTINGS!$L$16,IF(ISNUMBER(SEARCH(SETTINGS!$K$17,D567)),SETTINGS!$L$17,IF(ISNUMBER(SEARCH(SETTINGS!$K$18,D567)),SETTINGS!$L$18,"Miscellaneous"))))))))))))))))</f>
        <v/>
      </c>
      <c r="I567" s="44" t="str">
        <f t="shared" si="64"/>
        <v/>
      </c>
      <c r="J567" s="9"/>
      <c r="K567" s="9"/>
      <c r="L567" s="9"/>
      <c r="M567" s="9"/>
      <c r="N567" s="9"/>
      <c r="O567" s="9"/>
      <c r="P567" s="13"/>
      <c r="Q567" s="9"/>
      <c r="R567" s="9"/>
      <c r="S567" s="9"/>
      <c r="T567" s="11"/>
      <c r="U567" s="44" t="str">
        <f t="shared" si="65"/>
        <v/>
      </c>
      <c r="V567" s="44" t="str">
        <f t="shared" si="66"/>
        <v/>
      </c>
      <c r="W567" s="44" t="str">
        <f t="shared" si="67"/>
        <v/>
      </c>
      <c r="X567" s="44" t="str">
        <f t="shared" si="68"/>
        <v/>
      </c>
      <c r="Y567" s="44" t="str">
        <f t="shared" si="69"/>
        <v/>
      </c>
      <c r="Z567" s="44" t="str">
        <f t="shared" si="70"/>
        <v/>
      </c>
      <c r="AA567" s="50" t="str">
        <f t="shared" si="71"/>
        <v/>
      </c>
      <c r="AB567" s="50" t="str">
        <f>IF(OR(B567="",C567&lt;&gt;"Expense"),"",IF(E567&gt;IFERROR(AVERAGEIFS($E$8:$E$1007,$I$8:$I$1007,I567,$C$8:$C$1007,"Expense")*SETTINGS!$B$20,0),"Unusually High","Normal"))</f>
        <v/>
      </c>
      <c r="AC567" s="51"/>
      <c r="AD567" s="51"/>
      <c r="AE567" s="51"/>
      <c r="AF567" s="50" t="str">
        <f>IF(A567&lt;&gt;"Yes","No",IF(AND(AC567="Yes",SETTINGS!$B$16="No"),"No","Yes"))</f>
        <v>No</v>
      </c>
      <c r="AG567" s="50" t="str">
        <f>IF(A567&lt;&gt;"Yes","",IF(OR(B567="",D567="",E567&lt;=0,F567="",I567=""),"Check Required Fields",IF(AA567="Possible Duplicate","Possible Duplicate",IF(E567&gt;SETTINGS!$B$22,"Review Extreme Value","OK"))))</f>
        <v/>
      </c>
    </row>
    <row r="568" spans="1:33" ht="14.4">
      <c r="A568" s="9"/>
      <c r="B568" s="13"/>
      <c r="C568" s="9"/>
      <c r="D568" s="9"/>
      <c r="E568" s="11"/>
      <c r="F568" s="9"/>
      <c r="G568" s="9"/>
      <c r="H568" s="44" t="str">
        <f>IF(D568="","",IF(ISNUMBER(SEARCH(SETTINGS!$K$4,D568)),SETTINGS!$L$4,IF(ISNUMBER(SEARCH(SETTINGS!$K$5,D568)),SETTINGS!$L$5,IF(ISNUMBER(SEARCH(SETTINGS!$K$6,D568)),SETTINGS!$L$6,IF(ISNUMBER(SEARCH(SETTINGS!$K$7,D568)),SETTINGS!$L$7,IF(ISNUMBER(SEARCH(SETTINGS!$K$8,D568)),SETTINGS!$L$8,IF(ISNUMBER(SEARCH(SETTINGS!$K$9,D568)),SETTINGS!$L$9,IF(ISNUMBER(SEARCH(SETTINGS!$K$10,D568)),SETTINGS!$L$10,IF(ISNUMBER(SEARCH(SETTINGS!$K$11,D568)),SETTINGS!$L$11,IF(ISNUMBER(SEARCH(SETTINGS!$K$12,D568)),SETTINGS!$L$12,IF(ISNUMBER(SEARCH(SETTINGS!$K$13,D568)),SETTINGS!$L$13,IF(ISNUMBER(SEARCH(SETTINGS!$K$14,D568)),SETTINGS!$L$14,IF(ISNUMBER(SEARCH(SETTINGS!$K$15,D568)),SETTINGS!$L$15,IF(ISNUMBER(SEARCH(SETTINGS!$K$16,D568)),SETTINGS!$L$16,IF(ISNUMBER(SEARCH(SETTINGS!$K$17,D568)),SETTINGS!$L$17,IF(ISNUMBER(SEARCH(SETTINGS!$K$18,D568)),SETTINGS!$L$18,"Miscellaneous"))))))))))))))))</f>
        <v/>
      </c>
      <c r="I568" s="44" t="str">
        <f t="shared" si="64"/>
        <v/>
      </c>
      <c r="J568" s="9"/>
      <c r="K568" s="9"/>
      <c r="L568" s="9"/>
      <c r="M568" s="9"/>
      <c r="N568" s="9"/>
      <c r="O568" s="9"/>
      <c r="P568" s="13"/>
      <c r="Q568" s="9"/>
      <c r="R568" s="9"/>
      <c r="S568" s="9"/>
      <c r="T568" s="11"/>
      <c r="U568" s="44" t="str">
        <f t="shared" si="65"/>
        <v/>
      </c>
      <c r="V568" s="44" t="str">
        <f t="shared" si="66"/>
        <v/>
      </c>
      <c r="W568" s="44" t="str">
        <f t="shared" si="67"/>
        <v/>
      </c>
      <c r="X568" s="44" t="str">
        <f t="shared" si="68"/>
        <v/>
      </c>
      <c r="Y568" s="44" t="str">
        <f t="shared" si="69"/>
        <v/>
      </c>
      <c r="Z568" s="44" t="str">
        <f t="shared" si="70"/>
        <v/>
      </c>
      <c r="AA568" s="50" t="str">
        <f t="shared" si="71"/>
        <v/>
      </c>
      <c r="AB568" s="50" t="str">
        <f>IF(OR(B568="",C568&lt;&gt;"Expense"),"",IF(E568&gt;IFERROR(AVERAGEIFS($E$8:$E$1007,$I$8:$I$1007,I568,$C$8:$C$1007,"Expense")*SETTINGS!$B$20,0),"Unusually High","Normal"))</f>
        <v/>
      </c>
      <c r="AC568" s="51"/>
      <c r="AD568" s="51"/>
      <c r="AE568" s="51"/>
      <c r="AF568" s="50" t="str">
        <f>IF(A568&lt;&gt;"Yes","No",IF(AND(AC568="Yes",SETTINGS!$B$16="No"),"No","Yes"))</f>
        <v>No</v>
      </c>
      <c r="AG568" s="50" t="str">
        <f>IF(A568&lt;&gt;"Yes","",IF(OR(B568="",D568="",E568&lt;=0,F568="",I568=""),"Check Required Fields",IF(AA568="Possible Duplicate","Possible Duplicate",IF(E568&gt;SETTINGS!$B$22,"Review Extreme Value","OK"))))</f>
        <v/>
      </c>
    </row>
    <row r="569" spans="1:33" ht="14.4">
      <c r="A569" s="9"/>
      <c r="B569" s="13"/>
      <c r="C569" s="9"/>
      <c r="D569" s="9"/>
      <c r="E569" s="11"/>
      <c r="F569" s="9"/>
      <c r="G569" s="9"/>
      <c r="H569" s="44" t="str">
        <f>IF(D569="","",IF(ISNUMBER(SEARCH(SETTINGS!$K$4,D569)),SETTINGS!$L$4,IF(ISNUMBER(SEARCH(SETTINGS!$K$5,D569)),SETTINGS!$L$5,IF(ISNUMBER(SEARCH(SETTINGS!$K$6,D569)),SETTINGS!$L$6,IF(ISNUMBER(SEARCH(SETTINGS!$K$7,D569)),SETTINGS!$L$7,IF(ISNUMBER(SEARCH(SETTINGS!$K$8,D569)),SETTINGS!$L$8,IF(ISNUMBER(SEARCH(SETTINGS!$K$9,D569)),SETTINGS!$L$9,IF(ISNUMBER(SEARCH(SETTINGS!$K$10,D569)),SETTINGS!$L$10,IF(ISNUMBER(SEARCH(SETTINGS!$K$11,D569)),SETTINGS!$L$11,IF(ISNUMBER(SEARCH(SETTINGS!$K$12,D569)),SETTINGS!$L$12,IF(ISNUMBER(SEARCH(SETTINGS!$K$13,D569)),SETTINGS!$L$13,IF(ISNUMBER(SEARCH(SETTINGS!$K$14,D569)),SETTINGS!$L$14,IF(ISNUMBER(SEARCH(SETTINGS!$K$15,D569)),SETTINGS!$L$15,IF(ISNUMBER(SEARCH(SETTINGS!$K$16,D569)),SETTINGS!$L$16,IF(ISNUMBER(SEARCH(SETTINGS!$K$17,D569)),SETTINGS!$L$17,IF(ISNUMBER(SEARCH(SETTINGS!$K$18,D569)),SETTINGS!$L$18,"Miscellaneous"))))))))))))))))</f>
        <v/>
      </c>
      <c r="I569" s="44" t="str">
        <f t="shared" si="64"/>
        <v/>
      </c>
      <c r="J569" s="9"/>
      <c r="K569" s="9"/>
      <c r="L569" s="9"/>
      <c r="M569" s="9"/>
      <c r="N569" s="9"/>
      <c r="O569" s="9"/>
      <c r="P569" s="13"/>
      <c r="Q569" s="9"/>
      <c r="R569" s="9"/>
      <c r="S569" s="9"/>
      <c r="T569" s="11"/>
      <c r="U569" s="44" t="str">
        <f t="shared" si="65"/>
        <v/>
      </c>
      <c r="V569" s="44" t="str">
        <f t="shared" si="66"/>
        <v/>
      </c>
      <c r="W569" s="44" t="str">
        <f t="shared" si="67"/>
        <v/>
      </c>
      <c r="X569" s="44" t="str">
        <f t="shared" si="68"/>
        <v/>
      </c>
      <c r="Y569" s="44" t="str">
        <f t="shared" si="69"/>
        <v/>
      </c>
      <c r="Z569" s="44" t="str">
        <f t="shared" si="70"/>
        <v/>
      </c>
      <c r="AA569" s="50" t="str">
        <f t="shared" si="71"/>
        <v/>
      </c>
      <c r="AB569" s="50" t="str">
        <f>IF(OR(B569="",C569&lt;&gt;"Expense"),"",IF(E569&gt;IFERROR(AVERAGEIFS($E$8:$E$1007,$I$8:$I$1007,I569,$C$8:$C$1007,"Expense")*SETTINGS!$B$20,0),"Unusually High","Normal"))</f>
        <v/>
      </c>
      <c r="AC569" s="51"/>
      <c r="AD569" s="51"/>
      <c r="AE569" s="51"/>
      <c r="AF569" s="50" t="str">
        <f>IF(A569&lt;&gt;"Yes","No",IF(AND(AC569="Yes",SETTINGS!$B$16="No"),"No","Yes"))</f>
        <v>No</v>
      </c>
      <c r="AG569" s="50" t="str">
        <f>IF(A569&lt;&gt;"Yes","",IF(OR(B569="",D569="",E569&lt;=0,F569="",I569=""),"Check Required Fields",IF(AA569="Possible Duplicate","Possible Duplicate",IF(E569&gt;SETTINGS!$B$22,"Review Extreme Value","OK"))))</f>
        <v/>
      </c>
    </row>
    <row r="570" spans="1:33" ht="14.4">
      <c r="A570" s="9"/>
      <c r="B570" s="13"/>
      <c r="C570" s="9"/>
      <c r="D570" s="9"/>
      <c r="E570" s="11"/>
      <c r="F570" s="9"/>
      <c r="G570" s="9"/>
      <c r="H570" s="44" t="str">
        <f>IF(D570="","",IF(ISNUMBER(SEARCH(SETTINGS!$K$4,D570)),SETTINGS!$L$4,IF(ISNUMBER(SEARCH(SETTINGS!$K$5,D570)),SETTINGS!$L$5,IF(ISNUMBER(SEARCH(SETTINGS!$K$6,D570)),SETTINGS!$L$6,IF(ISNUMBER(SEARCH(SETTINGS!$K$7,D570)),SETTINGS!$L$7,IF(ISNUMBER(SEARCH(SETTINGS!$K$8,D570)),SETTINGS!$L$8,IF(ISNUMBER(SEARCH(SETTINGS!$K$9,D570)),SETTINGS!$L$9,IF(ISNUMBER(SEARCH(SETTINGS!$K$10,D570)),SETTINGS!$L$10,IF(ISNUMBER(SEARCH(SETTINGS!$K$11,D570)),SETTINGS!$L$11,IF(ISNUMBER(SEARCH(SETTINGS!$K$12,D570)),SETTINGS!$L$12,IF(ISNUMBER(SEARCH(SETTINGS!$K$13,D570)),SETTINGS!$L$13,IF(ISNUMBER(SEARCH(SETTINGS!$K$14,D570)),SETTINGS!$L$14,IF(ISNUMBER(SEARCH(SETTINGS!$K$15,D570)),SETTINGS!$L$15,IF(ISNUMBER(SEARCH(SETTINGS!$K$16,D570)),SETTINGS!$L$16,IF(ISNUMBER(SEARCH(SETTINGS!$K$17,D570)),SETTINGS!$L$17,IF(ISNUMBER(SEARCH(SETTINGS!$K$18,D570)),SETTINGS!$L$18,"Miscellaneous"))))))))))))))))</f>
        <v/>
      </c>
      <c r="I570" s="44" t="str">
        <f t="shared" si="64"/>
        <v/>
      </c>
      <c r="J570" s="9"/>
      <c r="K570" s="9"/>
      <c r="L570" s="9"/>
      <c r="M570" s="9"/>
      <c r="N570" s="9"/>
      <c r="O570" s="9"/>
      <c r="P570" s="13"/>
      <c r="Q570" s="9"/>
      <c r="R570" s="9"/>
      <c r="S570" s="9"/>
      <c r="T570" s="11"/>
      <c r="U570" s="44" t="str">
        <f t="shared" si="65"/>
        <v/>
      </c>
      <c r="V570" s="44" t="str">
        <f t="shared" si="66"/>
        <v/>
      </c>
      <c r="W570" s="44" t="str">
        <f t="shared" si="67"/>
        <v/>
      </c>
      <c r="X570" s="44" t="str">
        <f t="shared" si="68"/>
        <v/>
      </c>
      <c r="Y570" s="44" t="str">
        <f t="shared" si="69"/>
        <v/>
      </c>
      <c r="Z570" s="44" t="str">
        <f t="shared" si="70"/>
        <v/>
      </c>
      <c r="AA570" s="50" t="str">
        <f t="shared" si="71"/>
        <v/>
      </c>
      <c r="AB570" s="50" t="str">
        <f>IF(OR(B570="",C570&lt;&gt;"Expense"),"",IF(E570&gt;IFERROR(AVERAGEIFS($E$8:$E$1007,$I$8:$I$1007,I570,$C$8:$C$1007,"Expense")*SETTINGS!$B$20,0),"Unusually High","Normal"))</f>
        <v/>
      </c>
      <c r="AC570" s="51"/>
      <c r="AD570" s="51"/>
      <c r="AE570" s="51"/>
      <c r="AF570" s="50" t="str">
        <f>IF(A570&lt;&gt;"Yes","No",IF(AND(AC570="Yes",SETTINGS!$B$16="No"),"No","Yes"))</f>
        <v>No</v>
      </c>
      <c r="AG570" s="50" t="str">
        <f>IF(A570&lt;&gt;"Yes","",IF(OR(B570="",D570="",E570&lt;=0,F570="",I570=""),"Check Required Fields",IF(AA570="Possible Duplicate","Possible Duplicate",IF(E570&gt;SETTINGS!$B$22,"Review Extreme Value","OK"))))</f>
        <v/>
      </c>
    </row>
    <row r="571" spans="1:33" ht="14.4">
      <c r="A571" s="9"/>
      <c r="B571" s="13"/>
      <c r="C571" s="9"/>
      <c r="D571" s="9"/>
      <c r="E571" s="11"/>
      <c r="F571" s="9"/>
      <c r="G571" s="9"/>
      <c r="H571" s="44" t="str">
        <f>IF(D571="","",IF(ISNUMBER(SEARCH(SETTINGS!$K$4,D571)),SETTINGS!$L$4,IF(ISNUMBER(SEARCH(SETTINGS!$K$5,D571)),SETTINGS!$L$5,IF(ISNUMBER(SEARCH(SETTINGS!$K$6,D571)),SETTINGS!$L$6,IF(ISNUMBER(SEARCH(SETTINGS!$K$7,D571)),SETTINGS!$L$7,IF(ISNUMBER(SEARCH(SETTINGS!$K$8,D571)),SETTINGS!$L$8,IF(ISNUMBER(SEARCH(SETTINGS!$K$9,D571)),SETTINGS!$L$9,IF(ISNUMBER(SEARCH(SETTINGS!$K$10,D571)),SETTINGS!$L$10,IF(ISNUMBER(SEARCH(SETTINGS!$K$11,D571)),SETTINGS!$L$11,IF(ISNUMBER(SEARCH(SETTINGS!$K$12,D571)),SETTINGS!$L$12,IF(ISNUMBER(SEARCH(SETTINGS!$K$13,D571)),SETTINGS!$L$13,IF(ISNUMBER(SEARCH(SETTINGS!$K$14,D571)),SETTINGS!$L$14,IF(ISNUMBER(SEARCH(SETTINGS!$K$15,D571)),SETTINGS!$L$15,IF(ISNUMBER(SEARCH(SETTINGS!$K$16,D571)),SETTINGS!$L$16,IF(ISNUMBER(SEARCH(SETTINGS!$K$17,D571)),SETTINGS!$L$17,IF(ISNUMBER(SEARCH(SETTINGS!$K$18,D571)),SETTINGS!$L$18,"Miscellaneous"))))))))))))))))</f>
        <v/>
      </c>
      <c r="I571" s="44" t="str">
        <f t="shared" si="64"/>
        <v/>
      </c>
      <c r="J571" s="9"/>
      <c r="K571" s="9"/>
      <c r="L571" s="9"/>
      <c r="M571" s="9"/>
      <c r="N571" s="9"/>
      <c r="O571" s="9"/>
      <c r="P571" s="13"/>
      <c r="Q571" s="9"/>
      <c r="R571" s="9"/>
      <c r="S571" s="9"/>
      <c r="T571" s="11"/>
      <c r="U571" s="44" t="str">
        <f t="shared" si="65"/>
        <v/>
      </c>
      <c r="V571" s="44" t="str">
        <f t="shared" si="66"/>
        <v/>
      </c>
      <c r="W571" s="44" t="str">
        <f t="shared" si="67"/>
        <v/>
      </c>
      <c r="X571" s="44" t="str">
        <f t="shared" si="68"/>
        <v/>
      </c>
      <c r="Y571" s="44" t="str">
        <f t="shared" si="69"/>
        <v/>
      </c>
      <c r="Z571" s="44" t="str">
        <f t="shared" si="70"/>
        <v/>
      </c>
      <c r="AA571" s="50" t="str">
        <f t="shared" si="71"/>
        <v/>
      </c>
      <c r="AB571" s="50" t="str">
        <f>IF(OR(B571="",C571&lt;&gt;"Expense"),"",IF(E571&gt;IFERROR(AVERAGEIFS($E$8:$E$1007,$I$8:$I$1007,I571,$C$8:$C$1007,"Expense")*SETTINGS!$B$20,0),"Unusually High","Normal"))</f>
        <v/>
      </c>
      <c r="AC571" s="51"/>
      <c r="AD571" s="51"/>
      <c r="AE571" s="51"/>
      <c r="AF571" s="50" t="str">
        <f>IF(A571&lt;&gt;"Yes","No",IF(AND(AC571="Yes",SETTINGS!$B$16="No"),"No","Yes"))</f>
        <v>No</v>
      </c>
      <c r="AG571" s="50" t="str">
        <f>IF(A571&lt;&gt;"Yes","",IF(OR(B571="",D571="",E571&lt;=0,F571="",I571=""),"Check Required Fields",IF(AA571="Possible Duplicate","Possible Duplicate",IF(E571&gt;SETTINGS!$B$22,"Review Extreme Value","OK"))))</f>
        <v/>
      </c>
    </row>
    <row r="572" spans="1:33" ht="14.4">
      <c r="A572" s="9"/>
      <c r="B572" s="13"/>
      <c r="C572" s="9"/>
      <c r="D572" s="9"/>
      <c r="E572" s="11"/>
      <c r="F572" s="9"/>
      <c r="G572" s="9"/>
      <c r="H572" s="44" t="str">
        <f>IF(D572="","",IF(ISNUMBER(SEARCH(SETTINGS!$K$4,D572)),SETTINGS!$L$4,IF(ISNUMBER(SEARCH(SETTINGS!$K$5,D572)),SETTINGS!$L$5,IF(ISNUMBER(SEARCH(SETTINGS!$K$6,D572)),SETTINGS!$L$6,IF(ISNUMBER(SEARCH(SETTINGS!$K$7,D572)),SETTINGS!$L$7,IF(ISNUMBER(SEARCH(SETTINGS!$K$8,D572)),SETTINGS!$L$8,IF(ISNUMBER(SEARCH(SETTINGS!$K$9,D572)),SETTINGS!$L$9,IF(ISNUMBER(SEARCH(SETTINGS!$K$10,D572)),SETTINGS!$L$10,IF(ISNUMBER(SEARCH(SETTINGS!$K$11,D572)),SETTINGS!$L$11,IF(ISNUMBER(SEARCH(SETTINGS!$K$12,D572)),SETTINGS!$L$12,IF(ISNUMBER(SEARCH(SETTINGS!$K$13,D572)),SETTINGS!$L$13,IF(ISNUMBER(SEARCH(SETTINGS!$K$14,D572)),SETTINGS!$L$14,IF(ISNUMBER(SEARCH(SETTINGS!$K$15,D572)),SETTINGS!$L$15,IF(ISNUMBER(SEARCH(SETTINGS!$K$16,D572)),SETTINGS!$L$16,IF(ISNUMBER(SEARCH(SETTINGS!$K$17,D572)),SETTINGS!$L$17,IF(ISNUMBER(SEARCH(SETTINGS!$K$18,D572)),SETTINGS!$L$18,"Miscellaneous"))))))))))))))))</f>
        <v/>
      </c>
      <c r="I572" s="44" t="str">
        <f t="shared" si="64"/>
        <v/>
      </c>
      <c r="J572" s="9"/>
      <c r="K572" s="9"/>
      <c r="L572" s="9"/>
      <c r="M572" s="9"/>
      <c r="N572" s="9"/>
      <c r="O572" s="9"/>
      <c r="P572" s="13"/>
      <c r="Q572" s="9"/>
      <c r="R572" s="9"/>
      <c r="S572" s="9"/>
      <c r="T572" s="11"/>
      <c r="U572" s="44" t="str">
        <f t="shared" si="65"/>
        <v/>
      </c>
      <c r="V572" s="44" t="str">
        <f t="shared" si="66"/>
        <v/>
      </c>
      <c r="W572" s="44" t="str">
        <f t="shared" si="67"/>
        <v/>
      </c>
      <c r="X572" s="44" t="str">
        <f t="shared" si="68"/>
        <v/>
      </c>
      <c r="Y572" s="44" t="str">
        <f t="shared" si="69"/>
        <v/>
      </c>
      <c r="Z572" s="44" t="str">
        <f t="shared" si="70"/>
        <v/>
      </c>
      <c r="AA572" s="50" t="str">
        <f t="shared" si="71"/>
        <v/>
      </c>
      <c r="AB572" s="50" t="str">
        <f>IF(OR(B572="",C572&lt;&gt;"Expense"),"",IF(E572&gt;IFERROR(AVERAGEIFS($E$8:$E$1007,$I$8:$I$1007,I572,$C$8:$C$1007,"Expense")*SETTINGS!$B$20,0),"Unusually High","Normal"))</f>
        <v/>
      </c>
      <c r="AC572" s="51"/>
      <c r="AD572" s="51"/>
      <c r="AE572" s="51"/>
      <c r="AF572" s="50" t="str">
        <f>IF(A572&lt;&gt;"Yes","No",IF(AND(AC572="Yes",SETTINGS!$B$16="No"),"No","Yes"))</f>
        <v>No</v>
      </c>
      <c r="AG572" s="50" t="str">
        <f>IF(A572&lt;&gt;"Yes","",IF(OR(B572="",D572="",E572&lt;=0,F572="",I572=""),"Check Required Fields",IF(AA572="Possible Duplicate","Possible Duplicate",IF(E572&gt;SETTINGS!$B$22,"Review Extreme Value","OK"))))</f>
        <v/>
      </c>
    </row>
    <row r="573" spans="1:33" ht="14.4">
      <c r="A573" s="9"/>
      <c r="B573" s="13"/>
      <c r="C573" s="9"/>
      <c r="D573" s="9"/>
      <c r="E573" s="11"/>
      <c r="F573" s="9"/>
      <c r="G573" s="9"/>
      <c r="H573" s="44" t="str">
        <f>IF(D573="","",IF(ISNUMBER(SEARCH(SETTINGS!$K$4,D573)),SETTINGS!$L$4,IF(ISNUMBER(SEARCH(SETTINGS!$K$5,D573)),SETTINGS!$L$5,IF(ISNUMBER(SEARCH(SETTINGS!$K$6,D573)),SETTINGS!$L$6,IF(ISNUMBER(SEARCH(SETTINGS!$K$7,D573)),SETTINGS!$L$7,IF(ISNUMBER(SEARCH(SETTINGS!$K$8,D573)),SETTINGS!$L$8,IF(ISNUMBER(SEARCH(SETTINGS!$K$9,D573)),SETTINGS!$L$9,IF(ISNUMBER(SEARCH(SETTINGS!$K$10,D573)),SETTINGS!$L$10,IF(ISNUMBER(SEARCH(SETTINGS!$K$11,D573)),SETTINGS!$L$11,IF(ISNUMBER(SEARCH(SETTINGS!$K$12,D573)),SETTINGS!$L$12,IF(ISNUMBER(SEARCH(SETTINGS!$K$13,D573)),SETTINGS!$L$13,IF(ISNUMBER(SEARCH(SETTINGS!$K$14,D573)),SETTINGS!$L$14,IF(ISNUMBER(SEARCH(SETTINGS!$K$15,D573)),SETTINGS!$L$15,IF(ISNUMBER(SEARCH(SETTINGS!$K$16,D573)),SETTINGS!$L$16,IF(ISNUMBER(SEARCH(SETTINGS!$K$17,D573)),SETTINGS!$L$17,IF(ISNUMBER(SEARCH(SETTINGS!$K$18,D573)),SETTINGS!$L$18,"Miscellaneous"))))))))))))))))</f>
        <v/>
      </c>
      <c r="I573" s="44" t="str">
        <f t="shared" si="64"/>
        <v/>
      </c>
      <c r="J573" s="9"/>
      <c r="K573" s="9"/>
      <c r="L573" s="9"/>
      <c r="M573" s="9"/>
      <c r="N573" s="9"/>
      <c r="O573" s="9"/>
      <c r="P573" s="13"/>
      <c r="Q573" s="9"/>
      <c r="R573" s="9"/>
      <c r="S573" s="9"/>
      <c r="T573" s="11"/>
      <c r="U573" s="44" t="str">
        <f t="shared" si="65"/>
        <v/>
      </c>
      <c r="V573" s="44" t="str">
        <f t="shared" si="66"/>
        <v/>
      </c>
      <c r="W573" s="44" t="str">
        <f t="shared" si="67"/>
        <v/>
      </c>
      <c r="X573" s="44" t="str">
        <f t="shared" si="68"/>
        <v/>
      </c>
      <c r="Y573" s="44" t="str">
        <f t="shared" si="69"/>
        <v/>
      </c>
      <c r="Z573" s="44" t="str">
        <f t="shared" si="70"/>
        <v/>
      </c>
      <c r="AA573" s="50" t="str">
        <f t="shared" si="71"/>
        <v/>
      </c>
      <c r="AB573" s="50" t="str">
        <f>IF(OR(B573="",C573&lt;&gt;"Expense"),"",IF(E573&gt;IFERROR(AVERAGEIFS($E$8:$E$1007,$I$8:$I$1007,I573,$C$8:$C$1007,"Expense")*SETTINGS!$B$20,0),"Unusually High","Normal"))</f>
        <v/>
      </c>
      <c r="AC573" s="51"/>
      <c r="AD573" s="51"/>
      <c r="AE573" s="51"/>
      <c r="AF573" s="50" t="str">
        <f>IF(A573&lt;&gt;"Yes","No",IF(AND(AC573="Yes",SETTINGS!$B$16="No"),"No","Yes"))</f>
        <v>No</v>
      </c>
      <c r="AG573" s="50" t="str">
        <f>IF(A573&lt;&gt;"Yes","",IF(OR(B573="",D573="",E573&lt;=0,F573="",I573=""),"Check Required Fields",IF(AA573="Possible Duplicate","Possible Duplicate",IF(E573&gt;SETTINGS!$B$22,"Review Extreme Value","OK"))))</f>
        <v/>
      </c>
    </row>
    <row r="574" spans="1:33" ht="14.4">
      <c r="A574" s="9"/>
      <c r="B574" s="13"/>
      <c r="C574" s="9"/>
      <c r="D574" s="9"/>
      <c r="E574" s="11"/>
      <c r="F574" s="9"/>
      <c r="G574" s="9"/>
      <c r="H574" s="44" t="str">
        <f>IF(D574="","",IF(ISNUMBER(SEARCH(SETTINGS!$K$4,D574)),SETTINGS!$L$4,IF(ISNUMBER(SEARCH(SETTINGS!$K$5,D574)),SETTINGS!$L$5,IF(ISNUMBER(SEARCH(SETTINGS!$K$6,D574)),SETTINGS!$L$6,IF(ISNUMBER(SEARCH(SETTINGS!$K$7,D574)),SETTINGS!$L$7,IF(ISNUMBER(SEARCH(SETTINGS!$K$8,D574)),SETTINGS!$L$8,IF(ISNUMBER(SEARCH(SETTINGS!$K$9,D574)),SETTINGS!$L$9,IF(ISNUMBER(SEARCH(SETTINGS!$K$10,D574)),SETTINGS!$L$10,IF(ISNUMBER(SEARCH(SETTINGS!$K$11,D574)),SETTINGS!$L$11,IF(ISNUMBER(SEARCH(SETTINGS!$K$12,D574)),SETTINGS!$L$12,IF(ISNUMBER(SEARCH(SETTINGS!$K$13,D574)),SETTINGS!$L$13,IF(ISNUMBER(SEARCH(SETTINGS!$K$14,D574)),SETTINGS!$L$14,IF(ISNUMBER(SEARCH(SETTINGS!$K$15,D574)),SETTINGS!$L$15,IF(ISNUMBER(SEARCH(SETTINGS!$K$16,D574)),SETTINGS!$L$16,IF(ISNUMBER(SEARCH(SETTINGS!$K$17,D574)),SETTINGS!$L$17,IF(ISNUMBER(SEARCH(SETTINGS!$K$18,D574)),SETTINGS!$L$18,"Miscellaneous"))))))))))))))))</f>
        <v/>
      </c>
      <c r="I574" s="44" t="str">
        <f t="shared" si="64"/>
        <v/>
      </c>
      <c r="J574" s="9"/>
      <c r="K574" s="9"/>
      <c r="L574" s="9"/>
      <c r="M574" s="9"/>
      <c r="N574" s="9"/>
      <c r="O574" s="9"/>
      <c r="P574" s="13"/>
      <c r="Q574" s="9"/>
      <c r="R574" s="9"/>
      <c r="S574" s="9"/>
      <c r="T574" s="11"/>
      <c r="U574" s="44" t="str">
        <f t="shared" si="65"/>
        <v/>
      </c>
      <c r="V574" s="44" t="str">
        <f t="shared" si="66"/>
        <v/>
      </c>
      <c r="W574" s="44" t="str">
        <f t="shared" si="67"/>
        <v/>
      </c>
      <c r="X574" s="44" t="str">
        <f t="shared" si="68"/>
        <v/>
      </c>
      <c r="Y574" s="44" t="str">
        <f t="shared" si="69"/>
        <v/>
      </c>
      <c r="Z574" s="44" t="str">
        <f t="shared" si="70"/>
        <v/>
      </c>
      <c r="AA574" s="50" t="str">
        <f t="shared" si="71"/>
        <v/>
      </c>
      <c r="AB574" s="50" t="str">
        <f>IF(OR(B574="",C574&lt;&gt;"Expense"),"",IF(E574&gt;IFERROR(AVERAGEIFS($E$8:$E$1007,$I$8:$I$1007,I574,$C$8:$C$1007,"Expense")*SETTINGS!$B$20,0),"Unusually High","Normal"))</f>
        <v/>
      </c>
      <c r="AC574" s="51"/>
      <c r="AD574" s="51"/>
      <c r="AE574" s="51"/>
      <c r="AF574" s="50" t="str">
        <f>IF(A574&lt;&gt;"Yes","No",IF(AND(AC574="Yes",SETTINGS!$B$16="No"),"No","Yes"))</f>
        <v>No</v>
      </c>
      <c r="AG574" s="50" t="str">
        <f>IF(A574&lt;&gt;"Yes","",IF(OR(B574="",D574="",E574&lt;=0,F574="",I574=""),"Check Required Fields",IF(AA574="Possible Duplicate","Possible Duplicate",IF(E574&gt;SETTINGS!$B$22,"Review Extreme Value","OK"))))</f>
        <v/>
      </c>
    </row>
    <row r="575" spans="1:33" ht="14.4">
      <c r="A575" s="9"/>
      <c r="B575" s="13"/>
      <c r="C575" s="9"/>
      <c r="D575" s="9"/>
      <c r="E575" s="11"/>
      <c r="F575" s="9"/>
      <c r="G575" s="9"/>
      <c r="H575" s="44" t="str">
        <f>IF(D575="","",IF(ISNUMBER(SEARCH(SETTINGS!$K$4,D575)),SETTINGS!$L$4,IF(ISNUMBER(SEARCH(SETTINGS!$K$5,D575)),SETTINGS!$L$5,IF(ISNUMBER(SEARCH(SETTINGS!$K$6,D575)),SETTINGS!$L$6,IF(ISNUMBER(SEARCH(SETTINGS!$K$7,D575)),SETTINGS!$L$7,IF(ISNUMBER(SEARCH(SETTINGS!$K$8,D575)),SETTINGS!$L$8,IF(ISNUMBER(SEARCH(SETTINGS!$K$9,D575)),SETTINGS!$L$9,IF(ISNUMBER(SEARCH(SETTINGS!$K$10,D575)),SETTINGS!$L$10,IF(ISNUMBER(SEARCH(SETTINGS!$K$11,D575)),SETTINGS!$L$11,IF(ISNUMBER(SEARCH(SETTINGS!$K$12,D575)),SETTINGS!$L$12,IF(ISNUMBER(SEARCH(SETTINGS!$K$13,D575)),SETTINGS!$L$13,IF(ISNUMBER(SEARCH(SETTINGS!$K$14,D575)),SETTINGS!$L$14,IF(ISNUMBER(SEARCH(SETTINGS!$K$15,D575)),SETTINGS!$L$15,IF(ISNUMBER(SEARCH(SETTINGS!$K$16,D575)),SETTINGS!$L$16,IF(ISNUMBER(SEARCH(SETTINGS!$K$17,D575)),SETTINGS!$L$17,IF(ISNUMBER(SEARCH(SETTINGS!$K$18,D575)),SETTINGS!$L$18,"Miscellaneous"))))))))))))))))</f>
        <v/>
      </c>
      <c r="I575" s="44" t="str">
        <f t="shared" si="64"/>
        <v/>
      </c>
      <c r="J575" s="9"/>
      <c r="K575" s="9"/>
      <c r="L575" s="9"/>
      <c r="M575" s="9"/>
      <c r="N575" s="9"/>
      <c r="O575" s="9"/>
      <c r="P575" s="13"/>
      <c r="Q575" s="9"/>
      <c r="R575" s="9"/>
      <c r="S575" s="9"/>
      <c r="T575" s="11"/>
      <c r="U575" s="44" t="str">
        <f t="shared" si="65"/>
        <v/>
      </c>
      <c r="V575" s="44" t="str">
        <f t="shared" si="66"/>
        <v/>
      </c>
      <c r="W575" s="44" t="str">
        <f t="shared" si="67"/>
        <v/>
      </c>
      <c r="X575" s="44" t="str">
        <f t="shared" si="68"/>
        <v/>
      </c>
      <c r="Y575" s="44" t="str">
        <f t="shared" si="69"/>
        <v/>
      </c>
      <c r="Z575" s="44" t="str">
        <f t="shared" si="70"/>
        <v/>
      </c>
      <c r="AA575" s="50" t="str">
        <f t="shared" si="71"/>
        <v/>
      </c>
      <c r="AB575" s="50" t="str">
        <f>IF(OR(B575="",C575&lt;&gt;"Expense"),"",IF(E575&gt;IFERROR(AVERAGEIFS($E$8:$E$1007,$I$8:$I$1007,I575,$C$8:$C$1007,"Expense")*SETTINGS!$B$20,0),"Unusually High","Normal"))</f>
        <v/>
      </c>
      <c r="AC575" s="51"/>
      <c r="AD575" s="51"/>
      <c r="AE575" s="51"/>
      <c r="AF575" s="50" t="str">
        <f>IF(A575&lt;&gt;"Yes","No",IF(AND(AC575="Yes",SETTINGS!$B$16="No"),"No","Yes"))</f>
        <v>No</v>
      </c>
      <c r="AG575" s="50" t="str">
        <f>IF(A575&lt;&gt;"Yes","",IF(OR(B575="",D575="",E575&lt;=0,F575="",I575=""),"Check Required Fields",IF(AA575="Possible Duplicate","Possible Duplicate",IF(E575&gt;SETTINGS!$B$22,"Review Extreme Value","OK"))))</f>
        <v/>
      </c>
    </row>
    <row r="576" spans="1:33" ht="14.4">
      <c r="A576" s="9"/>
      <c r="B576" s="13"/>
      <c r="C576" s="9"/>
      <c r="D576" s="9"/>
      <c r="E576" s="11"/>
      <c r="F576" s="9"/>
      <c r="G576" s="9"/>
      <c r="H576" s="44" t="str">
        <f>IF(D576="","",IF(ISNUMBER(SEARCH(SETTINGS!$K$4,D576)),SETTINGS!$L$4,IF(ISNUMBER(SEARCH(SETTINGS!$K$5,D576)),SETTINGS!$L$5,IF(ISNUMBER(SEARCH(SETTINGS!$K$6,D576)),SETTINGS!$L$6,IF(ISNUMBER(SEARCH(SETTINGS!$K$7,D576)),SETTINGS!$L$7,IF(ISNUMBER(SEARCH(SETTINGS!$K$8,D576)),SETTINGS!$L$8,IF(ISNUMBER(SEARCH(SETTINGS!$K$9,D576)),SETTINGS!$L$9,IF(ISNUMBER(SEARCH(SETTINGS!$K$10,D576)),SETTINGS!$L$10,IF(ISNUMBER(SEARCH(SETTINGS!$K$11,D576)),SETTINGS!$L$11,IF(ISNUMBER(SEARCH(SETTINGS!$K$12,D576)),SETTINGS!$L$12,IF(ISNUMBER(SEARCH(SETTINGS!$K$13,D576)),SETTINGS!$L$13,IF(ISNUMBER(SEARCH(SETTINGS!$K$14,D576)),SETTINGS!$L$14,IF(ISNUMBER(SEARCH(SETTINGS!$K$15,D576)),SETTINGS!$L$15,IF(ISNUMBER(SEARCH(SETTINGS!$K$16,D576)),SETTINGS!$L$16,IF(ISNUMBER(SEARCH(SETTINGS!$K$17,D576)),SETTINGS!$L$17,IF(ISNUMBER(SEARCH(SETTINGS!$K$18,D576)),SETTINGS!$L$18,"Miscellaneous"))))))))))))))))</f>
        <v/>
      </c>
      <c r="I576" s="44" t="str">
        <f t="shared" si="64"/>
        <v/>
      </c>
      <c r="J576" s="9"/>
      <c r="K576" s="9"/>
      <c r="L576" s="9"/>
      <c r="M576" s="9"/>
      <c r="N576" s="9"/>
      <c r="O576" s="9"/>
      <c r="P576" s="13"/>
      <c r="Q576" s="9"/>
      <c r="R576" s="9"/>
      <c r="S576" s="9"/>
      <c r="T576" s="11"/>
      <c r="U576" s="44" t="str">
        <f t="shared" si="65"/>
        <v/>
      </c>
      <c r="V576" s="44" t="str">
        <f t="shared" si="66"/>
        <v/>
      </c>
      <c r="W576" s="44" t="str">
        <f t="shared" si="67"/>
        <v/>
      </c>
      <c r="X576" s="44" t="str">
        <f t="shared" si="68"/>
        <v/>
      </c>
      <c r="Y576" s="44" t="str">
        <f t="shared" si="69"/>
        <v/>
      </c>
      <c r="Z576" s="44" t="str">
        <f t="shared" si="70"/>
        <v/>
      </c>
      <c r="AA576" s="50" t="str">
        <f t="shared" si="71"/>
        <v/>
      </c>
      <c r="AB576" s="50" t="str">
        <f>IF(OR(B576="",C576&lt;&gt;"Expense"),"",IF(E576&gt;IFERROR(AVERAGEIFS($E$8:$E$1007,$I$8:$I$1007,I576,$C$8:$C$1007,"Expense")*SETTINGS!$B$20,0),"Unusually High","Normal"))</f>
        <v/>
      </c>
      <c r="AC576" s="51"/>
      <c r="AD576" s="51"/>
      <c r="AE576" s="51"/>
      <c r="AF576" s="50" t="str">
        <f>IF(A576&lt;&gt;"Yes","No",IF(AND(AC576="Yes",SETTINGS!$B$16="No"),"No","Yes"))</f>
        <v>No</v>
      </c>
      <c r="AG576" s="50" t="str">
        <f>IF(A576&lt;&gt;"Yes","",IF(OR(B576="",D576="",E576&lt;=0,F576="",I576=""),"Check Required Fields",IF(AA576="Possible Duplicate","Possible Duplicate",IF(E576&gt;SETTINGS!$B$22,"Review Extreme Value","OK"))))</f>
        <v/>
      </c>
    </row>
    <row r="577" spans="1:33" ht="14.4">
      <c r="A577" s="9"/>
      <c r="B577" s="13"/>
      <c r="C577" s="9"/>
      <c r="D577" s="9"/>
      <c r="E577" s="11"/>
      <c r="F577" s="9"/>
      <c r="G577" s="9"/>
      <c r="H577" s="44" t="str">
        <f>IF(D577="","",IF(ISNUMBER(SEARCH(SETTINGS!$K$4,D577)),SETTINGS!$L$4,IF(ISNUMBER(SEARCH(SETTINGS!$K$5,D577)),SETTINGS!$L$5,IF(ISNUMBER(SEARCH(SETTINGS!$K$6,D577)),SETTINGS!$L$6,IF(ISNUMBER(SEARCH(SETTINGS!$K$7,D577)),SETTINGS!$L$7,IF(ISNUMBER(SEARCH(SETTINGS!$K$8,D577)),SETTINGS!$L$8,IF(ISNUMBER(SEARCH(SETTINGS!$K$9,D577)),SETTINGS!$L$9,IF(ISNUMBER(SEARCH(SETTINGS!$K$10,D577)),SETTINGS!$L$10,IF(ISNUMBER(SEARCH(SETTINGS!$K$11,D577)),SETTINGS!$L$11,IF(ISNUMBER(SEARCH(SETTINGS!$K$12,D577)),SETTINGS!$L$12,IF(ISNUMBER(SEARCH(SETTINGS!$K$13,D577)),SETTINGS!$L$13,IF(ISNUMBER(SEARCH(SETTINGS!$K$14,D577)),SETTINGS!$L$14,IF(ISNUMBER(SEARCH(SETTINGS!$K$15,D577)),SETTINGS!$L$15,IF(ISNUMBER(SEARCH(SETTINGS!$K$16,D577)),SETTINGS!$L$16,IF(ISNUMBER(SEARCH(SETTINGS!$K$17,D577)),SETTINGS!$L$17,IF(ISNUMBER(SEARCH(SETTINGS!$K$18,D577)),SETTINGS!$L$18,"Miscellaneous"))))))))))))))))</f>
        <v/>
      </c>
      <c r="I577" s="44" t="str">
        <f t="shared" si="64"/>
        <v/>
      </c>
      <c r="J577" s="9"/>
      <c r="K577" s="9"/>
      <c r="L577" s="9"/>
      <c r="M577" s="9"/>
      <c r="N577" s="9"/>
      <c r="O577" s="9"/>
      <c r="P577" s="13"/>
      <c r="Q577" s="9"/>
      <c r="R577" s="9"/>
      <c r="S577" s="9"/>
      <c r="T577" s="11"/>
      <c r="U577" s="44" t="str">
        <f t="shared" si="65"/>
        <v/>
      </c>
      <c r="V577" s="44" t="str">
        <f t="shared" si="66"/>
        <v/>
      </c>
      <c r="W577" s="44" t="str">
        <f t="shared" si="67"/>
        <v/>
      </c>
      <c r="X577" s="44" t="str">
        <f t="shared" si="68"/>
        <v/>
      </c>
      <c r="Y577" s="44" t="str">
        <f t="shared" si="69"/>
        <v/>
      </c>
      <c r="Z577" s="44" t="str">
        <f t="shared" si="70"/>
        <v/>
      </c>
      <c r="AA577" s="50" t="str">
        <f t="shared" si="71"/>
        <v/>
      </c>
      <c r="AB577" s="50" t="str">
        <f>IF(OR(B577="",C577&lt;&gt;"Expense"),"",IF(E577&gt;IFERROR(AVERAGEIFS($E$8:$E$1007,$I$8:$I$1007,I577,$C$8:$C$1007,"Expense")*SETTINGS!$B$20,0),"Unusually High","Normal"))</f>
        <v/>
      </c>
      <c r="AC577" s="51"/>
      <c r="AD577" s="51"/>
      <c r="AE577" s="51"/>
      <c r="AF577" s="50" t="str">
        <f>IF(A577&lt;&gt;"Yes","No",IF(AND(AC577="Yes",SETTINGS!$B$16="No"),"No","Yes"))</f>
        <v>No</v>
      </c>
      <c r="AG577" s="50" t="str">
        <f>IF(A577&lt;&gt;"Yes","",IF(OR(B577="",D577="",E577&lt;=0,F577="",I577=""),"Check Required Fields",IF(AA577="Possible Duplicate","Possible Duplicate",IF(E577&gt;SETTINGS!$B$22,"Review Extreme Value","OK"))))</f>
        <v/>
      </c>
    </row>
    <row r="578" spans="1:33" ht="14.4">
      <c r="A578" s="9"/>
      <c r="B578" s="13"/>
      <c r="C578" s="9"/>
      <c r="D578" s="9"/>
      <c r="E578" s="11"/>
      <c r="F578" s="9"/>
      <c r="G578" s="9"/>
      <c r="H578" s="44" t="str">
        <f>IF(D578="","",IF(ISNUMBER(SEARCH(SETTINGS!$K$4,D578)),SETTINGS!$L$4,IF(ISNUMBER(SEARCH(SETTINGS!$K$5,D578)),SETTINGS!$L$5,IF(ISNUMBER(SEARCH(SETTINGS!$K$6,D578)),SETTINGS!$L$6,IF(ISNUMBER(SEARCH(SETTINGS!$K$7,D578)),SETTINGS!$L$7,IF(ISNUMBER(SEARCH(SETTINGS!$K$8,D578)),SETTINGS!$L$8,IF(ISNUMBER(SEARCH(SETTINGS!$K$9,D578)),SETTINGS!$L$9,IF(ISNUMBER(SEARCH(SETTINGS!$K$10,D578)),SETTINGS!$L$10,IF(ISNUMBER(SEARCH(SETTINGS!$K$11,D578)),SETTINGS!$L$11,IF(ISNUMBER(SEARCH(SETTINGS!$K$12,D578)),SETTINGS!$L$12,IF(ISNUMBER(SEARCH(SETTINGS!$K$13,D578)),SETTINGS!$L$13,IF(ISNUMBER(SEARCH(SETTINGS!$K$14,D578)),SETTINGS!$L$14,IF(ISNUMBER(SEARCH(SETTINGS!$K$15,D578)),SETTINGS!$L$15,IF(ISNUMBER(SEARCH(SETTINGS!$K$16,D578)),SETTINGS!$L$16,IF(ISNUMBER(SEARCH(SETTINGS!$K$17,D578)),SETTINGS!$L$17,IF(ISNUMBER(SEARCH(SETTINGS!$K$18,D578)),SETTINGS!$L$18,"Miscellaneous"))))))))))))))))</f>
        <v/>
      </c>
      <c r="I578" s="44" t="str">
        <f t="shared" si="64"/>
        <v/>
      </c>
      <c r="J578" s="9"/>
      <c r="K578" s="9"/>
      <c r="L578" s="9"/>
      <c r="M578" s="9"/>
      <c r="N578" s="9"/>
      <c r="O578" s="9"/>
      <c r="P578" s="13"/>
      <c r="Q578" s="9"/>
      <c r="R578" s="9"/>
      <c r="S578" s="9"/>
      <c r="T578" s="11"/>
      <c r="U578" s="44" t="str">
        <f t="shared" si="65"/>
        <v/>
      </c>
      <c r="V578" s="44" t="str">
        <f t="shared" si="66"/>
        <v/>
      </c>
      <c r="W578" s="44" t="str">
        <f t="shared" si="67"/>
        <v/>
      </c>
      <c r="X578" s="44" t="str">
        <f t="shared" si="68"/>
        <v/>
      </c>
      <c r="Y578" s="44" t="str">
        <f t="shared" si="69"/>
        <v/>
      </c>
      <c r="Z578" s="44" t="str">
        <f t="shared" si="70"/>
        <v/>
      </c>
      <c r="AA578" s="50" t="str">
        <f t="shared" si="71"/>
        <v/>
      </c>
      <c r="AB578" s="50" t="str">
        <f>IF(OR(B578="",C578&lt;&gt;"Expense"),"",IF(E578&gt;IFERROR(AVERAGEIFS($E$8:$E$1007,$I$8:$I$1007,I578,$C$8:$C$1007,"Expense")*SETTINGS!$B$20,0),"Unusually High","Normal"))</f>
        <v/>
      </c>
      <c r="AC578" s="51"/>
      <c r="AD578" s="51"/>
      <c r="AE578" s="51"/>
      <c r="AF578" s="50" t="str">
        <f>IF(A578&lt;&gt;"Yes","No",IF(AND(AC578="Yes",SETTINGS!$B$16="No"),"No","Yes"))</f>
        <v>No</v>
      </c>
      <c r="AG578" s="50" t="str">
        <f>IF(A578&lt;&gt;"Yes","",IF(OR(B578="",D578="",E578&lt;=0,F578="",I578=""),"Check Required Fields",IF(AA578="Possible Duplicate","Possible Duplicate",IF(E578&gt;SETTINGS!$B$22,"Review Extreme Value","OK"))))</f>
        <v/>
      </c>
    </row>
    <row r="579" spans="1:33" ht="14.4">
      <c r="A579" s="9"/>
      <c r="B579" s="13"/>
      <c r="C579" s="9"/>
      <c r="D579" s="9"/>
      <c r="E579" s="11"/>
      <c r="F579" s="9"/>
      <c r="G579" s="9"/>
      <c r="H579" s="44" t="str">
        <f>IF(D579="","",IF(ISNUMBER(SEARCH(SETTINGS!$K$4,D579)),SETTINGS!$L$4,IF(ISNUMBER(SEARCH(SETTINGS!$K$5,D579)),SETTINGS!$L$5,IF(ISNUMBER(SEARCH(SETTINGS!$K$6,D579)),SETTINGS!$L$6,IF(ISNUMBER(SEARCH(SETTINGS!$K$7,D579)),SETTINGS!$L$7,IF(ISNUMBER(SEARCH(SETTINGS!$K$8,D579)),SETTINGS!$L$8,IF(ISNUMBER(SEARCH(SETTINGS!$K$9,D579)),SETTINGS!$L$9,IF(ISNUMBER(SEARCH(SETTINGS!$K$10,D579)),SETTINGS!$L$10,IF(ISNUMBER(SEARCH(SETTINGS!$K$11,D579)),SETTINGS!$L$11,IF(ISNUMBER(SEARCH(SETTINGS!$K$12,D579)),SETTINGS!$L$12,IF(ISNUMBER(SEARCH(SETTINGS!$K$13,D579)),SETTINGS!$L$13,IF(ISNUMBER(SEARCH(SETTINGS!$K$14,D579)),SETTINGS!$L$14,IF(ISNUMBER(SEARCH(SETTINGS!$K$15,D579)),SETTINGS!$L$15,IF(ISNUMBER(SEARCH(SETTINGS!$K$16,D579)),SETTINGS!$L$16,IF(ISNUMBER(SEARCH(SETTINGS!$K$17,D579)),SETTINGS!$L$17,IF(ISNUMBER(SEARCH(SETTINGS!$K$18,D579)),SETTINGS!$L$18,"Miscellaneous"))))))))))))))))</f>
        <v/>
      </c>
      <c r="I579" s="44" t="str">
        <f t="shared" si="64"/>
        <v/>
      </c>
      <c r="J579" s="9"/>
      <c r="K579" s="9"/>
      <c r="L579" s="9"/>
      <c r="M579" s="9"/>
      <c r="N579" s="9"/>
      <c r="O579" s="9"/>
      <c r="P579" s="13"/>
      <c r="Q579" s="9"/>
      <c r="R579" s="9"/>
      <c r="S579" s="9"/>
      <c r="T579" s="11"/>
      <c r="U579" s="44" t="str">
        <f t="shared" si="65"/>
        <v/>
      </c>
      <c r="V579" s="44" t="str">
        <f t="shared" si="66"/>
        <v/>
      </c>
      <c r="W579" s="44" t="str">
        <f t="shared" si="67"/>
        <v/>
      </c>
      <c r="X579" s="44" t="str">
        <f t="shared" si="68"/>
        <v/>
      </c>
      <c r="Y579" s="44" t="str">
        <f t="shared" si="69"/>
        <v/>
      </c>
      <c r="Z579" s="44" t="str">
        <f t="shared" si="70"/>
        <v/>
      </c>
      <c r="AA579" s="50" t="str">
        <f t="shared" si="71"/>
        <v/>
      </c>
      <c r="AB579" s="50" t="str">
        <f>IF(OR(B579="",C579&lt;&gt;"Expense"),"",IF(E579&gt;IFERROR(AVERAGEIFS($E$8:$E$1007,$I$8:$I$1007,I579,$C$8:$C$1007,"Expense")*SETTINGS!$B$20,0),"Unusually High","Normal"))</f>
        <v/>
      </c>
      <c r="AC579" s="51"/>
      <c r="AD579" s="51"/>
      <c r="AE579" s="51"/>
      <c r="AF579" s="50" t="str">
        <f>IF(A579&lt;&gt;"Yes","No",IF(AND(AC579="Yes",SETTINGS!$B$16="No"),"No","Yes"))</f>
        <v>No</v>
      </c>
      <c r="AG579" s="50" t="str">
        <f>IF(A579&lt;&gt;"Yes","",IF(OR(B579="",D579="",E579&lt;=0,F579="",I579=""),"Check Required Fields",IF(AA579="Possible Duplicate","Possible Duplicate",IF(E579&gt;SETTINGS!$B$22,"Review Extreme Value","OK"))))</f>
        <v/>
      </c>
    </row>
    <row r="580" spans="1:33" ht="14.4">
      <c r="A580" s="9"/>
      <c r="B580" s="13"/>
      <c r="C580" s="9"/>
      <c r="D580" s="9"/>
      <c r="E580" s="11"/>
      <c r="F580" s="9"/>
      <c r="G580" s="9"/>
      <c r="H580" s="44" t="str">
        <f>IF(D580="","",IF(ISNUMBER(SEARCH(SETTINGS!$K$4,D580)),SETTINGS!$L$4,IF(ISNUMBER(SEARCH(SETTINGS!$K$5,D580)),SETTINGS!$L$5,IF(ISNUMBER(SEARCH(SETTINGS!$K$6,D580)),SETTINGS!$L$6,IF(ISNUMBER(SEARCH(SETTINGS!$K$7,D580)),SETTINGS!$L$7,IF(ISNUMBER(SEARCH(SETTINGS!$K$8,D580)),SETTINGS!$L$8,IF(ISNUMBER(SEARCH(SETTINGS!$K$9,D580)),SETTINGS!$L$9,IF(ISNUMBER(SEARCH(SETTINGS!$K$10,D580)),SETTINGS!$L$10,IF(ISNUMBER(SEARCH(SETTINGS!$K$11,D580)),SETTINGS!$L$11,IF(ISNUMBER(SEARCH(SETTINGS!$K$12,D580)),SETTINGS!$L$12,IF(ISNUMBER(SEARCH(SETTINGS!$K$13,D580)),SETTINGS!$L$13,IF(ISNUMBER(SEARCH(SETTINGS!$K$14,D580)),SETTINGS!$L$14,IF(ISNUMBER(SEARCH(SETTINGS!$K$15,D580)),SETTINGS!$L$15,IF(ISNUMBER(SEARCH(SETTINGS!$K$16,D580)),SETTINGS!$L$16,IF(ISNUMBER(SEARCH(SETTINGS!$K$17,D580)),SETTINGS!$L$17,IF(ISNUMBER(SEARCH(SETTINGS!$K$18,D580)),SETTINGS!$L$18,"Miscellaneous"))))))))))))))))</f>
        <v/>
      </c>
      <c r="I580" s="44" t="str">
        <f t="shared" si="64"/>
        <v/>
      </c>
      <c r="J580" s="9"/>
      <c r="K580" s="9"/>
      <c r="L580" s="9"/>
      <c r="M580" s="9"/>
      <c r="N580" s="9"/>
      <c r="O580" s="9"/>
      <c r="P580" s="13"/>
      <c r="Q580" s="9"/>
      <c r="R580" s="9"/>
      <c r="S580" s="9"/>
      <c r="T580" s="11"/>
      <c r="U580" s="44" t="str">
        <f t="shared" si="65"/>
        <v/>
      </c>
      <c r="V580" s="44" t="str">
        <f t="shared" si="66"/>
        <v/>
      </c>
      <c r="W580" s="44" t="str">
        <f t="shared" si="67"/>
        <v/>
      </c>
      <c r="X580" s="44" t="str">
        <f t="shared" si="68"/>
        <v/>
      </c>
      <c r="Y580" s="44" t="str">
        <f t="shared" si="69"/>
        <v/>
      </c>
      <c r="Z580" s="44" t="str">
        <f t="shared" si="70"/>
        <v/>
      </c>
      <c r="AA580" s="50" t="str">
        <f t="shared" si="71"/>
        <v/>
      </c>
      <c r="AB580" s="50" t="str">
        <f>IF(OR(B580="",C580&lt;&gt;"Expense"),"",IF(E580&gt;IFERROR(AVERAGEIFS($E$8:$E$1007,$I$8:$I$1007,I580,$C$8:$C$1007,"Expense")*SETTINGS!$B$20,0),"Unusually High","Normal"))</f>
        <v/>
      </c>
      <c r="AC580" s="51"/>
      <c r="AD580" s="51"/>
      <c r="AE580" s="51"/>
      <c r="AF580" s="50" t="str">
        <f>IF(A580&lt;&gt;"Yes","No",IF(AND(AC580="Yes",SETTINGS!$B$16="No"),"No","Yes"))</f>
        <v>No</v>
      </c>
      <c r="AG580" s="50" t="str">
        <f>IF(A580&lt;&gt;"Yes","",IF(OR(B580="",D580="",E580&lt;=0,F580="",I580=""),"Check Required Fields",IF(AA580="Possible Duplicate","Possible Duplicate",IF(E580&gt;SETTINGS!$B$22,"Review Extreme Value","OK"))))</f>
        <v/>
      </c>
    </row>
    <row r="581" spans="1:33" ht="14.4">
      <c r="A581" s="9"/>
      <c r="B581" s="13"/>
      <c r="C581" s="9"/>
      <c r="D581" s="9"/>
      <c r="E581" s="11"/>
      <c r="F581" s="9"/>
      <c r="G581" s="9"/>
      <c r="H581" s="44" t="str">
        <f>IF(D581="","",IF(ISNUMBER(SEARCH(SETTINGS!$K$4,D581)),SETTINGS!$L$4,IF(ISNUMBER(SEARCH(SETTINGS!$K$5,D581)),SETTINGS!$L$5,IF(ISNUMBER(SEARCH(SETTINGS!$K$6,D581)),SETTINGS!$L$6,IF(ISNUMBER(SEARCH(SETTINGS!$K$7,D581)),SETTINGS!$L$7,IF(ISNUMBER(SEARCH(SETTINGS!$K$8,D581)),SETTINGS!$L$8,IF(ISNUMBER(SEARCH(SETTINGS!$K$9,D581)),SETTINGS!$L$9,IF(ISNUMBER(SEARCH(SETTINGS!$K$10,D581)),SETTINGS!$L$10,IF(ISNUMBER(SEARCH(SETTINGS!$K$11,D581)),SETTINGS!$L$11,IF(ISNUMBER(SEARCH(SETTINGS!$K$12,D581)),SETTINGS!$L$12,IF(ISNUMBER(SEARCH(SETTINGS!$K$13,D581)),SETTINGS!$L$13,IF(ISNUMBER(SEARCH(SETTINGS!$K$14,D581)),SETTINGS!$L$14,IF(ISNUMBER(SEARCH(SETTINGS!$K$15,D581)),SETTINGS!$L$15,IF(ISNUMBER(SEARCH(SETTINGS!$K$16,D581)),SETTINGS!$L$16,IF(ISNUMBER(SEARCH(SETTINGS!$K$17,D581)),SETTINGS!$L$17,IF(ISNUMBER(SEARCH(SETTINGS!$K$18,D581)),SETTINGS!$L$18,"Miscellaneous"))))))))))))))))</f>
        <v/>
      </c>
      <c r="I581" s="44" t="str">
        <f t="shared" si="64"/>
        <v/>
      </c>
      <c r="J581" s="9"/>
      <c r="K581" s="9"/>
      <c r="L581" s="9"/>
      <c r="M581" s="9"/>
      <c r="N581" s="9"/>
      <c r="O581" s="9"/>
      <c r="P581" s="13"/>
      <c r="Q581" s="9"/>
      <c r="R581" s="9"/>
      <c r="S581" s="9"/>
      <c r="T581" s="11"/>
      <c r="U581" s="44" t="str">
        <f t="shared" si="65"/>
        <v/>
      </c>
      <c r="V581" s="44" t="str">
        <f t="shared" si="66"/>
        <v/>
      </c>
      <c r="W581" s="44" t="str">
        <f t="shared" si="67"/>
        <v/>
      </c>
      <c r="X581" s="44" t="str">
        <f t="shared" si="68"/>
        <v/>
      </c>
      <c r="Y581" s="44" t="str">
        <f t="shared" si="69"/>
        <v/>
      </c>
      <c r="Z581" s="44" t="str">
        <f t="shared" si="70"/>
        <v/>
      </c>
      <c r="AA581" s="50" t="str">
        <f t="shared" si="71"/>
        <v/>
      </c>
      <c r="AB581" s="50" t="str">
        <f>IF(OR(B581="",C581&lt;&gt;"Expense"),"",IF(E581&gt;IFERROR(AVERAGEIFS($E$8:$E$1007,$I$8:$I$1007,I581,$C$8:$C$1007,"Expense")*SETTINGS!$B$20,0),"Unusually High","Normal"))</f>
        <v/>
      </c>
      <c r="AC581" s="51"/>
      <c r="AD581" s="51"/>
      <c r="AE581" s="51"/>
      <c r="AF581" s="50" t="str">
        <f>IF(A581&lt;&gt;"Yes","No",IF(AND(AC581="Yes",SETTINGS!$B$16="No"),"No","Yes"))</f>
        <v>No</v>
      </c>
      <c r="AG581" s="50" t="str">
        <f>IF(A581&lt;&gt;"Yes","",IF(OR(B581="",D581="",E581&lt;=0,F581="",I581=""),"Check Required Fields",IF(AA581="Possible Duplicate","Possible Duplicate",IF(E581&gt;SETTINGS!$B$22,"Review Extreme Value","OK"))))</f>
        <v/>
      </c>
    </row>
    <row r="582" spans="1:33" ht="14.4">
      <c r="A582" s="9"/>
      <c r="B582" s="13"/>
      <c r="C582" s="9"/>
      <c r="D582" s="9"/>
      <c r="E582" s="11"/>
      <c r="F582" s="9"/>
      <c r="G582" s="9"/>
      <c r="H582" s="44" t="str">
        <f>IF(D582="","",IF(ISNUMBER(SEARCH(SETTINGS!$K$4,D582)),SETTINGS!$L$4,IF(ISNUMBER(SEARCH(SETTINGS!$K$5,D582)),SETTINGS!$L$5,IF(ISNUMBER(SEARCH(SETTINGS!$K$6,D582)),SETTINGS!$L$6,IF(ISNUMBER(SEARCH(SETTINGS!$K$7,D582)),SETTINGS!$L$7,IF(ISNUMBER(SEARCH(SETTINGS!$K$8,D582)),SETTINGS!$L$8,IF(ISNUMBER(SEARCH(SETTINGS!$K$9,D582)),SETTINGS!$L$9,IF(ISNUMBER(SEARCH(SETTINGS!$K$10,D582)),SETTINGS!$L$10,IF(ISNUMBER(SEARCH(SETTINGS!$K$11,D582)),SETTINGS!$L$11,IF(ISNUMBER(SEARCH(SETTINGS!$K$12,D582)),SETTINGS!$L$12,IF(ISNUMBER(SEARCH(SETTINGS!$K$13,D582)),SETTINGS!$L$13,IF(ISNUMBER(SEARCH(SETTINGS!$K$14,D582)),SETTINGS!$L$14,IF(ISNUMBER(SEARCH(SETTINGS!$K$15,D582)),SETTINGS!$L$15,IF(ISNUMBER(SEARCH(SETTINGS!$K$16,D582)),SETTINGS!$L$16,IF(ISNUMBER(SEARCH(SETTINGS!$K$17,D582)),SETTINGS!$L$17,IF(ISNUMBER(SEARCH(SETTINGS!$K$18,D582)),SETTINGS!$L$18,"Miscellaneous"))))))))))))))))</f>
        <v/>
      </c>
      <c r="I582" s="44" t="str">
        <f t="shared" si="64"/>
        <v/>
      </c>
      <c r="J582" s="9"/>
      <c r="K582" s="9"/>
      <c r="L582" s="9"/>
      <c r="M582" s="9"/>
      <c r="N582" s="9"/>
      <c r="O582" s="9"/>
      <c r="P582" s="13"/>
      <c r="Q582" s="9"/>
      <c r="R582" s="9"/>
      <c r="S582" s="9"/>
      <c r="T582" s="11"/>
      <c r="U582" s="44" t="str">
        <f t="shared" si="65"/>
        <v/>
      </c>
      <c r="V582" s="44" t="str">
        <f t="shared" si="66"/>
        <v/>
      </c>
      <c r="W582" s="44" t="str">
        <f t="shared" si="67"/>
        <v/>
      </c>
      <c r="X582" s="44" t="str">
        <f t="shared" si="68"/>
        <v/>
      </c>
      <c r="Y582" s="44" t="str">
        <f t="shared" si="69"/>
        <v/>
      </c>
      <c r="Z582" s="44" t="str">
        <f t="shared" si="70"/>
        <v/>
      </c>
      <c r="AA582" s="50" t="str">
        <f t="shared" si="71"/>
        <v/>
      </c>
      <c r="AB582" s="50" t="str">
        <f>IF(OR(B582="",C582&lt;&gt;"Expense"),"",IF(E582&gt;IFERROR(AVERAGEIFS($E$8:$E$1007,$I$8:$I$1007,I582,$C$8:$C$1007,"Expense")*SETTINGS!$B$20,0),"Unusually High","Normal"))</f>
        <v/>
      </c>
      <c r="AC582" s="51"/>
      <c r="AD582" s="51"/>
      <c r="AE582" s="51"/>
      <c r="AF582" s="50" t="str">
        <f>IF(A582&lt;&gt;"Yes","No",IF(AND(AC582="Yes",SETTINGS!$B$16="No"),"No","Yes"))</f>
        <v>No</v>
      </c>
      <c r="AG582" s="50" t="str">
        <f>IF(A582&lt;&gt;"Yes","",IF(OR(B582="",D582="",E582&lt;=0,F582="",I582=""),"Check Required Fields",IF(AA582="Possible Duplicate","Possible Duplicate",IF(E582&gt;SETTINGS!$B$22,"Review Extreme Value","OK"))))</f>
        <v/>
      </c>
    </row>
    <row r="583" spans="1:33" ht="14.4">
      <c r="A583" s="9"/>
      <c r="B583" s="13"/>
      <c r="C583" s="9"/>
      <c r="D583" s="9"/>
      <c r="E583" s="11"/>
      <c r="F583" s="9"/>
      <c r="G583" s="9"/>
      <c r="H583" s="44" t="str">
        <f>IF(D583="","",IF(ISNUMBER(SEARCH(SETTINGS!$K$4,D583)),SETTINGS!$L$4,IF(ISNUMBER(SEARCH(SETTINGS!$K$5,D583)),SETTINGS!$L$5,IF(ISNUMBER(SEARCH(SETTINGS!$K$6,D583)),SETTINGS!$L$6,IF(ISNUMBER(SEARCH(SETTINGS!$K$7,D583)),SETTINGS!$L$7,IF(ISNUMBER(SEARCH(SETTINGS!$K$8,D583)),SETTINGS!$L$8,IF(ISNUMBER(SEARCH(SETTINGS!$K$9,D583)),SETTINGS!$L$9,IF(ISNUMBER(SEARCH(SETTINGS!$K$10,D583)),SETTINGS!$L$10,IF(ISNUMBER(SEARCH(SETTINGS!$K$11,D583)),SETTINGS!$L$11,IF(ISNUMBER(SEARCH(SETTINGS!$K$12,D583)),SETTINGS!$L$12,IF(ISNUMBER(SEARCH(SETTINGS!$K$13,D583)),SETTINGS!$L$13,IF(ISNUMBER(SEARCH(SETTINGS!$K$14,D583)),SETTINGS!$L$14,IF(ISNUMBER(SEARCH(SETTINGS!$K$15,D583)),SETTINGS!$L$15,IF(ISNUMBER(SEARCH(SETTINGS!$K$16,D583)),SETTINGS!$L$16,IF(ISNUMBER(SEARCH(SETTINGS!$K$17,D583)),SETTINGS!$L$17,IF(ISNUMBER(SEARCH(SETTINGS!$K$18,D583)),SETTINGS!$L$18,"Miscellaneous"))))))))))))))))</f>
        <v/>
      </c>
      <c r="I583" s="44" t="str">
        <f t="shared" si="64"/>
        <v/>
      </c>
      <c r="J583" s="9"/>
      <c r="K583" s="9"/>
      <c r="L583" s="9"/>
      <c r="M583" s="9"/>
      <c r="N583" s="9"/>
      <c r="O583" s="9"/>
      <c r="P583" s="13"/>
      <c r="Q583" s="9"/>
      <c r="R583" s="9"/>
      <c r="S583" s="9"/>
      <c r="T583" s="11"/>
      <c r="U583" s="44" t="str">
        <f t="shared" si="65"/>
        <v/>
      </c>
      <c r="V583" s="44" t="str">
        <f t="shared" si="66"/>
        <v/>
      </c>
      <c r="W583" s="44" t="str">
        <f t="shared" si="67"/>
        <v/>
      </c>
      <c r="X583" s="44" t="str">
        <f t="shared" si="68"/>
        <v/>
      </c>
      <c r="Y583" s="44" t="str">
        <f t="shared" si="69"/>
        <v/>
      </c>
      <c r="Z583" s="44" t="str">
        <f t="shared" si="70"/>
        <v/>
      </c>
      <c r="AA583" s="50" t="str">
        <f t="shared" si="71"/>
        <v/>
      </c>
      <c r="AB583" s="50" t="str">
        <f>IF(OR(B583="",C583&lt;&gt;"Expense"),"",IF(E583&gt;IFERROR(AVERAGEIFS($E$8:$E$1007,$I$8:$I$1007,I583,$C$8:$C$1007,"Expense")*SETTINGS!$B$20,0),"Unusually High","Normal"))</f>
        <v/>
      </c>
      <c r="AC583" s="51"/>
      <c r="AD583" s="51"/>
      <c r="AE583" s="51"/>
      <c r="AF583" s="50" t="str">
        <f>IF(A583&lt;&gt;"Yes","No",IF(AND(AC583="Yes",SETTINGS!$B$16="No"),"No","Yes"))</f>
        <v>No</v>
      </c>
      <c r="AG583" s="50" t="str">
        <f>IF(A583&lt;&gt;"Yes","",IF(OR(B583="",D583="",E583&lt;=0,F583="",I583=""),"Check Required Fields",IF(AA583="Possible Duplicate","Possible Duplicate",IF(E583&gt;SETTINGS!$B$22,"Review Extreme Value","OK"))))</f>
        <v/>
      </c>
    </row>
    <row r="584" spans="1:33" ht="14.4">
      <c r="A584" s="9"/>
      <c r="B584" s="13"/>
      <c r="C584" s="9"/>
      <c r="D584" s="9"/>
      <c r="E584" s="11"/>
      <c r="F584" s="9"/>
      <c r="G584" s="9"/>
      <c r="H584" s="44" t="str">
        <f>IF(D584="","",IF(ISNUMBER(SEARCH(SETTINGS!$K$4,D584)),SETTINGS!$L$4,IF(ISNUMBER(SEARCH(SETTINGS!$K$5,D584)),SETTINGS!$L$5,IF(ISNUMBER(SEARCH(SETTINGS!$K$6,D584)),SETTINGS!$L$6,IF(ISNUMBER(SEARCH(SETTINGS!$K$7,D584)),SETTINGS!$L$7,IF(ISNUMBER(SEARCH(SETTINGS!$K$8,D584)),SETTINGS!$L$8,IF(ISNUMBER(SEARCH(SETTINGS!$K$9,D584)),SETTINGS!$L$9,IF(ISNUMBER(SEARCH(SETTINGS!$K$10,D584)),SETTINGS!$L$10,IF(ISNUMBER(SEARCH(SETTINGS!$K$11,D584)),SETTINGS!$L$11,IF(ISNUMBER(SEARCH(SETTINGS!$K$12,D584)),SETTINGS!$L$12,IF(ISNUMBER(SEARCH(SETTINGS!$K$13,D584)),SETTINGS!$L$13,IF(ISNUMBER(SEARCH(SETTINGS!$K$14,D584)),SETTINGS!$L$14,IF(ISNUMBER(SEARCH(SETTINGS!$K$15,D584)),SETTINGS!$L$15,IF(ISNUMBER(SEARCH(SETTINGS!$K$16,D584)),SETTINGS!$L$16,IF(ISNUMBER(SEARCH(SETTINGS!$K$17,D584)),SETTINGS!$L$17,IF(ISNUMBER(SEARCH(SETTINGS!$K$18,D584)),SETTINGS!$L$18,"Miscellaneous"))))))))))))))))</f>
        <v/>
      </c>
      <c r="I584" s="44" t="str">
        <f t="shared" ref="I584:I647" si="72">IF(B584="","",IF(G584&lt;&gt;"",G584,H584))</f>
        <v/>
      </c>
      <c r="J584" s="9"/>
      <c r="K584" s="9"/>
      <c r="L584" s="9"/>
      <c r="M584" s="9"/>
      <c r="N584" s="9"/>
      <c r="O584" s="9"/>
      <c r="P584" s="13"/>
      <c r="Q584" s="9"/>
      <c r="R584" s="9"/>
      <c r="S584" s="9"/>
      <c r="T584" s="11"/>
      <c r="U584" s="44" t="str">
        <f t="shared" ref="U584:U647" si="73">IF(B584="","",IF(C584="Income","INC-",IF(C584="Expense","EXP-","TRX-"))&amp;TEXT(YEAR(B584),"0000")&amp;"-"&amp;TEXT(ROW()-7,"0000"))</f>
        <v/>
      </c>
      <c r="V584" s="44" t="str">
        <f t="shared" ref="V584:V647" si="74">IF(B584="","",TEXT(B584,"mmmm"))</f>
        <v/>
      </c>
      <c r="W584" s="44" t="str">
        <f t="shared" ref="W584:W647" si="75">IF(B584="","",MONTH(B584))</f>
        <v/>
      </c>
      <c r="X584" s="44" t="str">
        <f t="shared" ref="X584:X647" si="76">IF(B584="","",YEAR(B584))</f>
        <v/>
      </c>
      <c r="Y584" s="44" t="str">
        <f t="shared" ref="Y584:Y647" si="77">IF(B584="","",DAY(B584))</f>
        <v/>
      </c>
      <c r="Z584" s="44" t="str">
        <f t="shared" ref="Z584:Z647" si="78">IF(B584="","",IF(WEEKDAY(B584,2)&gt;5,"Weekend","Weekday"))</f>
        <v/>
      </c>
      <c r="AA584" s="50" t="str">
        <f t="shared" ref="AA584:AA647" si="79">IF(B584="","",IF(COUNTIFS($B$8:$B$1007,B584,$E$8:$E$1007,E584,$D$8:$D$1007,D584,$I$8:$I$1007,I584)&gt;1,"Possible Duplicate","OK"))</f>
        <v/>
      </c>
      <c r="AB584" s="50" t="str">
        <f>IF(OR(B584="",C584&lt;&gt;"Expense"),"",IF(E584&gt;IFERROR(AVERAGEIFS($E$8:$E$1007,$I$8:$I$1007,I584,$C$8:$C$1007,"Expense")*SETTINGS!$B$20,0),"Unusually High","Normal"))</f>
        <v/>
      </c>
      <c r="AC584" s="51"/>
      <c r="AD584" s="51"/>
      <c r="AE584" s="51"/>
      <c r="AF584" s="50" t="str">
        <f>IF(A584&lt;&gt;"Yes","No",IF(AND(AC584="Yes",SETTINGS!$B$16="No"),"No","Yes"))</f>
        <v>No</v>
      </c>
      <c r="AG584" s="50" t="str">
        <f>IF(A584&lt;&gt;"Yes","",IF(OR(B584="",D584="",E584&lt;=0,F584="",I584=""),"Check Required Fields",IF(AA584="Possible Duplicate","Possible Duplicate",IF(E584&gt;SETTINGS!$B$22,"Review Extreme Value","OK"))))</f>
        <v/>
      </c>
    </row>
    <row r="585" spans="1:33" ht="14.4">
      <c r="A585" s="9"/>
      <c r="B585" s="13"/>
      <c r="C585" s="9"/>
      <c r="D585" s="9"/>
      <c r="E585" s="11"/>
      <c r="F585" s="9"/>
      <c r="G585" s="9"/>
      <c r="H585" s="44" t="str">
        <f>IF(D585="","",IF(ISNUMBER(SEARCH(SETTINGS!$K$4,D585)),SETTINGS!$L$4,IF(ISNUMBER(SEARCH(SETTINGS!$K$5,D585)),SETTINGS!$L$5,IF(ISNUMBER(SEARCH(SETTINGS!$K$6,D585)),SETTINGS!$L$6,IF(ISNUMBER(SEARCH(SETTINGS!$K$7,D585)),SETTINGS!$L$7,IF(ISNUMBER(SEARCH(SETTINGS!$K$8,D585)),SETTINGS!$L$8,IF(ISNUMBER(SEARCH(SETTINGS!$K$9,D585)),SETTINGS!$L$9,IF(ISNUMBER(SEARCH(SETTINGS!$K$10,D585)),SETTINGS!$L$10,IF(ISNUMBER(SEARCH(SETTINGS!$K$11,D585)),SETTINGS!$L$11,IF(ISNUMBER(SEARCH(SETTINGS!$K$12,D585)),SETTINGS!$L$12,IF(ISNUMBER(SEARCH(SETTINGS!$K$13,D585)),SETTINGS!$L$13,IF(ISNUMBER(SEARCH(SETTINGS!$K$14,D585)),SETTINGS!$L$14,IF(ISNUMBER(SEARCH(SETTINGS!$K$15,D585)),SETTINGS!$L$15,IF(ISNUMBER(SEARCH(SETTINGS!$K$16,D585)),SETTINGS!$L$16,IF(ISNUMBER(SEARCH(SETTINGS!$K$17,D585)),SETTINGS!$L$17,IF(ISNUMBER(SEARCH(SETTINGS!$K$18,D585)),SETTINGS!$L$18,"Miscellaneous"))))))))))))))))</f>
        <v/>
      </c>
      <c r="I585" s="44" t="str">
        <f t="shared" si="72"/>
        <v/>
      </c>
      <c r="J585" s="9"/>
      <c r="K585" s="9"/>
      <c r="L585" s="9"/>
      <c r="M585" s="9"/>
      <c r="N585" s="9"/>
      <c r="O585" s="9"/>
      <c r="P585" s="13"/>
      <c r="Q585" s="9"/>
      <c r="R585" s="9"/>
      <c r="S585" s="9"/>
      <c r="T585" s="11"/>
      <c r="U585" s="44" t="str">
        <f t="shared" si="73"/>
        <v/>
      </c>
      <c r="V585" s="44" t="str">
        <f t="shared" si="74"/>
        <v/>
      </c>
      <c r="W585" s="44" t="str">
        <f t="shared" si="75"/>
        <v/>
      </c>
      <c r="X585" s="44" t="str">
        <f t="shared" si="76"/>
        <v/>
      </c>
      <c r="Y585" s="44" t="str">
        <f t="shared" si="77"/>
        <v/>
      </c>
      <c r="Z585" s="44" t="str">
        <f t="shared" si="78"/>
        <v/>
      </c>
      <c r="AA585" s="50" t="str">
        <f t="shared" si="79"/>
        <v/>
      </c>
      <c r="AB585" s="50" t="str">
        <f>IF(OR(B585="",C585&lt;&gt;"Expense"),"",IF(E585&gt;IFERROR(AVERAGEIFS($E$8:$E$1007,$I$8:$I$1007,I585,$C$8:$C$1007,"Expense")*SETTINGS!$B$20,0),"Unusually High","Normal"))</f>
        <v/>
      </c>
      <c r="AC585" s="51"/>
      <c r="AD585" s="51"/>
      <c r="AE585" s="51"/>
      <c r="AF585" s="50" t="str">
        <f>IF(A585&lt;&gt;"Yes","No",IF(AND(AC585="Yes",SETTINGS!$B$16="No"),"No","Yes"))</f>
        <v>No</v>
      </c>
      <c r="AG585" s="50" t="str">
        <f>IF(A585&lt;&gt;"Yes","",IF(OR(B585="",D585="",E585&lt;=0,F585="",I585=""),"Check Required Fields",IF(AA585="Possible Duplicate","Possible Duplicate",IF(E585&gt;SETTINGS!$B$22,"Review Extreme Value","OK"))))</f>
        <v/>
      </c>
    </row>
    <row r="586" spans="1:33" ht="14.4">
      <c r="A586" s="9"/>
      <c r="B586" s="13"/>
      <c r="C586" s="9"/>
      <c r="D586" s="9"/>
      <c r="E586" s="11"/>
      <c r="F586" s="9"/>
      <c r="G586" s="9"/>
      <c r="H586" s="44" t="str">
        <f>IF(D586="","",IF(ISNUMBER(SEARCH(SETTINGS!$K$4,D586)),SETTINGS!$L$4,IF(ISNUMBER(SEARCH(SETTINGS!$K$5,D586)),SETTINGS!$L$5,IF(ISNUMBER(SEARCH(SETTINGS!$K$6,D586)),SETTINGS!$L$6,IF(ISNUMBER(SEARCH(SETTINGS!$K$7,D586)),SETTINGS!$L$7,IF(ISNUMBER(SEARCH(SETTINGS!$K$8,D586)),SETTINGS!$L$8,IF(ISNUMBER(SEARCH(SETTINGS!$K$9,D586)),SETTINGS!$L$9,IF(ISNUMBER(SEARCH(SETTINGS!$K$10,D586)),SETTINGS!$L$10,IF(ISNUMBER(SEARCH(SETTINGS!$K$11,D586)),SETTINGS!$L$11,IF(ISNUMBER(SEARCH(SETTINGS!$K$12,D586)),SETTINGS!$L$12,IF(ISNUMBER(SEARCH(SETTINGS!$K$13,D586)),SETTINGS!$L$13,IF(ISNUMBER(SEARCH(SETTINGS!$K$14,D586)),SETTINGS!$L$14,IF(ISNUMBER(SEARCH(SETTINGS!$K$15,D586)),SETTINGS!$L$15,IF(ISNUMBER(SEARCH(SETTINGS!$K$16,D586)),SETTINGS!$L$16,IF(ISNUMBER(SEARCH(SETTINGS!$K$17,D586)),SETTINGS!$L$17,IF(ISNUMBER(SEARCH(SETTINGS!$K$18,D586)),SETTINGS!$L$18,"Miscellaneous"))))))))))))))))</f>
        <v/>
      </c>
      <c r="I586" s="44" t="str">
        <f t="shared" si="72"/>
        <v/>
      </c>
      <c r="J586" s="9"/>
      <c r="K586" s="9"/>
      <c r="L586" s="9"/>
      <c r="M586" s="9"/>
      <c r="N586" s="9"/>
      <c r="O586" s="9"/>
      <c r="P586" s="13"/>
      <c r="Q586" s="9"/>
      <c r="R586" s="9"/>
      <c r="S586" s="9"/>
      <c r="T586" s="11"/>
      <c r="U586" s="44" t="str">
        <f t="shared" si="73"/>
        <v/>
      </c>
      <c r="V586" s="44" t="str">
        <f t="shared" si="74"/>
        <v/>
      </c>
      <c r="W586" s="44" t="str">
        <f t="shared" si="75"/>
        <v/>
      </c>
      <c r="X586" s="44" t="str">
        <f t="shared" si="76"/>
        <v/>
      </c>
      <c r="Y586" s="44" t="str">
        <f t="shared" si="77"/>
        <v/>
      </c>
      <c r="Z586" s="44" t="str">
        <f t="shared" si="78"/>
        <v/>
      </c>
      <c r="AA586" s="50" t="str">
        <f t="shared" si="79"/>
        <v/>
      </c>
      <c r="AB586" s="50" t="str">
        <f>IF(OR(B586="",C586&lt;&gt;"Expense"),"",IF(E586&gt;IFERROR(AVERAGEIFS($E$8:$E$1007,$I$8:$I$1007,I586,$C$8:$C$1007,"Expense")*SETTINGS!$B$20,0),"Unusually High","Normal"))</f>
        <v/>
      </c>
      <c r="AC586" s="51"/>
      <c r="AD586" s="51"/>
      <c r="AE586" s="51"/>
      <c r="AF586" s="50" t="str">
        <f>IF(A586&lt;&gt;"Yes","No",IF(AND(AC586="Yes",SETTINGS!$B$16="No"),"No","Yes"))</f>
        <v>No</v>
      </c>
      <c r="AG586" s="50" t="str">
        <f>IF(A586&lt;&gt;"Yes","",IF(OR(B586="",D586="",E586&lt;=0,F586="",I586=""),"Check Required Fields",IF(AA586="Possible Duplicate","Possible Duplicate",IF(E586&gt;SETTINGS!$B$22,"Review Extreme Value","OK"))))</f>
        <v/>
      </c>
    </row>
    <row r="587" spans="1:33" ht="14.4">
      <c r="A587" s="9"/>
      <c r="B587" s="13"/>
      <c r="C587" s="9"/>
      <c r="D587" s="9"/>
      <c r="E587" s="11"/>
      <c r="F587" s="9"/>
      <c r="G587" s="9"/>
      <c r="H587" s="44" t="str">
        <f>IF(D587="","",IF(ISNUMBER(SEARCH(SETTINGS!$K$4,D587)),SETTINGS!$L$4,IF(ISNUMBER(SEARCH(SETTINGS!$K$5,D587)),SETTINGS!$L$5,IF(ISNUMBER(SEARCH(SETTINGS!$K$6,D587)),SETTINGS!$L$6,IF(ISNUMBER(SEARCH(SETTINGS!$K$7,D587)),SETTINGS!$L$7,IF(ISNUMBER(SEARCH(SETTINGS!$K$8,D587)),SETTINGS!$L$8,IF(ISNUMBER(SEARCH(SETTINGS!$K$9,D587)),SETTINGS!$L$9,IF(ISNUMBER(SEARCH(SETTINGS!$K$10,D587)),SETTINGS!$L$10,IF(ISNUMBER(SEARCH(SETTINGS!$K$11,D587)),SETTINGS!$L$11,IF(ISNUMBER(SEARCH(SETTINGS!$K$12,D587)),SETTINGS!$L$12,IF(ISNUMBER(SEARCH(SETTINGS!$K$13,D587)),SETTINGS!$L$13,IF(ISNUMBER(SEARCH(SETTINGS!$K$14,D587)),SETTINGS!$L$14,IF(ISNUMBER(SEARCH(SETTINGS!$K$15,D587)),SETTINGS!$L$15,IF(ISNUMBER(SEARCH(SETTINGS!$K$16,D587)),SETTINGS!$L$16,IF(ISNUMBER(SEARCH(SETTINGS!$K$17,D587)),SETTINGS!$L$17,IF(ISNUMBER(SEARCH(SETTINGS!$K$18,D587)),SETTINGS!$L$18,"Miscellaneous"))))))))))))))))</f>
        <v/>
      </c>
      <c r="I587" s="44" t="str">
        <f t="shared" si="72"/>
        <v/>
      </c>
      <c r="J587" s="9"/>
      <c r="K587" s="9"/>
      <c r="L587" s="9"/>
      <c r="M587" s="9"/>
      <c r="N587" s="9"/>
      <c r="O587" s="9"/>
      <c r="P587" s="13"/>
      <c r="Q587" s="9"/>
      <c r="R587" s="9"/>
      <c r="S587" s="9"/>
      <c r="T587" s="11"/>
      <c r="U587" s="44" t="str">
        <f t="shared" si="73"/>
        <v/>
      </c>
      <c r="V587" s="44" t="str">
        <f t="shared" si="74"/>
        <v/>
      </c>
      <c r="W587" s="44" t="str">
        <f t="shared" si="75"/>
        <v/>
      </c>
      <c r="X587" s="44" t="str">
        <f t="shared" si="76"/>
        <v/>
      </c>
      <c r="Y587" s="44" t="str">
        <f t="shared" si="77"/>
        <v/>
      </c>
      <c r="Z587" s="44" t="str">
        <f t="shared" si="78"/>
        <v/>
      </c>
      <c r="AA587" s="50" t="str">
        <f t="shared" si="79"/>
        <v/>
      </c>
      <c r="AB587" s="50" t="str">
        <f>IF(OR(B587="",C587&lt;&gt;"Expense"),"",IF(E587&gt;IFERROR(AVERAGEIFS($E$8:$E$1007,$I$8:$I$1007,I587,$C$8:$C$1007,"Expense")*SETTINGS!$B$20,0),"Unusually High","Normal"))</f>
        <v/>
      </c>
      <c r="AC587" s="51"/>
      <c r="AD587" s="51"/>
      <c r="AE587" s="51"/>
      <c r="AF587" s="50" t="str">
        <f>IF(A587&lt;&gt;"Yes","No",IF(AND(AC587="Yes",SETTINGS!$B$16="No"),"No","Yes"))</f>
        <v>No</v>
      </c>
      <c r="AG587" s="50" t="str">
        <f>IF(A587&lt;&gt;"Yes","",IF(OR(B587="",D587="",E587&lt;=0,F587="",I587=""),"Check Required Fields",IF(AA587="Possible Duplicate","Possible Duplicate",IF(E587&gt;SETTINGS!$B$22,"Review Extreme Value","OK"))))</f>
        <v/>
      </c>
    </row>
    <row r="588" spans="1:33" ht="14.4">
      <c r="A588" s="9"/>
      <c r="B588" s="13"/>
      <c r="C588" s="9"/>
      <c r="D588" s="9"/>
      <c r="E588" s="11"/>
      <c r="F588" s="9"/>
      <c r="G588" s="9"/>
      <c r="H588" s="44" t="str">
        <f>IF(D588="","",IF(ISNUMBER(SEARCH(SETTINGS!$K$4,D588)),SETTINGS!$L$4,IF(ISNUMBER(SEARCH(SETTINGS!$K$5,D588)),SETTINGS!$L$5,IF(ISNUMBER(SEARCH(SETTINGS!$K$6,D588)),SETTINGS!$L$6,IF(ISNUMBER(SEARCH(SETTINGS!$K$7,D588)),SETTINGS!$L$7,IF(ISNUMBER(SEARCH(SETTINGS!$K$8,D588)),SETTINGS!$L$8,IF(ISNUMBER(SEARCH(SETTINGS!$K$9,D588)),SETTINGS!$L$9,IF(ISNUMBER(SEARCH(SETTINGS!$K$10,D588)),SETTINGS!$L$10,IF(ISNUMBER(SEARCH(SETTINGS!$K$11,D588)),SETTINGS!$L$11,IF(ISNUMBER(SEARCH(SETTINGS!$K$12,D588)),SETTINGS!$L$12,IF(ISNUMBER(SEARCH(SETTINGS!$K$13,D588)),SETTINGS!$L$13,IF(ISNUMBER(SEARCH(SETTINGS!$K$14,D588)),SETTINGS!$L$14,IF(ISNUMBER(SEARCH(SETTINGS!$K$15,D588)),SETTINGS!$L$15,IF(ISNUMBER(SEARCH(SETTINGS!$K$16,D588)),SETTINGS!$L$16,IF(ISNUMBER(SEARCH(SETTINGS!$K$17,D588)),SETTINGS!$L$17,IF(ISNUMBER(SEARCH(SETTINGS!$K$18,D588)),SETTINGS!$L$18,"Miscellaneous"))))))))))))))))</f>
        <v/>
      </c>
      <c r="I588" s="44" t="str">
        <f t="shared" si="72"/>
        <v/>
      </c>
      <c r="J588" s="9"/>
      <c r="K588" s="9"/>
      <c r="L588" s="9"/>
      <c r="M588" s="9"/>
      <c r="N588" s="9"/>
      <c r="O588" s="9"/>
      <c r="P588" s="13"/>
      <c r="Q588" s="9"/>
      <c r="R588" s="9"/>
      <c r="S588" s="9"/>
      <c r="T588" s="11"/>
      <c r="U588" s="44" t="str">
        <f t="shared" si="73"/>
        <v/>
      </c>
      <c r="V588" s="44" t="str">
        <f t="shared" si="74"/>
        <v/>
      </c>
      <c r="W588" s="44" t="str">
        <f t="shared" si="75"/>
        <v/>
      </c>
      <c r="X588" s="44" t="str">
        <f t="shared" si="76"/>
        <v/>
      </c>
      <c r="Y588" s="44" t="str">
        <f t="shared" si="77"/>
        <v/>
      </c>
      <c r="Z588" s="44" t="str">
        <f t="shared" si="78"/>
        <v/>
      </c>
      <c r="AA588" s="50" t="str">
        <f t="shared" si="79"/>
        <v/>
      </c>
      <c r="AB588" s="50" t="str">
        <f>IF(OR(B588="",C588&lt;&gt;"Expense"),"",IF(E588&gt;IFERROR(AVERAGEIFS($E$8:$E$1007,$I$8:$I$1007,I588,$C$8:$C$1007,"Expense")*SETTINGS!$B$20,0),"Unusually High","Normal"))</f>
        <v/>
      </c>
      <c r="AC588" s="51"/>
      <c r="AD588" s="51"/>
      <c r="AE588" s="51"/>
      <c r="AF588" s="50" t="str">
        <f>IF(A588&lt;&gt;"Yes","No",IF(AND(AC588="Yes",SETTINGS!$B$16="No"),"No","Yes"))</f>
        <v>No</v>
      </c>
      <c r="AG588" s="50" t="str">
        <f>IF(A588&lt;&gt;"Yes","",IF(OR(B588="",D588="",E588&lt;=0,F588="",I588=""),"Check Required Fields",IF(AA588="Possible Duplicate","Possible Duplicate",IF(E588&gt;SETTINGS!$B$22,"Review Extreme Value","OK"))))</f>
        <v/>
      </c>
    </row>
    <row r="589" spans="1:33" ht="14.4">
      <c r="A589" s="9"/>
      <c r="B589" s="13"/>
      <c r="C589" s="9"/>
      <c r="D589" s="9"/>
      <c r="E589" s="11"/>
      <c r="F589" s="9"/>
      <c r="G589" s="9"/>
      <c r="H589" s="44" t="str">
        <f>IF(D589="","",IF(ISNUMBER(SEARCH(SETTINGS!$K$4,D589)),SETTINGS!$L$4,IF(ISNUMBER(SEARCH(SETTINGS!$K$5,D589)),SETTINGS!$L$5,IF(ISNUMBER(SEARCH(SETTINGS!$K$6,D589)),SETTINGS!$L$6,IF(ISNUMBER(SEARCH(SETTINGS!$K$7,D589)),SETTINGS!$L$7,IF(ISNUMBER(SEARCH(SETTINGS!$K$8,D589)),SETTINGS!$L$8,IF(ISNUMBER(SEARCH(SETTINGS!$K$9,D589)),SETTINGS!$L$9,IF(ISNUMBER(SEARCH(SETTINGS!$K$10,D589)),SETTINGS!$L$10,IF(ISNUMBER(SEARCH(SETTINGS!$K$11,D589)),SETTINGS!$L$11,IF(ISNUMBER(SEARCH(SETTINGS!$K$12,D589)),SETTINGS!$L$12,IF(ISNUMBER(SEARCH(SETTINGS!$K$13,D589)),SETTINGS!$L$13,IF(ISNUMBER(SEARCH(SETTINGS!$K$14,D589)),SETTINGS!$L$14,IF(ISNUMBER(SEARCH(SETTINGS!$K$15,D589)),SETTINGS!$L$15,IF(ISNUMBER(SEARCH(SETTINGS!$K$16,D589)),SETTINGS!$L$16,IF(ISNUMBER(SEARCH(SETTINGS!$K$17,D589)),SETTINGS!$L$17,IF(ISNUMBER(SEARCH(SETTINGS!$K$18,D589)),SETTINGS!$L$18,"Miscellaneous"))))))))))))))))</f>
        <v/>
      </c>
      <c r="I589" s="44" t="str">
        <f t="shared" si="72"/>
        <v/>
      </c>
      <c r="J589" s="9"/>
      <c r="K589" s="9"/>
      <c r="L589" s="9"/>
      <c r="M589" s="9"/>
      <c r="N589" s="9"/>
      <c r="O589" s="9"/>
      <c r="P589" s="13"/>
      <c r="Q589" s="9"/>
      <c r="R589" s="9"/>
      <c r="S589" s="9"/>
      <c r="T589" s="11"/>
      <c r="U589" s="44" t="str">
        <f t="shared" si="73"/>
        <v/>
      </c>
      <c r="V589" s="44" t="str">
        <f t="shared" si="74"/>
        <v/>
      </c>
      <c r="W589" s="44" t="str">
        <f t="shared" si="75"/>
        <v/>
      </c>
      <c r="X589" s="44" t="str">
        <f t="shared" si="76"/>
        <v/>
      </c>
      <c r="Y589" s="44" t="str">
        <f t="shared" si="77"/>
        <v/>
      </c>
      <c r="Z589" s="44" t="str">
        <f t="shared" si="78"/>
        <v/>
      </c>
      <c r="AA589" s="50" t="str">
        <f t="shared" si="79"/>
        <v/>
      </c>
      <c r="AB589" s="50" t="str">
        <f>IF(OR(B589="",C589&lt;&gt;"Expense"),"",IF(E589&gt;IFERROR(AVERAGEIFS($E$8:$E$1007,$I$8:$I$1007,I589,$C$8:$C$1007,"Expense")*SETTINGS!$B$20,0),"Unusually High","Normal"))</f>
        <v/>
      </c>
      <c r="AC589" s="51"/>
      <c r="AD589" s="51"/>
      <c r="AE589" s="51"/>
      <c r="AF589" s="50" t="str">
        <f>IF(A589&lt;&gt;"Yes","No",IF(AND(AC589="Yes",SETTINGS!$B$16="No"),"No","Yes"))</f>
        <v>No</v>
      </c>
      <c r="AG589" s="50" t="str">
        <f>IF(A589&lt;&gt;"Yes","",IF(OR(B589="",D589="",E589&lt;=0,F589="",I589=""),"Check Required Fields",IF(AA589="Possible Duplicate","Possible Duplicate",IF(E589&gt;SETTINGS!$B$22,"Review Extreme Value","OK"))))</f>
        <v/>
      </c>
    </row>
    <row r="590" spans="1:33" ht="14.4">
      <c r="A590" s="9"/>
      <c r="B590" s="13"/>
      <c r="C590" s="9"/>
      <c r="D590" s="9"/>
      <c r="E590" s="11"/>
      <c r="F590" s="9"/>
      <c r="G590" s="9"/>
      <c r="H590" s="44" t="str">
        <f>IF(D590="","",IF(ISNUMBER(SEARCH(SETTINGS!$K$4,D590)),SETTINGS!$L$4,IF(ISNUMBER(SEARCH(SETTINGS!$K$5,D590)),SETTINGS!$L$5,IF(ISNUMBER(SEARCH(SETTINGS!$K$6,D590)),SETTINGS!$L$6,IF(ISNUMBER(SEARCH(SETTINGS!$K$7,D590)),SETTINGS!$L$7,IF(ISNUMBER(SEARCH(SETTINGS!$K$8,D590)),SETTINGS!$L$8,IF(ISNUMBER(SEARCH(SETTINGS!$K$9,D590)),SETTINGS!$L$9,IF(ISNUMBER(SEARCH(SETTINGS!$K$10,D590)),SETTINGS!$L$10,IF(ISNUMBER(SEARCH(SETTINGS!$K$11,D590)),SETTINGS!$L$11,IF(ISNUMBER(SEARCH(SETTINGS!$K$12,D590)),SETTINGS!$L$12,IF(ISNUMBER(SEARCH(SETTINGS!$K$13,D590)),SETTINGS!$L$13,IF(ISNUMBER(SEARCH(SETTINGS!$K$14,D590)),SETTINGS!$L$14,IF(ISNUMBER(SEARCH(SETTINGS!$K$15,D590)),SETTINGS!$L$15,IF(ISNUMBER(SEARCH(SETTINGS!$K$16,D590)),SETTINGS!$L$16,IF(ISNUMBER(SEARCH(SETTINGS!$K$17,D590)),SETTINGS!$L$17,IF(ISNUMBER(SEARCH(SETTINGS!$K$18,D590)),SETTINGS!$L$18,"Miscellaneous"))))))))))))))))</f>
        <v/>
      </c>
      <c r="I590" s="44" t="str">
        <f t="shared" si="72"/>
        <v/>
      </c>
      <c r="J590" s="9"/>
      <c r="K590" s="9"/>
      <c r="L590" s="9"/>
      <c r="M590" s="9"/>
      <c r="N590" s="9"/>
      <c r="O590" s="9"/>
      <c r="P590" s="13"/>
      <c r="Q590" s="9"/>
      <c r="R590" s="9"/>
      <c r="S590" s="9"/>
      <c r="T590" s="11"/>
      <c r="U590" s="44" t="str">
        <f t="shared" si="73"/>
        <v/>
      </c>
      <c r="V590" s="44" t="str">
        <f t="shared" si="74"/>
        <v/>
      </c>
      <c r="W590" s="44" t="str">
        <f t="shared" si="75"/>
        <v/>
      </c>
      <c r="X590" s="44" t="str">
        <f t="shared" si="76"/>
        <v/>
      </c>
      <c r="Y590" s="44" t="str">
        <f t="shared" si="77"/>
        <v/>
      </c>
      <c r="Z590" s="44" t="str">
        <f t="shared" si="78"/>
        <v/>
      </c>
      <c r="AA590" s="50" t="str">
        <f t="shared" si="79"/>
        <v/>
      </c>
      <c r="AB590" s="50" t="str">
        <f>IF(OR(B590="",C590&lt;&gt;"Expense"),"",IF(E590&gt;IFERROR(AVERAGEIFS($E$8:$E$1007,$I$8:$I$1007,I590,$C$8:$C$1007,"Expense")*SETTINGS!$B$20,0),"Unusually High","Normal"))</f>
        <v/>
      </c>
      <c r="AC590" s="51"/>
      <c r="AD590" s="51"/>
      <c r="AE590" s="51"/>
      <c r="AF590" s="50" t="str">
        <f>IF(A590&lt;&gt;"Yes","No",IF(AND(AC590="Yes",SETTINGS!$B$16="No"),"No","Yes"))</f>
        <v>No</v>
      </c>
      <c r="AG590" s="50" t="str">
        <f>IF(A590&lt;&gt;"Yes","",IF(OR(B590="",D590="",E590&lt;=0,F590="",I590=""),"Check Required Fields",IF(AA590="Possible Duplicate","Possible Duplicate",IF(E590&gt;SETTINGS!$B$22,"Review Extreme Value","OK"))))</f>
        <v/>
      </c>
    </row>
    <row r="591" spans="1:33" ht="14.4">
      <c r="A591" s="9"/>
      <c r="B591" s="13"/>
      <c r="C591" s="9"/>
      <c r="D591" s="9"/>
      <c r="E591" s="11"/>
      <c r="F591" s="9"/>
      <c r="G591" s="9"/>
      <c r="H591" s="44" t="str">
        <f>IF(D591="","",IF(ISNUMBER(SEARCH(SETTINGS!$K$4,D591)),SETTINGS!$L$4,IF(ISNUMBER(SEARCH(SETTINGS!$K$5,D591)),SETTINGS!$L$5,IF(ISNUMBER(SEARCH(SETTINGS!$K$6,D591)),SETTINGS!$L$6,IF(ISNUMBER(SEARCH(SETTINGS!$K$7,D591)),SETTINGS!$L$7,IF(ISNUMBER(SEARCH(SETTINGS!$K$8,D591)),SETTINGS!$L$8,IF(ISNUMBER(SEARCH(SETTINGS!$K$9,D591)),SETTINGS!$L$9,IF(ISNUMBER(SEARCH(SETTINGS!$K$10,D591)),SETTINGS!$L$10,IF(ISNUMBER(SEARCH(SETTINGS!$K$11,D591)),SETTINGS!$L$11,IF(ISNUMBER(SEARCH(SETTINGS!$K$12,D591)),SETTINGS!$L$12,IF(ISNUMBER(SEARCH(SETTINGS!$K$13,D591)),SETTINGS!$L$13,IF(ISNUMBER(SEARCH(SETTINGS!$K$14,D591)),SETTINGS!$L$14,IF(ISNUMBER(SEARCH(SETTINGS!$K$15,D591)),SETTINGS!$L$15,IF(ISNUMBER(SEARCH(SETTINGS!$K$16,D591)),SETTINGS!$L$16,IF(ISNUMBER(SEARCH(SETTINGS!$K$17,D591)),SETTINGS!$L$17,IF(ISNUMBER(SEARCH(SETTINGS!$K$18,D591)),SETTINGS!$L$18,"Miscellaneous"))))))))))))))))</f>
        <v/>
      </c>
      <c r="I591" s="44" t="str">
        <f t="shared" si="72"/>
        <v/>
      </c>
      <c r="J591" s="9"/>
      <c r="K591" s="9"/>
      <c r="L591" s="9"/>
      <c r="M591" s="9"/>
      <c r="N591" s="9"/>
      <c r="O591" s="9"/>
      <c r="P591" s="13"/>
      <c r="Q591" s="9"/>
      <c r="R591" s="9"/>
      <c r="S591" s="9"/>
      <c r="T591" s="11"/>
      <c r="U591" s="44" t="str">
        <f t="shared" si="73"/>
        <v/>
      </c>
      <c r="V591" s="44" t="str">
        <f t="shared" si="74"/>
        <v/>
      </c>
      <c r="W591" s="44" t="str">
        <f t="shared" si="75"/>
        <v/>
      </c>
      <c r="X591" s="44" t="str">
        <f t="shared" si="76"/>
        <v/>
      </c>
      <c r="Y591" s="44" t="str">
        <f t="shared" si="77"/>
        <v/>
      </c>
      <c r="Z591" s="44" t="str">
        <f t="shared" si="78"/>
        <v/>
      </c>
      <c r="AA591" s="50" t="str">
        <f t="shared" si="79"/>
        <v/>
      </c>
      <c r="AB591" s="50" t="str">
        <f>IF(OR(B591="",C591&lt;&gt;"Expense"),"",IF(E591&gt;IFERROR(AVERAGEIFS($E$8:$E$1007,$I$8:$I$1007,I591,$C$8:$C$1007,"Expense")*SETTINGS!$B$20,0),"Unusually High","Normal"))</f>
        <v/>
      </c>
      <c r="AC591" s="51"/>
      <c r="AD591" s="51"/>
      <c r="AE591" s="51"/>
      <c r="AF591" s="50" t="str">
        <f>IF(A591&lt;&gt;"Yes","No",IF(AND(AC591="Yes",SETTINGS!$B$16="No"),"No","Yes"))</f>
        <v>No</v>
      </c>
      <c r="AG591" s="50" t="str">
        <f>IF(A591&lt;&gt;"Yes","",IF(OR(B591="",D591="",E591&lt;=0,F591="",I591=""),"Check Required Fields",IF(AA591="Possible Duplicate","Possible Duplicate",IF(E591&gt;SETTINGS!$B$22,"Review Extreme Value","OK"))))</f>
        <v/>
      </c>
    </row>
    <row r="592" spans="1:33" ht="14.4">
      <c r="A592" s="9"/>
      <c r="B592" s="13"/>
      <c r="C592" s="9"/>
      <c r="D592" s="9"/>
      <c r="E592" s="11"/>
      <c r="F592" s="9"/>
      <c r="G592" s="9"/>
      <c r="H592" s="44" t="str">
        <f>IF(D592="","",IF(ISNUMBER(SEARCH(SETTINGS!$K$4,D592)),SETTINGS!$L$4,IF(ISNUMBER(SEARCH(SETTINGS!$K$5,D592)),SETTINGS!$L$5,IF(ISNUMBER(SEARCH(SETTINGS!$K$6,D592)),SETTINGS!$L$6,IF(ISNUMBER(SEARCH(SETTINGS!$K$7,D592)),SETTINGS!$L$7,IF(ISNUMBER(SEARCH(SETTINGS!$K$8,D592)),SETTINGS!$L$8,IF(ISNUMBER(SEARCH(SETTINGS!$K$9,D592)),SETTINGS!$L$9,IF(ISNUMBER(SEARCH(SETTINGS!$K$10,D592)),SETTINGS!$L$10,IF(ISNUMBER(SEARCH(SETTINGS!$K$11,D592)),SETTINGS!$L$11,IF(ISNUMBER(SEARCH(SETTINGS!$K$12,D592)),SETTINGS!$L$12,IF(ISNUMBER(SEARCH(SETTINGS!$K$13,D592)),SETTINGS!$L$13,IF(ISNUMBER(SEARCH(SETTINGS!$K$14,D592)),SETTINGS!$L$14,IF(ISNUMBER(SEARCH(SETTINGS!$K$15,D592)),SETTINGS!$L$15,IF(ISNUMBER(SEARCH(SETTINGS!$K$16,D592)),SETTINGS!$L$16,IF(ISNUMBER(SEARCH(SETTINGS!$K$17,D592)),SETTINGS!$L$17,IF(ISNUMBER(SEARCH(SETTINGS!$K$18,D592)),SETTINGS!$L$18,"Miscellaneous"))))))))))))))))</f>
        <v/>
      </c>
      <c r="I592" s="44" t="str">
        <f t="shared" si="72"/>
        <v/>
      </c>
      <c r="J592" s="9"/>
      <c r="K592" s="9"/>
      <c r="L592" s="9"/>
      <c r="M592" s="9"/>
      <c r="N592" s="9"/>
      <c r="O592" s="9"/>
      <c r="P592" s="13"/>
      <c r="Q592" s="9"/>
      <c r="R592" s="9"/>
      <c r="S592" s="9"/>
      <c r="T592" s="11"/>
      <c r="U592" s="44" t="str">
        <f t="shared" si="73"/>
        <v/>
      </c>
      <c r="V592" s="44" t="str">
        <f t="shared" si="74"/>
        <v/>
      </c>
      <c r="W592" s="44" t="str">
        <f t="shared" si="75"/>
        <v/>
      </c>
      <c r="X592" s="44" t="str">
        <f t="shared" si="76"/>
        <v/>
      </c>
      <c r="Y592" s="44" t="str">
        <f t="shared" si="77"/>
        <v/>
      </c>
      <c r="Z592" s="44" t="str">
        <f t="shared" si="78"/>
        <v/>
      </c>
      <c r="AA592" s="50" t="str">
        <f t="shared" si="79"/>
        <v/>
      </c>
      <c r="AB592" s="50" t="str">
        <f>IF(OR(B592="",C592&lt;&gt;"Expense"),"",IF(E592&gt;IFERROR(AVERAGEIFS($E$8:$E$1007,$I$8:$I$1007,I592,$C$8:$C$1007,"Expense")*SETTINGS!$B$20,0),"Unusually High","Normal"))</f>
        <v/>
      </c>
      <c r="AC592" s="51"/>
      <c r="AD592" s="51"/>
      <c r="AE592" s="51"/>
      <c r="AF592" s="50" t="str">
        <f>IF(A592&lt;&gt;"Yes","No",IF(AND(AC592="Yes",SETTINGS!$B$16="No"),"No","Yes"))</f>
        <v>No</v>
      </c>
      <c r="AG592" s="50" t="str">
        <f>IF(A592&lt;&gt;"Yes","",IF(OR(B592="",D592="",E592&lt;=0,F592="",I592=""),"Check Required Fields",IF(AA592="Possible Duplicate","Possible Duplicate",IF(E592&gt;SETTINGS!$B$22,"Review Extreme Value","OK"))))</f>
        <v/>
      </c>
    </row>
    <row r="593" spans="1:33" ht="14.4">
      <c r="A593" s="9"/>
      <c r="B593" s="13"/>
      <c r="C593" s="9"/>
      <c r="D593" s="9"/>
      <c r="E593" s="11"/>
      <c r="F593" s="9"/>
      <c r="G593" s="9"/>
      <c r="H593" s="44" t="str">
        <f>IF(D593="","",IF(ISNUMBER(SEARCH(SETTINGS!$K$4,D593)),SETTINGS!$L$4,IF(ISNUMBER(SEARCH(SETTINGS!$K$5,D593)),SETTINGS!$L$5,IF(ISNUMBER(SEARCH(SETTINGS!$K$6,D593)),SETTINGS!$L$6,IF(ISNUMBER(SEARCH(SETTINGS!$K$7,D593)),SETTINGS!$L$7,IF(ISNUMBER(SEARCH(SETTINGS!$K$8,D593)),SETTINGS!$L$8,IF(ISNUMBER(SEARCH(SETTINGS!$K$9,D593)),SETTINGS!$L$9,IF(ISNUMBER(SEARCH(SETTINGS!$K$10,D593)),SETTINGS!$L$10,IF(ISNUMBER(SEARCH(SETTINGS!$K$11,D593)),SETTINGS!$L$11,IF(ISNUMBER(SEARCH(SETTINGS!$K$12,D593)),SETTINGS!$L$12,IF(ISNUMBER(SEARCH(SETTINGS!$K$13,D593)),SETTINGS!$L$13,IF(ISNUMBER(SEARCH(SETTINGS!$K$14,D593)),SETTINGS!$L$14,IF(ISNUMBER(SEARCH(SETTINGS!$K$15,D593)),SETTINGS!$L$15,IF(ISNUMBER(SEARCH(SETTINGS!$K$16,D593)),SETTINGS!$L$16,IF(ISNUMBER(SEARCH(SETTINGS!$K$17,D593)),SETTINGS!$L$17,IF(ISNUMBER(SEARCH(SETTINGS!$K$18,D593)),SETTINGS!$L$18,"Miscellaneous"))))))))))))))))</f>
        <v/>
      </c>
      <c r="I593" s="44" t="str">
        <f t="shared" si="72"/>
        <v/>
      </c>
      <c r="J593" s="9"/>
      <c r="K593" s="9"/>
      <c r="L593" s="9"/>
      <c r="M593" s="9"/>
      <c r="N593" s="9"/>
      <c r="O593" s="9"/>
      <c r="P593" s="13"/>
      <c r="Q593" s="9"/>
      <c r="R593" s="9"/>
      <c r="S593" s="9"/>
      <c r="T593" s="11"/>
      <c r="U593" s="44" t="str">
        <f t="shared" si="73"/>
        <v/>
      </c>
      <c r="V593" s="44" t="str">
        <f t="shared" si="74"/>
        <v/>
      </c>
      <c r="W593" s="44" t="str">
        <f t="shared" si="75"/>
        <v/>
      </c>
      <c r="X593" s="44" t="str">
        <f t="shared" si="76"/>
        <v/>
      </c>
      <c r="Y593" s="44" t="str">
        <f t="shared" si="77"/>
        <v/>
      </c>
      <c r="Z593" s="44" t="str">
        <f t="shared" si="78"/>
        <v/>
      </c>
      <c r="AA593" s="50" t="str">
        <f t="shared" si="79"/>
        <v/>
      </c>
      <c r="AB593" s="50" t="str">
        <f>IF(OR(B593="",C593&lt;&gt;"Expense"),"",IF(E593&gt;IFERROR(AVERAGEIFS($E$8:$E$1007,$I$8:$I$1007,I593,$C$8:$C$1007,"Expense")*SETTINGS!$B$20,0),"Unusually High","Normal"))</f>
        <v/>
      </c>
      <c r="AC593" s="51"/>
      <c r="AD593" s="51"/>
      <c r="AE593" s="51"/>
      <c r="AF593" s="50" t="str">
        <f>IF(A593&lt;&gt;"Yes","No",IF(AND(AC593="Yes",SETTINGS!$B$16="No"),"No","Yes"))</f>
        <v>No</v>
      </c>
      <c r="AG593" s="50" t="str">
        <f>IF(A593&lt;&gt;"Yes","",IF(OR(B593="",D593="",E593&lt;=0,F593="",I593=""),"Check Required Fields",IF(AA593="Possible Duplicate","Possible Duplicate",IF(E593&gt;SETTINGS!$B$22,"Review Extreme Value","OK"))))</f>
        <v/>
      </c>
    </row>
    <row r="594" spans="1:33" ht="14.4">
      <c r="A594" s="9"/>
      <c r="B594" s="13"/>
      <c r="C594" s="9"/>
      <c r="D594" s="9"/>
      <c r="E594" s="11"/>
      <c r="F594" s="9"/>
      <c r="G594" s="9"/>
      <c r="H594" s="44" t="str">
        <f>IF(D594="","",IF(ISNUMBER(SEARCH(SETTINGS!$K$4,D594)),SETTINGS!$L$4,IF(ISNUMBER(SEARCH(SETTINGS!$K$5,D594)),SETTINGS!$L$5,IF(ISNUMBER(SEARCH(SETTINGS!$K$6,D594)),SETTINGS!$L$6,IF(ISNUMBER(SEARCH(SETTINGS!$K$7,D594)),SETTINGS!$L$7,IF(ISNUMBER(SEARCH(SETTINGS!$K$8,D594)),SETTINGS!$L$8,IF(ISNUMBER(SEARCH(SETTINGS!$K$9,D594)),SETTINGS!$L$9,IF(ISNUMBER(SEARCH(SETTINGS!$K$10,D594)),SETTINGS!$L$10,IF(ISNUMBER(SEARCH(SETTINGS!$K$11,D594)),SETTINGS!$L$11,IF(ISNUMBER(SEARCH(SETTINGS!$K$12,D594)),SETTINGS!$L$12,IF(ISNUMBER(SEARCH(SETTINGS!$K$13,D594)),SETTINGS!$L$13,IF(ISNUMBER(SEARCH(SETTINGS!$K$14,D594)),SETTINGS!$L$14,IF(ISNUMBER(SEARCH(SETTINGS!$K$15,D594)),SETTINGS!$L$15,IF(ISNUMBER(SEARCH(SETTINGS!$K$16,D594)),SETTINGS!$L$16,IF(ISNUMBER(SEARCH(SETTINGS!$K$17,D594)),SETTINGS!$L$17,IF(ISNUMBER(SEARCH(SETTINGS!$K$18,D594)),SETTINGS!$L$18,"Miscellaneous"))))))))))))))))</f>
        <v/>
      </c>
      <c r="I594" s="44" t="str">
        <f t="shared" si="72"/>
        <v/>
      </c>
      <c r="J594" s="9"/>
      <c r="K594" s="9"/>
      <c r="L594" s="9"/>
      <c r="M594" s="9"/>
      <c r="N594" s="9"/>
      <c r="O594" s="9"/>
      <c r="P594" s="13"/>
      <c r="Q594" s="9"/>
      <c r="R594" s="9"/>
      <c r="S594" s="9"/>
      <c r="T594" s="11"/>
      <c r="U594" s="44" t="str">
        <f t="shared" si="73"/>
        <v/>
      </c>
      <c r="V594" s="44" t="str">
        <f t="shared" si="74"/>
        <v/>
      </c>
      <c r="W594" s="44" t="str">
        <f t="shared" si="75"/>
        <v/>
      </c>
      <c r="X594" s="44" t="str">
        <f t="shared" si="76"/>
        <v/>
      </c>
      <c r="Y594" s="44" t="str">
        <f t="shared" si="77"/>
        <v/>
      </c>
      <c r="Z594" s="44" t="str">
        <f t="shared" si="78"/>
        <v/>
      </c>
      <c r="AA594" s="50" t="str">
        <f t="shared" si="79"/>
        <v/>
      </c>
      <c r="AB594" s="50" t="str">
        <f>IF(OR(B594="",C594&lt;&gt;"Expense"),"",IF(E594&gt;IFERROR(AVERAGEIFS($E$8:$E$1007,$I$8:$I$1007,I594,$C$8:$C$1007,"Expense")*SETTINGS!$B$20,0),"Unusually High","Normal"))</f>
        <v/>
      </c>
      <c r="AC594" s="51"/>
      <c r="AD594" s="51"/>
      <c r="AE594" s="51"/>
      <c r="AF594" s="50" t="str">
        <f>IF(A594&lt;&gt;"Yes","No",IF(AND(AC594="Yes",SETTINGS!$B$16="No"),"No","Yes"))</f>
        <v>No</v>
      </c>
      <c r="AG594" s="50" t="str">
        <f>IF(A594&lt;&gt;"Yes","",IF(OR(B594="",D594="",E594&lt;=0,F594="",I594=""),"Check Required Fields",IF(AA594="Possible Duplicate","Possible Duplicate",IF(E594&gt;SETTINGS!$B$22,"Review Extreme Value","OK"))))</f>
        <v/>
      </c>
    </row>
    <row r="595" spans="1:33" ht="14.4">
      <c r="A595" s="9"/>
      <c r="B595" s="13"/>
      <c r="C595" s="9"/>
      <c r="D595" s="9"/>
      <c r="E595" s="11"/>
      <c r="F595" s="9"/>
      <c r="G595" s="9"/>
      <c r="H595" s="44" t="str">
        <f>IF(D595="","",IF(ISNUMBER(SEARCH(SETTINGS!$K$4,D595)),SETTINGS!$L$4,IF(ISNUMBER(SEARCH(SETTINGS!$K$5,D595)),SETTINGS!$L$5,IF(ISNUMBER(SEARCH(SETTINGS!$K$6,D595)),SETTINGS!$L$6,IF(ISNUMBER(SEARCH(SETTINGS!$K$7,D595)),SETTINGS!$L$7,IF(ISNUMBER(SEARCH(SETTINGS!$K$8,D595)),SETTINGS!$L$8,IF(ISNUMBER(SEARCH(SETTINGS!$K$9,D595)),SETTINGS!$L$9,IF(ISNUMBER(SEARCH(SETTINGS!$K$10,D595)),SETTINGS!$L$10,IF(ISNUMBER(SEARCH(SETTINGS!$K$11,D595)),SETTINGS!$L$11,IF(ISNUMBER(SEARCH(SETTINGS!$K$12,D595)),SETTINGS!$L$12,IF(ISNUMBER(SEARCH(SETTINGS!$K$13,D595)),SETTINGS!$L$13,IF(ISNUMBER(SEARCH(SETTINGS!$K$14,D595)),SETTINGS!$L$14,IF(ISNUMBER(SEARCH(SETTINGS!$K$15,D595)),SETTINGS!$L$15,IF(ISNUMBER(SEARCH(SETTINGS!$K$16,D595)),SETTINGS!$L$16,IF(ISNUMBER(SEARCH(SETTINGS!$K$17,D595)),SETTINGS!$L$17,IF(ISNUMBER(SEARCH(SETTINGS!$K$18,D595)),SETTINGS!$L$18,"Miscellaneous"))))))))))))))))</f>
        <v/>
      </c>
      <c r="I595" s="44" t="str">
        <f t="shared" si="72"/>
        <v/>
      </c>
      <c r="J595" s="9"/>
      <c r="K595" s="9"/>
      <c r="L595" s="9"/>
      <c r="M595" s="9"/>
      <c r="N595" s="9"/>
      <c r="O595" s="9"/>
      <c r="P595" s="13"/>
      <c r="Q595" s="9"/>
      <c r="R595" s="9"/>
      <c r="S595" s="9"/>
      <c r="T595" s="11"/>
      <c r="U595" s="44" t="str">
        <f t="shared" si="73"/>
        <v/>
      </c>
      <c r="V595" s="44" t="str">
        <f t="shared" si="74"/>
        <v/>
      </c>
      <c r="W595" s="44" t="str">
        <f t="shared" si="75"/>
        <v/>
      </c>
      <c r="X595" s="44" t="str">
        <f t="shared" si="76"/>
        <v/>
      </c>
      <c r="Y595" s="44" t="str">
        <f t="shared" si="77"/>
        <v/>
      </c>
      <c r="Z595" s="44" t="str">
        <f t="shared" si="78"/>
        <v/>
      </c>
      <c r="AA595" s="50" t="str">
        <f t="shared" si="79"/>
        <v/>
      </c>
      <c r="AB595" s="50" t="str">
        <f>IF(OR(B595="",C595&lt;&gt;"Expense"),"",IF(E595&gt;IFERROR(AVERAGEIFS($E$8:$E$1007,$I$8:$I$1007,I595,$C$8:$C$1007,"Expense")*SETTINGS!$B$20,0),"Unusually High","Normal"))</f>
        <v/>
      </c>
      <c r="AC595" s="51"/>
      <c r="AD595" s="51"/>
      <c r="AE595" s="51"/>
      <c r="AF595" s="50" t="str">
        <f>IF(A595&lt;&gt;"Yes","No",IF(AND(AC595="Yes",SETTINGS!$B$16="No"),"No","Yes"))</f>
        <v>No</v>
      </c>
      <c r="AG595" s="50" t="str">
        <f>IF(A595&lt;&gt;"Yes","",IF(OR(B595="",D595="",E595&lt;=0,F595="",I595=""),"Check Required Fields",IF(AA595="Possible Duplicate","Possible Duplicate",IF(E595&gt;SETTINGS!$B$22,"Review Extreme Value","OK"))))</f>
        <v/>
      </c>
    </row>
    <row r="596" spans="1:33" ht="14.4">
      <c r="A596" s="9"/>
      <c r="B596" s="13"/>
      <c r="C596" s="9"/>
      <c r="D596" s="9"/>
      <c r="E596" s="11"/>
      <c r="F596" s="9"/>
      <c r="G596" s="9"/>
      <c r="H596" s="44" t="str">
        <f>IF(D596="","",IF(ISNUMBER(SEARCH(SETTINGS!$K$4,D596)),SETTINGS!$L$4,IF(ISNUMBER(SEARCH(SETTINGS!$K$5,D596)),SETTINGS!$L$5,IF(ISNUMBER(SEARCH(SETTINGS!$K$6,D596)),SETTINGS!$L$6,IF(ISNUMBER(SEARCH(SETTINGS!$K$7,D596)),SETTINGS!$L$7,IF(ISNUMBER(SEARCH(SETTINGS!$K$8,D596)),SETTINGS!$L$8,IF(ISNUMBER(SEARCH(SETTINGS!$K$9,D596)),SETTINGS!$L$9,IF(ISNUMBER(SEARCH(SETTINGS!$K$10,D596)),SETTINGS!$L$10,IF(ISNUMBER(SEARCH(SETTINGS!$K$11,D596)),SETTINGS!$L$11,IF(ISNUMBER(SEARCH(SETTINGS!$K$12,D596)),SETTINGS!$L$12,IF(ISNUMBER(SEARCH(SETTINGS!$K$13,D596)),SETTINGS!$L$13,IF(ISNUMBER(SEARCH(SETTINGS!$K$14,D596)),SETTINGS!$L$14,IF(ISNUMBER(SEARCH(SETTINGS!$K$15,D596)),SETTINGS!$L$15,IF(ISNUMBER(SEARCH(SETTINGS!$K$16,D596)),SETTINGS!$L$16,IF(ISNUMBER(SEARCH(SETTINGS!$K$17,D596)),SETTINGS!$L$17,IF(ISNUMBER(SEARCH(SETTINGS!$K$18,D596)),SETTINGS!$L$18,"Miscellaneous"))))))))))))))))</f>
        <v/>
      </c>
      <c r="I596" s="44" t="str">
        <f t="shared" si="72"/>
        <v/>
      </c>
      <c r="J596" s="9"/>
      <c r="K596" s="9"/>
      <c r="L596" s="9"/>
      <c r="M596" s="9"/>
      <c r="N596" s="9"/>
      <c r="O596" s="9"/>
      <c r="P596" s="13"/>
      <c r="Q596" s="9"/>
      <c r="R596" s="9"/>
      <c r="S596" s="9"/>
      <c r="T596" s="11"/>
      <c r="U596" s="44" t="str">
        <f t="shared" si="73"/>
        <v/>
      </c>
      <c r="V596" s="44" t="str">
        <f t="shared" si="74"/>
        <v/>
      </c>
      <c r="W596" s="44" t="str">
        <f t="shared" si="75"/>
        <v/>
      </c>
      <c r="X596" s="44" t="str">
        <f t="shared" si="76"/>
        <v/>
      </c>
      <c r="Y596" s="44" t="str">
        <f t="shared" si="77"/>
        <v/>
      </c>
      <c r="Z596" s="44" t="str">
        <f t="shared" si="78"/>
        <v/>
      </c>
      <c r="AA596" s="50" t="str">
        <f t="shared" si="79"/>
        <v/>
      </c>
      <c r="AB596" s="50" t="str">
        <f>IF(OR(B596="",C596&lt;&gt;"Expense"),"",IF(E596&gt;IFERROR(AVERAGEIFS($E$8:$E$1007,$I$8:$I$1007,I596,$C$8:$C$1007,"Expense")*SETTINGS!$B$20,0),"Unusually High","Normal"))</f>
        <v/>
      </c>
      <c r="AC596" s="51"/>
      <c r="AD596" s="51"/>
      <c r="AE596" s="51"/>
      <c r="AF596" s="50" t="str">
        <f>IF(A596&lt;&gt;"Yes","No",IF(AND(AC596="Yes",SETTINGS!$B$16="No"),"No","Yes"))</f>
        <v>No</v>
      </c>
      <c r="AG596" s="50" t="str">
        <f>IF(A596&lt;&gt;"Yes","",IF(OR(B596="",D596="",E596&lt;=0,F596="",I596=""),"Check Required Fields",IF(AA596="Possible Duplicate","Possible Duplicate",IF(E596&gt;SETTINGS!$B$22,"Review Extreme Value","OK"))))</f>
        <v/>
      </c>
    </row>
    <row r="597" spans="1:33" ht="14.4">
      <c r="A597" s="9"/>
      <c r="B597" s="13"/>
      <c r="C597" s="9"/>
      <c r="D597" s="9"/>
      <c r="E597" s="11"/>
      <c r="F597" s="9"/>
      <c r="G597" s="9"/>
      <c r="H597" s="44" t="str">
        <f>IF(D597="","",IF(ISNUMBER(SEARCH(SETTINGS!$K$4,D597)),SETTINGS!$L$4,IF(ISNUMBER(SEARCH(SETTINGS!$K$5,D597)),SETTINGS!$L$5,IF(ISNUMBER(SEARCH(SETTINGS!$K$6,D597)),SETTINGS!$L$6,IF(ISNUMBER(SEARCH(SETTINGS!$K$7,D597)),SETTINGS!$L$7,IF(ISNUMBER(SEARCH(SETTINGS!$K$8,D597)),SETTINGS!$L$8,IF(ISNUMBER(SEARCH(SETTINGS!$K$9,D597)),SETTINGS!$L$9,IF(ISNUMBER(SEARCH(SETTINGS!$K$10,D597)),SETTINGS!$L$10,IF(ISNUMBER(SEARCH(SETTINGS!$K$11,D597)),SETTINGS!$L$11,IF(ISNUMBER(SEARCH(SETTINGS!$K$12,D597)),SETTINGS!$L$12,IF(ISNUMBER(SEARCH(SETTINGS!$K$13,D597)),SETTINGS!$L$13,IF(ISNUMBER(SEARCH(SETTINGS!$K$14,D597)),SETTINGS!$L$14,IF(ISNUMBER(SEARCH(SETTINGS!$K$15,D597)),SETTINGS!$L$15,IF(ISNUMBER(SEARCH(SETTINGS!$K$16,D597)),SETTINGS!$L$16,IF(ISNUMBER(SEARCH(SETTINGS!$K$17,D597)),SETTINGS!$L$17,IF(ISNUMBER(SEARCH(SETTINGS!$K$18,D597)),SETTINGS!$L$18,"Miscellaneous"))))))))))))))))</f>
        <v/>
      </c>
      <c r="I597" s="44" t="str">
        <f t="shared" si="72"/>
        <v/>
      </c>
      <c r="J597" s="9"/>
      <c r="K597" s="9"/>
      <c r="L597" s="9"/>
      <c r="M597" s="9"/>
      <c r="N597" s="9"/>
      <c r="O597" s="9"/>
      <c r="P597" s="13"/>
      <c r="Q597" s="9"/>
      <c r="R597" s="9"/>
      <c r="S597" s="9"/>
      <c r="T597" s="11"/>
      <c r="U597" s="44" t="str">
        <f t="shared" si="73"/>
        <v/>
      </c>
      <c r="V597" s="44" t="str">
        <f t="shared" si="74"/>
        <v/>
      </c>
      <c r="W597" s="44" t="str">
        <f t="shared" si="75"/>
        <v/>
      </c>
      <c r="X597" s="44" t="str">
        <f t="shared" si="76"/>
        <v/>
      </c>
      <c r="Y597" s="44" t="str">
        <f t="shared" si="77"/>
        <v/>
      </c>
      <c r="Z597" s="44" t="str">
        <f t="shared" si="78"/>
        <v/>
      </c>
      <c r="AA597" s="50" t="str">
        <f t="shared" si="79"/>
        <v/>
      </c>
      <c r="AB597" s="50" t="str">
        <f>IF(OR(B597="",C597&lt;&gt;"Expense"),"",IF(E597&gt;IFERROR(AVERAGEIFS($E$8:$E$1007,$I$8:$I$1007,I597,$C$8:$C$1007,"Expense")*SETTINGS!$B$20,0),"Unusually High","Normal"))</f>
        <v/>
      </c>
      <c r="AC597" s="51"/>
      <c r="AD597" s="51"/>
      <c r="AE597" s="51"/>
      <c r="AF597" s="50" t="str">
        <f>IF(A597&lt;&gt;"Yes","No",IF(AND(AC597="Yes",SETTINGS!$B$16="No"),"No","Yes"))</f>
        <v>No</v>
      </c>
      <c r="AG597" s="50" t="str">
        <f>IF(A597&lt;&gt;"Yes","",IF(OR(B597="",D597="",E597&lt;=0,F597="",I597=""),"Check Required Fields",IF(AA597="Possible Duplicate","Possible Duplicate",IF(E597&gt;SETTINGS!$B$22,"Review Extreme Value","OK"))))</f>
        <v/>
      </c>
    </row>
    <row r="598" spans="1:33" ht="14.4">
      <c r="A598" s="9"/>
      <c r="B598" s="13"/>
      <c r="C598" s="9"/>
      <c r="D598" s="9"/>
      <c r="E598" s="11"/>
      <c r="F598" s="9"/>
      <c r="G598" s="9"/>
      <c r="H598" s="44" t="str">
        <f>IF(D598="","",IF(ISNUMBER(SEARCH(SETTINGS!$K$4,D598)),SETTINGS!$L$4,IF(ISNUMBER(SEARCH(SETTINGS!$K$5,D598)),SETTINGS!$L$5,IF(ISNUMBER(SEARCH(SETTINGS!$K$6,D598)),SETTINGS!$L$6,IF(ISNUMBER(SEARCH(SETTINGS!$K$7,D598)),SETTINGS!$L$7,IF(ISNUMBER(SEARCH(SETTINGS!$K$8,D598)),SETTINGS!$L$8,IF(ISNUMBER(SEARCH(SETTINGS!$K$9,D598)),SETTINGS!$L$9,IF(ISNUMBER(SEARCH(SETTINGS!$K$10,D598)),SETTINGS!$L$10,IF(ISNUMBER(SEARCH(SETTINGS!$K$11,D598)),SETTINGS!$L$11,IF(ISNUMBER(SEARCH(SETTINGS!$K$12,D598)),SETTINGS!$L$12,IF(ISNUMBER(SEARCH(SETTINGS!$K$13,D598)),SETTINGS!$L$13,IF(ISNUMBER(SEARCH(SETTINGS!$K$14,D598)),SETTINGS!$L$14,IF(ISNUMBER(SEARCH(SETTINGS!$K$15,D598)),SETTINGS!$L$15,IF(ISNUMBER(SEARCH(SETTINGS!$K$16,D598)),SETTINGS!$L$16,IF(ISNUMBER(SEARCH(SETTINGS!$K$17,D598)),SETTINGS!$L$17,IF(ISNUMBER(SEARCH(SETTINGS!$K$18,D598)),SETTINGS!$L$18,"Miscellaneous"))))))))))))))))</f>
        <v/>
      </c>
      <c r="I598" s="44" t="str">
        <f t="shared" si="72"/>
        <v/>
      </c>
      <c r="J598" s="9"/>
      <c r="K598" s="9"/>
      <c r="L598" s="9"/>
      <c r="M598" s="9"/>
      <c r="N598" s="9"/>
      <c r="O598" s="9"/>
      <c r="P598" s="13"/>
      <c r="Q598" s="9"/>
      <c r="R598" s="9"/>
      <c r="S598" s="9"/>
      <c r="T598" s="11"/>
      <c r="U598" s="44" t="str">
        <f t="shared" si="73"/>
        <v/>
      </c>
      <c r="V598" s="44" t="str">
        <f t="shared" si="74"/>
        <v/>
      </c>
      <c r="W598" s="44" t="str">
        <f t="shared" si="75"/>
        <v/>
      </c>
      <c r="X598" s="44" t="str">
        <f t="shared" si="76"/>
        <v/>
      </c>
      <c r="Y598" s="44" t="str">
        <f t="shared" si="77"/>
        <v/>
      </c>
      <c r="Z598" s="44" t="str">
        <f t="shared" si="78"/>
        <v/>
      </c>
      <c r="AA598" s="50" t="str">
        <f t="shared" si="79"/>
        <v/>
      </c>
      <c r="AB598" s="50" t="str">
        <f>IF(OR(B598="",C598&lt;&gt;"Expense"),"",IF(E598&gt;IFERROR(AVERAGEIFS($E$8:$E$1007,$I$8:$I$1007,I598,$C$8:$C$1007,"Expense")*SETTINGS!$B$20,0),"Unusually High","Normal"))</f>
        <v/>
      </c>
      <c r="AC598" s="51"/>
      <c r="AD598" s="51"/>
      <c r="AE598" s="51"/>
      <c r="AF598" s="50" t="str">
        <f>IF(A598&lt;&gt;"Yes","No",IF(AND(AC598="Yes",SETTINGS!$B$16="No"),"No","Yes"))</f>
        <v>No</v>
      </c>
      <c r="AG598" s="50" t="str">
        <f>IF(A598&lt;&gt;"Yes","",IF(OR(B598="",D598="",E598&lt;=0,F598="",I598=""),"Check Required Fields",IF(AA598="Possible Duplicate","Possible Duplicate",IF(E598&gt;SETTINGS!$B$22,"Review Extreme Value","OK"))))</f>
        <v/>
      </c>
    </row>
    <row r="599" spans="1:33" ht="14.4">
      <c r="A599" s="9"/>
      <c r="B599" s="13"/>
      <c r="C599" s="9"/>
      <c r="D599" s="9"/>
      <c r="E599" s="11"/>
      <c r="F599" s="9"/>
      <c r="G599" s="9"/>
      <c r="H599" s="44" t="str">
        <f>IF(D599="","",IF(ISNUMBER(SEARCH(SETTINGS!$K$4,D599)),SETTINGS!$L$4,IF(ISNUMBER(SEARCH(SETTINGS!$K$5,D599)),SETTINGS!$L$5,IF(ISNUMBER(SEARCH(SETTINGS!$K$6,D599)),SETTINGS!$L$6,IF(ISNUMBER(SEARCH(SETTINGS!$K$7,D599)),SETTINGS!$L$7,IF(ISNUMBER(SEARCH(SETTINGS!$K$8,D599)),SETTINGS!$L$8,IF(ISNUMBER(SEARCH(SETTINGS!$K$9,D599)),SETTINGS!$L$9,IF(ISNUMBER(SEARCH(SETTINGS!$K$10,D599)),SETTINGS!$L$10,IF(ISNUMBER(SEARCH(SETTINGS!$K$11,D599)),SETTINGS!$L$11,IF(ISNUMBER(SEARCH(SETTINGS!$K$12,D599)),SETTINGS!$L$12,IF(ISNUMBER(SEARCH(SETTINGS!$K$13,D599)),SETTINGS!$L$13,IF(ISNUMBER(SEARCH(SETTINGS!$K$14,D599)),SETTINGS!$L$14,IF(ISNUMBER(SEARCH(SETTINGS!$K$15,D599)),SETTINGS!$L$15,IF(ISNUMBER(SEARCH(SETTINGS!$K$16,D599)),SETTINGS!$L$16,IF(ISNUMBER(SEARCH(SETTINGS!$K$17,D599)),SETTINGS!$L$17,IF(ISNUMBER(SEARCH(SETTINGS!$K$18,D599)),SETTINGS!$L$18,"Miscellaneous"))))))))))))))))</f>
        <v/>
      </c>
      <c r="I599" s="44" t="str">
        <f t="shared" si="72"/>
        <v/>
      </c>
      <c r="J599" s="9"/>
      <c r="K599" s="9"/>
      <c r="L599" s="9"/>
      <c r="M599" s="9"/>
      <c r="N599" s="9"/>
      <c r="O599" s="9"/>
      <c r="P599" s="13"/>
      <c r="Q599" s="9"/>
      <c r="R599" s="9"/>
      <c r="S599" s="9"/>
      <c r="T599" s="11"/>
      <c r="U599" s="44" t="str">
        <f t="shared" si="73"/>
        <v/>
      </c>
      <c r="V599" s="44" t="str">
        <f t="shared" si="74"/>
        <v/>
      </c>
      <c r="W599" s="44" t="str">
        <f t="shared" si="75"/>
        <v/>
      </c>
      <c r="X599" s="44" t="str">
        <f t="shared" si="76"/>
        <v/>
      </c>
      <c r="Y599" s="44" t="str">
        <f t="shared" si="77"/>
        <v/>
      </c>
      <c r="Z599" s="44" t="str">
        <f t="shared" si="78"/>
        <v/>
      </c>
      <c r="AA599" s="50" t="str">
        <f t="shared" si="79"/>
        <v/>
      </c>
      <c r="AB599" s="50" t="str">
        <f>IF(OR(B599="",C599&lt;&gt;"Expense"),"",IF(E599&gt;IFERROR(AVERAGEIFS($E$8:$E$1007,$I$8:$I$1007,I599,$C$8:$C$1007,"Expense")*SETTINGS!$B$20,0),"Unusually High","Normal"))</f>
        <v/>
      </c>
      <c r="AC599" s="51"/>
      <c r="AD599" s="51"/>
      <c r="AE599" s="51"/>
      <c r="AF599" s="50" t="str">
        <f>IF(A599&lt;&gt;"Yes","No",IF(AND(AC599="Yes",SETTINGS!$B$16="No"),"No","Yes"))</f>
        <v>No</v>
      </c>
      <c r="AG599" s="50" t="str">
        <f>IF(A599&lt;&gt;"Yes","",IF(OR(B599="",D599="",E599&lt;=0,F599="",I599=""),"Check Required Fields",IF(AA599="Possible Duplicate","Possible Duplicate",IF(E599&gt;SETTINGS!$B$22,"Review Extreme Value","OK"))))</f>
        <v/>
      </c>
    </row>
    <row r="600" spans="1:33" ht="14.4">
      <c r="A600" s="9"/>
      <c r="B600" s="13"/>
      <c r="C600" s="9"/>
      <c r="D600" s="9"/>
      <c r="E600" s="11"/>
      <c r="F600" s="9"/>
      <c r="G600" s="9"/>
      <c r="H600" s="44" t="str">
        <f>IF(D600="","",IF(ISNUMBER(SEARCH(SETTINGS!$K$4,D600)),SETTINGS!$L$4,IF(ISNUMBER(SEARCH(SETTINGS!$K$5,D600)),SETTINGS!$L$5,IF(ISNUMBER(SEARCH(SETTINGS!$K$6,D600)),SETTINGS!$L$6,IF(ISNUMBER(SEARCH(SETTINGS!$K$7,D600)),SETTINGS!$L$7,IF(ISNUMBER(SEARCH(SETTINGS!$K$8,D600)),SETTINGS!$L$8,IF(ISNUMBER(SEARCH(SETTINGS!$K$9,D600)),SETTINGS!$L$9,IF(ISNUMBER(SEARCH(SETTINGS!$K$10,D600)),SETTINGS!$L$10,IF(ISNUMBER(SEARCH(SETTINGS!$K$11,D600)),SETTINGS!$L$11,IF(ISNUMBER(SEARCH(SETTINGS!$K$12,D600)),SETTINGS!$L$12,IF(ISNUMBER(SEARCH(SETTINGS!$K$13,D600)),SETTINGS!$L$13,IF(ISNUMBER(SEARCH(SETTINGS!$K$14,D600)),SETTINGS!$L$14,IF(ISNUMBER(SEARCH(SETTINGS!$K$15,D600)),SETTINGS!$L$15,IF(ISNUMBER(SEARCH(SETTINGS!$K$16,D600)),SETTINGS!$L$16,IF(ISNUMBER(SEARCH(SETTINGS!$K$17,D600)),SETTINGS!$L$17,IF(ISNUMBER(SEARCH(SETTINGS!$K$18,D600)),SETTINGS!$L$18,"Miscellaneous"))))))))))))))))</f>
        <v/>
      </c>
      <c r="I600" s="44" t="str">
        <f t="shared" si="72"/>
        <v/>
      </c>
      <c r="J600" s="9"/>
      <c r="K600" s="9"/>
      <c r="L600" s="9"/>
      <c r="M600" s="9"/>
      <c r="N600" s="9"/>
      <c r="O600" s="9"/>
      <c r="P600" s="13"/>
      <c r="Q600" s="9"/>
      <c r="R600" s="9"/>
      <c r="S600" s="9"/>
      <c r="T600" s="11"/>
      <c r="U600" s="44" t="str">
        <f t="shared" si="73"/>
        <v/>
      </c>
      <c r="V600" s="44" t="str">
        <f t="shared" si="74"/>
        <v/>
      </c>
      <c r="W600" s="44" t="str">
        <f t="shared" si="75"/>
        <v/>
      </c>
      <c r="X600" s="44" t="str">
        <f t="shared" si="76"/>
        <v/>
      </c>
      <c r="Y600" s="44" t="str">
        <f t="shared" si="77"/>
        <v/>
      </c>
      <c r="Z600" s="44" t="str">
        <f t="shared" si="78"/>
        <v/>
      </c>
      <c r="AA600" s="50" t="str">
        <f t="shared" si="79"/>
        <v/>
      </c>
      <c r="AB600" s="50" t="str">
        <f>IF(OR(B600="",C600&lt;&gt;"Expense"),"",IF(E600&gt;IFERROR(AVERAGEIFS($E$8:$E$1007,$I$8:$I$1007,I600,$C$8:$C$1007,"Expense")*SETTINGS!$B$20,0),"Unusually High","Normal"))</f>
        <v/>
      </c>
      <c r="AC600" s="51"/>
      <c r="AD600" s="51"/>
      <c r="AE600" s="51"/>
      <c r="AF600" s="50" t="str">
        <f>IF(A600&lt;&gt;"Yes","No",IF(AND(AC600="Yes",SETTINGS!$B$16="No"),"No","Yes"))</f>
        <v>No</v>
      </c>
      <c r="AG600" s="50" t="str">
        <f>IF(A600&lt;&gt;"Yes","",IF(OR(B600="",D600="",E600&lt;=0,F600="",I600=""),"Check Required Fields",IF(AA600="Possible Duplicate","Possible Duplicate",IF(E600&gt;SETTINGS!$B$22,"Review Extreme Value","OK"))))</f>
        <v/>
      </c>
    </row>
    <row r="601" spans="1:33" ht="14.4">
      <c r="A601" s="9"/>
      <c r="B601" s="13"/>
      <c r="C601" s="9"/>
      <c r="D601" s="9"/>
      <c r="E601" s="11"/>
      <c r="F601" s="9"/>
      <c r="G601" s="9"/>
      <c r="H601" s="44" t="str">
        <f>IF(D601="","",IF(ISNUMBER(SEARCH(SETTINGS!$K$4,D601)),SETTINGS!$L$4,IF(ISNUMBER(SEARCH(SETTINGS!$K$5,D601)),SETTINGS!$L$5,IF(ISNUMBER(SEARCH(SETTINGS!$K$6,D601)),SETTINGS!$L$6,IF(ISNUMBER(SEARCH(SETTINGS!$K$7,D601)),SETTINGS!$L$7,IF(ISNUMBER(SEARCH(SETTINGS!$K$8,D601)),SETTINGS!$L$8,IF(ISNUMBER(SEARCH(SETTINGS!$K$9,D601)),SETTINGS!$L$9,IF(ISNUMBER(SEARCH(SETTINGS!$K$10,D601)),SETTINGS!$L$10,IF(ISNUMBER(SEARCH(SETTINGS!$K$11,D601)),SETTINGS!$L$11,IF(ISNUMBER(SEARCH(SETTINGS!$K$12,D601)),SETTINGS!$L$12,IF(ISNUMBER(SEARCH(SETTINGS!$K$13,D601)),SETTINGS!$L$13,IF(ISNUMBER(SEARCH(SETTINGS!$K$14,D601)),SETTINGS!$L$14,IF(ISNUMBER(SEARCH(SETTINGS!$K$15,D601)),SETTINGS!$L$15,IF(ISNUMBER(SEARCH(SETTINGS!$K$16,D601)),SETTINGS!$L$16,IF(ISNUMBER(SEARCH(SETTINGS!$K$17,D601)),SETTINGS!$L$17,IF(ISNUMBER(SEARCH(SETTINGS!$K$18,D601)),SETTINGS!$L$18,"Miscellaneous"))))))))))))))))</f>
        <v/>
      </c>
      <c r="I601" s="44" t="str">
        <f t="shared" si="72"/>
        <v/>
      </c>
      <c r="J601" s="9"/>
      <c r="K601" s="9"/>
      <c r="L601" s="9"/>
      <c r="M601" s="9"/>
      <c r="N601" s="9"/>
      <c r="O601" s="9"/>
      <c r="P601" s="13"/>
      <c r="Q601" s="9"/>
      <c r="R601" s="9"/>
      <c r="S601" s="9"/>
      <c r="T601" s="11"/>
      <c r="U601" s="44" t="str">
        <f t="shared" si="73"/>
        <v/>
      </c>
      <c r="V601" s="44" t="str">
        <f t="shared" si="74"/>
        <v/>
      </c>
      <c r="W601" s="44" t="str">
        <f t="shared" si="75"/>
        <v/>
      </c>
      <c r="X601" s="44" t="str">
        <f t="shared" si="76"/>
        <v/>
      </c>
      <c r="Y601" s="44" t="str">
        <f t="shared" si="77"/>
        <v/>
      </c>
      <c r="Z601" s="44" t="str">
        <f t="shared" si="78"/>
        <v/>
      </c>
      <c r="AA601" s="50" t="str">
        <f t="shared" si="79"/>
        <v/>
      </c>
      <c r="AB601" s="50" t="str">
        <f>IF(OR(B601="",C601&lt;&gt;"Expense"),"",IF(E601&gt;IFERROR(AVERAGEIFS($E$8:$E$1007,$I$8:$I$1007,I601,$C$8:$C$1007,"Expense")*SETTINGS!$B$20,0),"Unusually High","Normal"))</f>
        <v/>
      </c>
      <c r="AC601" s="51"/>
      <c r="AD601" s="51"/>
      <c r="AE601" s="51"/>
      <c r="AF601" s="50" t="str">
        <f>IF(A601&lt;&gt;"Yes","No",IF(AND(AC601="Yes",SETTINGS!$B$16="No"),"No","Yes"))</f>
        <v>No</v>
      </c>
      <c r="AG601" s="50" t="str">
        <f>IF(A601&lt;&gt;"Yes","",IF(OR(B601="",D601="",E601&lt;=0,F601="",I601=""),"Check Required Fields",IF(AA601="Possible Duplicate","Possible Duplicate",IF(E601&gt;SETTINGS!$B$22,"Review Extreme Value","OK"))))</f>
        <v/>
      </c>
    </row>
    <row r="602" spans="1:33" ht="14.4">
      <c r="A602" s="9"/>
      <c r="B602" s="13"/>
      <c r="C602" s="9"/>
      <c r="D602" s="9"/>
      <c r="E602" s="11"/>
      <c r="F602" s="9"/>
      <c r="G602" s="9"/>
      <c r="H602" s="44" t="str">
        <f>IF(D602="","",IF(ISNUMBER(SEARCH(SETTINGS!$K$4,D602)),SETTINGS!$L$4,IF(ISNUMBER(SEARCH(SETTINGS!$K$5,D602)),SETTINGS!$L$5,IF(ISNUMBER(SEARCH(SETTINGS!$K$6,D602)),SETTINGS!$L$6,IF(ISNUMBER(SEARCH(SETTINGS!$K$7,D602)),SETTINGS!$L$7,IF(ISNUMBER(SEARCH(SETTINGS!$K$8,D602)),SETTINGS!$L$8,IF(ISNUMBER(SEARCH(SETTINGS!$K$9,D602)),SETTINGS!$L$9,IF(ISNUMBER(SEARCH(SETTINGS!$K$10,D602)),SETTINGS!$L$10,IF(ISNUMBER(SEARCH(SETTINGS!$K$11,D602)),SETTINGS!$L$11,IF(ISNUMBER(SEARCH(SETTINGS!$K$12,D602)),SETTINGS!$L$12,IF(ISNUMBER(SEARCH(SETTINGS!$K$13,D602)),SETTINGS!$L$13,IF(ISNUMBER(SEARCH(SETTINGS!$K$14,D602)),SETTINGS!$L$14,IF(ISNUMBER(SEARCH(SETTINGS!$K$15,D602)),SETTINGS!$L$15,IF(ISNUMBER(SEARCH(SETTINGS!$K$16,D602)),SETTINGS!$L$16,IF(ISNUMBER(SEARCH(SETTINGS!$K$17,D602)),SETTINGS!$L$17,IF(ISNUMBER(SEARCH(SETTINGS!$K$18,D602)),SETTINGS!$L$18,"Miscellaneous"))))))))))))))))</f>
        <v/>
      </c>
      <c r="I602" s="44" t="str">
        <f t="shared" si="72"/>
        <v/>
      </c>
      <c r="J602" s="9"/>
      <c r="K602" s="9"/>
      <c r="L602" s="9"/>
      <c r="M602" s="9"/>
      <c r="N602" s="9"/>
      <c r="O602" s="9"/>
      <c r="P602" s="13"/>
      <c r="Q602" s="9"/>
      <c r="R602" s="9"/>
      <c r="S602" s="9"/>
      <c r="T602" s="11"/>
      <c r="U602" s="44" t="str">
        <f t="shared" si="73"/>
        <v/>
      </c>
      <c r="V602" s="44" t="str">
        <f t="shared" si="74"/>
        <v/>
      </c>
      <c r="W602" s="44" t="str">
        <f t="shared" si="75"/>
        <v/>
      </c>
      <c r="X602" s="44" t="str">
        <f t="shared" si="76"/>
        <v/>
      </c>
      <c r="Y602" s="44" t="str">
        <f t="shared" si="77"/>
        <v/>
      </c>
      <c r="Z602" s="44" t="str">
        <f t="shared" si="78"/>
        <v/>
      </c>
      <c r="AA602" s="50" t="str">
        <f t="shared" si="79"/>
        <v/>
      </c>
      <c r="AB602" s="50" t="str">
        <f>IF(OR(B602="",C602&lt;&gt;"Expense"),"",IF(E602&gt;IFERROR(AVERAGEIFS($E$8:$E$1007,$I$8:$I$1007,I602,$C$8:$C$1007,"Expense")*SETTINGS!$B$20,0),"Unusually High","Normal"))</f>
        <v/>
      </c>
      <c r="AC602" s="51"/>
      <c r="AD602" s="51"/>
      <c r="AE602" s="51"/>
      <c r="AF602" s="50" t="str">
        <f>IF(A602&lt;&gt;"Yes","No",IF(AND(AC602="Yes",SETTINGS!$B$16="No"),"No","Yes"))</f>
        <v>No</v>
      </c>
      <c r="AG602" s="50" t="str">
        <f>IF(A602&lt;&gt;"Yes","",IF(OR(B602="",D602="",E602&lt;=0,F602="",I602=""),"Check Required Fields",IF(AA602="Possible Duplicate","Possible Duplicate",IF(E602&gt;SETTINGS!$B$22,"Review Extreme Value","OK"))))</f>
        <v/>
      </c>
    </row>
    <row r="603" spans="1:33" ht="14.4">
      <c r="A603" s="9"/>
      <c r="B603" s="13"/>
      <c r="C603" s="9"/>
      <c r="D603" s="9"/>
      <c r="E603" s="11"/>
      <c r="F603" s="9"/>
      <c r="G603" s="9"/>
      <c r="H603" s="44" t="str">
        <f>IF(D603="","",IF(ISNUMBER(SEARCH(SETTINGS!$K$4,D603)),SETTINGS!$L$4,IF(ISNUMBER(SEARCH(SETTINGS!$K$5,D603)),SETTINGS!$L$5,IF(ISNUMBER(SEARCH(SETTINGS!$K$6,D603)),SETTINGS!$L$6,IF(ISNUMBER(SEARCH(SETTINGS!$K$7,D603)),SETTINGS!$L$7,IF(ISNUMBER(SEARCH(SETTINGS!$K$8,D603)),SETTINGS!$L$8,IF(ISNUMBER(SEARCH(SETTINGS!$K$9,D603)),SETTINGS!$L$9,IF(ISNUMBER(SEARCH(SETTINGS!$K$10,D603)),SETTINGS!$L$10,IF(ISNUMBER(SEARCH(SETTINGS!$K$11,D603)),SETTINGS!$L$11,IF(ISNUMBER(SEARCH(SETTINGS!$K$12,D603)),SETTINGS!$L$12,IF(ISNUMBER(SEARCH(SETTINGS!$K$13,D603)),SETTINGS!$L$13,IF(ISNUMBER(SEARCH(SETTINGS!$K$14,D603)),SETTINGS!$L$14,IF(ISNUMBER(SEARCH(SETTINGS!$K$15,D603)),SETTINGS!$L$15,IF(ISNUMBER(SEARCH(SETTINGS!$K$16,D603)),SETTINGS!$L$16,IF(ISNUMBER(SEARCH(SETTINGS!$K$17,D603)),SETTINGS!$L$17,IF(ISNUMBER(SEARCH(SETTINGS!$K$18,D603)),SETTINGS!$L$18,"Miscellaneous"))))))))))))))))</f>
        <v/>
      </c>
      <c r="I603" s="44" t="str">
        <f t="shared" si="72"/>
        <v/>
      </c>
      <c r="J603" s="9"/>
      <c r="K603" s="9"/>
      <c r="L603" s="9"/>
      <c r="M603" s="9"/>
      <c r="N603" s="9"/>
      <c r="O603" s="9"/>
      <c r="P603" s="13"/>
      <c r="Q603" s="9"/>
      <c r="R603" s="9"/>
      <c r="S603" s="9"/>
      <c r="T603" s="11"/>
      <c r="U603" s="44" t="str">
        <f t="shared" si="73"/>
        <v/>
      </c>
      <c r="V603" s="44" t="str">
        <f t="shared" si="74"/>
        <v/>
      </c>
      <c r="W603" s="44" t="str">
        <f t="shared" si="75"/>
        <v/>
      </c>
      <c r="X603" s="44" t="str">
        <f t="shared" si="76"/>
        <v/>
      </c>
      <c r="Y603" s="44" t="str">
        <f t="shared" si="77"/>
        <v/>
      </c>
      <c r="Z603" s="44" t="str">
        <f t="shared" si="78"/>
        <v/>
      </c>
      <c r="AA603" s="50" t="str">
        <f t="shared" si="79"/>
        <v/>
      </c>
      <c r="AB603" s="50" t="str">
        <f>IF(OR(B603="",C603&lt;&gt;"Expense"),"",IF(E603&gt;IFERROR(AVERAGEIFS($E$8:$E$1007,$I$8:$I$1007,I603,$C$8:$C$1007,"Expense")*SETTINGS!$B$20,0),"Unusually High","Normal"))</f>
        <v/>
      </c>
      <c r="AC603" s="51"/>
      <c r="AD603" s="51"/>
      <c r="AE603" s="51"/>
      <c r="AF603" s="50" t="str">
        <f>IF(A603&lt;&gt;"Yes","No",IF(AND(AC603="Yes",SETTINGS!$B$16="No"),"No","Yes"))</f>
        <v>No</v>
      </c>
      <c r="AG603" s="50" t="str">
        <f>IF(A603&lt;&gt;"Yes","",IF(OR(B603="",D603="",E603&lt;=0,F603="",I603=""),"Check Required Fields",IF(AA603="Possible Duplicate","Possible Duplicate",IF(E603&gt;SETTINGS!$B$22,"Review Extreme Value","OK"))))</f>
        <v/>
      </c>
    </row>
    <row r="604" spans="1:33" ht="14.4">
      <c r="A604" s="9"/>
      <c r="B604" s="13"/>
      <c r="C604" s="9"/>
      <c r="D604" s="9"/>
      <c r="E604" s="11"/>
      <c r="F604" s="9"/>
      <c r="G604" s="9"/>
      <c r="H604" s="44" t="str">
        <f>IF(D604="","",IF(ISNUMBER(SEARCH(SETTINGS!$K$4,D604)),SETTINGS!$L$4,IF(ISNUMBER(SEARCH(SETTINGS!$K$5,D604)),SETTINGS!$L$5,IF(ISNUMBER(SEARCH(SETTINGS!$K$6,D604)),SETTINGS!$L$6,IF(ISNUMBER(SEARCH(SETTINGS!$K$7,D604)),SETTINGS!$L$7,IF(ISNUMBER(SEARCH(SETTINGS!$K$8,D604)),SETTINGS!$L$8,IF(ISNUMBER(SEARCH(SETTINGS!$K$9,D604)),SETTINGS!$L$9,IF(ISNUMBER(SEARCH(SETTINGS!$K$10,D604)),SETTINGS!$L$10,IF(ISNUMBER(SEARCH(SETTINGS!$K$11,D604)),SETTINGS!$L$11,IF(ISNUMBER(SEARCH(SETTINGS!$K$12,D604)),SETTINGS!$L$12,IF(ISNUMBER(SEARCH(SETTINGS!$K$13,D604)),SETTINGS!$L$13,IF(ISNUMBER(SEARCH(SETTINGS!$K$14,D604)),SETTINGS!$L$14,IF(ISNUMBER(SEARCH(SETTINGS!$K$15,D604)),SETTINGS!$L$15,IF(ISNUMBER(SEARCH(SETTINGS!$K$16,D604)),SETTINGS!$L$16,IF(ISNUMBER(SEARCH(SETTINGS!$K$17,D604)),SETTINGS!$L$17,IF(ISNUMBER(SEARCH(SETTINGS!$K$18,D604)),SETTINGS!$L$18,"Miscellaneous"))))))))))))))))</f>
        <v/>
      </c>
      <c r="I604" s="44" t="str">
        <f t="shared" si="72"/>
        <v/>
      </c>
      <c r="J604" s="9"/>
      <c r="K604" s="9"/>
      <c r="L604" s="9"/>
      <c r="M604" s="9"/>
      <c r="N604" s="9"/>
      <c r="O604" s="9"/>
      <c r="P604" s="13"/>
      <c r="Q604" s="9"/>
      <c r="R604" s="9"/>
      <c r="S604" s="9"/>
      <c r="T604" s="11"/>
      <c r="U604" s="44" t="str">
        <f t="shared" si="73"/>
        <v/>
      </c>
      <c r="V604" s="44" t="str">
        <f t="shared" si="74"/>
        <v/>
      </c>
      <c r="W604" s="44" t="str">
        <f t="shared" si="75"/>
        <v/>
      </c>
      <c r="X604" s="44" t="str">
        <f t="shared" si="76"/>
        <v/>
      </c>
      <c r="Y604" s="44" t="str">
        <f t="shared" si="77"/>
        <v/>
      </c>
      <c r="Z604" s="44" t="str">
        <f t="shared" si="78"/>
        <v/>
      </c>
      <c r="AA604" s="50" t="str">
        <f t="shared" si="79"/>
        <v/>
      </c>
      <c r="AB604" s="50" t="str">
        <f>IF(OR(B604="",C604&lt;&gt;"Expense"),"",IF(E604&gt;IFERROR(AVERAGEIFS($E$8:$E$1007,$I$8:$I$1007,I604,$C$8:$C$1007,"Expense")*SETTINGS!$B$20,0),"Unusually High","Normal"))</f>
        <v/>
      </c>
      <c r="AC604" s="51"/>
      <c r="AD604" s="51"/>
      <c r="AE604" s="51"/>
      <c r="AF604" s="50" t="str">
        <f>IF(A604&lt;&gt;"Yes","No",IF(AND(AC604="Yes",SETTINGS!$B$16="No"),"No","Yes"))</f>
        <v>No</v>
      </c>
      <c r="AG604" s="50" t="str">
        <f>IF(A604&lt;&gt;"Yes","",IF(OR(B604="",D604="",E604&lt;=0,F604="",I604=""),"Check Required Fields",IF(AA604="Possible Duplicate","Possible Duplicate",IF(E604&gt;SETTINGS!$B$22,"Review Extreme Value","OK"))))</f>
        <v/>
      </c>
    </row>
    <row r="605" spans="1:33" ht="14.4">
      <c r="A605" s="9"/>
      <c r="B605" s="13"/>
      <c r="C605" s="9"/>
      <c r="D605" s="9"/>
      <c r="E605" s="11"/>
      <c r="F605" s="9"/>
      <c r="G605" s="9"/>
      <c r="H605" s="44" t="str">
        <f>IF(D605="","",IF(ISNUMBER(SEARCH(SETTINGS!$K$4,D605)),SETTINGS!$L$4,IF(ISNUMBER(SEARCH(SETTINGS!$K$5,D605)),SETTINGS!$L$5,IF(ISNUMBER(SEARCH(SETTINGS!$K$6,D605)),SETTINGS!$L$6,IF(ISNUMBER(SEARCH(SETTINGS!$K$7,D605)),SETTINGS!$L$7,IF(ISNUMBER(SEARCH(SETTINGS!$K$8,D605)),SETTINGS!$L$8,IF(ISNUMBER(SEARCH(SETTINGS!$K$9,D605)),SETTINGS!$L$9,IF(ISNUMBER(SEARCH(SETTINGS!$K$10,D605)),SETTINGS!$L$10,IF(ISNUMBER(SEARCH(SETTINGS!$K$11,D605)),SETTINGS!$L$11,IF(ISNUMBER(SEARCH(SETTINGS!$K$12,D605)),SETTINGS!$L$12,IF(ISNUMBER(SEARCH(SETTINGS!$K$13,D605)),SETTINGS!$L$13,IF(ISNUMBER(SEARCH(SETTINGS!$K$14,D605)),SETTINGS!$L$14,IF(ISNUMBER(SEARCH(SETTINGS!$K$15,D605)),SETTINGS!$L$15,IF(ISNUMBER(SEARCH(SETTINGS!$K$16,D605)),SETTINGS!$L$16,IF(ISNUMBER(SEARCH(SETTINGS!$K$17,D605)),SETTINGS!$L$17,IF(ISNUMBER(SEARCH(SETTINGS!$K$18,D605)),SETTINGS!$L$18,"Miscellaneous"))))))))))))))))</f>
        <v/>
      </c>
      <c r="I605" s="44" t="str">
        <f t="shared" si="72"/>
        <v/>
      </c>
      <c r="J605" s="9"/>
      <c r="K605" s="9"/>
      <c r="L605" s="9"/>
      <c r="M605" s="9"/>
      <c r="N605" s="9"/>
      <c r="O605" s="9"/>
      <c r="P605" s="13"/>
      <c r="Q605" s="9"/>
      <c r="R605" s="9"/>
      <c r="S605" s="9"/>
      <c r="T605" s="11"/>
      <c r="U605" s="44" t="str">
        <f t="shared" si="73"/>
        <v/>
      </c>
      <c r="V605" s="44" t="str">
        <f t="shared" si="74"/>
        <v/>
      </c>
      <c r="W605" s="44" t="str">
        <f t="shared" si="75"/>
        <v/>
      </c>
      <c r="X605" s="44" t="str">
        <f t="shared" si="76"/>
        <v/>
      </c>
      <c r="Y605" s="44" t="str">
        <f t="shared" si="77"/>
        <v/>
      </c>
      <c r="Z605" s="44" t="str">
        <f t="shared" si="78"/>
        <v/>
      </c>
      <c r="AA605" s="50" t="str">
        <f t="shared" si="79"/>
        <v/>
      </c>
      <c r="AB605" s="50" t="str">
        <f>IF(OR(B605="",C605&lt;&gt;"Expense"),"",IF(E605&gt;IFERROR(AVERAGEIFS($E$8:$E$1007,$I$8:$I$1007,I605,$C$8:$C$1007,"Expense")*SETTINGS!$B$20,0),"Unusually High","Normal"))</f>
        <v/>
      </c>
      <c r="AC605" s="51"/>
      <c r="AD605" s="51"/>
      <c r="AE605" s="51"/>
      <c r="AF605" s="50" t="str">
        <f>IF(A605&lt;&gt;"Yes","No",IF(AND(AC605="Yes",SETTINGS!$B$16="No"),"No","Yes"))</f>
        <v>No</v>
      </c>
      <c r="AG605" s="50" t="str">
        <f>IF(A605&lt;&gt;"Yes","",IF(OR(B605="",D605="",E605&lt;=0,F605="",I605=""),"Check Required Fields",IF(AA605="Possible Duplicate","Possible Duplicate",IF(E605&gt;SETTINGS!$B$22,"Review Extreme Value","OK"))))</f>
        <v/>
      </c>
    </row>
    <row r="606" spans="1:33" ht="14.4">
      <c r="A606" s="9"/>
      <c r="B606" s="13"/>
      <c r="C606" s="9"/>
      <c r="D606" s="9"/>
      <c r="E606" s="11"/>
      <c r="F606" s="9"/>
      <c r="G606" s="9"/>
      <c r="H606" s="44" t="str">
        <f>IF(D606="","",IF(ISNUMBER(SEARCH(SETTINGS!$K$4,D606)),SETTINGS!$L$4,IF(ISNUMBER(SEARCH(SETTINGS!$K$5,D606)),SETTINGS!$L$5,IF(ISNUMBER(SEARCH(SETTINGS!$K$6,D606)),SETTINGS!$L$6,IF(ISNUMBER(SEARCH(SETTINGS!$K$7,D606)),SETTINGS!$L$7,IF(ISNUMBER(SEARCH(SETTINGS!$K$8,D606)),SETTINGS!$L$8,IF(ISNUMBER(SEARCH(SETTINGS!$K$9,D606)),SETTINGS!$L$9,IF(ISNUMBER(SEARCH(SETTINGS!$K$10,D606)),SETTINGS!$L$10,IF(ISNUMBER(SEARCH(SETTINGS!$K$11,D606)),SETTINGS!$L$11,IF(ISNUMBER(SEARCH(SETTINGS!$K$12,D606)),SETTINGS!$L$12,IF(ISNUMBER(SEARCH(SETTINGS!$K$13,D606)),SETTINGS!$L$13,IF(ISNUMBER(SEARCH(SETTINGS!$K$14,D606)),SETTINGS!$L$14,IF(ISNUMBER(SEARCH(SETTINGS!$K$15,D606)),SETTINGS!$L$15,IF(ISNUMBER(SEARCH(SETTINGS!$K$16,D606)),SETTINGS!$L$16,IF(ISNUMBER(SEARCH(SETTINGS!$K$17,D606)),SETTINGS!$L$17,IF(ISNUMBER(SEARCH(SETTINGS!$K$18,D606)),SETTINGS!$L$18,"Miscellaneous"))))))))))))))))</f>
        <v/>
      </c>
      <c r="I606" s="44" t="str">
        <f t="shared" si="72"/>
        <v/>
      </c>
      <c r="J606" s="9"/>
      <c r="K606" s="9"/>
      <c r="L606" s="9"/>
      <c r="M606" s="9"/>
      <c r="N606" s="9"/>
      <c r="O606" s="9"/>
      <c r="P606" s="13"/>
      <c r="Q606" s="9"/>
      <c r="R606" s="9"/>
      <c r="S606" s="9"/>
      <c r="T606" s="11"/>
      <c r="U606" s="44" t="str">
        <f t="shared" si="73"/>
        <v/>
      </c>
      <c r="V606" s="44" t="str">
        <f t="shared" si="74"/>
        <v/>
      </c>
      <c r="W606" s="44" t="str">
        <f t="shared" si="75"/>
        <v/>
      </c>
      <c r="X606" s="44" t="str">
        <f t="shared" si="76"/>
        <v/>
      </c>
      <c r="Y606" s="44" t="str">
        <f t="shared" si="77"/>
        <v/>
      </c>
      <c r="Z606" s="44" t="str">
        <f t="shared" si="78"/>
        <v/>
      </c>
      <c r="AA606" s="50" t="str">
        <f t="shared" si="79"/>
        <v/>
      </c>
      <c r="AB606" s="50" t="str">
        <f>IF(OR(B606="",C606&lt;&gt;"Expense"),"",IF(E606&gt;IFERROR(AVERAGEIFS($E$8:$E$1007,$I$8:$I$1007,I606,$C$8:$C$1007,"Expense")*SETTINGS!$B$20,0),"Unusually High","Normal"))</f>
        <v/>
      </c>
      <c r="AC606" s="51"/>
      <c r="AD606" s="51"/>
      <c r="AE606" s="51"/>
      <c r="AF606" s="50" t="str">
        <f>IF(A606&lt;&gt;"Yes","No",IF(AND(AC606="Yes",SETTINGS!$B$16="No"),"No","Yes"))</f>
        <v>No</v>
      </c>
      <c r="AG606" s="50" t="str">
        <f>IF(A606&lt;&gt;"Yes","",IF(OR(B606="",D606="",E606&lt;=0,F606="",I606=""),"Check Required Fields",IF(AA606="Possible Duplicate","Possible Duplicate",IF(E606&gt;SETTINGS!$B$22,"Review Extreme Value","OK"))))</f>
        <v/>
      </c>
    </row>
    <row r="607" spans="1:33" ht="14.4">
      <c r="A607" s="9"/>
      <c r="B607" s="13"/>
      <c r="C607" s="9"/>
      <c r="D607" s="9"/>
      <c r="E607" s="11"/>
      <c r="F607" s="9"/>
      <c r="G607" s="9"/>
      <c r="H607" s="44" t="str">
        <f>IF(D607="","",IF(ISNUMBER(SEARCH(SETTINGS!$K$4,D607)),SETTINGS!$L$4,IF(ISNUMBER(SEARCH(SETTINGS!$K$5,D607)),SETTINGS!$L$5,IF(ISNUMBER(SEARCH(SETTINGS!$K$6,D607)),SETTINGS!$L$6,IF(ISNUMBER(SEARCH(SETTINGS!$K$7,D607)),SETTINGS!$L$7,IF(ISNUMBER(SEARCH(SETTINGS!$K$8,D607)),SETTINGS!$L$8,IF(ISNUMBER(SEARCH(SETTINGS!$K$9,D607)),SETTINGS!$L$9,IF(ISNUMBER(SEARCH(SETTINGS!$K$10,D607)),SETTINGS!$L$10,IF(ISNUMBER(SEARCH(SETTINGS!$K$11,D607)),SETTINGS!$L$11,IF(ISNUMBER(SEARCH(SETTINGS!$K$12,D607)),SETTINGS!$L$12,IF(ISNUMBER(SEARCH(SETTINGS!$K$13,D607)),SETTINGS!$L$13,IF(ISNUMBER(SEARCH(SETTINGS!$K$14,D607)),SETTINGS!$L$14,IF(ISNUMBER(SEARCH(SETTINGS!$K$15,D607)),SETTINGS!$L$15,IF(ISNUMBER(SEARCH(SETTINGS!$K$16,D607)),SETTINGS!$L$16,IF(ISNUMBER(SEARCH(SETTINGS!$K$17,D607)),SETTINGS!$L$17,IF(ISNUMBER(SEARCH(SETTINGS!$K$18,D607)),SETTINGS!$L$18,"Miscellaneous"))))))))))))))))</f>
        <v/>
      </c>
      <c r="I607" s="44" t="str">
        <f t="shared" si="72"/>
        <v/>
      </c>
      <c r="J607" s="9"/>
      <c r="K607" s="9"/>
      <c r="L607" s="9"/>
      <c r="M607" s="9"/>
      <c r="N607" s="9"/>
      <c r="O607" s="9"/>
      <c r="P607" s="13"/>
      <c r="Q607" s="9"/>
      <c r="R607" s="9"/>
      <c r="S607" s="9"/>
      <c r="T607" s="11"/>
      <c r="U607" s="44" t="str">
        <f t="shared" si="73"/>
        <v/>
      </c>
      <c r="V607" s="44" t="str">
        <f t="shared" si="74"/>
        <v/>
      </c>
      <c r="W607" s="44" t="str">
        <f t="shared" si="75"/>
        <v/>
      </c>
      <c r="X607" s="44" t="str">
        <f t="shared" si="76"/>
        <v/>
      </c>
      <c r="Y607" s="44" t="str">
        <f t="shared" si="77"/>
        <v/>
      </c>
      <c r="Z607" s="44" t="str">
        <f t="shared" si="78"/>
        <v/>
      </c>
      <c r="AA607" s="50" t="str">
        <f t="shared" si="79"/>
        <v/>
      </c>
      <c r="AB607" s="50" t="str">
        <f>IF(OR(B607="",C607&lt;&gt;"Expense"),"",IF(E607&gt;IFERROR(AVERAGEIFS($E$8:$E$1007,$I$8:$I$1007,I607,$C$8:$C$1007,"Expense")*SETTINGS!$B$20,0),"Unusually High","Normal"))</f>
        <v/>
      </c>
      <c r="AC607" s="51"/>
      <c r="AD607" s="51"/>
      <c r="AE607" s="51"/>
      <c r="AF607" s="50" t="str">
        <f>IF(A607&lt;&gt;"Yes","No",IF(AND(AC607="Yes",SETTINGS!$B$16="No"),"No","Yes"))</f>
        <v>No</v>
      </c>
      <c r="AG607" s="50" t="str">
        <f>IF(A607&lt;&gt;"Yes","",IF(OR(B607="",D607="",E607&lt;=0,F607="",I607=""),"Check Required Fields",IF(AA607="Possible Duplicate","Possible Duplicate",IF(E607&gt;SETTINGS!$B$22,"Review Extreme Value","OK"))))</f>
        <v/>
      </c>
    </row>
    <row r="608" spans="1:33" ht="14.4">
      <c r="A608" s="9"/>
      <c r="B608" s="13"/>
      <c r="C608" s="9"/>
      <c r="D608" s="9"/>
      <c r="E608" s="11"/>
      <c r="F608" s="9"/>
      <c r="G608" s="9"/>
      <c r="H608" s="44" t="str">
        <f>IF(D608="","",IF(ISNUMBER(SEARCH(SETTINGS!$K$4,D608)),SETTINGS!$L$4,IF(ISNUMBER(SEARCH(SETTINGS!$K$5,D608)),SETTINGS!$L$5,IF(ISNUMBER(SEARCH(SETTINGS!$K$6,D608)),SETTINGS!$L$6,IF(ISNUMBER(SEARCH(SETTINGS!$K$7,D608)),SETTINGS!$L$7,IF(ISNUMBER(SEARCH(SETTINGS!$K$8,D608)),SETTINGS!$L$8,IF(ISNUMBER(SEARCH(SETTINGS!$K$9,D608)),SETTINGS!$L$9,IF(ISNUMBER(SEARCH(SETTINGS!$K$10,D608)),SETTINGS!$L$10,IF(ISNUMBER(SEARCH(SETTINGS!$K$11,D608)),SETTINGS!$L$11,IF(ISNUMBER(SEARCH(SETTINGS!$K$12,D608)),SETTINGS!$L$12,IF(ISNUMBER(SEARCH(SETTINGS!$K$13,D608)),SETTINGS!$L$13,IF(ISNUMBER(SEARCH(SETTINGS!$K$14,D608)),SETTINGS!$L$14,IF(ISNUMBER(SEARCH(SETTINGS!$K$15,D608)),SETTINGS!$L$15,IF(ISNUMBER(SEARCH(SETTINGS!$K$16,D608)),SETTINGS!$L$16,IF(ISNUMBER(SEARCH(SETTINGS!$K$17,D608)),SETTINGS!$L$17,IF(ISNUMBER(SEARCH(SETTINGS!$K$18,D608)),SETTINGS!$L$18,"Miscellaneous"))))))))))))))))</f>
        <v/>
      </c>
      <c r="I608" s="44" t="str">
        <f t="shared" si="72"/>
        <v/>
      </c>
      <c r="J608" s="9"/>
      <c r="K608" s="9"/>
      <c r="L608" s="9"/>
      <c r="M608" s="9"/>
      <c r="N608" s="9"/>
      <c r="O608" s="9"/>
      <c r="P608" s="13"/>
      <c r="Q608" s="9"/>
      <c r="R608" s="9"/>
      <c r="S608" s="9"/>
      <c r="T608" s="11"/>
      <c r="U608" s="44" t="str">
        <f t="shared" si="73"/>
        <v/>
      </c>
      <c r="V608" s="44" t="str">
        <f t="shared" si="74"/>
        <v/>
      </c>
      <c r="W608" s="44" t="str">
        <f t="shared" si="75"/>
        <v/>
      </c>
      <c r="X608" s="44" t="str">
        <f t="shared" si="76"/>
        <v/>
      </c>
      <c r="Y608" s="44" t="str">
        <f t="shared" si="77"/>
        <v/>
      </c>
      <c r="Z608" s="44" t="str">
        <f t="shared" si="78"/>
        <v/>
      </c>
      <c r="AA608" s="50" t="str">
        <f t="shared" si="79"/>
        <v/>
      </c>
      <c r="AB608" s="50" t="str">
        <f>IF(OR(B608="",C608&lt;&gt;"Expense"),"",IF(E608&gt;IFERROR(AVERAGEIFS($E$8:$E$1007,$I$8:$I$1007,I608,$C$8:$C$1007,"Expense")*SETTINGS!$B$20,0),"Unusually High","Normal"))</f>
        <v/>
      </c>
      <c r="AC608" s="51"/>
      <c r="AD608" s="51"/>
      <c r="AE608" s="51"/>
      <c r="AF608" s="50" t="str">
        <f>IF(A608&lt;&gt;"Yes","No",IF(AND(AC608="Yes",SETTINGS!$B$16="No"),"No","Yes"))</f>
        <v>No</v>
      </c>
      <c r="AG608" s="50" t="str">
        <f>IF(A608&lt;&gt;"Yes","",IF(OR(B608="",D608="",E608&lt;=0,F608="",I608=""),"Check Required Fields",IF(AA608="Possible Duplicate","Possible Duplicate",IF(E608&gt;SETTINGS!$B$22,"Review Extreme Value","OK"))))</f>
        <v/>
      </c>
    </row>
    <row r="609" spans="1:33" ht="14.4">
      <c r="A609" s="9"/>
      <c r="B609" s="13"/>
      <c r="C609" s="9"/>
      <c r="D609" s="9"/>
      <c r="E609" s="11"/>
      <c r="F609" s="9"/>
      <c r="G609" s="9"/>
      <c r="H609" s="44" t="str">
        <f>IF(D609="","",IF(ISNUMBER(SEARCH(SETTINGS!$K$4,D609)),SETTINGS!$L$4,IF(ISNUMBER(SEARCH(SETTINGS!$K$5,D609)),SETTINGS!$L$5,IF(ISNUMBER(SEARCH(SETTINGS!$K$6,D609)),SETTINGS!$L$6,IF(ISNUMBER(SEARCH(SETTINGS!$K$7,D609)),SETTINGS!$L$7,IF(ISNUMBER(SEARCH(SETTINGS!$K$8,D609)),SETTINGS!$L$8,IF(ISNUMBER(SEARCH(SETTINGS!$K$9,D609)),SETTINGS!$L$9,IF(ISNUMBER(SEARCH(SETTINGS!$K$10,D609)),SETTINGS!$L$10,IF(ISNUMBER(SEARCH(SETTINGS!$K$11,D609)),SETTINGS!$L$11,IF(ISNUMBER(SEARCH(SETTINGS!$K$12,D609)),SETTINGS!$L$12,IF(ISNUMBER(SEARCH(SETTINGS!$K$13,D609)),SETTINGS!$L$13,IF(ISNUMBER(SEARCH(SETTINGS!$K$14,D609)),SETTINGS!$L$14,IF(ISNUMBER(SEARCH(SETTINGS!$K$15,D609)),SETTINGS!$L$15,IF(ISNUMBER(SEARCH(SETTINGS!$K$16,D609)),SETTINGS!$L$16,IF(ISNUMBER(SEARCH(SETTINGS!$K$17,D609)),SETTINGS!$L$17,IF(ISNUMBER(SEARCH(SETTINGS!$K$18,D609)),SETTINGS!$L$18,"Miscellaneous"))))))))))))))))</f>
        <v/>
      </c>
      <c r="I609" s="44" t="str">
        <f t="shared" si="72"/>
        <v/>
      </c>
      <c r="J609" s="9"/>
      <c r="K609" s="9"/>
      <c r="L609" s="9"/>
      <c r="M609" s="9"/>
      <c r="N609" s="9"/>
      <c r="O609" s="9"/>
      <c r="P609" s="13"/>
      <c r="Q609" s="9"/>
      <c r="R609" s="9"/>
      <c r="S609" s="9"/>
      <c r="T609" s="11"/>
      <c r="U609" s="44" t="str">
        <f t="shared" si="73"/>
        <v/>
      </c>
      <c r="V609" s="44" t="str">
        <f t="shared" si="74"/>
        <v/>
      </c>
      <c r="W609" s="44" t="str">
        <f t="shared" si="75"/>
        <v/>
      </c>
      <c r="X609" s="44" t="str">
        <f t="shared" si="76"/>
        <v/>
      </c>
      <c r="Y609" s="44" t="str">
        <f t="shared" si="77"/>
        <v/>
      </c>
      <c r="Z609" s="44" t="str">
        <f t="shared" si="78"/>
        <v/>
      </c>
      <c r="AA609" s="50" t="str">
        <f t="shared" si="79"/>
        <v/>
      </c>
      <c r="AB609" s="50" t="str">
        <f>IF(OR(B609="",C609&lt;&gt;"Expense"),"",IF(E609&gt;IFERROR(AVERAGEIFS($E$8:$E$1007,$I$8:$I$1007,I609,$C$8:$C$1007,"Expense")*SETTINGS!$B$20,0),"Unusually High","Normal"))</f>
        <v/>
      </c>
      <c r="AC609" s="51"/>
      <c r="AD609" s="51"/>
      <c r="AE609" s="51"/>
      <c r="AF609" s="50" t="str">
        <f>IF(A609&lt;&gt;"Yes","No",IF(AND(AC609="Yes",SETTINGS!$B$16="No"),"No","Yes"))</f>
        <v>No</v>
      </c>
      <c r="AG609" s="50" t="str">
        <f>IF(A609&lt;&gt;"Yes","",IF(OR(B609="",D609="",E609&lt;=0,F609="",I609=""),"Check Required Fields",IF(AA609="Possible Duplicate","Possible Duplicate",IF(E609&gt;SETTINGS!$B$22,"Review Extreme Value","OK"))))</f>
        <v/>
      </c>
    </row>
    <row r="610" spans="1:33" ht="14.4">
      <c r="A610" s="9"/>
      <c r="B610" s="13"/>
      <c r="C610" s="9"/>
      <c r="D610" s="9"/>
      <c r="E610" s="11"/>
      <c r="F610" s="9"/>
      <c r="G610" s="9"/>
      <c r="H610" s="44" t="str">
        <f>IF(D610="","",IF(ISNUMBER(SEARCH(SETTINGS!$K$4,D610)),SETTINGS!$L$4,IF(ISNUMBER(SEARCH(SETTINGS!$K$5,D610)),SETTINGS!$L$5,IF(ISNUMBER(SEARCH(SETTINGS!$K$6,D610)),SETTINGS!$L$6,IF(ISNUMBER(SEARCH(SETTINGS!$K$7,D610)),SETTINGS!$L$7,IF(ISNUMBER(SEARCH(SETTINGS!$K$8,D610)),SETTINGS!$L$8,IF(ISNUMBER(SEARCH(SETTINGS!$K$9,D610)),SETTINGS!$L$9,IF(ISNUMBER(SEARCH(SETTINGS!$K$10,D610)),SETTINGS!$L$10,IF(ISNUMBER(SEARCH(SETTINGS!$K$11,D610)),SETTINGS!$L$11,IF(ISNUMBER(SEARCH(SETTINGS!$K$12,D610)),SETTINGS!$L$12,IF(ISNUMBER(SEARCH(SETTINGS!$K$13,D610)),SETTINGS!$L$13,IF(ISNUMBER(SEARCH(SETTINGS!$K$14,D610)),SETTINGS!$L$14,IF(ISNUMBER(SEARCH(SETTINGS!$K$15,D610)),SETTINGS!$L$15,IF(ISNUMBER(SEARCH(SETTINGS!$K$16,D610)),SETTINGS!$L$16,IF(ISNUMBER(SEARCH(SETTINGS!$K$17,D610)),SETTINGS!$L$17,IF(ISNUMBER(SEARCH(SETTINGS!$K$18,D610)),SETTINGS!$L$18,"Miscellaneous"))))))))))))))))</f>
        <v/>
      </c>
      <c r="I610" s="44" t="str">
        <f t="shared" si="72"/>
        <v/>
      </c>
      <c r="J610" s="9"/>
      <c r="K610" s="9"/>
      <c r="L610" s="9"/>
      <c r="M610" s="9"/>
      <c r="N610" s="9"/>
      <c r="O610" s="9"/>
      <c r="P610" s="13"/>
      <c r="Q610" s="9"/>
      <c r="R610" s="9"/>
      <c r="S610" s="9"/>
      <c r="T610" s="11"/>
      <c r="U610" s="44" t="str">
        <f t="shared" si="73"/>
        <v/>
      </c>
      <c r="V610" s="44" t="str">
        <f t="shared" si="74"/>
        <v/>
      </c>
      <c r="W610" s="44" t="str">
        <f t="shared" si="75"/>
        <v/>
      </c>
      <c r="X610" s="44" t="str">
        <f t="shared" si="76"/>
        <v/>
      </c>
      <c r="Y610" s="44" t="str">
        <f t="shared" si="77"/>
        <v/>
      </c>
      <c r="Z610" s="44" t="str">
        <f t="shared" si="78"/>
        <v/>
      </c>
      <c r="AA610" s="50" t="str">
        <f t="shared" si="79"/>
        <v/>
      </c>
      <c r="AB610" s="50" t="str">
        <f>IF(OR(B610="",C610&lt;&gt;"Expense"),"",IF(E610&gt;IFERROR(AVERAGEIFS($E$8:$E$1007,$I$8:$I$1007,I610,$C$8:$C$1007,"Expense")*SETTINGS!$B$20,0),"Unusually High","Normal"))</f>
        <v/>
      </c>
      <c r="AC610" s="51"/>
      <c r="AD610" s="51"/>
      <c r="AE610" s="51"/>
      <c r="AF610" s="50" t="str">
        <f>IF(A610&lt;&gt;"Yes","No",IF(AND(AC610="Yes",SETTINGS!$B$16="No"),"No","Yes"))</f>
        <v>No</v>
      </c>
      <c r="AG610" s="50" t="str">
        <f>IF(A610&lt;&gt;"Yes","",IF(OR(B610="",D610="",E610&lt;=0,F610="",I610=""),"Check Required Fields",IF(AA610="Possible Duplicate","Possible Duplicate",IF(E610&gt;SETTINGS!$B$22,"Review Extreme Value","OK"))))</f>
        <v/>
      </c>
    </row>
    <row r="611" spans="1:33" ht="14.4">
      <c r="A611" s="9"/>
      <c r="B611" s="13"/>
      <c r="C611" s="9"/>
      <c r="D611" s="9"/>
      <c r="E611" s="11"/>
      <c r="F611" s="9"/>
      <c r="G611" s="9"/>
      <c r="H611" s="44" t="str">
        <f>IF(D611="","",IF(ISNUMBER(SEARCH(SETTINGS!$K$4,D611)),SETTINGS!$L$4,IF(ISNUMBER(SEARCH(SETTINGS!$K$5,D611)),SETTINGS!$L$5,IF(ISNUMBER(SEARCH(SETTINGS!$K$6,D611)),SETTINGS!$L$6,IF(ISNUMBER(SEARCH(SETTINGS!$K$7,D611)),SETTINGS!$L$7,IF(ISNUMBER(SEARCH(SETTINGS!$K$8,D611)),SETTINGS!$L$8,IF(ISNUMBER(SEARCH(SETTINGS!$K$9,D611)),SETTINGS!$L$9,IF(ISNUMBER(SEARCH(SETTINGS!$K$10,D611)),SETTINGS!$L$10,IF(ISNUMBER(SEARCH(SETTINGS!$K$11,D611)),SETTINGS!$L$11,IF(ISNUMBER(SEARCH(SETTINGS!$K$12,D611)),SETTINGS!$L$12,IF(ISNUMBER(SEARCH(SETTINGS!$K$13,D611)),SETTINGS!$L$13,IF(ISNUMBER(SEARCH(SETTINGS!$K$14,D611)),SETTINGS!$L$14,IF(ISNUMBER(SEARCH(SETTINGS!$K$15,D611)),SETTINGS!$L$15,IF(ISNUMBER(SEARCH(SETTINGS!$K$16,D611)),SETTINGS!$L$16,IF(ISNUMBER(SEARCH(SETTINGS!$K$17,D611)),SETTINGS!$L$17,IF(ISNUMBER(SEARCH(SETTINGS!$K$18,D611)),SETTINGS!$L$18,"Miscellaneous"))))))))))))))))</f>
        <v/>
      </c>
      <c r="I611" s="44" t="str">
        <f t="shared" si="72"/>
        <v/>
      </c>
      <c r="J611" s="9"/>
      <c r="K611" s="9"/>
      <c r="L611" s="9"/>
      <c r="M611" s="9"/>
      <c r="N611" s="9"/>
      <c r="O611" s="9"/>
      <c r="P611" s="13"/>
      <c r="Q611" s="9"/>
      <c r="R611" s="9"/>
      <c r="S611" s="9"/>
      <c r="T611" s="11"/>
      <c r="U611" s="44" t="str">
        <f t="shared" si="73"/>
        <v/>
      </c>
      <c r="V611" s="44" t="str">
        <f t="shared" si="74"/>
        <v/>
      </c>
      <c r="W611" s="44" t="str">
        <f t="shared" si="75"/>
        <v/>
      </c>
      <c r="X611" s="44" t="str">
        <f t="shared" si="76"/>
        <v/>
      </c>
      <c r="Y611" s="44" t="str">
        <f t="shared" si="77"/>
        <v/>
      </c>
      <c r="Z611" s="44" t="str">
        <f t="shared" si="78"/>
        <v/>
      </c>
      <c r="AA611" s="50" t="str">
        <f t="shared" si="79"/>
        <v/>
      </c>
      <c r="AB611" s="50" t="str">
        <f>IF(OR(B611="",C611&lt;&gt;"Expense"),"",IF(E611&gt;IFERROR(AVERAGEIFS($E$8:$E$1007,$I$8:$I$1007,I611,$C$8:$C$1007,"Expense")*SETTINGS!$B$20,0),"Unusually High","Normal"))</f>
        <v/>
      </c>
      <c r="AC611" s="51"/>
      <c r="AD611" s="51"/>
      <c r="AE611" s="51"/>
      <c r="AF611" s="50" t="str">
        <f>IF(A611&lt;&gt;"Yes","No",IF(AND(AC611="Yes",SETTINGS!$B$16="No"),"No","Yes"))</f>
        <v>No</v>
      </c>
      <c r="AG611" s="50" t="str">
        <f>IF(A611&lt;&gt;"Yes","",IF(OR(B611="",D611="",E611&lt;=0,F611="",I611=""),"Check Required Fields",IF(AA611="Possible Duplicate","Possible Duplicate",IF(E611&gt;SETTINGS!$B$22,"Review Extreme Value","OK"))))</f>
        <v/>
      </c>
    </row>
    <row r="612" spans="1:33" ht="14.4">
      <c r="A612" s="9"/>
      <c r="B612" s="13"/>
      <c r="C612" s="9"/>
      <c r="D612" s="9"/>
      <c r="E612" s="11"/>
      <c r="F612" s="9"/>
      <c r="G612" s="9"/>
      <c r="H612" s="44" t="str">
        <f>IF(D612="","",IF(ISNUMBER(SEARCH(SETTINGS!$K$4,D612)),SETTINGS!$L$4,IF(ISNUMBER(SEARCH(SETTINGS!$K$5,D612)),SETTINGS!$L$5,IF(ISNUMBER(SEARCH(SETTINGS!$K$6,D612)),SETTINGS!$L$6,IF(ISNUMBER(SEARCH(SETTINGS!$K$7,D612)),SETTINGS!$L$7,IF(ISNUMBER(SEARCH(SETTINGS!$K$8,D612)),SETTINGS!$L$8,IF(ISNUMBER(SEARCH(SETTINGS!$K$9,D612)),SETTINGS!$L$9,IF(ISNUMBER(SEARCH(SETTINGS!$K$10,D612)),SETTINGS!$L$10,IF(ISNUMBER(SEARCH(SETTINGS!$K$11,D612)),SETTINGS!$L$11,IF(ISNUMBER(SEARCH(SETTINGS!$K$12,D612)),SETTINGS!$L$12,IF(ISNUMBER(SEARCH(SETTINGS!$K$13,D612)),SETTINGS!$L$13,IF(ISNUMBER(SEARCH(SETTINGS!$K$14,D612)),SETTINGS!$L$14,IF(ISNUMBER(SEARCH(SETTINGS!$K$15,D612)),SETTINGS!$L$15,IF(ISNUMBER(SEARCH(SETTINGS!$K$16,D612)),SETTINGS!$L$16,IF(ISNUMBER(SEARCH(SETTINGS!$K$17,D612)),SETTINGS!$L$17,IF(ISNUMBER(SEARCH(SETTINGS!$K$18,D612)),SETTINGS!$L$18,"Miscellaneous"))))))))))))))))</f>
        <v/>
      </c>
      <c r="I612" s="44" t="str">
        <f t="shared" si="72"/>
        <v/>
      </c>
      <c r="J612" s="9"/>
      <c r="K612" s="9"/>
      <c r="L612" s="9"/>
      <c r="M612" s="9"/>
      <c r="N612" s="9"/>
      <c r="O612" s="9"/>
      <c r="P612" s="13"/>
      <c r="Q612" s="9"/>
      <c r="R612" s="9"/>
      <c r="S612" s="9"/>
      <c r="T612" s="11"/>
      <c r="U612" s="44" t="str">
        <f t="shared" si="73"/>
        <v/>
      </c>
      <c r="V612" s="44" t="str">
        <f t="shared" si="74"/>
        <v/>
      </c>
      <c r="W612" s="44" t="str">
        <f t="shared" si="75"/>
        <v/>
      </c>
      <c r="X612" s="44" t="str">
        <f t="shared" si="76"/>
        <v/>
      </c>
      <c r="Y612" s="44" t="str">
        <f t="shared" si="77"/>
        <v/>
      </c>
      <c r="Z612" s="44" t="str">
        <f t="shared" si="78"/>
        <v/>
      </c>
      <c r="AA612" s="50" t="str">
        <f t="shared" si="79"/>
        <v/>
      </c>
      <c r="AB612" s="50" t="str">
        <f>IF(OR(B612="",C612&lt;&gt;"Expense"),"",IF(E612&gt;IFERROR(AVERAGEIFS($E$8:$E$1007,$I$8:$I$1007,I612,$C$8:$C$1007,"Expense")*SETTINGS!$B$20,0),"Unusually High","Normal"))</f>
        <v/>
      </c>
      <c r="AC612" s="51"/>
      <c r="AD612" s="51"/>
      <c r="AE612" s="51"/>
      <c r="AF612" s="50" t="str">
        <f>IF(A612&lt;&gt;"Yes","No",IF(AND(AC612="Yes",SETTINGS!$B$16="No"),"No","Yes"))</f>
        <v>No</v>
      </c>
      <c r="AG612" s="50" t="str">
        <f>IF(A612&lt;&gt;"Yes","",IF(OR(B612="",D612="",E612&lt;=0,F612="",I612=""),"Check Required Fields",IF(AA612="Possible Duplicate","Possible Duplicate",IF(E612&gt;SETTINGS!$B$22,"Review Extreme Value","OK"))))</f>
        <v/>
      </c>
    </row>
    <row r="613" spans="1:33" ht="14.4">
      <c r="A613" s="9"/>
      <c r="B613" s="13"/>
      <c r="C613" s="9"/>
      <c r="D613" s="9"/>
      <c r="E613" s="11"/>
      <c r="F613" s="9"/>
      <c r="G613" s="9"/>
      <c r="H613" s="44" t="str">
        <f>IF(D613="","",IF(ISNUMBER(SEARCH(SETTINGS!$K$4,D613)),SETTINGS!$L$4,IF(ISNUMBER(SEARCH(SETTINGS!$K$5,D613)),SETTINGS!$L$5,IF(ISNUMBER(SEARCH(SETTINGS!$K$6,D613)),SETTINGS!$L$6,IF(ISNUMBER(SEARCH(SETTINGS!$K$7,D613)),SETTINGS!$L$7,IF(ISNUMBER(SEARCH(SETTINGS!$K$8,D613)),SETTINGS!$L$8,IF(ISNUMBER(SEARCH(SETTINGS!$K$9,D613)),SETTINGS!$L$9,IF(ISNUMBER(SEARCH(SETTINGS!$K$10,D613)),SETTINGS!$L$10,IF(ISNUMBER(SEARCH(SETTINGS!$K$11,D613)),SETTINGS!$L$11,IF(ISNUMBER(SEARCH(SETTINGS!$K$12,D613)),SETTINGS!$L$12,IF(ISNUMBER(SEARCH(SETTINGS!$K$13,D613)),SETTINGS!$L$13,IF(ISNUMBER(SEARCH(SETTINGS!$K$14,D613)),SETTINGS!$L$14,IF(ISNUMBER(SEARCH(SETTINGS!$K$15,D613)),SETTINGS!$L$15,IF(ISNUMBER(SEARCH(SETTINGS!$K$16,D613)),SETTINGS!$L$16,IF(ISNUMBER(SEARCH(SETTINGS!$K$17,D613)),SETTINGS!$L$17,IF(ISNUMBER(SEARCH(SETTINGS!$K$18,D613)),SETTINGS!$L$18,"Miscellaneous"))))))))))))))))</f>
        <v/>
      </c>
      <c r="I613" s="44" t="str">
        <f t="shared" si="72"/>
        <v/>
      </c>
      <c r="J613" s="9"/>
      <c r="K613" s="9"/>
      <c r="L613" s="9"/>
      <c r="M613" s="9"/>
      <c r="N613" s="9"/>
      <c r="O613" s="9"/>
      <c r="P613" s="13"/>
      <c r="Q613" s="9"/>
      <c r="R613" s="9"/>
      <c r="S613" s="9"/>
      <c r="T613" s="11"/>
      <c r="U613" s="44" t="str">
        <f t="shared" si="73"/>
        <v/>
      </c>
      <c r="V613" s="44" t="str">
        <f t="shared" si="74"/>
        <v/>
      </c>
      <c r="W613" s="44" t="str">
        <f t="shared" si="75"/>
        <v/>
      </c>
      <c r="X613" s="44" t="str">
        <f t="shared" si="76"/>
        <v/>
      </c>
      <c r="Y613" s="44" t="str">
        <f t="shared" si="77"/>
        <v/>
      </c>
      <c r="Z613" s="44" t="str">
        <f t="shared" si="78"/>
        <v/>
      </c>
      <c r="AA613" s="50" t="str">
        <f t="shared" si="79"/>
        <v/>
      </c>
      <c r="AB613" s="50" t="str">
        <f>IF(OR(B613="",C613&lt;&gt;"Expense"),"",IF(E613&gt;IFERROR(AVERAGEIFS($E$8:$E$1007,$I$8:$I$1007,I613,$C$8:$C$1007,"Expense")*SETTINGS!$B$20,0),"Unusually High","Normal"))</f>
        <v/>
      </c>
      <c r="AC613" s="51"/>
      <c r="AD613" s="51"/>
      <c r="AE613" s="51"/>
      <c r="AF613" s="50" t="str">
        <f>IF(A613&lt;&gt;"Yes","No",IF(AND(AC613="Yes",SETTINGS!$B$16="No"),"No","Yes"))</f>
        <v>No</v>
      </c>
      <c r="AG613" s="50" t="str">
        <f>IF(A613&lt;&gt;"Yes","",IF(OR(B613="",D613="",E613&lt;=0,F613="",I613=""),"Check Required Fields",IF(AA613="Possible Duplicate","Possible Duplicate",IF(E613&gt;SETTINGS!$B$22,"Review Extreme Value","OK"))))</f>
        <v/>
      </c>
    </row>
    <row r="614" spans="1:33" ht="14.4">
      <c r="A614" s="9"/>
      <c r="B614" s="13"/>
      <c r="C614" s="9"/>
      <c r="D614" s="9"/>
      <c r="E614" s="11"/>
      <c r="F614" s="9"/>
      <c r="G614" s="9"/>
      <c r="H614" s="44" t="str">
        <f>IF(D614="","",IF(ISNUMBER(SEARCH(SETTINGS!$K$4,D614)),SETTINGS!$L$4,IF(ISNUMBER(SEARCH(SETTINGS!$K$5,D614)),SETTINGS!$L$5,IF(ISNUMBER(SEARCH(SETTINGS!$K$6,D614)),SETTINGS!$L$6,IF(ISNUMBER(SEARCH(SETTINGS!$K$7,D614)),SETTINGS!$L$7,IF(ISNUMBER(SEARCH(SETTINGS!$K$8,D614)),SETTINGS!$L$8,IF(ISNUMBER(SEARCH(SETTINGS!$K$9,D614)),SETTINGS!$L$9,IF(ISNUMBER(SEARCH(SETTINGS!$K$10,D614)),SETTINGS!$L$10,IF(ISNUMBER(SEARCH(SETTINGS!$K$11,D614)),SETTINGS!$L$11,IF(ISNUMBER(SEARCH(SETTINGS!$K$12,D614)),SETTINGS!$L$12,IF(ISNUMBER(SEARCH(SETTINGS!$K$13,D614)),SETTINGS!$L$13,IF(ISNUMBER(SEARCH(SETTINGS!$K$14,D614)),SETTINGS!$L$14,IF(ISNUMBER(SEARCH(SETTINGS!$K$15,D614)),SETTINGS!$L$15,IF(ISNUMBER(SEARCH(SETTINGS!$K$16,D614)),SETTINGS!$L$16,IF(ISNUMBER(SEARCH(SETTINGS!$K$17,D614)),SETTINGS!$L$17,IF(ISNUMBER(SEARCH(SETTINGS!$K$18,D614)),SETTINGS!$L$18,"Miscellaneous"))))))))))))))))</f>
        <v/>
      </c>
      <c r="I614" s="44" t="str">
        <f t="shared" si="72"/>
        <v/>
      </c>
      <c r="J614" s="9"/>
      <c r="K614" s="9"/>
      <c r="L614" s="9"/>
      <c r="M614" s="9"/>
      <c r="N614" s="9"/>
      <c r="O614" s="9"/>
      <c r="P614" s="13"/>
      <c r="Q614" s="9"/>
      <c r="R614" s="9"/>
      <c r="S614" s="9"/>
      <c r="T614" s="11"/>
      <c r="U614" s="44" t="str">
        <f t="shared" si="73"/>
        <v/>
      </c>
      <c r="V614" s="44" t="str">
        <f t="shared" si="74"/>
        <v/>
      </c>
      <c r="W614" s="44" t="str">
        <f t="shared" si="75"/>
        <v/>
      </c>
      <c r="X614" s="44" t="str">
        <f t="shared" si="76"/>
        <v/>
      </c>
      <c r="Y614" s="44" t="str">
        <f t="shared" si="77"/>
        <v/>
      </c>
      <c r="Z614" s="44" t="str">
        <f t="shared" si="78"/>
        <v/>
      </c>
      <c r="AA614" s="50" t="str">
        <f t="shared" si="79"/>
        <v/>
      </c>
      <c r="AB614" s="50" t="str">
        <f>IF(OR(B614="",C614&lt;&gt;"Expense"),"",IF(E614&gt;IFERROR(AVERAGEIFS($E$8:$E$1007,$I$8:$I$1007,I614,$C$8:$C$1007,"Expense")*SETTINGS!$B$20,0),"Unusually High","Normal"))</f>
        <v/>
      </c>
      <c r="AC614" s="51"/>
      <c r="AD614" s="51"/>
      <c r="AE614" s="51"/>
      <c r="AF614" s="50" t="str">
        <f>IF(A614&lt;&gt;"Yes","No",IF(AND(AC614="Yes",SETTINGS!$B$16="No"),"No","Yes"))</f>
        <v>No</v>
      </c>
      <c r="AG614" s="50" t="str">
        <f>IF(A614&lt;&gt;"Yes","",IF(OR(B614="",D614="",E614&lt;=0,F614="",I614=""),"Check Required Fields",IF(AA614="Possible Duplicate","Possible Duplicate",IF(E614&gt;SETTINGS!$B$22,"Review Extreme Value","OK"))))</f>
        <v/>
      </c>
    </row>
    <row r="615" spans="1:33" ht="14.4">
      <c r="A615" s="9"/>
      <c r="B615" s="13"/>
      <c r="C615" s="9"/>
      <c r="D615" s="9"/>
      <c r="E615" s="11"/>
      <c r="F615" s="9"/>
      <c r="G615" s="9"/>
      <c r="H615" s="44" t="str">
        <f>IF(D615="","",IF(ISNUMBER(SEARCH(SETTINGS!$K$4,D615)),SETTINGS!$L$4,IF(ISNUMBER(SEARCH(SETTINGS!$K$5,D615)),SETTINGS!$L$5,IF(ISNUMBER(SEARCH(SETTINGS!$K$6,D615)),SETTINGS!$L$6,IF(ISNUMBER(SEARCH(SETTINGS!$K$7,D615)),SETTINGS!$L$7,IF(ISNUMBER(SEARCH(SETTINGS!$K$8,D615)),SETTINGS!$L$8,IF(ISNUMBER(SEARCH(SETTINGS!$K$9,D615)),SETTINGS!$L$9,IF(ISNUMBER(SEARCH(SETTINGS!$K$10,D615)),SETTINGS!$L$10,IF(ISNUMBER(SEARCH(SETTINGS!$K$11,D615)),SETTINGS!$L$11,IF(ISNUMBER(SEARCH(SETTINGS!$K$12,D615)),SETTINGS!$L$12,IF(ISNUMBER(SEARCH(SETTINGS!$K$13,D615)),SETTINGS!$L$13,IF(ISNUMBER(SEARCH(SETTINGS!$K$14,D615)),SETTINGS!$L$14,IF(ISNUMBER(SEARCH(SETTINGS!$K$15,D615)),SETTINGS!$L$15,IF(ISNUMBER(SEARCH(SETTINGS!$K$16,D615)),SETTINGS!$L$16,IF(ISNUMBER(SEARCH(SETTINGS!$K$17,D615)),SETTINGS!$L$17,IF(ISNUMBER(SEARCH(SETTINGS!$K$18,D615)),SETTINGS!$L$18,"Miscellaneous"))))))))))))))))</f>
        <v/>
      </c>
      <c r="I615" s="44" t="str">
        <f t="shared" si="72"/>
        <v/>
      </c>
      <c r="J615" s="9"/>
      <c r="K615" s="9"/>
      <c r="L615" s="9"/>
      <c r="M615" s="9"/>
      <c r="N615" s="9"/>
      <c r="O615" s="9"/>
      <c r="P615" s="13"/>
      <c r="Q615" s="9"/>
      <c r="R615" s="9"/>
      <c r="S615" s="9"/>
      <c r="T615" s="11"/>
      <c r="U615" s="44" t="str">
        <f t="shared" si="73"/>
        <v/>
      </c>
      <c r="V615" s="44" t="str">
        <f t="shared" si="74"/>
        <v/>
      </c>
      <c r="W615" s="44" t="str">
        <f t="shared" si="75"/>
        <v/>
      </c>
      <c r="X615" s="44" t="str">
        <f t="shared" si="76"/>
        <v/>
      </c>
      <c r="Y615" s="44" t="str">
        <f t="shared" si="77"/>
        <v/>
      </c>
      <c r="Z615" s="44" t="str">
        <f t="shared" si="78"/>
        <v/>
      </c>
      <c r="AA615" s="50" t="str">
        <f t="shared" si="79"/>
        <v/>
      </c>
      <c r="AB615" s="50" t="str">
        <f>IF(OR(B615="",C615&lt;&gt;"Expense"),"",IF(E615&gt;IFERROR(AVERAGEIFS($E$8:$E$1007,$I$8:$I$1007,I615,$C$8:$C$1007,"Expense")*SETTINGS!$B$20,0),"Unusually High","Normal"))</f>
        <v/>
      </c>
      <c r="AC615" s="51"/>
      <c r="AD615" s="51"/>
      <c r="AE615" s="51"/>
      <c r="AF615" s="50" t="str">
        <f>IF(A615&lt;&gt;"Yes","No",IF(AND(AC615="Yes",SETTINGS!$B$16="No"),"No","Yes"))</f>
        <v>No</v>
      </c>
      <c r="AG615" s="50" t="str">
        <f>IF(A615&lt;&gt;"Yes","",IF(OR(B615="",D615="",E615&lt;=0,F615="",I615=""),"Check Required Fields",IF(AA615="Possible Duplicate","Possible Duplicate",IF(E615&gt;SETTINGS!$B$22,"Review Extreme Value","OK"))))</f>
        <v/>
      </c>
    </row>
    <row r="616" spans="1:33" ht="14.4">
      <c r="A616" s="9"/>
      <c r="B616" s="13"/>
      <c r="C616" s="9"/>
      <c r="D616" s="9"/>
      <c r="E616" s="11"/>
      <c r="F616" s="9"/>
      <c r="G616" s="9"/>
      <c r="H616" s="44" t="str">
        <f>IF(D616="","",IF(ISNUMBER(SEARCH(SETTINGS!$K$4,D616)),SETTINGS!$L$4,IF(ISNUMBER(SEARCH(SETTINGS!$K$5,D616)),SETTINGS!$L$5,IF(ISNUMBER(SEARCH(SETTINGS!$K$6,D616)),SETTINGS!$L$6,IF(ISNUMBER(SEARCH(SETTINGS!$K$7,D616)),SETTINGS!$L$7,IF(ISNUMBER(SEARCH(SETTINGS!$K$8,D616)),SETTINGS!$L$8,IF(ISNUMBER(SEARCH(SETTINGS!$K$9,D616)),SETTINGS!$L$9,IF(ISNUMBER(SEARCH(SETTINGS!$K$10,D616)),SETTINGS!$L$10,IF(ISNUMBER(SEARCH(SETTINGS!$K$11,D616)),SETTINGS!$L$11,IF(ISNUMBER(SEARCH(SETTINGS!$K$12,D616)),SETTINGS!$L$12,IF(ISNUMBER(SEARCH(SETTINGS!$K$13,D616)),SETTINGS!$L$13,IF(ISNUMBER(SEARCH(SETTINGS!$K$14,D616)),SETTINGS!$L$14,IF(ISNUMBER(SEARCH(SETTINGS!$K$15,D616)),SETTINGS!$L$15,IF(ISNUMBER(SEARCH(SETTINGS!$K$16,D616)),SETTINGS!$L$16,IF(ISNUMBER(SEARCH(SETTINGS!$K$17,D616)),SETTINGS!$L$17,IF(ISNUMBER(SEARCH(SETTINGS!$K$18,D616)),SETTINGS!$L$18,"Miscellaneous"))))))))))))))))</f>
        <v/>
      </c>
      <c r="I616" s="44" t="str">
        <f t="shared" si="72"/>
        <v/>
      </c>
      <c r="J616" s="9"/>
      <c r="K616" s="9"/>
      <c r="L616" s="9"/>
      <c r="M616" s="9"/>
      <c r="N616" s="9"/>
      <c r="O616" s="9"/>
      <c r="P616" s="13"/>
      <c r="Q616" s="9"/>
      <c r="R616" s="9"/>
      <c r="S616" s="9"/>
      <c r="T616" s="11"/>
      <c r="U616" s="44" t="str">
        <f t="shared" si="73"/>
        <v/>
      </c>
      <c r="V616" s="44" t="str">
        <f t="shared" si="74"/>
        <v/>
      </c>
      <c r="W616" s="44" t="str">
        <f t="shared" si="75"/>
        <v/>
      </c>
      <c r="X616" s="44" t="str">
        <f t="shared" si="76"/>
        <v/>
      </c>
      <c r="Y616" s="44" t="str">
        <f t="shared" si="77"/>
        <v/>
      </c>
      <c r="Z616" s="44" t="str">
        <f t="shared" si="78"/>
        <v/>
      </c>
      <c r="AA616" s="50" t="str">
        <f t="shared" si="79"/>
        <v/>
      </c>
      <c r="AB616" s="50" t="str">
        <f>IF(OR(B616="",C616&lt;&gt;"Expense"),"",IF(E616&gt;IFERROR(AVERAGEIFS($E$8:$E$1007,$I$8:$I$1007,I616,$C$8:$C$1007,"Expense")*SETTINGS!$B$20,0),"Unusually High","Normal"))</f>
        <v/>
      </c>
      <c r="AC616" s="51"/>
      <c r="AD616" s="51"/>
      <c r="AE616" s="51"/>
      <c r="AF616" s="50" t="str">
        <f>IF(A616&lt;&gt;"Yes","No",IF(AND(AC616="Yes",SETTINGS!$B$16="No"),"No","Yes"))</f>
        <v>No</v>
      </c>
      <c r="AG616" s="50" t="str">
        <f>IF(A616&lt;&gt;"Yes","",IF(OR(B616="",D616="",E616&lt;=0,F616="",I616=""),"Check Required Fields",IF(AA616="Possible Duplicate","Possible Duplicate",IF(E616&gt;SETTINGS!$B$22,"Review Extreme Value","OK"))))</f>
        <v/>
      </c>
    </row>
    <row r="617" spans="1:33" ht="14.4">
      <c r="A617" s="9"/>
      <c r="B617" s="13"/>
      <c r="C617" s="9"/>
      <c r="D617" s="9"/>
      <c r="E617" s="11"/>
      <c r="F617" s="9"/>
      <c r="G617" s="9"/>
      <c r="H617" s="44" t="str">
        <f>IF(D617="","",IF(ISNUMBER(SEARCH(SETTINGS!$K$4,D617)),SETTINGS!$L$4,IF(ISNUMBER(SEARCH(SETTINGS!$K$5,D617)),SETTINGS!$L$5,IF(ISNUMBER(SEARCH(SETTINGS!$K$6,D617)),SETTINGS!$L$6,IF(ISNUMBER(SEARCH(SETTINGS!$K$7,D617)),SETTINGS!$L$7,IF(ISNUMBER(SEARCH(SETTINGS!$K$8,D617)),SETTINGS!$L$8,IF(ISNUMBER(SEARCH(SETTINGS!$K$9,D617)),SETTINGS!$L$9,IF(ISNUMBER(SEARCH(SETTINGS!$K$10,D617)),SETTINGS!$L$10,IF(ISNUMBER(SEARCH(SETTINGS!$K$11,D617)),SETTINGS!$L$11,IF(ISNUMBER(SEARCH(SETTINGS!$K$12,D617)),SETTINGS!$L$12,IF(ISNUMBER(SEARCH(SETTINGS!$K$13,D617)),SETTINGS!$L$13,IF(ISNUMBER(SEARCH(SETTINGS!$K$14,D617)),SETTINGS!$L$14,IF(ISNUMBER(SEARCH(SETTINGS!$K$15,D617)),SETTINGS!$L$15,IF(ISNUMBER(SEARCH(SETTINGS!$K$16,D617)),SETTINGS!$L$16,IF(ISNUMBER(SEARCH(SETTINGS!$K$17,D617)),SETTINGS!$L$17,IF(ISNUMBER(SEARCH(SETTINGS!$K$18,D617)),SETTINGS!$L$18,"Miscellaneous"))))))))))))))))</f>
        <v/>
      </c>
      <c r="I617" s="44" t="str">
        <f t="shared" si="72"/>
        <v/>
      </c>
      <c r="J617" s="9"/>
      <c r="K617" s="9"/>
      <c r="L617" s="9"/>
      <c r="M617" s="9"/>
      <c r="N617" s="9"/>
      <c r="O617" s="9"/>
      <c r="P617" s="13"/>
      <c r="Q617" s="9"/>
      <c r="R617" s="9"/>
      <c r="S617" s="9"/>
      <c r="T617" s="11"/>
      <c r="U617" s="44" t="str">
        <f t="shared" si="73"/>
        <v/>
      </c>
      <c r="V617" s="44" t="str">
        <f t="shared" si="74"/>
        <v/>
      </c>
      <c r="W617" s="44" t="str">
        <f t="shared" si="75"/>
        <v/>
      </c>
      <c r="X617" s="44" t="str">
        <f t="shared" si="76"/>
        <v/>
      </c>
      <c r="Y617" s="44" t="str">
        <f t="shared" si="77"/>
        <v/>
      </c>
      <c r="Z617" s="44" t="str">
        <f t="shared" si="78"/>
        <v/>
      </c>
      <c r="AA617" s="50" t="str">
        <f t="shared" si="79"/>
        <v/>
      </c>
      <c r="AB617" s="50" t="str">
        <f>IF(OR(B617="",C617&lt;&gt;"Expense"),"",IF(E617&gt;IFERROR(AVERAGEIFS($E$8:$E$1007,$I$8:$I$1007,I617,$C$8:$C$1007,"Expense")*SETTINGS!$B$20,0),"Unusually High","Normal"))</f>
        <v/>
      </c>
      <c r="AC617" s="51"/>
      <c r="AD617" s="51"/>
      <c r="AE617" s="51"/>
      <c r="AF617" s="50" t="str">
        <f>IF(A617&lt;&gt;"Yes","No",IF(AND(AC617="Yes",SETTINGS!$B$16="No"),"No","Yes"))</f>
        <v>No</v>
      </c>
      <c r="AG617" s="50" t="str">
        <f>IF(A617&lt;&gt;"Yes","",IF(OR(B617="",D617="",E617&lt;=0,F617="",I617=""),"Check Required Fields",IF(AA617="Possible Duplicate","Possible Duplicate",IF(E617&gt;SETTINGS!$B$22,"Review Extreme Value","OK"))))</f>
        <v/>
      </c>
    </row>
    <row r="618" spans="1:33" ht="14.4">
      <c r="A618" s="9"/>
      <c r="B618" s="13"/>
      <c r="C618" s="9"/>
      <c r="D618" s="9"/>
      <c r="E618" s="11"/>
      <c r="F618" s="9"/>
      <c r="G618" s="9"/>
      <c r="H618" s="44" t="str">
        <f>IF(D618="","",IF(ISNUMBER(SEARCH(SETTINGS!$K$4,D618)),SETTINGS!$L$4,IF(ISNUMBER(SEARCH(SETTINGS!$K$5,D618)),SETTINGS!$L$5,IF(ISNUMBER(SEARCH(SETTINGS!$K$6,D618)),SETTINGS!$L$6,IF(ISNUMBER(SEARCH(SETTINGS!$K$7,D618)),SETTINGS!$L$7,IF(ISNUMBER(SEARCH(SETTINGS!$K$8,D618)),SETTINGS!$L$8,IF(ISNUMBER(SEARCH(SETTINGS!$K$9,D618)),SETTINGS!$L$9,IF(ISNUMBER(SEARCH(SETTINGS!$K$10,D618)),SETTINGS!$L$10,IF(ISNUMBER(SEARCH(SETTINGS!$K$11,D618)),SETTINGS!$L$11,IF(ISNUMBER(SEARCH(SETTINGS!$K$12,D618)),SETTINGS!$L$12,IF(ISNUMBER(SEARCH(SETTINGS!$K$13,D618)),SETTINGS!$L$13,IF(ISNUMBER(SEARCH(SETTINGS!$K$14,D618)),SETTINGS!$L$14,IF(ISNUMBER(SEARCH(SETTINGS!$K$15,D618)),SETTINGS!$L$15,IF(ISNUMBER(SEARCH(SETTINGS!$K$16,D618)),SETTINGS!$L$16,IF(ISNUMBER(SEARCH(SETTINGS!$K$17,D618)),SETTINGS!$L$17,IF(ISNUMBER(SEARCH(SETTINGS!$K$18,D618)),SETTINGS!$L$18,"Miscellaneous"))))))))))))))))</f>
        <v/>
      </c>
      <c r="I618" s="44" t="str">
        <f t="shared" si="72"/>
        <v/>
      </c>
      <c r="J618" s="9"/>
      <c r="K618" s="9"/>
      <c r="L618" s="9"/>
      <c r="M618" s="9"/>
      <c r="N618" s="9"/>
      <c r="O618" s="9"/>
      <c r="P618" s="13"/>
      <c r="Q618" s="9"/>
      <c r="R618" s="9"/>
      <c r="S618" s="9"/>
      <c r="T618" s="11"/>
      <c r="U618" s="44" t="str">
        <f t="shared" si="73"/>
        <v/>
      </c>
      <c r="V618" s="44" t="str">
        <f t="shared" si="74"/>
        <v/>
      </c>
      <c r="W618" s="44" t="str">
        <f t="shared" si="75"/>
        <v/>
      </c>
      <c r="X618" s="44" t="str">
        <f t="shared" si="76"/>
        <v/>
      </c>
      <c r="Y618" s="44" t="str">
        <f t="shared" si="77"/>
        <v/>
      </c>
      <c r="Z618" s="44" t="str">
        <f t="shared" si="78"/>
        <v/>
      </c>
      <c r="AA618" s="50" t="str">
        <f t="shared" si="79"/>
        <v/>
      </c>
      <c r="AB618" s="50" t="str">
        <f>IF(OR(B618="",C618&lt;&gt;"Expense"),"",IF(E618&gt;IFERROR(AVERAGEIFS($E$8:$E$1007,$I$8:$I$1007,I618,$C$8:$C$1007,"Expense")*SETTINGS!$B$20,0),"Unusually High","Normal"))</f>
        <v/>
      </c>
      <c r="AC618" s="51"/>
      <c r="AD618" s="51"/>
      <c r="AE618" s="51"/>
      <c r="AF618" s="50" t="str">
        <f>IF(A618&lt;&gt;"Yes","No",IF(AND(AC618="Yes",SETTINGS!$B$16="No"),"No","Yes"))</f>
        <v>No</v>
      </c>
      <c r="AG618" s="50" t="str">
        <f>IF(A618&lt;&gt;"Yes","",IF(OR(B618="",D618="",E618&lt;=0,F618="",I618=""),"Check Required Fields",IF(AA618="Possible Duplicate","Possible Duplicate",IF(E618&gt;SETTINGS!$B$22,"Review Extreme Value","OK"))))</f>
        <v/>
      </c>
    </row>
    <row r="619" spans="1:33" ht="14.4">
      <c r="A619" s="9"/>
      <c r="B619" s="13"/>
      <c r="C619" s="9"/>
      <c r="D619" s="9"/>
      <c r="E619" s="11"/>
      <c r="F619" s="9"/>
      <c r="G619" s="9"/>
      <c r="H619" s="44" t="str">
        <f>IF(D619="","",IF(ISNUMBER(SEARCH(SETTINGS!$K$4,D619)),SETTINGS!$L$4,IF(ISNUMBER(SEARCH(SETTINGS!$K$5,D619)),SETTINGS!$L$5,IF(ISNUMBER(SEARCH(SETTINGS!$K$6,D619)),SETTINGS!$L$6,IF(ISNUMBER(SEARCH(SETTINGS!$K$7,D619)),SETTINGS!$L$7,IF(ISNUMBER(SEARCH(SETTINGS!$K$8,D619)),SETTINGS!$L$8,IF(ISNUMBER(SEARCH(SETTINGS!$K$9,D619)),SETTINGS!$L$9,IF(ISNUMBER(SEARCH(SETTINGS!$K$10,D619)),SETTINGS!$L$10,IF(ISNUMBER(SEARCH(SETTINGS!$K$11,D619)),SETTINGS!$L$11,IF(ISNUMBER(SEARCH(SETTINGS!$K$12,D619)),SETTINGS!$L$12,IF(ISNUMBER(SEARCH(SETTINGS!$K$13,D619)),SETTINGS!$L$13,IF(ISNUMBER(SEARCH(SETTINGS!$K$14,D619)),SETTINGS!$L$14,IF(ISNUMBER(SEARCH(SETTINGS!$K$15,D619)),SETTINGS!$L$15,IF(ISNUMBER(SEARCH(SETTINGS!$K$16,D619)),SETTINGS!$L$16,IF(ISNUMBER(SEARCH(SETTINGS!$K$17,D619)),SETTINGS!$L$17,IF(ISNUMBER(SEARCH(SETTINGS!$K$18,D619)),SETTINGS!$L$18,"Miscellaneous"))))))))))))))))</f>
        <v/>
      </c>
      <c r="I619" s="44" t="str">
        <f t="shared" si="72"/>
        <v/>
      </c>
      <c r="J619" s="9"/>
      <c r="K619" s="9"/>
      <c r="L619" s="9"/>
      <c r="M619" s="9"/>
      <c r="N619" s="9"/>
      <c r="O619" s="9"/>
      <c r="P619" s="13"/>
      <c r="Q619" s="9"/>
      <c r="R619" s="9"/>
      <c r="S619" s="9"/>
      <c r="T619" s="11"/>
      <c r="U619" s="44" t="str">
        <f t="shared" si="73"/>
        <v/>
      </c>
      <c r="V619" s="44" t="str">
        <f t="shared" si="74"/>
        <v/>
      </c>
      <c r="W619" s="44" t="str">
        <f t="shared" si="75"/>
        <v/>
      </c>
      <c r="X619" s="44" t="str">
        <f t="shared" si="76"/>
        <v/>
      </c>
      <c r="Y619" s="44" t="str">
        <f t="shared" si="77"/>
        <v/>
      </c>
      <c r="Z619" s="44" t="str">
        <f t="shared" si="78"/>
        <v/>
      </c>
      <c r="AA619" s="50" t="str">
        <f t="shared" si="79"/>
        <v/>
      </c>
      <c r="AB619" s="50" t="str">
        <f>IF(OR(B619="",C619&lt;&gt;"Expense"),"",IF(E619&gt;IFERROR(AVERAGEIFS($E$8:$E$1007,$I$8:$I$1007,I619,$C$8:$C$1007,"Expense")*SETTINGS!$B$20,0),"Unusually High","Normal"))</f>
        <v/>
      </c>
      <c r="AC619" s="51"/>
      <c r="AD619" s="51"/>
      <c r="AE619" s="51"/>
      <c r="AF619" s="50" t="str">
        <f>IF(A619&lt;&gt;"Yes","No",IF(AND(AC619="Yes",SETTINGS!$B$16="No"),"No","Yes"))</f>
        <v>No</v>
      </c>
      <c r="AG619" s="50" t="str">
        <f>IF(A619&lt;&gt;"Yes","",IF(OR(B619="",D619="",E619&lt;=0,F619="",I619=""),"Check Required Fields",IF(AA619="Possible Duplicate","Possible Duplicate",IF(E619&gt;SETTINGS!$B$22,"Review Extreme Value","OK"))))</f>
        <v/>
      </c>
    </row>
    <row r="620" spans="1:33" ht="14.4">
      <c r="A620" s="9"/>
      <c r="B620" s="13"/>
      <c r="C620" s="9"/>
      <c r="D620" s="9"/>
      <c r="E620" s="11"/>
      <c r="F620" s="9"/>
      <c r="G620" s="9"/>
      <c r="H620" s="44" t="str">
        <f>IF(D620="","",IF(ISNUMBER(SEARCH(SETTINGS!$K$4,D620)),SETTINGS!$L$4,IF(ISNUMBER(SEARCH(SETTINGS!$K$5,D620)),SETTINGS!$L$5,IF(ISNUMBER(SEARCH(SETTINGS!$K$6,D620)),SETTINGS!$L$6,IF(ISNUMBER(SEARCH(SETTINGS!$K$7,D620)),SETTINGS!$L$7,IF(ISNUMBER(SEARCH(SETTINGS!$K$8,D620)),SETTINGS!$L$8,IF(ISNUMBER(SEARCH(SETTINGS!$K$9,D620)),SETTINGS!$L$9,IF(ISNUMBER(SEARCH(SETTINGS!$K$10,D620)),SETTINGS!$L$10,IF(ISNUMBER(SEARCH(SETTINGS!$K$11,D620)),SETTINGS!$L$11,IF(ISNUMBER(SEARCH(SETTINGS!$K$12,D620)),SETTINGS!$L$12,IF(ISNUMBER(SEARCH(SETTINGS!$K$13,D620)),SETTINGS!$L$13,IF(ISNUMBER(SEARCH(SETTINGS!$K$14,D620)),SETTINGS!$L$14,IF(ISNUMBER(SEARCH(SETTINGS!$K$15,D620)),SETTINGS!$L$15,IF(ISNUMBER(SEARCH(SETTINGS!$K$16,D620)),SETTINGS!$L$16,IF(ISNUMBER(SEARCH(SETTINGS!$K$17,D620)),SETTINGS!$L$17,IF(ISNUMBER(SEARCH(SETTINGS!$K$18,D620)),SETTINGS!$L$18,"Miscellaneous"))))))))))))))))</f>
        <v/>
      </c>
      <c r="I620" s="44" t="str">
        <f t="shared" si="72"/>
        <v/>
      </c>
      <c r="J620" s="9"/>
      <c r="K620" s="9"/>
      <c r="L620" s="9"/>
      <c r="M620" s="9"/>
      <c r="N620" s="9"/>
      <c r="O620" s="9"/>
      <c r="P620" s="13"/>
      <c r="Q620" s="9"/>
      <c r="R620" s="9"/>
      <c r="S620" s="9"/>
      <c r="T620" s="11"/>
      <c r="U620" s="44" t="str">
        <f t="shared" si="73"/>
        <v/>
      </c>
      <c r="V620" s="44" t="str">
        <f t="shared" si="74"/>
        <v/>
      </c>
      <c r="W620" s="44" t="str">
        <f t="shared" si="75"/>
        <v/>
      </c>
      <c r="X620" s="44" t="str">
        <f t="shared" si="76"/>
        <v/>
      </c>
      <c r="Y620" s="44" t="str">
        <f t="shared" si="77"/>
        <v/>
      </c>
      <c r="Z620" s="44" t="str">
        <f t="shared" si="78"/>
        <v/>
      </c>
      <c r="AA620" s="50" t="str">
        <f t="shared" si="79"/>
        <v/>
      </c>
      <c r="AB620" s="50" t="str">
        <f>IF(OR(B620="",C620&lt;&gt;"Expense"),"",IF(E620&gt;IFERROR(AVERAGEIFS($E$8:$E$1007,$I$8:$I$1007,I620,$C$8:$C$1007,"Expense")*SETTINGS!$B$20,0),"Unusually High","Normal"))</f>
        <v/>
      </c>
      <c r="AC620" s="51"/>
      <c r="AD620" s="51"/>
      <c r="AE620" s="51"/>
      <c r="AF620" s="50" t="str">
        <f>IF(A620&lt;&gt;"Yes","No",IF(AND(AC620="Yes",SETTINGS!$B$16="No"),"No","Yes"))</f>
        <v>No</v>
      </c>
      <c r="AG620" s="50" t="str">
        <f>IF(A620&lt;&gt;"Yes","",IF(OR(B620="",D620="",E620&lt;=0,F620="",I620=""),"Check Required Fields",IF(AA620="Possible Duplicate","Possible Duplicate",IF(E620&gt;SETTINGS!$B$22,"Review Extreme Value","OK"))))</f>
        <v/>
      </c>
    </row>
    <row r="621" spans="1:33" ht="14.4">
      <c r="A621" s="9"/>
      <c r="B621" s="13"/>
      <c r="C621" s="9"/>
      <c r="D621" s="9"/>
      <c r="E621" s="11"/>
      <c r="F621" s="9"/>
      <c r="G621" s="9"/>
      <c r="H621" s="44" t="str">
        <f>IF(D621="","",IF(ISNUMBER(SEARCH(SETTINGS!$K$4,D621)),SETTINGS!$L$4,IF(ISNUMBER(SEARCH(SETTINGS!$K$5,D621)),SETTINGS!$L$5,IF(ISNUMBER(SEARCH(SETTINGS!$K$6,D621)),SETTINGS!$L$6,IF(ISNUMBER(SEARCH(SETTINGS!$K$7,D621)),SETTINGS!$L$7,IF(ISNUMBER(SEARCH(SETTINGS!$K$8,D621)),SETTINGS!$L$8,IF(ISNUMBER(SEARCH(SETTINGS!$K$9,D621)),SETTINGS!$L$9,IF(ISNUMBER(SEARCH(SETTINGS!$K$10,D621)),SETTINGS!$L$10,IF(ISNUMBER(SEARCH(SETTINGS!$K$11,D621)),SETTINGS!$L$11,IF(ISNUMBER(SEARCH(SETTINGS!$K$12,D621)),SETTINGS!$L$12,IF(ISNUMBER(SEARCH(SETTINGS!$K$13,D621)),SETTINGS!$L$13,IF(ISNUMBER(SEARCH(SETTINGS!$K$14,D621)),SETTINGS!$L$14,IF(ISNUMBER(SEARCH(SETTINGS!$K$15,D621)),SETTINGS!$L$15,IF(ISNUMBER(SEARCH(SETTINGS!$K$16,D621)),SETTINGS!$L$16,IF(ISNUMBER(SEARCH(SETTINGS!$K$17,D621)),SETTINGS!$L$17,IF(ISNUMBER(SEARCH(SETTINGS!$K$18,D621)),SETTINGS!$L$18,"Miscellaneous"))))))))))))))))</f>
        <v/>
      </c>
      <c r="I621" s="44" t="str">
        <f t="shared" si="72"/>
        <v/>
      </c>
      <c r="J621" s="9"/>
      <c r="K621" s="9"/>
      <c r="L621" s="9"/>
      <c r="M621" s="9"/>
      <c r="N621" s="9"/>
      <c r="O621" s="9"/>
      <c r="P621" s="13"/>
      <c r="Q621" s="9"/>
      <c r="R621" s="9"/>
      <c r="S621" s="9"/>
      <c r="T621" s="11"/>
      <c r="U621" s="44" t="str">
        <f t="shared" si="73"/>
        <v/>
      </c>
      <c r="V621" s="44" t="str">
        <f t="shared" si="74"/>
        <v/>
      </c>
      <c r="W621" s="44" t="str">
        <f t="shared" si="75"/>
        <v/>
      </c>
      <c r="X621" s="44" t="str">
        <f t="shared" si="76"/>
        <v/>
      </c>
      <c r="Y621" s="44" t="str">
        <f t="shared" si="77"/>
        <v/>
      </c>
      <c r="Z621" s="44" t="str">
        <f t="shared" si="78"/>
        <v/>
      </c>
      <c r="AA621" s="50" t="str">
        <f t="shared" si="79"/>
        <v/>
      </c>
      <c r="AB621" s="50" t="str">
        <f>IF(OR(B621="",C621&lt;&gt;"Expense"),"",IF(E621&gt;IFERROR(AVERAGEIFS($E$8:$E$1007,$I$8:$I$1007,I621,$C$8:$C$1007,"Expense")*SETTINGS!$B$20,0),"Unusually High","Normal"))</f>
        <v/>
      </c>
      <c r="AC621" s="51"/>
      <c r="AD621" s="51"/>
      <c r="AE621" s="51"/>
      <c r="AF621" s="50" t="str">
        <f>IF(A621&lt;&gt;"Yes","No",IF(AND(AC621="Yes",SETTINGS!$B$16="No"),"No","Yes"))</f>
        <v>No</v>
      </c>
      <c r="AG621" s="50" t="str">
        <f>IF(A621&lt;&gt;"Yes","",IF(OR(B621="",D621="",E621&lt;=0,F621="",I621=""),"Check Required Fields",IF(AA621="Possible Duplicate","Possible Duplicate",IF(E621&gt;SETTINGS!$B$22,"Review Extreme Value","OK"))))</f>
        <v/>
      </c>
    </row>
    <row r="622" spans="1:33" ht="14.4">
      <c r="A622" s="9"/>
      <c r="B622" s="13"/>
      <c r="C622" s="9"/>
      <c r="D622" s="9"/>
      <c r="E622" s="11"/>
      <c r="F622" s="9"/>
      <c r="G622" s="9"/>
      <c r="H622" s="44" t="str">
        <f>IF(D622="","",IF(ISNUMBER(SEARCH(SETTINGS!$K$4,D622)),SETTINGS!$L$4,IF(ISNUMBER(SEARCH(SETTINGS!$K$5,D622)),SETTINGS!$L$5,IF(ISNUMBER(SEARCH(SETTINGS!$K$6,D622)),SETTINGS!$L$6,IF(ISNUMBER(SEARCH(SETTINGS!$K$7,D622)),SETTINGS!$L$7,IF(ISNUMBER(SEARCH(SETTINGS!$K$8,D622)),SETTINGS!$L$8,IF(ISNUMBER(SEARCH(SETTINGS!$K$9,D622)),SETTINGS!$L$9,IF(ISNUMBER(SEARCH(SETTINGS!$K$10,D622)),SETTINGS!$L$10,IF(ISNUMBER(SEARCH(SETTINGS!$K$11,D622)),SETTINGS!$L$11,IF(ISNUMBER(SEARCH(SETTINGS!$K$12,D622)),SETTINGS!$L$12,IF(ISNUMBER(SEARCH(SETTINGS!$K$13,D622)),SETTINGS!$L$13,IF(ISNUMBER(SEARCH(SETTINGS!$K$14,D622)),SETTINGS!$L$14,IF(ISNUMBER(SEARCH(SETTINGS!$K$15,D622)),SETTINGS!$L$15,IF(ISNUMBER(SEARCH(SETTINGS!$K$16,D622)),SETTINGS!$L$16,IF(ISNUMBER(SEARCH(SETTINGS!$K$17,D622)),SETTINGS!$L$17,IF(ISNUMBER(SEARCH(SETTINGS!$K$18,D622)),SETTINGS!$L$18,"Miscellaneous"))))))))))))))))</f>
        <v/>
      </c>
      <c r="I622" s="44" t="str">
        <f t="shared" si="72"/>
        <v/>
      </c>
      <c r="J622" s="9"/>
      <c r="K622" s="9"/>
      <c r="L622" s="9"/>
      <c r="M622" s="9"/>
      <c r="N622" s="9"/>
      <c r="O622" s="9"/>
      <c r="P622" s="13"/>
      <c r="Q622" s="9"/>
      <c r="R622" s="9"/>
      <c r="S622" s="9"/>
      <c r="T622" s="11"/>
      <c r="U622" s="44" t="str">
        <f t="shared" si="73"/>
        <v/>
      </c>
      <c r="V622" s="44" t="str">
        <f t="shared" si="74"/>
        <v/>
      </c>
      <c r="W622" s="44" t="str">
        <f t="shared" si="75"/>
        <v/>
      </c>
      <c r="X622" s="44" t="str">
        <f t="shared" si="76"/>
        <v/>
      </c>
      <c r="Y622" s="44" t="str">
        <f t="shared" si="77"/>
        <v/>
      </c>
      <c r="Z622" s="44" t="str">
        <f t="shared" si="78"/>
        <v/>
      </c>
      <c r="AA622" s="50" t="str">
        <f t="shared" si="79"/>
        <v/>
      </c>
      <c r="AB622" s="50" t="str">
        <f>IF(OR(B622="",C622&lt;&gt;"Expense"),"",IF(E622&gt;IFERROR(AVERAGEIFS($E$8:$E$1007,$I$8:$I$1007,I622,$C$8:$C$1007,"Expense")*SETTINGS!$B$20,0),"Unusually High","Normal"))</f>
        <v/>
      </c>
      <c r="AC622" s="51"/>
      <c r="AD622" s="51"/>
      <c r="AE622" s="51"/>
      <c r="AF622" s="50" t="str">
        <f>IF(A622&lt;&gt;"Yes","No",IF(AND(AC622="Yes",SETTINGS!$B$16="No"),"No","Yes"))</f>
        <v>No</v>
      </c>
      <c r="AG622" s="50" t="str">
        <f>IF(A622&lt;&gt;"Yes","",IF(OR(B622="",D622="",E622&lt;=0,F622="",I622=""),"Check Required Fields",IF(AA622="Possible Duplicate","Possible Duplicate",IF(E622&gt;SETTINGS!$B$22,"Review Extreme Value","OK"))))</f>
        <v/>
      </c>
    </row>
    <row r="623" spans="1:33" ht="14.4">
      <c r="A623" s="9"/>
      <c r="B623" s="13"/>
      <c r="C623" s="9"/>
      <c r="D623" s="9"/>
      <c r="E623" s="11"/>
      <c r="F623" s="9"/>
      <c r="G623" s="9"/>
      <c r="H623" s="44" t="str">
        <f>IF(D623="","",IF(ISNUMBER(SEARCH(SETTINGS!$K$4,D623)),SETTINGS!$L$4,IF(ISNUMBER(SEARCH(SETTINGS!$K$5,D623)),SETTINGS!$L$5,IF(ISNUMBER(SEARCH(SETTINGS!$K$6,D623)),SETTINGS!$L$6,IF(ISNUMBER(SEARCH(SETTINGS!$K$7,D623)),SETTINGS!$L$7,IF(ISNUMBER(SEARCH(SETTINGS!$K$8,D623)),SETTINGS!$L$8,IF(ISNUMBER(SEARCH(SETTINGS!$K$9,D623)),SETTINGS!$L$9,IF(ISNUMBER(SEARCH(SETTINGS!$K$10,D623)),SETTINGS!$L$10,IF(ISNUMBER(SEARCH(SETTINGS!$K$11,D623)),SETTINGS!$L$11,IF(ISNUMBER(SEARCH(SETTINGS!$K$12,D623)),SETTINGS!$L$12,IF(ISNUMBER(SEARCH(SETTINGS!$K$13,D623)),SETTINGS!$L$13,IF(ISNUMBER(SEARCH(SETTINGS!$K$14,D623)),SETTINGS!$L$14,IF(ISNUMBER(SEARCH(SETTINGS!$K$15,D623)),SETTINGS!$L$15,IF(ISNUMBER(SEARCH(SETTINGS!$K$16,D623)),SETTINGS!$L$16,IF(ISNUMBER(SEARCH(SETTINGS!$K$17,D623)),SETTINGS!$L$17,IF(ISNUMBER(SEARCH(SETTINGS!$K$18,D623)),SETTINGS!$L$18,"Miscellaneous"))))))))))))))))</f>
        <v/>
      </c>
      <c r="I623" s="44" t="str">
        <f t="shared" si="72"/>
        <v/>
      </c>
      <c r="J623" s="9"/>
      <c r="K623" s="9"/>
      <c r="L623" s="9"/>
      <c r="M623" s="9"/>
      <c r="N623" s="9"/>
      <c r="O623" s="9"/>
      <c r="P623" s="13"/>
      <c r="Q623" s="9"/>
      <c r="R623" s="9"/>
      <c r="S623" s="9"/>
      <c r="T623" s="11"/>
      <c r="U623" s="44" t="str">
        <f t="shared" si="73"/>
        <v/>
      </c>
      <c r="V623" s="44" t="str">
        <f t="shared" si="74"/>
        <v/>
      </c>
      <c r="W623" s="44" t="str">
        <f t="shared" si="75"/>
        <v/>
      </c>
      <c r="X623" s="44" t="str">
        <f t="shared" si="76"/>
        <v/>
      </c>
      <c r="Y623" s="44" t="str">
        <f t="shared" si="77"/>
        <v/>
      </c>
      <c r="Z623" s="44" t="str">
        <f t="shared" si="78"/>
        <v/>
      </c>
      <c r="AA623" s="50" t="str">
        <f t="shared" si="79"/>
        <v/>
      </c>
      <c r="AB623" s="50" t="str">
        <f>IF(OR(B623="",C623&lt;&gt;"Expense"),"",IF(E623&gt;IFERROR(AVERAGEIFS($E$8:$E$1007,$I$8:$I$1007,I623,$C$8:$C$1007,"Expense")*SETTINGS!$B$20,0),"Unusually High","Normal"))</f>
        <v/>
      </c>
      <c r="AC623" s="51"/>
      <c r="AD623" s="51"/>
      <c r="AE623" s="51"/>
      <c r="AF623" s="50" t="str">
        <f>IF(A623&lt;&gt;"Yes","No",IF(AND(AC623="Yes",SETTINGS!$B$16="No"),"No","Yes"))</f>
        <v>No</v>
      </c>
      <c r="AG623" s="50" t="str">
        <f>IF(A623&lt;&gt;"Yes","",IF(OR(B623="",D623="",E623&lt;=0,F623="",I623=""),"Check Required Fields",IF(AA623="Possible Duplicate","Possible Duplicate",IF(E623&gt;SETTINGS!$B$22,"Review Extreme Value","OK"))))</f>
        <v/>
      </c>
    </row>
    <row r="624" spans="1:33" ht="14.4">
      <c r="A624" s="9"/>
      <c r="B624" s="13"/>
      <c r="C624" s="9"/>
      <c r="D624" s="9"/>
      <c r="E624" s="11"/>
      <c r="F624" s="9"/>
      <c r="G624" s="9"/>
      <c r="H624" s="44" t="str">
        <f>IF(D624="","",IF(ISNUMBER(SEARCH(SETTINGS!$K$4,D624)),SETTINGS!$L$4,IF(ISNUMBER(SEARCH(SETTINGS!$K$5,D624)),SETTINGS!$L$5,IF(ISNUMBER(SEARCH(SETTINGS!$K$6,D624)),SETTINGS!$L$6,IF(ISNUMBER(SEARCH(SETTINGS!$K$7,D624)),SETTINGS!$L$7,IF(ISNUMBER(SEARCH(SETTINGS!$K$8,D624)),SETTINGS!$L$8,IF(ISNUMBER(SEARCH(SETTINGS!$K$9,D624)),SETTINGS!$L$9,IF(ISNUMBER(SEARCH(SETTINGS!$K$10,D624)),SETTINGS!$L$10,IF(ISNUMBER(SEARCH(SETTINGS!$K$11,D624)),SETTINGS!$L$11,IF(ISNUMBER(SEARCH(SETTINGS!$K$12,D624)),SETTINGS!$L$12,IF(ISNUMBER(SEARCH(SETTINGS!$K$13,D624)),SETTINGS!$L$13,IF(ISNUMBER(SEARCH(SETTINGS!$K$14,D624)),SETTINGS!$L$14,IF(ISNUMBER(SEARCH(SETTINGS!$K$15,D624)),SETTINGS!$L$15,IF(ISNUMBER(SEARCH(SETTINGS!$K$16,D624)),SETTINGS!$L$16,IF(ISNUMBER(SEARCH(SETTINGS!$K$17,D624)),SETTINGS!$L$17,IF(ISNUMBER(SEARCH(SETTINGS!$K$18,D624)),SETTINGS!$L$18,"Miscellaneous"))))))))))))))))</f>
        <v/>
      </c>
      <c r="I624" s="44" t="str">
        <f t="shared" si="72"/>
        <v/>
      </c>
      <c r="J624" s="9"/>
      <c r="K624" s="9"/>
      <c r="L624" s="9"/>
      <c r="M624" s="9"/>
      <c r="N624" s="9"/>
      <c r="O624" s="9"/>
      <c r="P624" s="13"/>
      <c r="Q624" s="9"/>
      <c r="R624" s="9"/>
      <c r="S624" s="9"/>
      <c r="T624" s="11"/>
      <c r="U624" s="44" t="str">
        <f t="shared" si="73"/>
        <v/>
      </c>
      <c r="V624" s="44" t="str">
        <f t="shared" si="74"/>
        <v/>
      </c>
      <c r="W624" s="44" t="str">
        <f t="shared" si="75"/>
        <v/>
      </c>
      <c r="X624" s="44" t="str">
        <f t="shared" si="76"/>
        <v/>
      </c>
      <c r="Y624" s="44" t="str">
        <f t="shared" si="77"/>
        <v/>
      </c>
      <c r="Z624" s="44" t="str">
        <f t="shared" si="78"/>
        <v/>
      </c>
      <c r="AA624" s="50" t="str">
        <f t="shared" si="79"/>
        <v/>
      </c>
      <c r="AB624" s="50" t="str">
        <f>IF(OR(B624="",C624&lt;&gt;"Expense"),"",IF(E624&gt;IFERROR(AVERAGEIFS($E$8:$E$1007,$I$8:$I$1007,I624,$C$8:$C$1007,"Expense")*SETTINGS!$B$20,0),"Unusually High","Normal"))</f>
        <v/>
      </c>
      <c r="AC624" s="51"/>
      <c r="AD624" s="51"/>
      <c r="AE624" s="51"/>
      <c r="AF624" s="50" t="str">
        <f>IF(A624&lt;&gt;"Yes","No",IF(AND(AC624="Yes",SETTINGS!$B$16="No"),"No","Yes"))</f>
        <v>No</v>
      </c>
      <c r="AG624" s="50" t="str">
        <f>IF(A624&lt;&gt;"Yes","",IF(OR(B624="",D624="",E624&lt;=0,F624="",I624=""),"Check Required Fields",IF(AA624="Possible Duplicate","Possible Duplicate",IF(E624&gt;SETTINGS!$B$22,"Review Extreme Value","OK"))))</f>
        <v/>
      </c>
    </row>
    <row r="625" spans="1:33" ht="14.4">
      <c r="A625" s="9"/>
      <c r="B625" s="13"/>
      <c r="C625" s="9"/>
      <c r="D625" s="9"/>
      <c r="E625" s="11"/>
      <c r="F625" s="9"/>
      <c r="G625" s="9"/>
      <c r="H625" s="44" t="str">
        <f>IF(D625="","",IF(ISNUMBER(SEARCH(SETTINGS!$K$4,D625)),SETTINGS!$L$4,IF(ISNUMBER(SEARCH(SETTINGS!$K$5,D625)),SETTINGS!$L$5,IF(ISNUMBER(SEARCH(SETTINGS!$K$6,D625)),SETTINGS!$L$6,IF(ISNUMBER(SEARCH(SETTINGS!$K$7,D625)),SETTINGS!$L$7,IF(ISNUMBER(SEARCH(SETTINGS!$K$8,D625)),SETTINGS!$L$8,IF(ISNUMBER(SEARCH(SETTINGS!$K$9,D625)),SETTINGS!$L$9,IF(ISNUMBER(SEARCH(SETTINGS!$K$10,D625)),SETTINGS!$L$10,IF(ISNUMBER(SEARCH(SETTINGS!$K$11,D625)),SETTINGS!$L$11,IF(ISNUMBER(SEARCH(SETTINGS!$K$12,D625)),SETTINGS!$L$12,IF(ISNUMBER(SEARCH(SETTINGS!$K$13,D625)),SETTINGS!$L$13,IF(ISNUMBER(SEARCH(SETTINGS!$K$14,D625)),SETTINGS!$L$14,IF(ISNUMBER(SEARCH(SETTINGS!$K$15,D625)),SETTINGS!$L$15,IF(ISNUMBER(SEARCH(SETTINGS!$K$16,D625)),SETTINGS!$L$16,IF(ISNUMBER(SEARCH(SETTINGS!$K$17,D625)),SETTINGS!$L$17,IF(ISNUMBER(SEARCH(SETTINGS!$K$18,D625)),SETTINGS!$L$18,"Miscellaneous"))))))))))))))))</f>
        <v/>
      </c>
      <c r="I625" s="44" t="str">
        <f t="shared" si="72"/>
        <v/>
      </c>
      <c r="J625" s="9"/>
      <c r="K625" s="9"/>
      <c r="L625" s="9"/>
      <c r="M625" s="9"/>
      <c r="N625" s="9"/>
      <c r="O625" s="9"/>
      <c r="P625" s="13"/>
      <c r="Q625" s="9"/>
      <c r="R625" s="9"/>
      <c r="S625" s="9"/>
      <c r="T625" s="11"/>
      <c r="U625" s="44" t="str">
        <f t="shared" si="73"/>
        <v/>
      </c>
      <c r="V625" s="44" t="str">
        <f t="shared" si="74"/>
        <v/>
      </c>
      <c r="W625" s="44" t="str">
        <f t="shared" si="75"/>
        <v/>
      </c>
      <c r="X625" s="44" t="str">
        <f t="shared" si="76"/>
        <v/>
      </c>
      <c r="Y625" s="44" t="str">
        <f t="shared" si="77"/>
        <v/>
      </c>
      <c r="Z625" s="44" t="str">
        <f t="shared" si="78"/>
        <v/>
      </c>
      <c r="AA625" s="50" t="str">
        <f t="shared" si="79"/>
        <v/>
      </c>
      <c r="AB625" s="50" t="str">
        <f>IF(OR(B625="",C625&lt;&gt;"Expense"),"",IF(E625&gt;IFERROR(AVERAGEIFS($E$8:$E$1007,$I$8:$I$1007,I625,$C$8:$C$1007,"Expense")*SETTINGS!$B$20,0),"Unusually High","Normal"))</f>
        <v/>
      </c>
      <c r="AC625" s="51"/>
      <c r="AD625" s="51"/>
      <c r="AE625" s="51"/>
      <c r="AF625" s="50" t="str">
        <f>IF(A625&lt;&gt;"Yes","No",IF(AND(AC625="Yes",SETTINGS!$B$16="No"),"No","Yes"))</f>
        <v>No</v>
      </c>
      <c r="AG625" s="50" t="str">
        <f>IF(A625&lt;&gt;"Yes","",IF(OR(B625="",D625="",E625&lt;=0,F625="",I625=""),"Check Required Fields",IF(AA625="Possible Duplicate","Possible Duplicate",IF(E625&gt;SETTINGS!$B$22,"Review Extreme Value","OK"))))</f>
        <v/>
      </c>
    </row>
    <row r="626" spans="1:33" ht="14.4">
      <c r="A626" s="9"/>
      <c r="B626" s="13"/>
      <c r="C626" s="9"/>
      <c r="D626" s="9"/>
      <c r="E626" s="11"/>
      <c r="F626" s="9"/>
      <c r="G626" s="9"/>
      <c r="H626" s="44" t="str">
        <f>IF(D626="","",IF(ISNUMBER(SEARCH(SETTINGS!$K$4,D626)),SETTINGS!$L$4,IF(ISNUMBER(SEARCH(SETTINGS!$K$5,D626)),SETTINGS!$L$5,IF(ISNUMBER(SEARCH(SETTINGS!$K$6,D626)),SETTINGS!$L$6,IF(ISNUMBER(SEARCH(SETTINGS!$K$7,D626)),SETTINGS!$L$7,IF(ISNUMBER(SEARCH(SETTINGS!$K$8,D626)),SETTINGS!$L$8,IF(ISNUMBER(SEARCH(SETTINGS!$K$9,D626)),SETTINGS!$L$9,IF(ISNUMBER(SEARCH(SETTINGS!$K$10,D626)),SETTINGS!$L$10,IF(ISNUMBER(SEARCH(SETTINGS!$K$11,D626)),SETTINGS!$L$11,IF(ISNUMBER(SEARCH(SETTINGS!$K$12,D626)),SETTINGS!$L$12,IF(ISNUMBER(SEARCH(SETTINGS!$K$13,D626)),SETTINGS!$L$13,IF(ISNUMBER(SEARCH(SETTINGS!$K$14,D626)),SETTINGS!$L$14,IF(ISNUMBER(SEARCH(SETTINGS!$K$15,D626)),SETTINGS!$L$15,IF(ISNUMBER(SEARCH(SETTINGS!$K$16,D626)),SETTINGS!$L$16,IF(ISNUMBER(SEARCH(SETTINGS!$K$17,D626)),SETTINGS!$L$17,IF(ISNUMBER(SEARCH(SETTINGS!$K$18,D626)),SETTINGS!$L$18,"Miscellaneous"))))))))))))))))</f>
        <v/>
      </c>
      <c r="I626" s="44" t="str">
        <f t="shared" si="72"/>
        <v/>
      </c>
      <c r="J626" s="9"/>
      <c r="K626" s="9"/>
      <c r="L626" s="9"/>
      <c r="M626" s="9"/>
      <c r="N626" s="9"/>
      <c r="O626" s="9"/>
      <c r="P626" s="13"/>
      <c r="Q626" s="9"/>
      <c r="R626" s="9"/>
      <c r="S626" s="9"/>
      <c r="T626" s="11"/>
      <c r="U626" s="44" t="str">
        <f t="shared" si="73"/>
        <v/>
      </c>
      <c r="V626" s="44" t="str">
        <f t="shared" si="74"/>
        <v/>
      </c>
      <c r="W626" s="44" t="str">
        <f t="shared" si="75"/>
        <v/>
      </c>
      <c r="X626" s="44" t="str">
        <f t="shared" si="76"/>
        <v/>
      </c>
      <c r="Y626" s="44" t="str">
        <f t="shared" si="77"/>
        <v/>
      </c>
      <c r="Z626" s="44" t="str">
        <f t="shared" si="78"/>
        <v/>
      </c>
      <c r="AA626" s="50" t="str">
        <f t="shared" si="79"/>
        <v/>
      </c>
      <c r="AB626" s="50" t="str">
        <f>IF(OR(B626="",C626&lt;&gt;"Expense"),"",IF(E626&gt;IFERROR(AVERAGEIFS($E$8:$E$1007,$I$8:$I$1007,I626,$C$8:$C$1007,"Expense")*SETTINGS!$B$20,0),"Unusually High","Normal"))</f>
        <v/>
      </c>
      <c r="AC626" s="51"/>
      <c r="AD626" s="51"/>
      <c r="AE626" s="51"/>
      <c r="AF626" s="50" t="str">
        <f>IF(A626&lt;&gt;"Yes","No",IF(AND(AC626="Yes",SETTINGS!$B$16="No"),"No","Yes"))</f>
        <v>No</v>
      </c>
      <c r="AG626" s="50" t="str">
        <f>IF(A626&lt;&gt;"Yes","",IF(OR(B626="",D626="",E626&lt;=0,F626="",I626=""),"Check Required Fields",IF(AA626="Possible Duplicate","Possible Duplicate",IF(E626&gt;SETTINGS!$B$22,"Review Extreme Value","OK"))))</f>
        <v/>
      </c>
    </row>
    <row r="627" spans="1:33" ht="14.4">
      <c r="A627" s="9"/>
      <c r="B627" s="13"/>
      <c r="C627" s="9"/>
      <c r="D627" s="9"/>
      <c r="E627" s="11"/>
      <c r="F627" s="9"/>
      <c r="G627" s="9"/>
      <c r="H627" s="44" t="str">
        <f>IF(D627="","",IF(ISNUMBER(SEARCH(SETTINGS!$K$4,D627)),SETTINGS!$L$4,IF(ISNUMBER(SEARCH(SETTINGS!$K$5,D627)),SETTINGS!$L$5,IF(ISNUMBER(SEARCH(SETTINGS!$K$6,D627)),SETTINGS!$L$6,IF(ISNUMBER(SEARCH(SETTINGS!$K$7,D627)),SETTINGS!$L$7,IF(ISNUMBER(SEARCH(SETTINGS!$K$8,D627)),SETTINGS!$L$8,IF(ISNUMBER(SEARCH(SETTINGS!$K$9,D627)),SETTINGS!$L$9,IF(ISNUMBER(SEARCH(SETTINGS!$K$10,D627)),SETTINGS!$L$10,IF(ISNUMBER(SEARCH(SETTINGS!$K$11,D627)),SETTINGS!$L$11,IF(ISNUMBER(SEARCH(SETTINGS!$K$12,D627)),SETTINGS!$L$12,IF(ISNUMBER(SEARCH(SETTINGS!$K$13,D627)),SETTINGS!$L$13,IF(ISNUMBER(SEARCH(SETTINGS!$K$14,D627)),SETTINGS!$L$14,IF(ISNUMBER(SEARCH(SETTINGS!$K$15,D627)),SETTINGS!$L$15,IF(ISNUMBER(SEARCH(SETTINGS!$K$16,D627)),SETTINGS!$L$16,IF(ISNUMBER(SEARCH(SETTINGS!$K$17,D627)),SETTINGS!$L$17,IF(ISNUMBER(SEARCH(SETTINGS!$K$18,D627)),SETTINGS!$L$18,"Miscellaneous"))))))))))))))))</f>
        <v/>
      </c>
      <c r="I627" s="44" t="str">
        <f t="shared" si="72"/>
        <v/>
      </c>
      <c r="J627" s="9"/>
      <c r="K627" s="9"/>
      <c r="L627" s="9"/>
      <c r="M627" s="9"/>
      <c r="N627" s="9"/>
      <c r="O627" s="9"/>
      <c r="P627" s="13"/>
      <c r="Q627" s="9"/>
      <c r="R627" s="9"/>
      <c r="S627" s="9"/>
      <c r="T627" s="11"/>
      <c r="U627" s="44" t="str">
        <f t="shared" si="73"/>
        <v/>
      </c>
      <c r="V627" s="44" t="str">
        <f t="shared" si="74"/>
        <v/>
      </c>
      <c r="W627" s="44" t="str">
        <f t="shared" si="75"/>
        <v/>
      </c>
      <c r="X627" s="44" t="str">
        <f t="shared" si="76"/>
        <v/>
      </c>
      <c r="Y627" s="44" t="str">
        <f t="shared" si="77"/>
        <v/>
      </c>
      <c r="Z627" s="44" t="str">
        <f t="shared" si="78"/>
        <v/>
      </c>
      <c r="AA627" s="50" t="str">
        <f t="shared" si="79"/>
        <v/>
      </c>
      <c r="AB627" s="50" t="str">
        <f>IF(OR(B627="",C627&lt;&gt;"Expense"),"",IF(E627&gt;IFERROR(AVERAGEIFS($E$8:$E$1007,$I$8:$I$1007,I627,$C$8:$C$1007,"Expense")*SETTINGS!$B$20,0),"Unusually High","Normal"))</f>
        <v/>
      </c>
      <c r="AC627" s="51"/>
      <c r="AD627" s="51"/>
      <c r="AE627" s="51"/>
      <c r="AF627" s="50" t="str">
        <f>IF(A627&lt;&gt;"Yes","No",IF(AND(AC627="Yes",SETTINGS!$B$16="No"),"No","Yes"))</f>
        <v>No</v>
      </c>
      <c r="AG627" s="50" t="str">
        <f>IF(A627&lt;&gt;"Yes","",IF(OR(B627="",D627="",E627&lt;=0,F627="",I627=""),"Check Required Fields",IF(AA627="Possible Duplicate","Possible Duplicate",IF(E627&gt;SETTINGS!$B$22,"Review Extreme Value","OK"))))</f>
        <v/>
      </c>
    </row>
    <row r="628" spans="1:33" ht="14.4">
      <c r="A628" s="9"/>
      <c r="B628" s="13"/>
      <c r="C628" s="9"/>
      <c r="D628" s="9"/>
      <c r="E628" s="11"/>
      <c r="F628" s="9"/>
      <c r="G628" s="9"/>
      <c r="H628" s="44" t="str">
        <f>IF(D628="","",IF(ISNUMBER(SEARCH(SETTINGS!$K$4,D628)),SETTINGS!$L$4,IF(ISNUMBER(SEARCH(SETTINGS!$K$5,D628)),SETTINGS!$L$5,IF(ISNUMBER(SEARCH(SETTINGS!$K$6,D628)),SETTINGS!$L$6,IF(ISNUMBER(SEARCH(SETTINGS!$K$7,D628)),SETTINGS!$L$7,IF(ISNUMBER(SEARCH(SETTINGS!$K$8,D628)),SETTINGS!$L$8,IF(ISNUMBER(SEARCH(SETTINGS!$K$9,D628)),SETTINGS!$L$9,IF(ISNUMBER(SEARCH(SETTINGS!$K$10,D628)),SETTINGS!$L$10,IF(ISNUMBER(SEARCH(SETTINGS!$K$11,D628)),SETTINGS!$L$11,IF(ISNUMBER(SEARCH(SETTINGS!$K$12,D628)),SETTINGS!$L$12,IF(ISNUMBER(SEARCH(SETTINGS!$K$13,D628)),SETTINGS!$L$13,IF(ISNUMBER(SEARCH(SETTINGS!$K$14,D628)),SETTINGS!$L$14,IF(ISNUMBER(SEARCH(SETTINGS!$K$15,D628)),SETTINGS!$L$15,IF(ISNUMBER(SEARCH(SETTINGS!$K$16,D628)),SETTINGS!$L$16,IF(ISNUMBER(SEARCH(SETTINGS!$K$17,D628)),SETTINGS!$L$17,IF(ISNUMBER(SEARCH(SETTINGS!$K$18,D628)),SETTINGS!$L$18,"Miscellaneous"))))))))))))))))</f>
        <v/>
      </c>
      <c r="I628" s="44" t="str">
        <f t="shared" si="72"/>
        <v/>
      </c>
      <c r="J628" s="9"/>
      <c r="K628" s="9"/>
      <c r="L628" s="9"/>
      <c r="M628" s="9"/>
      <c r="N628" s="9"/>
      <c r="O628" s="9"/>
      <c r="P628" s="13"/>
      <c r="Q628" s="9"/>
      <c r="R628" s="9"/>
      <c r="S628" s="9"/>
      <c r="T628" s="11"/>
      <c r="U628" s="44" t="str">
        <f t="shared" si="73"/>
        <v/>
      </c>
      <c r="V628" s="44" t="str">
        <f t="shared" si="74"/>
        <v/>
      </c>
      <c r="W628" s="44" t="str">
        <f t="shared" si="75"/>
        <v/>
      </c>
      <c r="X628" s="44" t="str">
        <f t="shared" si="76"/>
        <v/>
      </c>
      <c r="Y628" s="44" t="str">
        <f t="shared" si="77"/>
        <v/>
      </c>
      <c r="Z628" s="44" t="str">
        <f t="shared" si="78"/>
        <v/>
      </c>
      <c r="AA628" s="50" t="str">
        <f t="shared" si="79"/>
        <v/>
      </c>
      <c r="AB628" s="50" t="str">
        <f>IF(OR(B628="",C628&lt;&gt;"Expense"),"",IF(E628&gt;IFERROR(AVERAGEIFS($E$8:$E$1007,$I$8:$I$1007,I628,$C$8:$C$1007,"Expense")*SETTINGS!$B$20,0),"Unusually High","Normal"))</f>
        <v/>
      </c>
      <c r="AC628" s="51"/>
      <c r="AD628" s="51"/>
      <c r="AE628" s="51"/>
      <c r="AF628" s="50" t="str">
        <f>IF(A628&lt;&gt;"Yes","No",IF(AND(AC628="Yes",SETTINGS!$B$16="No"),"No","Yes"))</f>
        <v>No</v>
      </c>
      <c r="AG628" s="50" t="str">
        <f>IF(A628&lt;&gt;"Yes","",IF(OR(B628="",D628="",E628&lt;=0,F628="",I628=""),"Check Required Fields",IF(AA628="Possible Duplicate","Possible Duplicate",IF(E628&gt;SETTINGS!$B$22,"Review Extreme Value","OK"))))</f>
        <v/>
      </c>
    </row>
    <row r="629" spans="1:33" ht="14.4">
      <c r="A629" s="9"/>
      <c r="B629" s="13"/>
      <c r="C629" s="9"/>
      <c r="D629" s="9"/>
      <c r="E629" s="11"/>
      <c r="F629" s="9"/>
      <c r="G629" s="9"/>
      <c r="H629" s="44" t="str">
        <f>IF(D629="","",IF(ISNUMBER(SEARCH(SETTINGS!$K$4,D629)),SETTINGS!$L$4,IF(ISNUMBER(SEARCH(SETTINGS!$K$5,D629)),SETTINGS!$L$5,IF(ISNUMBER(SEARCH(SETTINGS!$K$6,D629)),SETTINGS!$L$6,IF(ISNUMBER(SEARCH(SETTINGS!$K$7,D629)),SETTINGS!$L$7,IF(ISNUMBER(SEARCH(SETTINGS!$K$8,D629)),SETTINGS!$L$8,IF(ISNUMBER(SEARCH(SETTINGS!$K$9,D629)),SETTINGS!$L$9,IF(ISNUMBER(SEARCH(SETTINGS!$K$10,D629)),SETTINGS!$L$10,IF(ISNUMBER(SEARCH(SETTINGS!$K$11,D629)),SETTINGS!$L$11,IF(ISNUMBER(SEARCH(SETTINGS!$K$12,D629)),SETTINGS!$L$12,IF(ISNUMBER(SEARCH(SETTINGS!$K$13,D629)),SETTINGS!$L$13,IF(ISNUMBER(SEARCH(SETTINGS!$K$14,D629)),SETTINGS!$L$14,IF(ISNUMBER(SEARCH(SETTINGS!$K$15,D629)),SETTINGS!$L$15,IF(ISNUMBER(SEARCH(SETTINGS!$K$16,D629)),SETTINGS!$L$16,IF(ISNUMBER(SEARCH(SETTINGS!$K$17,D629)),SETTINGS!$L$17,IF(ISNUMBER(SEARCH(SETTINGS!$K$18,D629)),SETTINGS!$L$18,"Miscellaneous"))))))))))))))))</f>
        <v/>
      </c>
      <c r="I629" s="44" t="str">
        <f t="shared" si="72"/>
        <v/>
      </c>
      <c r="J629" s="9"/>
      <c r="K629" s="9"/>
      <c r="L629" s="9"/>
      <c r="M629" s="9"/>
      <c r="N629" s="9"/>
      <c r="O629" s="9"/>
      <c r="P629" s="13"/>
      <c r="Q629" s="9"/>
      <c r="R629" s="9"/>
      <c r="S629" s="9"/>
      <c r="T629" s="11"/>
      <c r="U629" s="44" t="str">
        <f t="shared" si="73"/>
        <v/>
      </c>
      <c r="V629" s="44" t="str">
        <f t="shared" si="74"/>
        <v/>
      </c>
      <c r="W629" s="44" t="str">
        <f t="shared" si="75"/>
        <v/>
      </c>
      <c r="X629" s="44" t="str">
        <f t="shared" si="76"/>
        <v/>
      </c>
      <c r="Y629" s="44" t="str">
        <f t="shared" si="77"/>
        <v/>
      </c>
      <c r="Z629" s="44" t="str">
        <f t="shared" si="78"/>
        <v/>
      </c>
      <c r="AA629" s="50" t="str">
        <f t="shared" si="79"/>
        <v/>
      </c>
      <c r="AB629" s="50" t="str">
        <f>IF(OR(B629="",C629&lt;&gt;"Expense"),"",IF(E629&gt;IFERROR(AVERAGEIFS($E$8:$E$1007,$I$8:$I$1007,I629,$C$8:$C$1007,"Expense")*SETTINGS!$B$20,0),"Unusually High","Normal"))</f>
        <v/>
      </c>
      <c r="AC629" s="51"/>
      <c r="AD629" s="51"/>
      <c r="AE629" s="51"/>
      <c r="AF629" s="50" t="str">
        <f>IF(A629&lt;&gt;"Yes","No",IF(AND(AC629="Yes",SETTINGS!$B$16="No"),"No","Yes"))</f>
        <v>No</v>
      </c>
      <c r="AG629" s="50" t="str">
        <f>IF(A629&lt;&gt;"Yes","",IF(OR(B629="",D629="",E629&lt;=0,F629="",I629=""),"Check Required Fields",IF(AA629="Possible Duplicate","Possible Duplicate",IF(E629&gt;SETTINGS!$B$22,"Review Extreme Value","OK"))))</f>
        <v/>
      </c>
    </row>
    <row r="630" spans="1:33" ht="14.4">
      <c r="A630" s="9"/>
      <c r="B630" s="13"/>
      <c r="C630" s="9"/>
      <c r="D630" s="9"/>
      <c r="E630" s="11"/>
      <c r="F630" s="9"/>
      <c r="G630" s="9"/>
      <c r="H630" s="44" t="str">
        <f>IF(D630="","",IF(ISNUMBER(SEARCH(SETTINGS!$K$4,D630)),SETTINGS!$L$4,IF(ISNUMBER(SEARCH(SETTINGS!$K$5,D630)),SETTINGS!$L$5,IF(ISNUMBER(SEARCH(SETTINGS!$K$6,D630)),SETTINGS!$L$6,IF(ISNUMBER(SEARCH(SETTINGS!$K$7,D630)),SETTINGS!$L$7,IF(ISNUMBER(SEARCH(SETTINGS!$K$8,D630)),SETTINGS!$L$8,IF(ISNUMBER(SEARCH(SETTINGS!$K$9,D630)),SETTINGS!$L$9,IF(ISNUMBER(SEARCH(SETTINGS!$K$10,D630)),SETTINGS!$L$10,IF(ISNUMBER(SEARCH(SETTINGS!$K$11,D630)),SETTINGS!$L$11,IF(ISNUMBER(SEARCH(SETTINGS!$K$12,D630)),SETTINGS!$L$12,IF(ISNUMBER(SEARCH(SETTINGS!$K$13,D630)),SETTINGS!$L$13,IF(ISNUMBER(SEARCH(SETTINGS!$K$14,D630)),SETTINGS!$L$14,IF(ISNUMBER(SEARCH(SETTINGS!$K$15,D630)),SETTINGS!$L$15,IF(ISNUMBER(SEARCH(SETTINGS!$K$16,D630)),SETTINGS!$L$16,IF(ISNUMBER(SEARCH(SETTINGS!$K$17,D630)),SETTINGS!$L$17,IF(ISNUMBER(SEARCH(SETTINGS!$K$18,D630)),SETTINGS!$L$18,"Miscellaneous"))))))))))))))))</f>
        <v/>
      </c>
      <c r="I630" s="44" t="str">
        <f t="shared" si="72"/>
        <v/>
      </c>
      <c r="J630" s="9"/>
      <c r="K630" s="9"/>
      <c r="L630" s="9"/>
      <c r="M630" s="9"/>
      <c r="N630" s="9"/>
      <c r="O630" s="9"/>
      <c r="P630" s="13"/>
      <c r="Q630" s="9"/>
      <c r="R630" s="9"/>
      <c r="S630" s="9"/>
      <c r="T630" s="11"/>
      <c r="U630" s="44" t="str">
        <f t="shared" si="73"/>
        <v/>
      </c>
      <c r="V630" s="44" t="str">
        <f t="shared" si="74"/>
        <v/>
      </c>
      <c r="W630" s="44" t="str">
        <f t="shared" si="75"/>
        <v/>
      </c>
      <c r="X630" s="44" t="str">
        <f t="shared" si="76"/>
        <v/>
      </c>
      <c r="Y630" s="44" t="str">
        <f t="shared" si="77"/>
        <v/>
      </c>
      <c r="Z630" s="44" t="str">
        <f t="shared" si="78"/>
        <v/>
      </c>
      <c r="AA630" s="50" t="str">
        <f t="shared" si="79"/>
        <v/>
      </c>
      <c r="AB630" s="50" t="str">
        <f>IF(OR(B630="",C630&lt;&gt;"Expense"),"",IF(E630&gt;IFERROR(AVERAGEIFS($E$8:$E$1007,$I$8:$I$1007,I630,$C$8:$C$1007,"Expense")*SETTINGS!$B$20,0),"Unusually High","Normal"))</f>
        <v/>
      </c>
      <c r="AC630" s="51"/>
      <c r="AD630" s="51"/>
      <c r="AE630" s="51"/>
      <c r="AF630" s="50" t="str">
        <f>IF(A630&lt;&gt;"Yes","No",IF(AND(AC630="Yes",SETTINGS!$B$16="No"),"No","Yes"))</f>
        <v>No</v>
      </c>
      <c r="AG630" s="50" t="str">
        <f>IF(A630&lt;&gt;"Yes","",IF(OR(B630="",D630="",E630&lt;=0,F630="",I630=""),"Check Required Fields",IF(AA630="Possible Duplicate","Possible Duplicate",IF(E630&gt;SETTINGS!$B$22,"Review Extreme Value","OK"))))</f>
        <v/>
      </c>
    </row>
    <row r="631" spans="1:33" ht="14.4">
      <c r="A631" s="9"/>
      <c r="B631" s="13"/>
      <c r="C631" s="9"/>
      <c r="D631" s="9"/>
      <c r="E631" s="11"/>
      <c r="F631" s="9"/>
      <c r="G631" s="9"/>
      <c r="H631" s="44" t="str">
        <f>IF(D631="","",IF(ISNUMBER(SEARCH(SETTINGS!$K$4,D631)),SETTINGS!$L$4,IF(ISNUMBER(SEARCH(SETTINGS!$K$5,D631)),SETTINGS!$L$5,IF(ISNUMBER(SEARCH(SETTINGS!$K$6,D631)),SETTINGS!$L$6,IF(ISNUMBER(SEARCH(SETTINGS!$K$7,D631)),SETTINGS!$L$7,IF(ISNUMBER(SEARCH(SETTINGS!$K$8,D631)),SETTINGS!$L$8,IF(ISNUMBER(SEARCH(SETTINGS!$K$9,D631)),SETTINGS!$L$9,IF(ISNUMBER(SEARCH(SETTINGS!$K$10,D631)),SETTINGS!$L$10,IF(ISNUMBER(SEARCH(SETTINGS!$K$11,D631)),SETTINGS!$L$11,IF(ISNUMBER(SEARCH(SETTINGS!$K$12,D631)),SETTINGS!$L$12,IF(ISNUMBER(SEARCH(SETTINGS!$K$13,D631)),SETTINGS!$L$13,IF(ISNUMBER(SEARCH(SETTINGS!$K$14,D631)),SETTINGS!$L$14,IF(ISNUMBER(SEARCH(SETTINGS!$K$15,D631)),SETTINGS!$L$15,IF(ISNUMBER(SEARCH(SETTINGS!$K$16,D631)),SETTINGS!$L$16,IF(ISNUMBER(SEARCH(SETTINGS!$K$17,D631)),SETTINGS!$L$17,IF(ISNUMBER(SEARCH(SETTINGS!$K$18,D631)),SETTINGS!$L$18,"Miscellaneous"))))))))))))))))</f>
        <v/>
      </c>
      <c r="I631" s="44" t="str">
        <f t="shared" si="72"/>
        <v/>
      </c>
      <c r="J631" s="9"/>
      <c r="K631" s="9"/>
      <c r="L631" s="9"/>
      <c r="M631" s="9"/>
      <c r="N631" s="9"/>
      <c r="O631" s="9"/>
      <c r="P631" s="13"/>
      <c r="Q631" s="9"/>
      <c r="R631" s="9"/>
      <c r="S631" s="9"/>
      <c r="T631" s="11"/>
      <c r="U631" s="44" t="str">
        <f t="shared" si="73"/>
        <v/>
      </c>
      <c r="V631" s="44" t="str">
        <f t="shared" si="74"/>
        <v/>
      </c>
      <c r="W631" s="44" t="str">
        <f t="shared" si="75"/>
        <v/>
      </c>
      <c r="X631" s="44" t="str">
        <f t="shared" si="76"/>
        <v/>
      </c>
      <c r="Y631" s="44" t="str">
        <f t="shared" si="77"/>
        <v/>
      </c>
      <c r="Z631" s="44" t="str">
        <f t="shared" si="78"/>
        <v/>
      </c>
      <c r="AA631" s="50" t="str">
        <f t="shared" si="79"/>
        <v/>
      </c>
      <c r="AB631" s="50" t="str">
        <f>IF(OR(B631="",C631&lt;&gt;"Expense"),"",IF(E631&gt;IFERROR(AVERAGEIFS($E$8:$E$1007,$I$8:$I$1007,I631,$C$8:$C$1007,"Expense")*SETTINGS!$B$20,0),"Unusually High","Normal"))</f>
        <v/>
      </c>
      <c r="AC631" s="51"/>
      <c r="AD631" s="51"/>
      <c r="AE631" s="51"/>
      <c r="AF631" s="50" t="str">
        <f>IF(A631&lt;&gt;"Yes","No",IF(AND(AC631="Yes",SETTINGS!$B$16="No"),"No","Yes"))</f>
        <v>No</v>
      </c>
      <c r="AG631" s="50" t="str">
        <f>IF(A631&lt;&gt;"Yes","",IF(OR(B631="",D631="",E631&lt;=0,F631="",I631=""),"Check Required Fields",IF(AA631="Possible Duplicate","Possible Duplicate",IF(E631&gt;SETTINGS!$B$22,"Review Extreme Value","OK"))))</f>
        <v/>
      </c>
    </row>
    <row r="632" spans="1:33" ht="14.4">
      <c r="A632" s="9"/>
      <c r="B632" s="13"/>
      <c r="C632" s="9"/>
      <c r="D632" s="9"/>
      <c r="E632" s="11"/>
      <c r="F632" s="9"/>
      <c r="G632" s="9"/>
      <c r="H632" s="44" t="str">
        <f>IF(D632="","",IF(ISNUMBER(SEARCH(SETTINGS!$K$4,D632)),SETTINGS!$L$4,IF(ISNUMBER(SEARCH(SETTINGS!$K$5,D632)),SETTINGS!$L$5,IF(ISNUMBER(SEARCH(SETTINGS!$K$6,D632)),SETTINGS!$L$6,IF(ISNUMBER(SEARCH(SETTINGS!$K$7,D632)),SETTINGS!$L$7,IF(ISNUMBER(SEARCH(SETTINGS!$K$8,D632)),SETTINGS!$L$8,IF(ISNUMBER(SEARCH(SETTINGS!$K$9,D632)),SETTINGS!$L$9,IF(ISNUMBER(SEARCH(SETTINGS!$K$10,D632)),SETTINGS!$L$10,IF(ISNUMBER(SEARCH(SETTINGS!$K$11,D632)),SETTINGS!$L$11,IF(ISNUMBER(SEARCH(SETTINGS!$K$12,D632)),SETTINGS!$L$12,IF(ISNUMBER(SEARCH(SETTINGS!$K$13,D632)),SETTINGS!$L$13,IF(ISNUMBER(SEARCH(SETTINGS!$K$14,D632)),SETTINGS!$L$14,IF(ISNUMBER(SEARCH(SETTINGS!$K$15,D632)),SETTINGS!$L$15,IF(ISNUMBER(SEARCH(SETTINGS!$K$16,D632)),SETTINGS!$L$16,IF(ISNUMBER(SEARCH(SETTINGS!$K$17,D632)),SETTINGS!$L$17,IF(ISNUMBER(SEARCH(SETTINGS!$K$18,D632)),SETTINGS!$L$18,"Miscellaneous"))))))))))))))))</f>
        <v/>
      </c>
      <c r="I632" s="44" t="str">
        <f t="shared" si="72"/>
        <v/>
      </c>
      <c r="J632" s="9"/>
      <c r="K632" s="9"/>
      <c r="L632" s="9"/>
      <c r="M632" s="9"/>
      <c r="N632" s="9"/>
      <c r="O632" s="9"/>
      <c r="P632" s="13"/>
      <c r="Q632" s="9"/>
      <c r="R632" s="9"/>
      <c r="S632" s="9"/>
      <c r="T632" s="11"/>
      <c r="U632" s="44" t="str">
        <f t="shared" si="73"/>
        <v/>
      </c>
      <c r="V632" s="44" t="str">
        <f t="shared" si="74"/>
        <v/>
      </c>
      <c r="W632" s="44" t="str">
        <f t="shared" si="75"/>
        <v/>
      </c>
      <c r="X632" s="44" t="str">
        <f t="shared" si="76"/>
        <v/>
      </c>
      <c r="Y632" s="44" t="str">
        <f t="shared" si="77"/>
        <v/>
      </c>
      <c r="Z632" s="44" t="str">
        <f t="shared" si="78"/>
        <v/>
      </c>
      <c r="AA632" s="50" t="str">
        <f t="shared" si="79"/>
        <v/>
      </c>
      <c r="AB632" s="50" t="str">
        <f>IF(OR(B632="",C632&lt;&gt;"Expense"),"",IF(E632&gt;IFERROR(AVERAGEIFS($E$8:$E$1007,$I$8:$I$1007,I632,$C$8:$C$1007,"Expense")*SETTINGS!$B$20,0),"Unusually High","Normal"))</f>
        <v/>
      </c>
      <c r="AC632" s="51"/>
      <c r="AD632" s="51"/>
      <c r="AE632" s="51"/>
      <c r="AF632" s="50" t="str">
        <f>IF(A632&lt;&gt;"Yes","No",IF(AND(AC632="Yes",SETTINGS!$B$16="No"),"No","Yes"))</f>
        <v>No</v>
      </c>
      <c r="AG632" s="50" t="str">
        <f>IF(A632&lt;&gt;"Yes","",IF(OR(B632="",D632="",E632&lt;=0,F632="",I632=""),"Check Required Fields",IF(AA632="Possible Duplicate","Possible Duplicate",IF(E632&gt;SETTINGS!$B$22,"Review Extreme Value","OK"))))</f>
        <v/>
      </c>
    </row>
    <row r="633" spans="1:33" ht="14.4">
      <c r="A633" s="9"/>
      <c r="B633" s="13"/>
      <c r="C633" s="9"/>
      <c r="D633" s="9"/>
      <c r="E633" s="11"/>
      <c r="F633" s="9"/>
      <c r="G633" s="9"/>
      <c r="H633" s="44" t="str">
        <f>IF(D633="","",IF(ISNUMBER(SEARCH(SETTINGS!$K$4,D633)),SETTINGS!$L$4,IF(ISNUMBER(SEARCH(SETTINGS!$K$5,D633)),SETTINGS!$L$5,IF(ISNUMBER(SEARCH(SETTINGS!$K$6,D633)),SETTINGS!$L$6,IF(ISNUMBER(SEARCH(SETTINGS!$K$7,D633)),SETTINGS!$L$7,IF(ISNUMBER(SEARCH(SETTINGS!$K$8,D633)),SETTINGS!$L$8,IF(ISNUMBER(SEARCH(SETTINGS!$K$9,D633)),SETTINGS!$L$9,IF(ISNUMBER(SEARCH(SETTINGS!$K$10,D633)),SETTINGS!$L$10,IF(ISNUMBER(SEARCH(SETTINGS!$K$11,D633)),SETTINGS!$L$11,IF(ISNUMBER(SEARCH(SETTINGS!$K$12,D633)),SETTINGS!$L$12,IF(ISNUMBER(SEARCH(SETTINGS!$K$13,D633)),SETTINGS!$L$13,IF(ISNUMBER(SEARCH(SETTINGS!$K$14,D633)),SETTINGS!$L$14,IF(ISNUMBER(SEARCH(SETTINGS!$K$15,D633)),SETTINGS!$L$15,IF(ISNUMBER(SEARCH(SETTINGS!$K$16,D633)),SETTINGS!$L$16,IF(ISNUMBER(SEARCH(SETTINGS!$K$17,D633)),SETTINGS!$L$17,IF(ISNUMBER(SEARCH(SETTINGS!$K$18,D633)),SETTINGS!$L$18,"Miscellaneous"))))))))))))))))</f>
        <v/>
      </c>
      <c r="I633" s="44" t="str">
        <f t="shared" si="72"/>
        <v/>
      </c>
      <c r="J633" s="9"/>
      <c r="K633" s="9"/>
      <c r="L633" s="9"/>
      <c r="M633" s="9"/>
      <c r="N633" s="9"/>
      <c r="O633" s="9"/>
      <c r="P633" s="13"/>
      <c r="Q633" s="9"/>
      <c r="R633" s="9"/>
      <c r="S633" s="9"/>
      <c r="T633" s="11"/>
      <c r="U633" s="44" t="str">
        <f t="shared" si="73"/>
        <v/>
      </c>
      <c r="V633" s="44" t="str">
        <f t="shared" si="74"/>
        <v/>
      </c>
      <c r="W633" s="44" t="str">
        <f t="shared" si="75"/>
        <v/>
      </c>
      <c r="X633" s="44" t="str">
        <f t="shared" si="76"/>
        <v/>
      </c>
      <c r="Y633" s="44" t="str">
        <f t="shared" si="77"/>
        <v/>
      </c>
      <c r="Z633" s="44" t="str">
        <f t="shared" si="78"/>
        <v/>
      </c>
      <c r="AA633" s="50" t="str">
        <f t="shared" si="79"/>
        <v/>
      </c>
      <c r="AB633" s="50" t="str">
        <f>IF(OR(B633="",C633&lt;&gt;"Expense"),"",IF(E633&gt;IFERROR(AVERAGEIFS($E$8:$E$1007,$I$8:$I$1007,I633,$C$8:$C$1007,"Expense")*SETTINGS!$B$20,0),"Unusually High","Normal"))</f>
        <v/>
      </c>
      <c r="AC633" s="51"/>
      <c r="AD633" s="51"/>
      <c r="AE633" s="51"/>
      <c r="AF633" s="50" t="str">
        <f>IF(A633&lt;&gt;"Yes","No",IF(AND(AC633="Yes",SETTINGS!$B$16="No"),"No","Yes"))</f>
        <v>No</v>
      </c>
      <c r="AG633" s="50" t="str">
        <f>IF(A633&lt;&gt;"Yes","",IF(OR(B633="",D633="",E633&lt;=0,F633="",I633=""),"Check Required Fields",IF(AA633="Possible Duplicate","Possible Duplicate",IF(E633&gt;SETTINGS!$B$22,"Review Extreme Value","OK"))))</f>
        <v/>
      </c>
    </row>
    <row r="634" spans="1:33" ht="14.4">
      <c r="A634" s="9"/>
      <c r="B634" s="13"/>
      <c r="C634" s="9"/>
      <c r="D634" s="9"/>
      <c r="E634" s="11"/>
      <c r="F634" s="9"/>
      <c r="G634" s="9"/>
      <c r="H634" s="44" t="str">
        <f>IF(D634="","",IF(ISNUMBER(SEARCH(SETTINGS!$K$4,D634)),SETTINGS!$L$4,IF(ISNUMBER(SEARCH(SETTINGS!$K$5,D634)),SETTINGS!$L$5,IF(ISNUMBER(SEARCH(SETTINGS!$K$6,D634)),SETTINGS!$L$6,IF(ISNUMBER(SEARCH(SETTINGS!$K$7,D634)),SETTINGS!$L$7,IF(ISNUMBER(SEARCH(SETTINGS!$K$8,D634)),SETTINGS!$L$8,IF(ISNUMBER(SEARCH(SETTINGS!$K$9,D634)),SETTINGS!$L$9,IF(ISNUMBER(SEARCH(SETTINGS!$K$10,D634)),SETTINGS!$L$10,IF(ISNUMBER(SEARCH(SETTINGS!$K$11,D634)),SETTINGS!$L$11,IF(ISNUMBER(SEARCH(SETTINGS!$K$12,D634)),SETTINGS!$L$12,IF(ISNUMBER(SEARCH(SETTINGS!$K$13,D634)),SETTINGS!$L$13,IF(ISNUMBER(SEARCH(SETTINGS!$K$14,D634)),SETTINGS!$L$14,IF(ISNUMBER(SEARCH(SETTINGS!$K$15,D634)),SETTINGS!$L$15,IF(ISNUMBER(SEARCH(SETTINGS!$K$16,D634)),SETTINGS!$L$16,IF(ISNUMBER(SEARCH(SETTINGS!$K$17,D634)),SETTINGS!$L$17,IF(ISNUMBER(SEARCH(SETTINGS!$K$18,D634)),SETTINGS!$L$18,"Miscellaneous"))))))))))))))))</f>
        <v/>
      </c>
      <c r="I634" s="44" t="str">
        <f t="shared" si="72"/>
        <v/>
      </c>
      <c r="J634" s="9"/>
      <c r="K634" s="9"/>
      <c r="L634" s="9"/>
      <c r="M634" s="9"/>
      <c r="N634" s="9"/>
      <c r="O634" s="9"/>
      <c r="P634" s="13"/>
      <c r="Q634" s="9"/>
      <c r="R634" s="9"/>
      <c r="S634" s="9"/>
      <c r="T634" s="11"/>
      <c r="U634" s="44" t="str">
        <f t="shared" si="73"/>
        <v/>
      </c>
      <c r="V634" s="44" t="str">
        <f t="shared" si="74"/>
        <v/>
      </c>
      <c r="W634" s="44" t="str">
        <f t="shared" si="75"/>
        <v/>
      </c>
      <c r="X634" s="44" t="str">
        <f t="shared" si="76"/>
        <v/>
      </c>
      <c r="Y634" s="44" t="str">
        <f t="shared" si="77"/>
        <v/>
      </c>
      <c r="Z634" s="44" t="str">
        <f t="shared" si="78"/>
        <v/>
      </c>
      <c r="AA634" s="50" t="str">
        <f t="shared" si="79"/>
        <v/>
      </c>
      <c r="AB634" s="50" t="str">
        <f>IF(OR(B634="",C634&lt;&gt;"Expense"),"",IF(E634&gt;IFERROR(AVERAGEIFS($E$8:$E$1007,$I$8:$I$1007,I634,$C$8:$C$1007,"Expense")*SETTINGS!$B$20,0),"Unusually High","Normal"))</f>
        <v/>
      </c>
      <c r="AC634" s="51"/>
      <c r="AD634" s="51"/>
      <c r="AE634" s="51"/>
      <c r="AF634" s="50" t="str">
        <f>IF(A634&lt;&gt;"Yes","No",IF(AND(AC634="Yes",SETTINGS!$B$16="No"),"No","Yes"))</f>
        <v>No</v>
      </c>
      <c r="AG634" s="50" t="str">
        <f>IF(A634&lt;&gt;"Yes","",IF(OR(B634="",D634="",E634&lt;=0,F634="",I634=""),"Check Required Fields",IF(AA634="Possible Duplicate","Possible Duplicate",IF(E634&gt;SETTINGS!$B$22,"Review Extreme Value","OK"))))</f>
        <v/>
      </c>
    </row>
    <row r="635" spans="1:33" ht="14.4">
      <c r="A635" s="9"/>
      <c r="B635" s="13"/>
      <c r="C635" s="9"/>
      <c r="D635" s="9"/>
      <c r="E635" s="11"/>
      <c r="F635" s="9"/>
      <c r="G635" s="9"/>
      <c r="H635" s="44" t="str">
        <f>IF(D635="","",IF(ISNUMBER(SEARCH(SETTINGS!$K$4,D635)),SETTINGS!$L$4,IF(ISNUMBER(SEARCH(SETTINGS!$K$5,D635)),SETTINGS!$L$5,IF(ISNUMBER(SEARCH(SETTINGS!$K$6,D635)),SETTINGS!$L$6,IF(ISNUMBER(SEARCH(SETTINGS!$K$7,D635)),SETTINGS!$L$7,IF(ISNUMBER(SEARCH(SETTINGS!$K$8,D635)),SETTINGS!$L$8,IF(ISNUMBER(SEARCH(SETTINGS!$K$9,D635)),SETTINGS!$L$9,IF(ISNUMBER(SEARCH(SETTINGS!$K$10,D635)),SETTINGS!$L$10,IF(ISNUMBER(SEARCH(SETTINGS!$K$11,D635)),SETTINGS!$L$11,IF(ISNUMBER(SEARCH(SETTINGS!$K$12,D635)),SETTINGS!$L$12,IF(ISNUMBER(SEARCH(SETTINGS!$K$13,D635)),SETTINGS!$L$13,IF(ISNUMBER(SEARCH(SETTINGS!$K$14,D635)),SETTINGS!$L$14,IF(ISNUMBER(SEARCH(SETTINGS!$K$15,D635)),SETTINGS!$L$15,IF(ISNUMBER(SEARCH(SETTINGS!$K$16,D635)),SETTINGS!$L$16,IF(ISNUMBER(SEARCH(SETTINGS!$K$17,D635)),SETTINGS!$L$17,IF(ISNUMBER(SEARCH(SETTINGS!$K$18,D635)),SETTINGS!$L$18,"Miscellaneous"))))))))))))))))</f>
        <v/>
      </c>
      <c r="I635" s="44" t="str">
        <f t="shared" si="72"/>
        <v/>
      </c>
      <c r="J635" s="9"/>
      <c r="K635" s="9"/>
      <c r="L635" s="9"/>
      <c r="M635" s="9"/>
      <c r="N635" s="9"/>
      <c r="O635" s="9"/>
      <c r="P635" s="13"/>
      <c r="Q635" s="9"/>
      <c r="R635" s="9"/>
      <c r="S635" s="9"/>
      <c r="T635" s="11"/>
      <c r="U635" s="44" t="str">
        <f t="shared" si="73"/>
        <v/>
      </c>
      <c r="V635" s="44" t="str">
        <f t="shared" si="74"/>
        <v/>
      </c>
      <c r="W635" s="44" t="str">
        <f t="shared" si="75"/>
        <v/>
      </c>
      <c r="X635" s="44" t="str">
        <f t="shared" si="76"/>
        <v/>
      </c>
      <c r="Y635" s="44" t="str">
        <f t="shared" si="77"/>
        <v/>
      </c>
      <c r="Z635" s="44" t="str">
        <f t="shared" si="78"/>
        <v/>
      </c>
      <c r="AA635" s="50" t="str">
        <f t="shared" si="79"/>
        <v/>
      </c>
      <c r="AB635" s="50" t="str">
        <f>IF(OR(B635="",C635&lt;&gt;"Expense"),"",IF(E635&gt;IFERROR(AVERAGEIFS($E$8:$E$1007,$I$8:$I$1007,I635,$C$8:$C$1007,"Expense")*SETTINGS!$B$20,0),"Unusually High","Normal"))</f>
        <v/>
      </c>
      <c r="AC635" s="51"/>
      <c r="AD635" s="51"/>
      <c r="AE635" s="51"/>
      <c r="AF635" s="50" t="str">
        <f>IF(A635&lt;&gt;"Yes","No",IF(AND(AC635="Yes",SETTINGS!$B$16="No"),"No","Yes"))</f>
        <v>No</v>
      </c>
      <c r="AG635" s="50" t="str">
        <f>IF(A635&lt;&gt;"Yes","",IF(OR(B635="",D635="",E635&lt;=0,F635="",I635=""),"Check Required Fields",IF(AA635="Possible Duplicate","Possible Duplicate",IF(E635&gt;SETTINGS!$B$22,"Review Extreme Value","OK"))))</f>
        <v/>
      </c>
    </row>
    <row r="636" spans="1:33" ht="14.4">
      <c r="A636" s="9"/>
      <c r="B636" s="13"/>
      <c r="C636" s="9"/>
      <c r="D636" s="9"/>
      <c r="E636" s="11"/>
      <c r="F636" s="9"/>
      <c r="G636" s="9"/>
      <c r="H636" s="44" t="str">
        <f>IF(D636="","",IF(ISNUMBER(SEARCH(SETTINGS!$K$4,D636)),SETTINGS!$L$4,IF(ISNUMBER(SEARCH(SETTINGS!$K$5,D636)),SETTINGS!$L$5,IF(ISNUMBER(SEARCH(SETTINGS!$K$6,D636)),SETTINGS!$L$6,IF(ISNUMBER(SEARCH(SETTINGS!$K$7,D636)),SETTINGS!$L$7,IF(ISNUMBER(SEARCH(SETTINGS!$K$8,D636)),SETTINGS!$L$8,IF(ISNUMBER(SEARCH(SETTINGS!$K$9,D636)),SETTINGS!$L$9,IF(ISNUMBER(SEARCH(SETTINGS!$K$10,D636)),SETTINGS!$L$10,IF(ISNUMBER(SEARCH(SETTINGS!$K$11,D636)),SETTINGS!$L$11,IF(ISNUMBER(SEARCH(SETTINGS!$K$12,D636)),SETTINGS!$L$12,IF(ISNUMBER(SEARCH(SETTINGS!$K$13,D636)),SETTINGS!$L$13,IF(ISNUMBER(SEARCH(SETTINGS!$K$14,D636)),SETTINGS!$L$14,IF(ISNUMBER(SEARCH(SETTINGS!$K$15,D636)),SETTINGS!$L$15,IF(ISNUMBER(SEARCH(SETTINGS!$K$16,D636)),SETTINGS!$L$16,IF(ISNUMBER(SEARCH(SETTINGS!$K$17,D636)),SETTINGS!$L$17,IF(ISNUMBER(SEARCH(SETTINGS!$K$18,D636)),SETTINGS!$L$18,"Miscellaneous"))))))))))))))))</f>
        <v/>
      </c>
      <c r="I636" s="44" t="str">
        <f t="shared" si="72"/>
        <v/>
      </c>
      <c r="J636" s="9"/>
      <c r="K636" s="9"/>
      <c r="L636" s="9"/>
      <c r="M636" s="9"/>
      <c r="N636" s="9"/>
      <c r="O636" s="9"/>
      <c r="P636" s="13"/>
      <c r="Q636" s="9"/>
      <c r="R636" s="9"/>
      <c r="S636" s="9"/>
      <c r="T636" s="11"/>
      <c r="U636" s="44" t="str">
        <f t="shared" si="73"/>
        <v/>
      </c>
      <c r="V636" s="44" t="str">
        <f t="shared" si="74"/>
        <v/>
      </c>
      <c r="W636" s="44" t="str">
        <f t="shared" si="75"/>
        <v/>
      </c>
      <c r="X636" s="44" t="str">
        <f t="shared" si="76"/>
        <v/>
      </c>
      <c r="Y636" s="44" t="str">
        <f t="shared" si="77"/>
        <v/>
      </c>
      <c r="Z636" s="44" t="str">
        <f t="shared" si="78"/>
        <v/>
      </c>
      <c r="AA636" s="50" t="str">
        <f t="shared" si="79"/>
        <v/>
      </c>
      <c r="AB636" s="50" t="str">
        <f>IF(OR(B636="",C636&lt;&gt;"Expense"),"",IF(E636&gt;IFERROR(AVERAGEIFS($E$8:$E$1007,$I$8:$I$1007,I636,$C$8:$C$1007,"Expense")*SETTINGS!$B$20,0),"Unusually High","Normal"))</f>
        <v/>
      </c>
      <c r="AC636" s="51"/>
      <c r="AD636" s="51"/>
      <c r="AE636" s="51"/>
      <c r="AF636" s="50" t="str">
        <f>IF(A636&lt;&gt;"Yes","No",IF(AND(AC636="Yes",SETTINGS!$B$16="No"),"No","Yes"))</f>
        <v>No</v>
      </c>
      <c r="AG636" s="50" t="str">
        <f>IF(A636&lt;&gt;"Yes","",IF(OR(B636="",D636="",E636&lt;=0,F636="",I636=""),"Check Required Fields",IF(AA636="Possible Duplicate","Possible Duplicate",IF(E636&gt;SETTINGS!$B$22,"Review Extreme Value","OK"))))</f>
        <v/>
      </c>
    </row>
    <row r="637" spans="1:33" ht="14.4">
      <c r="A637" s="9"/>
      <c r="B637" s="13"/>
      <c r="C637" s="9"/>
      <c r="D637" s="9"/>
      <c r="E637" s="11"/>
      <c r="F637" s="9"/>
      <c r="G637" s="9"/>
      <c r="H637" s="44" t="str">
        <f>IF(D637="","",IF(ISNUMBER(SEARCH(SETTINGS!$K$4,D637)),SETTINGS!$L$4,IF(ISNUMBER(SEARCH(SETTINGS!$K$5,D637)),SETTINGS!$L$5,IF(ISNUMBER(SEARCH(SETTINGS!$K$6,D637)),SETTINGS!$L$6,IF(ISNUMBER(SEARCH(SETTINGS!$K$7,D637)),SETTINGS!$L$7,IF(ISNUMBER(SEARCH(SETTINGS!$K$8,D637)),SETTINGS!$L$8,IF(ISNUMBER(SEARCH(SETTINGS!$K$9,D637)),SETTINGS!$L$9,IF(ISNUMBER(SEARCH(SETTINGS!$K$10,D637)),SETTINGS!$L$10,IF(ISNUMBER(SEARCH(SETTINGS!$K$11,D637)),SETTINGS!$L$11,IF(ISNUMBER(SEARCH(SETTINGS!$K$12,D637)),SETTINGS!$L$12,IF(ISNUMBER(SEARCH(SETTINGS!$K$13,D637)),SETTINGS!$L$13,IF(ISNUMBER(SEARCH(SETTINGS!$K$14,D637)),SETTINGS!$L$14,IF(ISNUMBER(SEARCH(SETTINGS!$K$15,D637)),SETTINGS!$L$15,IF(ISNUMBER(SEARCH(SETTINGS!$K$16,D637)),SETTINGS!$L$16,IF(ISNUMBER(SEARCH(SETTINGS!$K$17,D637)),SETTINGS!$L$17,IF(ISNUMBER(SEARCH(SETTINGS!$K$18,D637)),SETTINGS!$L$18,"Miscellaneous"))))))))))))))))</f>
        <v/>
      </c>
      <c r="I637" s="44" t="str">
        <f t="shared" si="72"/>
        <v/>
      </c>
      <c r="J637" s="9"/>
      <c r="K637" s="9"/>
      <c r="L637" s="9"/>
      <c r="M637" s="9"/>
      <c r="N637" s="9"/>
      <c r="O637" s="9"/>
      <c r="P637" s="13"/>
      <c r="Q637" s="9"/>
      <c r="R637" s="9"/>
      <c r="S637" s="9"/>
      <c r="T637" s="11"/>
      <c r="U637" s="44" t="str">
        <f t="shared" si="73"/>
        <v/>
      </c>
      <c r="V637" s="44" t="str">
        <f t="shared" si="74"/>
        <v/>
      </c>
      <c r="W637" s="44" t="str">
        <f t="shared" si="75"/>
        <v/>
      </c>
      <c r="X637" s="44" t="str">
        <f t="shared" si="76"/>
        <v/>
      </c>
      <c r="Y637" s="44" t="str">
        <f t="shared" si="77"/>
        <v/>
      </c>
      <c r="Z637" s="44" t="str">
        <f t="shared" si="78"/>
        <v/>
      </c>
      <c r="AA637" s="50" t="str">
        <f t="shared" si="79"/>
        <v/>
      </c>
      <c r="AB637" s="50" t="str">
        <f>IF(OR(B637="",C637&lt;&gt;"Expense"),"",IF(E637&gt;IFERROR(AVERAGEIFS($E$8:$E$1007,$I$8:$I$1007,I637,$C$8:$C$1007,"Expense")*SETTINGS!$B$20,0),"Unusually High","Normal"))</f>
        <v/>
      </c>
      <c r="AC637" s="51"/>
      <c r="AD637" s="51"/>
      <c r="AE637" s="51"/>
      <c r="AF637" s="50" t="str">
        <f>IF(A637&lt;&gt;"Yes","No",IF(AND(AC637="Yes",SETTINGS!$B$16="No"),"No","Yes"))</f>
        <v>No</v>
      </c>
      <c r="AG637" s="50" t="str">
        <f>IF(A637&lt;&gt;"Yes","",IF(OR(B637="",D637="",E637&lt;=0,F637="",I637=""),"Check Required Fields",IF(AA637="Possible Duplicate","Possible Duplicate",IF(E637&gt;SETTINGS!$B$22,"Review Extreme Value","OK"))))</f>
        <v/>
      </c>
    </row>
    <row r="638" spans="1:33" ht="14.4">
      <c r="A638" s="9"/>
      <c r="B638" s="13"/>
      <c r="C638" s="9"/>
      <c r="D638" s="9"/>
      <c r="E638" s="11"/>
      <c r="F638" s="9"/>
      <c r="G638" s="9"/>
      <c r="H638" s="44" t="str">
        <f>IF(D638="","",IF(ISNUMBER(SEARCH(SETTINGS!$K$4,D638)),SETTINGS!$L$4,IF(ISNUMBER(SEARCH(SETTINGS!$K$5,D638)),SETTINGS!$L$5,IF(ISNUMBER(SEARCH(SETTINGS!$K$6,D638)),SETTINGS!$L$6,IF(ISNUMBER(SEARCH(SETTINGS!$K$7,D638)),SETTINGS!$L$7,IF(ISNUMBER(SEARCH(SETTINGS!$K$8,D638)),SETTINGS!$L$8,IF(ISNUMBER(SEARCH(SETTINGS!$K$9,D638)),SETTINGS!$L$9,IF(ISNUMBER(SEARCH(SETTINGS!$K$10,D638)),SETTINGS!$L$10,IF(ISNUMBER(SEARCH(SETTINGS!$K$11,D638)),SETTINGS!$L$11,IF(ISNUMBER(SEARCH(SETTINGS!$K$12,D638)),SETTINGS!$L$12,IF(ISNUMBER(SEARCH(SETTINGS!$K$13,D638)),SETTINGS!$L$13,IF(ISNUMBER(SEARCH(SETTINGS!$K$14,D638)),SETTINGS!$L$14,IF(ISNUMBER(SEARCH(SETTINGS!$K$15,D638)),SETTINGS!$L$15,IF(ISNUMBER(SEARCH(SETTINGS!$K$16,D638)),SETTINGS!$L$16,IF(ISNUMBER(SEARCH(SETTINGS!$K$17,D638)),SETTINGS!$L$17,IF(ISNUMBER(SEARCH(SETTINGS!$K$18,D638)),SETTINGS!$L$18,"Miscellaneous"))))))))))))))))</f>
        <v/>
      </c>
      <c r="I638" s="44" t="str">
        <f t="shared" si="72"/>
        <v/>
      </c>
      <c r="J638" s="9"/>
      <c r="K638" s="9"/>
      <c r="L638" s="9"/>
      <c r="M638" s="9"/>
      <c r="N638" s="9"/>
      <c r="O638" s="9"/>
      <c r="P638" s="13"/>
      <c r="Q638" s="9"/>
      <c r="R638" s="9"/>
      <c r="S638" s="9"/>
      <c r="T638" s="11"/>
      <c r="U638" s="44" t="str">
        <f t="shared" si="73"/>
        <v/>
      </c>
      <c r="V638" s="44" t="str">
        <f t="shared" si="74"/>
        <v/>
      </c>
      <c r="W638" s="44" t="str">
        <f t="shared" si="75"/>
        <v/>
      </c>
      <c r="X638" s="44" t="str">
        <f t="shared" si="76"/>
        <v/>
      </c>
      <c r="Y638" s="44" t="str">
        <f t="shared" si="77"/>
        <v/>
      </c>
      <c r="Z638" s="44" t="str">
        <f t="shared" si="78"/>
        <v/>
      </c>
      <c r="AA638" s="50" t="str">
        <f t="shared" si="79"/>
        <v/>
      </c>
      <c r="AB638" s="50" t="str">
        <f>IF(OR(B638="",C638&lt;&gt;"Expense"),"",IF(E638&gt;IFERROR(AVERAGEIFS($E$8:$E$1007,$I$8:$I$1007,I638,$C$8:$C$1007,"Expense")*SETTINGS!$B$20,0),"Unusually High","Normal"))</f>
        <v/>
      </c>
      <c r="AC638" s="51"/>
      <c r="AD638" s="51"/>
      <c r="AE638" s="51"/>
      <c r="AF638" s="50" t="str">
        <f>IF(A638&lt;&gt;"Yes","No",IF(AND(AC638="Yes",SETTINGS!$B$16="No"),"No","Yes"))</f>
        <v>No</v>
      </c>
      <c r="AG638" s="50" t="str">
        <f>IF(A638&lt;&gt;"Yes","",IF(OR(B638="",D638="",E638&lt;=0,F638="",I638=""),"Check Required Fields",IF(AA638="Possible Duplicate","Possible Duplicate",IF(E638&gt;SETTINGS!$B$22,"Review Extreme Value","OK"))))</f>
        <v/>
      </c>
    </row>
    <row r="639" spans="1:33" ht="14.4">
      <c r="A639" s="9"/>
      <c r="B639" s="13"/>
      <c r="C639" s="9"/>
      <c r="D639" s="9"/>
      <c r="E639" s="11"/>
      <c r="F639" s="9"/>
      <c r="G639" s="9"/>
      <c r="H639" s="44" t="str">
        <f>IF(D639="","",IF(ISNUMBER(SEARCH(SETTINGS!$K$4,D639)),SETTINGS!$L$4,IF(ISNUMBER(SEARCH(SETTINGS!$K$5,D639)),SETTINGS!$L$5,IF(ISNUMBER(SEARCH(SETTINGS!$K$6,D639)),SETTINGS!$L$6,IF(ISNUMBER(SEARCH(SETTINGS!$K$7,D639)),SETTINGS!$L$7,IF(ISNUMBER(SEARCH(SETTINGS!$K$8,D639)),SETTINGS!$L$8,IF(ISNUMBER(SEARCH(SETTINGS!$K$9,D639)),SETTINGS!$L$9,IF(ISNUMBER(SEARCH(SETTINGS!$K$10,D639)),SETTINGS!$L$10,IF(ISNUMBER(SEARCH(SETTINGS!$K$11,D639)),SETTINGS!$L$11,IF(ISNUMBER(SEARCH(SETTINGS!$K$12,D639)),SETTINGS!$L$12,IF(ISNUMBER(SEARCH(SETTINGS!$K$13,D639)),SETTINGS!$L$13,IF(ISNUMBER(SEARCH(SETTINGS!$K$14,D639)),SETTINGS!$L$14,IF(ISNUMBER(SEARCH(SETTINGS!$K$15,D639)),SETTINGS!$L$15,IF(ISNUMBER(SEARCH(SETTINGS!$K$16,D639)),SETTINGS!$L$16,IF(ISNUMBER(SEARCH(SETTINGS!$K$17,D639)),SETTINGS!$L$17,IF(ISNUMBER(SEARCH(SETTINGS!$K$18,D639)),SETTINGS!$L$18,"Miscellaneous"))))))))))))))))</f>
        <v/>
      </c>
      <c r="I639" s="44" t="str">
        <f t="shared" si="72"/>
        <v/>
      </c>
      <c r="J639" s="9"/>
      <c r="K639" s="9"/>
      <c r="L639" s="9"/>
      <c r="M639" s="9"/>
      <c r="N639" s="9"/>
      <c r="O639" s="9"/>
      <c r="P639" s="13"/>
      <c r="Q639" s="9"/>
      <c r="R639" s="9"/>
      <c r="S639" s="9"/>
      <c r="T639" s="11"/>
      <c r="U639" s="44" t="str">
        <f t="shared" si="73"/>
        <v/>
      </c>
      <c r="V639" s="44" t="str">
        <f t="shared" si="74"/>
        <v/>
      </c>
      <c r="W639" s="44" t="str">
        <f t="shared" si="75"/>
        <v/>
      </c>
      <c r="X639" s="44" t="str">
        <f t="shared" si="76"/>
        <v/>
      </c>
      <c r="Y639" s="44" t="str">
        <f t="shared" si="77"/>
        <v/>
      </c>
      <c r="Z639" s="44" t="str">
        <f t="shared" si="78"/>
        <v/>
      </c>
      <c r="AA639" s="50" t="str">
        <f t="shared" si="79"/>
        <v/>
      </c>
      <c r="AB639" s="50" t="str">
        <f>IF(OR(B639="",C639&lt;&gt;"Expense"),"",IF(E639&gt;IFERROR(AVERAGEIFS($E$8:$E$1007,$I$8:$I$1007,I639,$C$8:$C$1007,"Expense")*SETTINGS!$B$20,0),"Unusually High","Normal"))</f>
        <v/>
      </c>
      <c r="AC639" s="51"/>
      <c r="AD639" s="51"/>
      <c r="AE639" s="51"/>
      <c r="AF639" s="50" t="str">
        <f>IF(A639&lt;&gt;"Yes","No",IF(AND(AC639="Yes",SETTINGS!$B$16="No"),"No","Yes"))</f>
        <v>No</v>
      </c>
      <c r="AG639" s="50" t="str">
        <f>IF(A639&lt;&gt;"Yes","",IF(OR(B639="",D639="",E639&lt;=0,F639="",I639=""),"Check Required Fields",IF(AA639="Possible Duplicate","Possible Duplicate",IF(E639&gt;SETTINGS!$B$22,"Review Extreme Value","OK"))))</f>
        <v/>
      </c>
    </row>
    <row r="640" spans="1:33" ht="14.4">
      <c r="A640" s="9"/>
      <c r="B640" s="13"/>
      <c r="C640" s="9"/>
      <c r="D640" s="9"/>
      <c r="E640" s="11"/>
      <c r="F640" s="9"/>
      <c r="G640" s="9"/>
      <c r="H640" s="44" t="str">
        <f>IF(D640="","",IF(ISNUMBER(SEARCH(SETTINGS!$K$4,D640)),SETTINGS!$L$4,IF(ISNUMBER(SEARCH(SETTINGS!$K$5,D640)),SETTINGS!$L$5,IF(ISNUMBER(SEARCH(SETTINGS!$K$6,D640)),SETTINGS!$L$6,IF(ISNUMBER(SEARCH(SETTINGS!$K$7,D640)),SETTINGS!$L$7,IF(ISNUMBER(SEARCH(SETTINGS!$K$8,D640)),SETTINGS!$L$8,IF(ISNUMBER(SEARCH(SETTINGS!$K$9,D640)),SETTINGS!$L$9,IF(ISNUMBER(SEARCH(SETTINGS!$K$10,D640)),SETTINGS!$L$10,IF(ISNUMBER(SEARCH(SETTINGS!$K$11,D640)),SETTINGS!$L$11,IF(ISNUMBER(SEARCH(SETTINGS!$K$12,D640)),SETTINGS!$L$12,IF(ISNUMBER(SEARCH(SETTINGS!$K$13,D640)),SETTINGS!$L$13,IF(ISNUMBER(SEARCH(SETTINGS!$K$14,D640)),SETTINGS!$L$14,IF(ISNUMBER(SEARCH(SETTINGS!$K$15,D640)),SETTINGS!$L$15,IF(ISNUMBER(SEARCH(SETTINGS!$K$16,D640)),SETTINGS!$L$16,IF(ISNUMBER(SEARCH(SETTINGS!$K$17,D640)),SETTINGS!$L$17,IF(ISNUMBER(SEARCH(SETTINGS!$K$18,D640)),SETTINGS!$L$18,"Miscellaneous"))))))))))))))))</f>
        <v/>
      </c>
      <c r="I640" s="44" t="str">
        <f t="shared" si="72"/>
        <v/>
      </c>
      <c r="J640" s="9"/>
      <c r="K640" s="9"/>
      <c r="L640" s="9"/>
      <c r="M640" s="9"/>
      <c r="N640" s="9"/>
      <c r="O640" s="9"/>
      <c r="P640" s="13"/>
      <c r="Q640" s="9"/>
      <c r="R640" s="9"/>
      <c r="S640" s="9"/>
      <c r="T640" s="11"/>
      <c r="U640" s="44" t="str">
        <f t="shared" si="73"/>
        <v/>
      </c>
      <c r="V640" s="44" t="str">
        <f t="shared" si="74"/>
        <v/>
      </c>
      <c r="W640" s="44" t="str">
        <f t="shared" si="75"/>
        <v/>
      </c>
      <c r="X640" s="44" t="str">
        <f t="shared" si="76"/>
        <v/>
      </c>
      <c r="Y640" s="44" t="str">
        <f t="shared" si="77"/>
        <v/>
      </c>
      <c r="Z640" s="44" t="str">
        <f t="shared" si="78"/>
        <v/>
      </c>
      <c r="AA640" s="50" t="str">
        <f t="shared" si="79"/>
        <v/>
      </c>
      <c r="AB640" s="50" t="str">
        <f>IF(OR(B640="",C640&lt;&gt;"Expense"),"",IF(E640&gt;IFERROR(AVERAGEIFS($E$8:$E$1007,$I$8:$I$1007,I640,$C$8:$C$1007,"Expense")*SETTINGS!$B$20,0),"Unusually High","Normal"))</f>
        <v/>
      </c>
      <c r="AC640" s="51"/>
      <c r="AD640" s="51"/>
      <c r="AE640" s="51"/>
      <c r="AF640" s="50" t="str">
        <f>IF(A640&lt;&gt;"Yes","No",IF(AND(AC640="Yes",SETTINGS!$B$16="No"),"No","Yes"))</f>
        <v>No</v>
      </c>
      <c r="AG640" s="50" t="str">
        <f>IF(A640&lt;&gt;"Yes","",IF(OR(B640="",D640="",E640&lt;=0,F640="",I640=""),"Check Required Fields",IF(AA640="Possible Duplicate","Possible Duplicate",IF(E640&gt;SETTINGS!$B$22,"Review Extreme Value","OK"))))</f>
        <v/>
      </c>
    </row>
    <row r="641" spans="1:33" ht="14.4">
      <c r="A641" s="9"/>
      <c r="B641" s="13"/>
      <c r="C641" s="9"/>
      <c r="D641" s="9"/>
      <c r="E641" s="11"/>
      <c r="F641" s="9"/>
      <c r="G641" s="9"/>
      <c r="H641" s="44" t="str">
        <f>IF(D641="","",IF(ISNUMBER(SEARCH(SETTINGS!$K$4,D641)),SETTINGS!$L$4,IF(ISNUMBER(SEARCH(SETTINGS!$K$5,D641)),SETTINGS!$L$5,IF(ISNUMBER(SEARCH(SETTINGS!$K$6,D641)),SETTINGS!$L$6,IF(ISNUMBER(SEARCH(SETTINGS!$K$7,D641)),SETTINGS!$L$7,IF(ISNUMBER(SEARCH(SETTINGS!$K$8,D641)),SETTINGS!$L$8,IF(ISNUMBER(SEARCH(SETTINGS!$K$9,D641)),SETTINGS!$L$9,IF(ISNUMBER(SEARCH(SETTINGS!$K$10,D641)),SETTINGS!$L$10,IF(ISNUMBER(SEARCH(SETTINGS!$K$11,D641)),SETTINGS!$L$11,IF(ISNUMBER(SEARCH(SETTINGS!$K$12,D641)),SETTINGS!$L$12,IF(ISNUMBER(SEARCH(SETTINGS!$K$13,D641)),SETTINGS!$L$13,IF(ISNUMBER(SEARCH(SETTINGS!$K$14,D641)),SETTINGS!$L$14,IF(ISNUMBER(SEARCH(SETTINGS!$K$15,D641)),SETTINGS!$L$15,IF(ISNUMBER(SEARCH(SETTINGS!$K$16,D641)),SETTINGS!$L$16,IF(ISNUMBER(SEARCH(SETTINGS!$K$17,D641)),SETTINGS!$L$17,IF(ISNUMBER(SEARCH(SETTINGS!$K$18,D641)),SETTINGS!$L$18,"Miscellaneous"))))))))))))))))</f>
        <v/>
      </c>
      <c r="I641" s="44" t="str">
        <f t="shared" si="72"/>
        <v/>
      </c>
      <c r="J641" s="9"/>
      <c r="K641" s="9"/>
      <c r="L641" s="9"/>
      <c r="M641" s="9"/>
      <c r="N641" s="9"/>
      <c r="O641" s="9"/>
      <c r="P641" s="13"/>
      <c r="Q641" s="9"/>
      <c r="R641" s="9"/>
      <c r="S641" s="9"/>
      <c r="T641" s="11"/>
      <c r="U641" s="44" t="str">
        <f t="shared" si="73"/>
        <v/>
      </c>
      <c r="V641" s="44" t="str">
        <f t="shared" si="74"/>
        <v/>
      </c>
      <c r="W641" s="44" t="str">
        <f t="shared" si="75"/>
        <v/>
      </c>
      <c r="X641" s="44" t="str">
        <f t="shared" si="76"/>
        <v/>
      </c>
      <c r="Y641" s="44" t="str">
        <f t="shared" si="77"/>
        <v/>
      </c>
      <c r="Z641" s="44" t="str">
        <f t="shared" si="78"/>
        <v/>
      </c>
      <c r="AA641" s="50" t="str">
        <f t="shared" si="79"/>
        <v/>
      </c>
      <c r="AB641" s="50" t="str">
        <f>IF(OR(B641="",C641&lt;&gt;"Expense"),"",IF(E641&gt;IFERROR(AVERAGEIFS($E$8:$E$1007,$I$8:$I$1007,I641,$C$8:$C$1007,"Expense")*SETTINGS!$B$20,0),"Unusually High","Normal"))</f>
        <v/>
      </c>
      <c r="AC641" s="51"/>
      <c r="AD641" s="51"/>
      <c r="AE641" s="51"/>
      <c r="AF641" s="50" t="str">
        <f>IF(A641&lt;&gt;"Yes","No",IF(AND(AC641="Yes",SETTINGS!$B$16="No"),"No","Yes"))</f>
        <v>No</v>
      </c>
      <c r="AG641" s="50" t="str">
        <f>IF(A641&lt;&gt;"Yes","",IF(OR(B641="",D641="",E641&lt;=0,F641="",I641=""),"Check Required Fields",IF(AA641="Possible Duplicate","Possible Duplicate",IF(E641&gt;SETTINGS!$B$22,"Review Extreme Value","OK"))))</f>
        <v/>
      </c>
    </row>
    <row r="642" spans="1:33" ht="14.4">
      <c r="A642" s="9"/>
      <c r="B642" s="13"/>
      <c r="C642" s="9"/>
      <c r="D642" s="9"/>
      <c r="E642" s="11"/>
      <c r="F642" s="9"/>
      <c r="G642" s="9"/>
      <c r="H642" s="44" t="str">
        <f>IF(D642="","",IF(ISNUMBER(SEARCH(SETTINGS!$K$4,D642)),SETTINGS!$L$4,IF(ISNUMBER(SEARCH(SETTINGS!$K$5,D642)),SETTINGS!$L$5,IF(ISNUMBER(SEARCH(SETTINGS!$K$6,D642)),SETTINGS!$L$6,IF(ISNUMBER(SEARCH(SETTINGS!$K$7,D642)),SETTINGS!$L$7,IF(ISNUMBER(SEARCH(SETTINGS!$K$8,D642)),SETTINGS!$L$8,IF(ISNUMBER(SEARCH(SETTINGS!$K$9,D642)),SETTINGS!$L$9,IF(ISNUMBER(SEARCH(SETTINGS!$K$10,D642)),SETTINGS!$L$10,IF(ISNUMBER(SEARCH(SETTINGS!$K$11,D642)),SETTINGS!$L$11,IF(ISNUMBER(SEARCH(SETTINGS!$K$12,D642)),SETTINGS!$L$12,IF(ISNUMBER(SEARCH(SETTINGS!$K$13,D642)),SETTINGS!$L$13,IF(ISNUMBER(SEARCH(SETTINGS!$K$14,D642)),SETTINGS!$L$14,IF(ISNUMBER(SEARCH(SETTINGS!$K$15,D642)),SETTINGS!$L$15,IF(ISNUMBER(SEARCH(SETTINGS!$K$16,D642)),SETTINGS!$L$16,IF(ISNUMBER(SEARCH(SETTINGS!$K$17,D642)),SETTINGS!$L$17,IF(ISNUMBER(SEARCH(SETTINGS!$K$18,D642)),SETTINGS!$L$18,"Miscellaneous"))))))))))))))))</f>
        <v/>
      </c>
      <c r="I642" s="44" t="str">
        <f t="shared" si="72"/>
        <v/>
      </c>
      <c r="J642" s="9"/>
      <c r="K642" s="9"/>
      <c r="L642" s="9"/>
      <c r="M642" s="9"/>
      <c r="N642" s="9"/>
      <c r="O642" s="9"/>
      <c r="P642" s="13"/>
      <c r="Q642" s="9"/>
      <c r="R642" s="9"/>
      <c r="S642" s="9"/>
      <c r="T642" s="11"/>
      <c r="U642" s="44" t="str">
        <f t="shared" si="73"/>
        <v/>
      </c>
      <c r="V642" s="44" t="str">
        <f t="shared" si="74"/>
        <v/>
      </c>
      <c r="W642" s="44" t="str">
        <f t="shared" si="75"/>
        <v/>
      </c>
      <c r="X642" s="44" t="str">
        <f t="shared" si="76"/>
        <v/>
      </c>
      <c r="Y642" s="44" t="str">
        <f t="shared" si="77"/>
        <v/>
      </c>
      <c r="Z642" s="44" t="str">
        <f t="shared" si="78"/>
        <v/>
      </c>
      <c r="AA642" s="50" t="str">
        <f t="shared" si="79"/>
        <v/>
      </c>
      <c r="AB642" s="50" t="str">
        <f>IF(OR(B642="",C642&lt;&gt;"Expense"),"",IF(E642&gt;IFERROR(AVERAGEIFS($E$8:$E$1007,$I$8:$I$1007,I642,$C$8:$C$1007,"Expense")*SETTINGS!$B$20,0),"Unusually High","Normal"))</f>
        <v/>
      </c>
      <c r="AC642" s="51"/>
      <c r="AD642" s="51"/>
      <c r="AE642" s="51"/>
      <c r="AF642" s="50" t="str">
        <f>IF(A642&lt;&gt;"Yes","No",IF(AND(AC642="Yes",SETTINGS!$B$16="No"),"No","Yes"))</f>
        <v>No</v>
      </c>
      <c r="AG642" s="50" t="str">
        <f>IF(A642&lt;&gt;"Yes","",IF(OR(B642="",D642="",E642&lt;=0,F642="",I642=""),"Check Required Fields",IF(AA642="Possible Duplicate","Possible Duplicate",IF(E642&gt;SETTINGS!$B$22,"Review Extreme Value","OK"))))</f>
        <v/>
      </c>
    </row>
    <row r="643" spans="1:33" ht="14.4">
      <c r="A643" s="9"/>
      <c r="B643" s="13"/>
      <c r="C643" s="9"/>
      <c r="D643" s="9"/>
      <c r="E643" s="11"/>
      <c r="F643" s="9"/>
      <c r="G643" s="9"/>
      <c r="H643" s="44" t="str">
        <f>IF(D643="","",IF(ISNUMBER(SEARCH(SETTINGS!$K$4,D643)),SETTINGS!$L$4,IF(ISNUMBER(SEARCH(SETTINGS!$K$5,D643)),SETTINGS!$L$5,IF(ISNUMBER(SEARCH(SETTINGS!$K$6,D643)),SETTINGS!$L$6,IF(ISNUMBER(SEARCH(SETTINGS!$K$7,D643)),SETTINGS!$L$7,IF(ISNUMBER(SEARCH(SETTINGS!$K$8,D643)),SETTINGS!$L$8,IF(ISNUMBER(SEARCH(SETTINGS!$K$9,D643)),SETTINGS!$L$9,IF(ISNUMBER(SEARCH(SETTINGS!$K$10,D643)),SETTINGS!$L$10,IF(ISNUMBER(SEARCH(SETTINGS!$K$11,D643)),SETTINGS!$L$11,IF(ISNUMBER(SEARCH(SETTINGS!$K$12,D643)),SETTINGS!$L$12,IF(ISNUMBER(SEARCH(SETTINGS!$K$13,D643)),SETTINGS!$L$13,IF(ISNUMBER(SEARCH(SETTINGS!$K$14,D643)),SETTINGS!$L$14,IF(ISNUMBER(SEARCH(SETTINGS!$K$15,D643)),SETTINGS!$L$15,IF(ISNUMBER(SEARCH(SETTINGS!$K$16,D643)),SETTINGS!$L$16,IF(ISNUMBER(SEARCH(SETTINGS!$K$17,D643)),SETTINGS!$L$17,IF(ISNUMBER(SEARCH(SETTINGS!$K$18,D643)),SETTINGS!$L$18,"Miscellaneous"))))))))))))))))</f>
        <v/>
      </c>
      <c r="I643" s="44" t="str">
        <f t="shared" si="72"/>
        <v/>
      </c>
      <c r="J643" s="9"/>
      <c r="K643" s="9"/>
      <c r="L643" s="9"/>
      <c r="M643" s="9"/>
      <c r="N643" s="9"/>
      <c r="O643" s="9"/>
      <c r="P643" s="13"/>
      <c r="Q643" s="9"/>
      <c r="R643" s="9"/>
      <c r="S643" s="9"/>
      <c r="T643" s="11"/>
      <c r="U643" s="44" t="str">
        <f t="shared" si="73"/>
        <v/>
      </c>
      <c r="V643" s="44" t="str">
        <f t="shared" si="74"/>
        <v/>
      </c>
      <c r="W643" s="44" t="str">
        <f t="shared" si="75"/>
        <v/>
      </c>
      <c r="X643" s="44" t="str">
        <f t="shared" si="76"/>
        <v/>
      </c>
      <c r="Y643" s="44" t="str">
        <f t="shared" si="77"/>
        <v/>
      </c>
      <c r="Z643" s="44" t="str">
        <f t="shared" si="78"/>
        <v/>
      </c>
      <c r="AA643" s="50" t="str">
        <f t="shared" si="79"/>
        <v/>
      </c>
      <c r="AB643" s="50" t="str">
        <f>IF(OR(B643="",C643&lt;&gt;"Expense"),"",IF(E643&gt;IFERROR(AVERAGEIFS($E$8:$E$1007,$I$8:$I$1007,I643,$C$8:$C$1007,"Expense")*SETTINGS!$B$20,0),"Unusually High","Normal"))</f>
        <v/>
      </c>
      <c r="AC643" s="51"/>
      <c r="AD643" s="51"/>
      <c r="AE643" s="51"/>
      <c r="AF643" s="50" t="str">
        <f>IF(A643&lt;&gt;"Yes","No",IF(AND(AC643="Yes",SETTINGS!$B$16="No"),"No","Yes"))</f>
        <v>No</v>
      </c>
      <c r="AG643" s="50" t="str">
        <f>IF(A643&lt;&gt;"Yes","",IF(OR(B643="",D643="",E643&lt;=0,F643="",I643=""),"Check Required Fields",IF(AA643="Possible Duplicate","Possible Duplicate",IF(E643&gt;SETTINGS!$B$22,"Review Extreme Value","OK"))))</f>
        <v/>
      </c>
    </row>
    <row r="644" spans="1:33" ht="14.4">
      <c r="A644" s="9"/>
      <c r="B644" s="13"/>
      <c r="C644" s="9"/>
      <c r="D644" s="9"/>
      <c r="E644" s="11"/>
      <c r="F644" s="9"/>
      <c r="G644" s="9"/>
      <c r="H644" s="44" t="str">
        <f>IF(D644="","",IF(ISNUMBER(SEARCH(SETTINGS!$K$4,D644)),SETTINGS!$L$4,IF(ISNUMBER(SEARCH(SETTINGS!$K$5,D644)),SETTINGS!$L$5,IF(ISNUMBER(SEARCH(SETTINGS!$K$6,D644)),SETTINGS!$L$6,IF(ISNUMBER(SEARCH(SETTINGS!$K$7,D644)),SETTINGS!$L$7,IF(ISNUMBER(SEARCH(SETTINGS!$K$8,D644)),SETTINGS!$L$8,IF(ISNUMBER(SEARCH(SETTINGS!$K$9,D644)),SETTINGS!$L$9,IF(ISNUMBER(SEARCH(SETTINGS!$K$10,D644)),SETTINGS!$L$10,IF(ISNUMBER(SEARCH(SETTINGS!$K$11,D644)),SETTINGS!$L$11,IF(ISNUMBER(SEARCH(SETTINGS!$K$12,D644)),SETTINGS!$L$12,IF(ISNUMBER(SEARCH(SETTINGS!$K$13,D644)),SETTINGS!$L$13,IF(ISNUMBER(SEARCH(SETTINGS!$K$14,D644)),SETTINGS!$L$14,IF(ISNUMBER(SEARCH(SETTINGS!$K$15,D644)),SETTINGS!$L$15,IF(ISNUMBER(SEARCH(SETTINGS!$K$16,D644)),SETTINGS!$L$16,IF(ISNUMBER(SEARCH(SETTINGS!$K$17,D644)),SETTINGS!$L$17,IF(ISNUMBER(SEARCH(SETTINGS!$K$18,D644)),SETTINGS!$L$18,"Miscellaneous"))))))))))))))))</f>
        <v/>
      </c>
      <c r="I644" s="44" t="str">
        <f t="shared" si="72"/>
        <v/>
      </c>
      <c r="J644" s="9"/>
      <c r="K644" s="9"/>
      <c r="L644" s="9"/>
      <c r="M644" s="9"/>
      <c r="N644" s="9"/>
      <c r="O644" s="9"/>
      <c r="P644" s="13"/>
      <c r="Q644" s="9"/>
      <c r="R644" s="9"/>
      <c r="S644" s="9"/>
      <c r="T644" s="11"/>
      <c r="U644" s="44" t="str">
        <f t="shared" si="73"/>
        <v/>
      </c>
      <c r="V644" s="44" t="str">
        <f t="shared" si="74"/>
        <v/>
      </c>
      <c r="W644" s="44" t="str">
        <f t="shared" si="75"/>
        <v/>
      </c>
      <c r="X644" s="44" t="str">
        <f t="shared" si="76"/>
        <v/>
      </c>
      <c r="Y644" s="44" t="str">
        <f t="shared" si="77"/>
        <v/>
      </c>
      <c r="Z644" s="44" t="str">
        <f t="shared" si="78"/>
        <v/>
      </c>
      <c r="AA644" s="50" t="str">
        <f t="shared" si="79"/>
        <v/>
      </c>
      <c r="AB644" s="50" t="str">
        <f>IF(OR(B644="",C644&lt;&gt;"Expense"),"",IF(E644&gt;IFERROR(AVERAGEIFS($E$8:$E$1007,$I$8:$I$1007,I644,$C$8:$C$1007,"Expense")*SETTINGS!$B$20,0),"Unusually High","Normal"))</f>
        <v/>
      </c>
      <c r="AC644" s="51"/>
      <c r="AD644" s="51"/>
      <c r="AE644" s="51"/>
      <c r="AF644" s="50" t="str">
        <f>IF(A644&lt;&gt;"Yes","No",IF(AND(AC644="Yes",SETTINGS!$B$16="No"),"No","Yes"))</f>
        <v>No</v>
      </c>
      <c r="AG644" s="50" t="str">
        <f>IF(A644&lt;&gt;"Yes","",IF(OR(B644="",D644="",E644&lt;=0,F644="",I644=""),"Check Required Fields",IF(AA644="Possible Duplicate","Possible Duplicate",IF(E644&gt;SETTINGS!$B$22,"Review Extreme Value","OK"))))</f>
        <v/>
      </c>
    </row>
    <row r="645" spans="1:33" ht="14.4">
      <c r="A645" s="9"/>
      <c r="B645" s="13"/>
      <c r="C645" s="9"/>
      <c r="D645" s="9"/>
      <c r="E645" s="11"/>
      <c r="F645" s="9"/>
      <c r="G645" s="9"/>
      <c r="H645" s="44" t="str">
        <f>IF(D645="","",IF(ISNUMBER(SEARCH(SETTINGS!$K$4,D645)),SETTINGS!$L$4,IF(ISNUMBER(SEARCH(SETTINGS!$K$5,D645)),SETTINGS!$L$5,IF(ISNUMBER(SEARCH(SETTINGS!$K$6,D645)),SETTINGS!$L$6,IF(ISNUMBER(SEARCH(SETTINGS!$K$7,D645)),SETTINGS!$L$7,IF(ISNUMBER(SEARCH(SETTINGS!$K$8,D645)),SETTINGS!$L$8,IF(ISNUMBER(SEARCH(SETTINGS!$K$9,D645)),SETTINGS!$L$9,IF(ISNUMBER(SEARCH(SETTINGS!$K$10,D645)),SETTINGS!$L$10,IF(ISNUMBER(SEARCH(SETTINGS!$K$11,D645)),SETTINGS!$L$11,IF(ISNUMBER(SEARCH(SETTINGS!$K$12,D645)),SETTINGS!$L$12,IF(ISNUMBER(SEARCH(SETTINGS!$K$13,D645)),SETTINGS!$L$13,IF(ISNUMBER(SEARCH(SETTINGS!$K$14,D645)),SETTINGS!$L$14,IF(ISNUMBER(SEARCH(SETTINGS!$K$15,D645)),SETTINGS!$L$15,IF(ISNUMBER(SEARCH(SETTINGS!$K$16,D645)),SETTINGS!$L$16,IF(ISNUMBER(SEARCH(SETTINGS!$K$17,D645)),SETTINGS!$L$17,IF(ISNUMBER(SEARCH(SETTINGS!$K$18,D645)),SETTINGS!$L$18,"Miscellaneous"))))))))))))))))</f>
        <v/>
      </c>
      <c r="I645" s="44" t="str">
        <f t="shared" si="72"/>
        <v/>
      </c>
      <c r="J645" s="9"/>
      <c r="K645" s="9"/>
      <c r="L645" s="9"/>
      <c r="M645" s="9"/>
      <c r="N645" s="9"/>
      <c r="O645" s="9"/>
      <c r="P645" s="13"/>
      <c r="Q645" s="9"/>
      <c r="R645" s="9"/>
      <c r="S645" s="9"/>
      <c r="T645" s="11"/>
      <c r="U645" s="44" t="str">
        <f t="shared" si="73"/>
        <v/>
      </c>
      <c r="V645" s="44" t="str">
        <f t="shared" si="74"/>
        <v/>
      </c>
      <c r="W645" s="44" t="str">
        <f t="shared" si="75"/>
        <v/>
      </c>
      <c r="X645" s="44" t="str">
        <f t="shared" si="76"/>
        <v/>
      </c>
      <c r="Y645" s="44" t="str">
        <f t="shared" si="77"/>
        <v/>
      </c>
      <c r="Z645" s="44" t="str">
        <f t="shared" si="78"/>
        <v/>
      </c>
      <c r="AA645" s="50" t="str">
        <f t="shared" si="79"/>
        <v/>
      </c>
      <c r="AB645" s="50" t="str">
        <f>IF(OR(B645="",C645&lt;&gt;"Expense"),"",IF(E645&gt;IFERROR(AVERAGEIFS($E$8:$E$1007,$I$8:$I$1007,I645,$C$8:$C$1007,"Expense")*SETTINGS!$B$20,0),"Unusually High","Normal"))</f>
        <v/>
      </c>
      <c r="AC645" s="51"/>
      <c r="AD645" s="51"/>
      <c r="AE645" s="51"/>
      <c r="AF645" s="50" t="str">
        <f>IF(A645&lt;&gt;"Yes","No",IF(AND(AC645="Yes",SETTINGS!$B$16="No"),"No","Yes"))</f>
        <v>No</v>
      </c>
      <c r="AG645" s="50" t="str">
        <f>IF(A645&lt;&gt;"Yes","",IF(OR(B645="",D645="",E645&lt;=0,F645="",I645=""),"Check Required Fields",IF(AA645="Possible Duplicate","Possible Duplicate",IF(E645&gt;SETTINGS!$B$22,"Review Extreme Value","OK"))))</f>
        <v/>
      </c>
    </row>
    <row r="646" spans="1:33" ht="14.4">
      <c r="A646" s="9"/>
      <c r="B646" s="13"/>
      <c r="C646" s="9"/>
      <c r="D646" s="9"/>
      <c r="E646" s="11"/>
      <c r="F646" s="9"/>
      <c r="G646" s="9"/>
      <c r="H646" s="44" t="str">
        <f>IF(D646="","",IF(ISNUMBER(SEARCH(SETTINGS!$K$4,D646)),SETTINGS!$L$4,IF(ISNUMBER(SEARCH(SETTINGS!$K$5,D646)),SETTINGS!$L$5,IF(ISNUMBER(SEARCH(SETTINGS!$K$6,D646)),SETTINGS!$L$6,IF(ISNUMBER(SEARCH(SETTINGS!$K$7,D646)),SETTINGS!$L$7,IF(ISNUMBER(SEARCH(SETTINGS!$K$8,D646)),SETTINGS!$L$8,IF(ISNUMBER(SEARCH(SETTINGS!$K$9,D646)),SETTINGS!$L$9,IF(ISNUMBER(SEARCH(SETTINGS!$K$10,D646)),SETTINGS!$L$10,IF(ISNUMBER(SEARCH(SETTINGS!$K$11,D646)),SETTINGS!$L$11,IF(ISNUMBER(SEARCH(SETTINGS!$K$12,D646)),SETTINGS!$L$12,IF(ISNUMBER(SEARCH(SETTINGS!$K$13,D646)),SETTINGS!$L$13,IF(ISNUMBER(SEARCH(SETTINGS!$K$14,D646)),SETTINGS!$L$14,IF(ISNUMBER(SEARCH(SETTINGS!$K$15,D646)),SETTINGS!$L$15,IF(ISNUMBER(SEARCH(SETTINGS!$K$16,D646)),SETTINGS!$L$16,IF(ISNUMBER(SEARCH(SETTINGS!$K$17,D646)),SETTINGS!$L$17,IF(ISNUMBER(SEARCH(SETTINGS!$K$18,D646)),SETTINGS!$L$18,"Miscellaneous"))))))))))))))))</f>
        <v/>
      </c>
      <c r="I646" s="44" t="str">
        <f t="shared" si="72"/>
        <v/>
      </c>
      <c r="J646" s="9"/>
      <c r="K646" s="9"/>
      <c r="L646" s="9"/>
      <c r="M646" s="9"/>
      <c r="N646" s="9"/>
      <c r="O646" s="9"/>
      <c r="P646" s="13"/>
      <c r="Q646" s="9"/>
      <c r="R646" s="9"/>
      <c r="S646" s="9"/>
      <c r="T646" s="11"/>
      <c r="U646" s="44" t="str">
        <f t="shared" si="73"/>
        <v/>
      </c>
      <c r="V646" s="44" t="str">
        <f t="shared" si="74"/>
        <v/>
      </c>
      <c r="W646" s="44" t="str">
        <f t="shared" si="75"/>
        <v/>
      </c>
      <c r="X646" s="44" t="str">
        <f t="shared" si="76"/>
        <v/>
      </c>
      <c r="Y646" s="44" t="str">
        <f t="shared" si="77"/>
        <v/>
      </c>
      <c r="Z646" s="44" t="str">
        <f t="shared" si="78"/>
        <v/>
      </c>
      <c r="AA646" s="50" t="str">
        <f t="shared" si="79"/>
        <v/>
      </c>
      <c r="AB646" s="50" t="str">
        <f>IF(OR(B646="",C646&lt;&gt;"Expense"),"",IF(E646&gt;IFERROR(AVERAGEIFS($E$8:$E$1007,$I$8:$I$1007,I646,$C$8:$C$1007,"Expense")*SETTINGS!$B$20,0),"Unusually High","Normal"))</f>
        <v/>
      </c>
      <c r="AC646" s="51"/>
      <c r="AD646" s="51"/>
      <c r="AE646" s="51"/>
      <c r="AF646" s="50" t="str">
        <f>IF(A646&lt;&gt;"Yes","No",IF(AND(AC646="Yes",SETTINGS!$B$16="No"),"No","Yes"))</f>
        <v>No</v>
      </c>
      <c r="AG646" s="50" t="str">
        <f>IF(A646&lt;&gt;"Yes","",IF(OR(B646="",D646="",E646&lt;=0,F646="",I646=""),"Check Required Fields",IF(AA646="Possible Duplicate","Possible Duplicate",IF(E646&gt;SETTINGS!$B$22,"Review Extreme Value","OK"))))</f>
        <v/>
      </c>
    </row>
    <row r="647" spans="1:33" ht="14.4">
      <c r="A647" s="9"/>
      <c r="B647" s="13"/>
      <c r="C647" s="9"/>
      <c r="D647" s="9"/>
      <c r="E647" s="11"/>
      <c r="F647" s="9"/>
      <c r="G647" s="9"/>
      <c r="H647" s="44" t="str">
        <f>IF(D647="","",IF(ISNUMBER(SEARCH(SETTINGS!$K$4,D647)),SETTINGS!$L$4,IF(ISNUMBER(SEARCH(SETTINGS!$K$5,D647)),SETTINGS!$L$5,IF(ISNUMBER(SEARCH(SETTINGS!$K$6,D647)),SETTINGS!$L$6,IF(ISNUMBER(SEARCH(SETTINGS!$K$7,D647)),SETTINGS!$L$7,IF(ISNUMBER(SEARCH(SETTINGS!$K$8,D647)),SETTINGS!$L$8,IF(ISNUMBER(SEARCH(SETTINGS!$K$9,D647)),SETTINGS!$L$9,IF(ISNUMBER(SEARCH(SETTINGS!$K$10,D647)),SETTINGS!$L$10,IF(ISNUMBER(SEARCH(SETTINGS!$K$11,D647)),SETTINGS!$L$11,IF(ISNUMBER(SEARCH(SETTINGS!$K$12,D647)),SETTINGS!$L$12,IF(ISNUMBER(SEARCH(SETTINGS!$K$13,D647)),SETTINGS!$L$13,IF(ISNUMBER(SEARCH(SETTINGS!$K$14,D647)),SETTINGS!$L$14,IF(ISNUMBER(SEARCH(SETTINGS!$K$15,D647)),SETTINGS!$L$15,IF(ISNUMBER(SEARCH(SETTINGS!$K$16,D647)),SETTINGS!$L$16,IF(ISNUMBER(SEARCH(SETTINGS!$K$17,D647)),SETTINGS!$L$17,IF(ISNUMBER(SEARCH(SETTINGS!$K$18,D647)),SETTINGS!$L$18,"Miscellaneous"))))))))))))))))</f>
        <v/>
      </c>
      <c r="I647" s="44" t="str">
        <f t="shared" si="72"/>
        <v/>
      </c>
      <c r="J647" s="9"/>
      <c r="K647" s="9"/>
      <c r="L647" s="9"/>
      <c r="M647" s="9"/>
      <c r="N647" s="9"/>
      <c r="O647" s="9"/>
      <c r="P647" s="13"/>
      <c r="Q647" s="9"/>
      <c r="R647" s="9"/>
      <c r="S647" s="9"/>
      <c r="T647" s="11"/>
      <c r="U647" s="44" t="str">
        <f t="shared" si="73"/>
        <v/>
      </c>
      <c r="V647" s="44" t="str">
        <f t="shared" si="74"/>
        <v/>
      </c>
      <c r="W647" s="44" t="str">
        <f t="shared" si="75"/>
        <v/>
      </c>
      <c r="X647" s="44" t="str">
        <f t="shared" si="76"/>
        <v/>
      </c>
      <c r="Y647" s="44" t="str">
        <f t="shared" si="77"/>
        <v/>
      </c>
      <c r="Z647" s="44" t="str">
        <f t="shared" si="78"/>
        <v/>
      </c>
      <c r="AA647" s="50" t="str">
        <f t="shared" si="79"/>
        <v/>
      </c>
      <c r="AB647" s="50" t="str">
        <f>IF(OR(B647="",C647&lt;&gt;"Expense"),"",IF(E647&gt;IFERROR(AVERAGEIFS($E$8:$E$1007,$I$8:$I$1007,I647,$C$8:$C$1007,"Expense")*SETTINGS!$B$20,0),"Unusually High","Normal"))</f>
        <v/>
      </c>
      <c r="AC647" s="51"/>
      <c r="AD647" s="51"/>
      <c r="AE647" s="51"/>
      <c r="AF647" s="50" t="str">
        <f>IF(A647&lt;&gt;"Yes","No",IF(AND(AC647="Yes",SETTINGS!$B$16="No"),"No","Yes"))</f>
        <v>No</v>
      </c>
      <c r="AG647" s="50" t="str">
        <f>IF(A647&lt;&gt;"Yes","",IF(OR(B647="",D647="",E647&lt;=0,F647="",I647=""),"Check Required Fields",IF(AA647="Possible Duplicate","Possible Duplicate",IF(E647&gt;SETTINGS!$B$22,"Review Extreme Value","OK"))))</f>
        <v/>
      </c>
    </row>
    <row r="648" spans="1:33" ht="14.4">
      <c r="A648" s="9"/>
      <c r="B648" s="13"/>
      <c r="C648" s="9"/>
      <c r="D648" s="9"/>
      <c r="E648" s="11"/>
      <c r="F648" s="9"/>
      <c r="G648" s="9"/>
      <c r="H648" s="44" t="str">
        <f>IF(D648="","",IF(ISNUMBER(SEARCH(SETTINGS!$K$4,D648)),SETTINGS!$L$4,IF(ISNUMBER(SEARCH(SETTINGS!$K$5,D648)),SETTINGS!$L$5,IF(ISNUMBER(SEARCH(SETTINGS!$K$6,D648)),SETTINGS!$L$6,IF(ISNUMBER(SEARCH(SETTINGS!$K$7,D648)),SETTINGS!$L$7,IF(ISNUMBER(SEARCH(SETTINGS!$K$8,D648)),SETTINGS!$L$8,IF(ISNUMBER(SEARCH(SETTINGS!$K$9,D648)),SETTINGS!$L$9,IF(ISNUMBER(SEARCH(SETTINGS!$K$10,D648)),SETTINGS!$L$10,IF(ISNUMBER(SEARCH(SETTINGS!$K$11,D648)),SETTINGS!$L$11,IF(ISNUMBER(SEARCH(SETTINGS!$K$12,D648)),SETTINGS!$L$12,IF(ISNUMBER(SEARCH(SETTINGS!$K$13,D648)),SETTINGS!$L$13,IF(ISNUMBER(SEARCH(SETTINGS!$K$14,D648)),SETTINGS!$L$14,IF(ISNUMBER(SEARCH(SETTINGS!$K$15,D648)),SETTINGS!$L$15,IF(ISNUMBER(SEARCH(SETTINGS!$K$16,D648)),SETTINGS!$L$16,IF(ISNUMBER(SEARCH(SETTINGS!$K$17,D648)),SETTINGS!$L$17,IF(ISNUMBER(SEARCH(SETTINGS!$K$18,D648)),SETTINGS!$L$18,"Miscellaneous"))))))))))))))))</f>
        <v/>
      </c>
      <c r="I648" s="44" t="str">
        <f t="shared" ref="I648:I711" si="80">IF(B648="","",IF(G648&lt;&gt;"",G648,H648))</f>
        <v/>
      </c>
      <c r="J648" s="9"/>
      <c r="K648" s="9"/>
      <c r="L648" s="9"/>
      <c r="M648" s="9"/>
      <c r="N648" s="9"/>
      <c r="O648" s="9"/>
      <c r="P648" s="13"/>
      <c r="Q648" s="9"/>
      <c r="R648" s="9"/>
      <c r="S648" s="9"/>
      <c r="T648" s="11"/>
      <c r="U648" s="44" t="str">
        <f t="shared" ref="U648:U711" si="81">IF(B648="","",IF(C648="Income","INC-",IF(C648="Expense","EXP-","TRX-"))&amp;TEXT(YEAR(B648),"0000")&amp;"-"&amp;TEXT(ROW()-7,"0000"))</f>
        <v/>
      </c>
      <c r="V648" s="44" t="str">
        <f t="shared" ref="V648:V711" si="82">IF(B648="","",TEXT(B648,"mmmm"))</f>
        <v/>
      </c>
      <c r="W648" s="44" t="str">
        <f t="shared" ref="W648:W711" si="83">IF(B648="","",MONTH(B648))</f>
        <v/>
      </c>
      <c r="X648" s="44" t="str">
        <f t="shared" ref="X648:X711" si="84">IF(B648="","",YEAR(B648))</f>
        <v/>
      </c>
      <c r="Y648" s="44" t="str">
        <f t="shared" ref="Y648:Y711" si="85">IF(B648="","",DAY(B648))</f>
        <v/>
      </c>
      <c r="Z648" s="44" t="str">
        <f t="shared" ref="Z648:Z711" si="86">IF(B648="","",IF(WEEKDAY(B648,2)&gt;5,"Weekend","Weekday"))</f>
        <v/>
      </c>
      <c r="AA648" s="50" t="str">
        <f t="shared" ref="AA648:AA711" si="87">IF(B648="","",IF(COUNTIFS($B$8:$B$1007,B648,$E$8:$E$1007,E648,$D$8:$D$1007,D648,$I$8:$I$1007,I648)&gt;1,"Possible Duplicate","OK"))</f>
        <v/>
      </c>
      <c r="AB648" s="50" t="str">
        <f>IF(OR(B648="",C648&lt;&gt;"Expense"),"",IF(E648&gt;IFERROR(AVERAGEIFS($E$8:$E$1007,$I$8:$I$1007,I648,$C$8:$C$1007,"Expense")*SETTINGS!$B$20,0),"Unusually High","Normal"))</f>
        <v/>
      </c>
      <c r="AC648" s="51"/>
      <c r="AD648" s="51"/>
      <c r="AE648" s="51"/>
      <c r="AF648" s="50" t="str">
        <f>IF(A648&lt;&gt;"Yes","No",IF(AND(AC648="Yes",SETTINGS!$B$16="No"),"No","Yes"))</f>
        <v>No</v>
      </c>
      <c r="AG648" s="50" t="str">
        <f>IF(A648&lt;&gt;"Yes","",IF(OR(B648="",D648="",E648&lt;=0,F648="",I648=""),"Check Required Fields",IF(AA648="Possible Duplicate","Possible Duplicate",IF(E648&gt;SETTINGS!$B$22,"Review Extreme Value","OK"))))</f>
        <v/>
      </c>
    </row>
    <row r="649" spans="1:33" ht="14.4">
      <c r="A649" s="9"/>
      <c r="B649" s="13"/>
      <c r="C649" s="9"/>
      <c r="D649" s="9"/>
      <c r="E649" s="11"/>
      <c r="F649" s="9"/>
      <c r="G649" s="9"/>
      <c r="H649" s="44" t="str">
        <f>IF(D649="","",IF(ISNUMBER(SEARCH(SETTINGS!$K$4,D649)),SETTINGS!$L$4,IF(ISNUMBER(SEARCH(SETTINGS!$K$5,D649)),SETTINGS!$L$5,IF(ISNUMBER(SEARCH(SETTINGS!$K$6,D649)),SETTINGS!$L$6,IF(ISNUMBER(SEARCH(SETTINGS!$K$7,D649)),SETTINGS!$L$7,IF(ISNUMBER(SEARCH(SETTINGS!$K$8,D649)),SETTINGS!$L$8,IF(ISNUMBER(SEARCH(SETTINGS!$K$9,D649)),SETTINGS!$L$9,IF(ISNUMBER(SEARCH(SETTINGS!$K$10,D649)),SETTINGS!$L$10,IF(ISNUMBER(SEARCH(SETTINGS!$K$11,D649)),SETTINGS!$L$11,IF(ISNUMBER(SEARCH(SETTINGS!$K$12,D649)),SETTINGS!$L$12,IF(ISNUMBER(SEARCH(SETTINGS!$K$13,D649)),SETTINGS!$L$13,IF(ISNUMBER(SEARCH(SETTINGS!$K$14,D649)),SETTINGS!$L$14,IF(ISNUMBER(SEARCH(SETTINGS!$K$15,D649)),SETTINGS!$L$15,IF(ISNUMBER(SEARCH(SETTINGS!$K$16,D649)),SETTINGS!$L$16,IF(ISNUMBER(SEARCH(SETTINGS!$K$17,D649)),SETTINGS!$L$17,IF(ISNUMBER(SEARCH(SETTINGS!$K$18,D649)),SETTINGS!$L$18,"Miscellaneous"))))))))))))))))</f>
        <v/>
      </c>
      <c r="I649" s="44" t="str">
        <f t="shared" si="80"/>
        <v/>
      </c>
      <c r="J649" s="9"/>
      <c r="K649" s="9"/>
      <c r="L649" s="9"/>
      <c r="M649" s="9"/>
      <c r="N649" s="9"/>
      <c r="O649" s="9"/>
      <c r="P649" s="13"/>
      <c r="Q649" s="9"/>
      <c r="R649" s="9"/>
      <c r="S649" s="9"/>
      <c r="T649" s="11"/>
      <c r="U649" s="44" t="str">
        <f t="shared" si="81"/>
        <v/>
      </c>
      <c r="V649" s="44" t="str">
        <f t="shared" si="82"/>
        <v/>
      </c>
      <c r="W649" s="44" t="str">
        <f t="shared" si="83"/>
        <v/>
      </c>
      <c r="X649" s="44" t="str">
        <f t="shared" si="84"/>
        <v/>
      </c>
      <c r="Y649" s="44" t="str">
        <f t="shared" si="85"/>
        <v/>
      </c>
      <c r="Z649" s="44" t="str">
        <f t="shared" si="86"/>
        <v/>
      </c>
      <c r="AA649" s="50" t="str">
        <f t="shared" si="87"/>
        <v/>
      </c>
      <c r="AB649" s="50" t="str">
        <f>IF(OR(B649="",C649&lt;&gt;"Expense"),"",IF(E649&gt;IFERROR(AVERAGEIFS($E$8:$E$1007,$I$8:$I$1007,I649,$C$8:$C$1007,"Expense")*SETTINGS!$B$20,0),"Unusually High","Normal"))</f>
        <v/>
      </c>
      <c r="AC649" s="51"/>
      <c r="AD649" s="51"/>
      <c r="AE649" s="51"/>
      <c r="AF649" s="50" t="str">
        <f>IF(A649&lt;&gt;"Yes","No",IF(AND(AC649="Yes",SETTINGS!$B$16="No"),"No","Yes"))</f>
        <v>No</v>
      </c>
      <c r="AG649" s="50" t="str">
        <f>IF(A649&lt;&gt;"Yes","",IF(OR(B649="",D649="",E649&lt;=0,F649="",I649=""),"Check Required Fields",IF(AA649="Possible Duplicate","Possible Duplicate",IF(E649&gt;SETTINGS!$B$22,"Review Extreme Value","OK"))))</f>
        <v/>
      </c>
    </row>
    <row r="650" spans="1:33" ht="14.4">
      <c r="A650" s="9"/>
      <c r="B650" s="13"/>
      <c r="C650" s="9"/>
      <c r="D650" s="9"/>
      <c r="E650" s="11"/>
      <c r="F650" s="9"/>
      <c r="G650" s="9"/>
      <c r="H650" s="44" t="str">
        <f>IF(D650="","",IF(ISNUMBER(SEARCH(SETTINGS!$K$4,D650)),SETTINGS!$L$4,IF(ISNUMBER(SEARCH(SETTINGS!$K$5,D650)),SETTINGS!$L$5,IF(ISNUMBER(SEARCH(SETTINGS!$K$6,D650)),SETTINGS!$L$6,IF(ISNUMBER(SEARCH(SETTINGS!$K$7,D650)),SETTINGS!$L$7,IF(ISNUMBER(SEARCH(SETTINGS!$K$8,D650)),SETTINGS!$L$8,IF(ISNUMBER(SEARCH(SETTINGS!$K$9,D650)),SETTINGS!$L$9,IF(ISNUMBER(SEARCH(SETTINGS!$K$10,D650)),SETTINGS!$L$10,IF(ISNUMBER(SEARCH(SETTINGS!$K$11,D650)),SETTINGS!$L$11,IF(ISNUMBER(SEARCH(SETTINGS!$K$12,D650)),SETTINGS!$L$12,IF(ISNUMBER(SEARCH(SETTINGS!$K$13,D650)),SETTINGS!$L$13,IF(ISNUMBER(SEARCH(SETTINGS!$K$14,D650)),SETTINGS!$L$14,IF(ISNUMBER(SEARCH(SETTINGS!$K$15,D650)),SETTINGS!$L$15,IF(ISNUMBER(SEARCH(SETTINGS!$K$16,D650)),SETTINGS!$L$16,IF(ISNUMBER(SEARCH(SETTINGS!$K$17,D650)),SETTINGS!$L$17,IF(ISNUMBER(SEARCH(SETTINGS!$K$18,D650)),SETTINGS!$L$18,"Miscellaneous"))))))))))))))))</f>
        <v/>
      </c>
      <c r="I650" s="44" t="str">
        <f t="shared" si="80"/>
        <v/>
      </c>
      <c r="J650" s="9"/>
      <c r="K650" s="9"/>
      <c r="L650" s="9"/>
      <c r="M650" s="9"/>
      <c r="N650" s="9"/>
      <c r="O650" s="9"/>
      <c r="P650" s="13"/>
      <c r="Q650" s="9"/>
      <c r="R650" s="9"/>
      <c r="S650" s="9"/>
      <c r="T650" s="11"/>
      <c r="U650" s="44" t="str">
        <f t="shared" si="81"/>
        <v/>
      </c>
      <c r="V650" s="44" t="str">
        <f t="shared" si="82"/>
        <v/>
      </c>
      <c r="W650" s="44" t="str">
        <f t="shared" si="83"/>
        <v/>
      </c>
      <c r="X650" s="44" t="str">
        <f t="shared" si="84"/>
        <v/>
      </c>
      <c r="Y650" s="44" t="str">
        <f t="shared" si="85"/>
        <v/>
      </c>
      <c r="Z650" s="44" t="str">
        <f t="shared" si="86"/>
        <v/>
      </c>
      <c r="AA650" s="50" t="str">
        <f t="shared" si="87"/>
        <v/>
      </c>
      <c r="AB650" s="50" t="str">
        <f>IF(OR(B650="",C650&lt;&gt;"Expense"),"",IF(E650&gt;IFERROR(AVERAGEIFS($E$8:$E$1007,$I$8:$I$1007,I650,$C$8:$C$1007,"Expense")*SETTINGS!$B$20,0),"Unusually High","Normal"))</f>
        <v/>
      </c>
      <c r="AC650" s="51"/>
      <c r="AD650" s="51"/>
      <c r="AE650" s="51"/>
      <c r="AF650" s="50" t="str">
        <f>IF(A650&lt;&gt;"Yes","No",IF(AND(AC650="Yes",SETTINGS!$B$16="No"),"No","Yes"))</f>
        <v>No</v>
      </c>
      <c r="AG650" s="50" t="str">
        <f>IF(A650&lt;&gt;"Yes","",IF(OR(B650="",D650="",E650&lt;=0,F650="",I650=""),"Check Required Fields",IF(AA650="Possible Duplicate","Possible Duplicate",IF(E650&gt;SETTINGS!$B$22,"Review Extreme Value","OK"))))</f>
        <v/>
      </c>
    </row>
    <row r="651" spans="1:33" ht="14.4">
      <c r="A651" s="9"/>
      <c r="B651" s="13"/>
      <c r="C651" s="9"/>
      <c r="D651" s="9"/>
      <c r="E651" s="11"/>
      <c r="F651" s="9"/>
      <c r="G651" s="9"/>
      <c r="H651" s="44" t="str">
        <f>IF(D651="","",IF(ISNUMBER(SEARCH(SETTINGS!$K$4,D651)),SETTINGS!$L$4,IF(ISNUMBER(SEARCH(SETTINGS!$K$5,D651)),SETTINGS!$L$5,IF(ISNUMBER(SEARCH(SETTINGS!$K$6,D651)),SETTINGS!$L$6,IF(ISNUMBER(SEARCH(SETTINGS!$K$7,D651)),SETTINGS!$L$7,IF(ISNUMBER(SEARCH(SETTINGS!$K$8,D651)),SETTINGS!$L$8,IF(ISNUMBER(SEARCH(SETTINGS!$K$9,D651)),SETTINGS!$L$9,IF(ISNUMBER(SEARCH(SETTINGS!$K$10,D651)),SETTINGS!$L$10,IF(ISNUMBER(SEARCH(SETTINGS!$K$11,D651)),SETTINGS!$L$11,IF(ISNUMBER(SEARCH(SETTINGS!$K$12,D651)),SETTINGS!$L$12,IF(ISNUMBER(SEARCH(SETTINGS!$K$13,D651)),SETTINGS!$L$13,IF(ISNUMBER(SEARCH(SETTINGS!$K$14,D651)),SETTINGS!$L$14,IF(ISNUMBER(SEARCH(SETTINGS!$K$15,D651)),SETTINGS!$L$15,IF(ISNUMBER(SEARCH(SETTINGS!$K$16,D651)),SETTINGS!$L$16,IF(ISNUMBER(SEARCH(SETTINGS!$K$17,D651)),SETTINGS!$L$17,IF(ISNUMBER(SEARCH(SETTINGS!$K$18,D651)),SETTINGS!$L$18,"Miscellaneous"))))))))))))))))</f>
        <v/>
      </c>
      <c r="I651" s="44" t="str">
        <f t="shared" si="80"/>
        <v/>
      </c>
      <c r="J651" s="9"/>
      <c r="K651" s="9"/>
      <c r="L651" s="9"/>
      <c r="M651" s="9"/>
      <c r="N651" s="9"/>
      <c r="O651" s="9"/>
      <c r="P651" s="13"/>
      <c r="Q651" s="9"/>
      <c r="R651" s="9"/>
      <c r="S651" s="9"/>
      <c r="T651" s="11"/>
      <c r="U651" s="44" t="str">
        <f t="shared" si="81"/>
        <v/>
      </c>
      <c r="V651" s="44" t="str">
        <f t="shared" si="82"/>
        <v/>
      </c>
      <c r="W651" s="44" t="str">
        <f t="shared" si="83"/>
        <v/>
      </c>
      <c r="X651" s="44" t="str">
        <f t="shared" si="84"/>
        <v/>
      </c>
      <c r="Y651" s="44" t="str">
        <f t="shared" si="85"/>
        <v/>
      </c>
      <c r="Z651" s="44" t="str">
        <f t="shared" si="86"/>
        <v/>
      </c>
      <c r="AA651" s="50" t="str">
        <f t="shared" si="87"/>
        <v/>
      </c>
      <c r="AB651" s="50" t="str">
        <f>IF(OR(B651="",C651&lt;&gt;"Expense"),"",IF(E651&gt;IFERROR(AVERAGEIFS($E$8:$E$1007,$I$8:$I$1007,I651,$C$8:$C$1007,"Expense")*SETTINGS!$B$20,0),"Unusually High","Normal"))</f>
        <v/>
      </c>
      <c r="AC651" s="51"/>
      <c r="AD651" s="51"/>
      <c r="AE651" s="51"/>
      <c r="AF651" s="50" t="str">
        <f>IF(A651&lt;&gt;"Yes","No",IF(AND(AC651="Yes",SETTINGS!$B$16="No"),"No","Yes"))</f>
        <v>No</v>
      </c>
      <c r="AG651" s="50" t="str">
        <f>IF(A651&lt;&gt;"Yes","",IF(OR(B651="",D651="",E651&lt;=0,F651="",I651=""),"Check Required Fields",IF(AA651="Possible Duplicate","Possible Duplicate",IF(E651&gt;SETTINGS!$B$22,"Review Extreme Value","OK"))))</f>
        <v/>
      </c>
    </row>
    <row r="652" spans="1:33" ht="14.4">
      <c r="A652" s="9"/>
      <c r="B652" s="13"/>
      <c r="C652" s="9"/>
      <c r="D652" s="9"/>
      <c r="E652" s="11"/>
      <c r="F652" s="9"/>
      <c r="G652" s="9"/>
      <c r="H652" s="44" t="str">
        <f>IF(D652="","",IF(ISNUMBER(SEARCH(SETTINGS!$K$4,D652)),SETTINGS!$L$4,IF(ISNUMBER(SEARCH(SETTINGS!$K$5,D652)),SETTINGS!$L$5,IF(ISNUMBER(SEARCH(SETTINGS!$K$6,D652)),SETTINGS!$L$6,IF(ISNUMBER(SEARCH(SETTINGS!$K$7,D652)),SETTINGS!$L$7,IF(ISNUMBER(SEARCH(SETTINGS!$K$8,D652)),SETTINGS!$L$8,IF(ISNUMBER(SEARCH(SETTINGS!$K$9,D652)),SETTINGS!$L$9,IF(ISNUMBER(SEARCH(SETTINGS!$K$10,D652)),SETTINGS!$L$10,IF(ISNUMBER(SEARCH(SETTINGS!$K$11,D652)),SETTINGS!$L$11,IF(ISNUMBER(SEARCH(SETTINGS!$K$12,D652)),SETTINGS!$L$12,IF(ISNUMBER(SEARCH(SETTINGS!$K$13,D652)),SETTINGS!$L$13,IF(ISNUMBER(SEARCH(SETTINGS!$K$14,D652)),SETTINGS!$L$14,IF(ISNUMBER(SEARCH(SETTINGS!$K$15,D652)),SETTINGS!$L$15,IF(ISNUMBER(SEARCH(SETTINGS!$K$16,D652)),SETTINGS!$L$16,IF(ISNUMBER(SEARCH(SETTINGS!$K$17,D652)),SETTINGS!$L$17,IF(ISNUMBER(SEARCH(SETTINGS!$K$18,D652)),SETTINGS!$L$18,"Miscellaneous"))))))))))))))))</f>
        <v/>
      </c>
      <c r="I652" s="44" t="str">
        <f t="shared" si="80"/>
        <v/>
      </c>
      <c r="J652" s="9"/>
      <c r="K652" s="9"/>
      <c r="L652" s="9"/>
      <c r="M652" s="9"/>
      <c r="N652" s="9"/>
      <c r="O652" s="9"/>
      <c r="P652" s="13"/>
      <c r="Q652" s="9"/>
      <c r="R652" s="9"/>
      <c r="S652" s="9"/>
      <c r="T652" s="11"/>
      <c r="U652" s="44" t="str">
        <f t="shared" si="81"/>
        <v/>
      </c>
      <c r="V652" s="44" t="str">
        <f t="shared" si="82"/>
        <v/>
      </c>
      <c r="W652" s="44" t="str">
        <f t="shared" si="83"/>
        <v/>
      </c>
      <c r="X652" s="44" t="str">
        <f t="shared" si="84"/>
        <v/>
      </c>
      <c r="Y652" s="44" t="str">
        <f t="shared" si="85"/>
        <v/>
      </c>
      <c r="Z652" s="44" t="str">
        <f t="shared" si="86"/>
        <v/>
      </c>
      <c r="AA652" s="50" t="str">
        <f t="shared" si="87"/>
        <v/>
      </c>
      <c r="AB652" s="50" t="str">
        <f>IF(OR(B652="",C652&lt;&gt;"Expense"),"",IF(E652&gt;IFERROR(AVERAGEIFS($E$8:$E$1007,$I$8:$I$1007,I652,$C$8:$C$1007,"Expense")*SETTINGS!$B$20,0),"Unusually High","Normal"))</f>
        <v/>
      </c>
      <c r="AC652" s="51"/>
      <c r="AD652" s="51"/>
      <c r="AE652" s="51"/>
      <c r="AF652" s="50" t="str">
        <f>IF(A652&lt;&gt;"Yes","No",IF(AND(AC652="Yes",SETTINGS!$B$16="No"),"No","Yes"))</f>
        <v>No</v>
      </c>
      <c r="AG652" s="50" t="str">
        <f>IF(A652&lt;&gt;"Yes","",IF(OR(B652="",D652="",E652&lt;=0,F652="",I652=""),"Check Required Fields",IF(AA652="Possible Duplicate","Possible Duplicate",IF(E652&gt;SETTINGS!$B$22,"Review Extreme Value","OK"))))</f>
        <v/>
      </c>
    </row>
    <row r="653" spans="1:33" ht="14.4">
      <c r="A653" s="9"/>
      <c r="B653" s="13"/>
      <c r="C653" s="9"/>
      <c r="D653" s="9"/>
      <c r="E653" s="11"/>
      <c r="F653" s="9"/>
      <c r="G653" s="9"/>
      <c r="H653" s="44" t="str">
        <f>IF(D653="","",IF(ISNUMBER(SEARCH(SETTINGS!$K$4,D653)),SETTINGS!$L$4,IF(ISNUMBER(SEARCH(SETTINGS!$K$5,D653)),SETTINGS!$L$5,IF(ISNUMBER(SEARCH(SETTINGS!$K$6,D653)),SETTINGS!$L$6,IF(ISNUMBER(SEARCH(SETTINGS!$K$7,D653)),SETTINGS!$L$7,IF(ISNUMBER(SEARCH(SETTINGS!$K$8,D653)),SETTINGS!$L$8,IF(ISNUMBER(SEARCH(SETTINGS!$K$9,D653)),SETTINGS!$L$9,IF(ISNUMBER(SEARCH(SETTINGS!$K$10,D653)),SETTINGS!$L$10,IF(ISNUMBER(SEARCH(SETTINGS!$K$11,D653)),SETTINGS!$L$11,IF(ISNUMBER(SEARCH(SETTINGS!$K$12,D653)),SETTINGS!$L$12,IF(ISNUMBER(SEARCH(SETTINGS!$K$13,D653)),SETTINGS!$L$13,IF(ISNUMBER(SEARCH(SETTINGS!$K$14,D653)),SETTINGS!$L$14,IF(ISNUMBER(SEARCH(SETTINGS!$K$15,D653)),SETTINGS!$L$15,IF(ISNUMBER(SEARCH(SETTINGS!$K$16,D653)),SETTINGS!$L$16,IF(ISNUMBER(SEARCH(SETTINGS!$K$17,D653)),SETTINGS!$L$17,IF(ISNUMBER(SEARCH(SETTINGS!$K$18,D653)),SETTINGS!$L$18,"Miscellaneous"))))))))))))))))</f>
        <v/>
      </c>
      <c r="I653" s="44" t="str">
        <f t="shared" si="80"/>
        <v/>
      </c>
      <c r="J653" s="9"/>
      <c r="K653" s="9"/>
      <c r="L653" s="9"/>
      <c r="M653" s="9"/>
      <c r="N653" s="9"/>
      <c r="O653" s="9"/>
      <c r="P653" s="13"/>
      <c r="Q653" s="9"/>
      <c r="R653" s="9"/>
      <c r="S653" s="9"/>
      <c r="T653" s="11"/>
      <c r="U653" s="44" t="str">
        <f t="shared" si="81"/>
        <v/>
      </c>
      <c r="V653" s="44" t="str">
        <f t="shared" si="82"/>
        <v/>
      </c>
      <c r="W653" s="44" t="str">
        <f t="shared" si="83"/>
        <v/>
      </c>
      <c r="X653" s="44" t="str">
        <f t="shared" si="84"/>
        <v/>
      </c>
      <c r="Y653" s="44" t="str">
        <f t="shared" si="85"/>
        <v/>
      </c>
      <c r="Z653" s="44" t="str">
        <f t="shared" si="86"/>
        <v/>
      </c>
      <c r="AA653" s="50" t="str">
        <f t="shared" si="87"/>
        <v/>
      </c>
      <c r="AB653" s="50" t="str">
        <f>IF(OR(B653="",C653&lt;&gt;"Expense"),"",IF(E653&gt;IFERROR(AVERAGEIFS($E$8:$E$1007,$I$8:$I$1007,I653,$C$8:$C$1007,"Expense")*SETTINGS!$B$20,0),"Unusually High","Normal"))</f>
        <v/>
      </c>
      <c r="AC653" s="51"/>
      <c r="AD653" s="51"/>
      <c r="AE653" s="51"/>
      <c r="AF653" s="50" t="str">
        <f>IF(A653&lt;&gt;"Yes","No",IF(AND(AC653="Yes",SETTINGS!$B$16="No"),"No","Yes"))</f>
        <v>No</v>
      </c>
      <c r="AG653" s="50" t="str">
        <f>IF(A653&lt;&gt;"Yes","",IF(OR(B653="",D653="",E653&lt;=0,F653="",I653=""),"Check Required Fields",IF(AA653="Possible Duplicate","Possible Duplicate",IF(E653&gt;SETTINGS!$B$22,"Review Extreme Value","OK"))))</f>
        <v/>
      </c>
    </row>
    <row r="654" spans="1:33" ht="14.4">
      <c r="A654" s="9"/>
      <c r="B654" s="13"/>
      <c r="C654" s="9"/>
      <c r="D654" s="9"/>
      <c r="E654" s="11"/>
      <c r="F654" s="9"/>
      <c r="G654" s="9"/>
      <c r="H654" s="44" t="str">
        <f>IF(D654="","",IF(ISNUMBER(SEARCH(SETTINGS!$K$4,D654)),SETTINGS!$L$4,IF(ISNUMBER(SEARCH(SETTINGS!$K$5,D654)),SETTINGS!$L$5,IF(ISNUMBER(SEARCH(SETTINGS!$K$6,D654)),SETTINGS!$L$6,IF(ISNUMBER(SEARCH(SETTINGS!$K$7,D654)),SETTINGS!$L$7,IF(ISNUMBER(SEARCH(SETTINGS!$K$8,D654)),SETTINGS!$L$8,IF(ISNUMBER(SEARCH(SETTINGS!$K$9,D654)),SETTINGS!$L$9,IF(ISNUMBER(SEARCH(SETTINGS!$K$10,D654)),SETTINGS!$L$10,IF(ISNUMBER(SEARCH(SETTINGS!$K$11,D654)),SETTINGS!$L$11,IF(ISNUMBER(SEARCH(SETTINGS!$K$12,D654)),SETTINGS!$L$12,IF(ISNUMBER(SEARCH(SETTINGS!$K$13,D654)),SETTINGS!$L$13,IF(ISNUMBER(SEARCH(SETTINGS!$K$14,D654)),SETTINGS!$L$14,IF(ISNUMBER(SEARCH(SETTINGS!$K$15,D654)),SETTINGS!$L$15,IF(ISNUMBER(SEARCH(SETTINGS!$K$16,D654)),SETTINGS!$L$16,IF(ISNUMBER(SEARCH(SETTINGS!$K$17,D654)),SETTINGS!$L$17,IF(ISNUMBER(SEARCH(SETTINGS!$K$18,D654)),SETTINGS!$L$18,"Miscellaneous"))))))))))))))))</f>
        <v/>
      </c>
      <c r="I654" s="44" t="str">
        <f t="shared" si="80"/>
        <v/>
      </c>
      <c r="J654" s="9"/>
      <c r="K654" s="9"/>
      <c r="L654" s="9"/>
      <c r="M654" s="9"/>
      <c r="N654" s="9"/>
      <c r="O654" s="9"/>
      <c r="P654" s="13"/>
      <c r="Q654" s="9"/>
      <c r="R654" s="9"/>
      <c r="S654" s="9"/>
      <c r="T654" s="11"/>
      <c r="U654" s="44" t="str">
        <f t="shared" si="81"/>
        <v/>
      </c>
      <c r="V654" s="44" t="str">
        <f t="shared" si="82"/>
        <v/>
      </c>
      <c r="W654" s="44" t="str">
        <f t="shared" si="83"/>
        <v/>
      </c>
      <c r="X654" s="44" t="str">
        <f t="shared" si="84"/>
        <v/>
      </c>
      <c r="Y654" s="44" t="str">
        <f t="shared" si="85"/>
        <v/>
      </c>
      <c r="Z654" s="44" t="str">
        <f t="shared" si="86"/>
        <v/>
      </c>
      <c r="AA654" s="50" t="str">
        <f t="shared" si="87"/>
        <v/>
      </c>
      <c r="AB654" s="50" t="str">
        <f>IF(OR(B654="",C654&lt;&gt;"Expense"),"",IF(E654&gt;IFERROR(AVERAGEIFS($E$8:$E$1007,$I$8:$I$1007,I654,$C$8:$C$1007,"Expense")*SETTINGS!$B$20,0),"Unusually High","Normal"))</f>
        <v/>
      </c>
      <c r="AC654" s="51"/>
      <c r="AD654" s="51"/>
      <c r="AE654" s="51"/>
      <c r="AF654" s="50" t="str">
        <f>IF(A654&lt;&gt;"Yes","No",IF(AND(AC654="Yes",SETTINGS!$B$16="No"),"No","Yes"))</f>
        <v>No</v>
      </c>
      <c r="AG654" s="50" t="str">
        <f>IF(A654&lt;&gt;"Yes","",IF(OR(B654="",D654="",E654&lt;=0,F654="",I654=""),"Check Required Fields",IF(AA654="Possible Duplicate","Possible Duplicate",IF(E654&gt;SETTINGS!$B$22,"Review Extreme Value","OK"))))</f>
        <v/>
      </c>
    </row>
    <row r="655" spans="1:33" ht="14.4">
      <c r="A655" s="9"/>
      <c r="B655" s="13"/>
      <c r="C655" s="9"/>
      <c r="D655" s="9"/>
      <c r="E655" s="11"/>
      <c r="F655" s="9"/>
      <c r="G655" s="9"/>
      <c r="H655" s="44" t="str">
        <f>IF(D655="","",IF(ISNUMBER(SEARCH(SETTINGS!$K$4,D655)),SETTINGS!$L$4,IF(ISNUMBER(SEARCH(SETTINGS!$K$5,D655)),SETTINGS!$L$5,IF(ISNUMBER(SEARCH(SETTINGS!$K$6,D655)),SETTINGS!$L$6,IF(ISNUMBER(SEARCH(SETTINGS!$K$7,D655)),SETTINGS!$L$7,IF(ISNUMBER(SEARCH(SETTINGS!$K$8,D655)),SETTINGS!$L$8,IF(ISNUMBER(SEARCH(SETTINGS!$K$9,D655)),SETTINGS!$L$9,IF(ISNUMBER(SEARCH(SETTINGS!$K$10,D655)),SETTINGS!$L$10,IF(ISNUMBER(SEARCH(SETTINGS!$K$11,D655)),SETTINGS!$L$11,IF(ISNUMBER(SEARCH(SETTINGS!$K$12,D655)),SETTINGS!$L$12,IF(ISNUMBER(SEARCH(SETTINGS!$K$13,D655)),SETTINGS!$L$13,IF(ISNUMBER(SEARCH(SETTINGS!$K$14,D655)),SETTINGS!$L$14,IF(ISNUMBER(SEARCH(SETTINGS!$K$15,D655)),SETTINGS!$L$15,IF(ISNUMBER(SEARCH(SETTINGS!$K$16,D655)),SETTINGS!$L$16,IF(ISNUMBER(SEARCH(SETTINGS!$K$17,D655)),SETTINGS!$L$17,IF(ISNUMBER(SEARCH(SETTINGS!$K$18,D655)),SETTINGS!$L$18,"Miscellaneous"))))))))))))))))</f>
        <v/>
      </c>
      <c r="I655" s="44" t="str">
        <f t="shared" si="80"/>
        <v/>
      </c>
      <c r="J655" s="9"/>
      <c r="K655" s="9"/>
      <c r="L655" s="9"/>
      <c r="M655" s="9"/>
      <c r="N655" s="9"/>
      <c r="O655" s="9"/>
      <c r="P655" s="13"/>
      <c r="Q655" s="9"/>
      <c r="R655" s="9"/>
      <c r="S655" s="9"/>
      <c r="T655" s="11"/>
      <c r="U655" s="44" t="str">
        <f t="shared" si="81"/>
        <v/>
      </c>
      <c r="V655" s="44" t="str">
        <f t="shared" si="82"/>
        <v/>
      </c>
      <c r="W655" s="44" t="str">
        <f t="shared" si="83"/>
        <v/>
      </c>
      <c r="X655" s="44" t="str">
        <f t="shared" si="84"/>
        <v/>
      </c>
      <c r="Y655" s="44" t="str">
        <f t="shared" si="85"/>
        <v/>
      </c>
      <c r="Z655" s="44" t="str">
        <f t="shared" si="86"/>
        <v/>
      </c>
      <c r="AA655" s="50" t="str">
        <f t="shared" si="87"/>
        <v/>
      </c>
      <c r="AB655" s="50" t="str">
        <f>IF(OR(B655="",C655&lt;&gt;"Expense"),"",IF(E655&gt;IFERROR(AVERAGEIFS($E$8:$E$1007,$I$8:$I$1007,I655,$C$8:$C$1007,"Expense")*SETTINGS!$B$20,0),"Unusually High","Normal"))</f>
        <v/>
      </c>
      <c r="AC655" s="51"/>
      <c r="AD655" s="51"/>
      <c r="AE655" s="51"/>
      <c r="AF655" s="50" t="str">
        <f>IF(A655&lt;&gt;"Yes","No",IF(AND(AC655="Yes",SETTINGS!$B$16="No"),"No","Yes"))</f>
        <v>No</v>
      </c>
      <c r="AG655" s="50" t="str">
        <f>IF(A655&lt;&gt;"Yes","",IF(OR(B655="",D655="",E655&lt;=0,F655="",I655=""),"Check Required Fields",IF(AA655="Possible Duplicate","Possible Duplicate",IF(E655&gt;SETTINGS!$B$22,"Review Extreme Value","OK"))))</f>
        <v/>
      </c>
    </row>
    <row r="656" spans="1:33" ht="14.4">
      <c r="A656" s="9"/>
      <c r="B656" s="13"/>
      <c r="C656" s="9"/>
      <c r="D656" s="9"/>
      <c r="E656" s="11"/>
      <c r="F656" s="9"/>
      <c r="G656" s="9"/>
      <c r="H656" s="44" t="str">
        <f>IF(D656="","",IF(ISNUMBER(SEARCH(SETTINGS!$K$4,D656)),SETTINGS!$L$4,IF(ISNUMBER(SEARCH(SETTINGS!$K$5,D656)),SETTINGS!$L$5,IF(ISNUMBER(SEARCH(SETTINGS!$K$6,D656)),SETTINGS!$L$6,IF(ISNUMBER(SEARCH(SETTINGS!$K$7,D656)),SETTINGS!$L$7,IF(ISNUMBER(SEARCH(SETTINGS!$K$8,D656)),SETTINGS!$L$8,IF(ISNUMBER(SEARCH(SETTINGS!$K$9,D656)),SETTINGS!$L$9,IF(ISNUMBER(SEARCH(SETTINGS!$K$10,D656)),SETTINGS!$L$10,IF(ISNUMBER(SEARCH(SETTINGS!$K$11,D656)),SETTINGS!$L$11,IF(ISNUMBER(SEARCH(SETTINGS!$K$12,D656)),SETTINGS!$L$12,IF(ISNUMBER(SEARCH(SETTINGS!$K$13,D656)),SETTINGS!$L$13,IF(ISNUMBER(SEARCH(SETTINGS!$K$14,D656)),SETTINGS!$L$14,IF(ISNUMBER(SEARCH(SETTINGS!$K$15,D656)),SETTINGS!$L$15,IF(ISNUMBER(SEARCH(SETTINGS!$K$16,D656)),SETTINGS!$L$16,IF(ISNUMBER(SEARCH(SETTINGS!$K$17,D656)),SETTINGS!$L$17,IF(ISNUMBER(SEARCH(SETTINGS!$K$18,D656)),SETTINGS!$L$18,"Miscellaneous"))))))))))))))))</f>
        <v/>
      </c>
      <c r="I656" s="44" t="str">
        <f t="shared" si="80"/>
        <v/>
      </c>
      <c r="J656" s="9"/>
      <c r="K656" s="9"/>
      <c r="L656" s="9"/>
      <c r="M656" s="9"/>
      <c r="N656" s="9"/>
      <c r="O656" s="9"/>
      <c r="P656" s="13"/>
      <c r="Q656" s="9"/>
      <c r="R656" s="9"/>
      <c r="S656" s="9"/>
      <c r="T656" s="11"/>
      <c r="U656" s="44" t="str">
        <f t="shared" si="81"/>
        <v/>
      </c>
      <c r="V656" s="44" t="str">
        <f t="shared" si="82"/>
        <v/>
      </c>
      <c r="W656" s="44" t="str">
        <f t="shared" si="83"/>
        <v/>
      </c>
      <c r="X656" s="44" t="str">
        <f t="shared" si="84"/>
        <v/>
      </c>
      <c r="Y656" s="44" t="str">
        <f t="shared" si="85"/>
        <v/>
      </c>
      <c r="Z656" s="44" t="str">
        <f t="shared" si="86"/>
        <v/>
      </c>
      <c r="AA656" s="50" t="str">
        <f t="shared" si="87"/>
        <v/>
      </c>
      <c r="AB656" s="50" t="str">
        <f>IF(OR(B656="",C656&lt;&gt;"Expense"),"",IF(E656&gt;IFERROR(AVERAGEIFS($E$8:$E$1007,$I$8:$I$1007,I656,$C$8:$C$1007,"Expense")*SETTINGS!$B$20,0),"Unusually High","Normal"))</f>
        <v/>
      </c>
      <c r="AC656" s="51"/>
      <c r="AD656" s="51"/>
      <c r="AE656" s="51"/>
      <c r="AF656" s="50" t="str">
        <f>IF(A656&lt;&gt;"Yes","No",IF(AND(AC656="Yes",SETTINGS!$B$16="No"),"No","Yes"))</f>
        <v>No</v>
      </c>
      <c r="AG656" s="50" t="str">
        <f>IF(A656&lt;&gt;"Yes","",IF(OR(B656="",D656="",E656&lt;=0,F656="",I656=""),"Check Required Fields",IF(AA656="Possible Duplicate","Possible Duplicate",IF(E656&gt;SETTINGS!$B$22,"Review Extreme Value","OK"))))</f>
        <v/>
      </c>
    </row>
    <row r="657" spans="1:33" ht="14.4">
      <c r="A657" s="9"/>
      <c r="B657" s="13"/>
      <c r="C657" s="9"/>
      <c r="D657" s="9"/>
      <c r="E657" s="11"/>
      <c r="F657" s="9"/>
      <c r="G657" s="9"/>
      <c r="H657" s="44" t="str">
        <f>IF(D657="","",IF(ISNUMBER(SEARCH(SETTINGS!$K$4,D657)),SETTINGS!$L$4,IF(ISNUMBER(SEARCH(SETTINGS!$K$5,D657)),SETTINGS!$L$5,IF(ISNUMBER(SEARCH(SETTINGS!$K$6,D657)),SETTINGS!$L$6,IF(ISNUMBER(SEARCH(SETTINGS!$K$7,D657)),SETTINGS!$L$7,IF(ISNUMBER(SEARCH(SETTINGS!$K$8,D657)),SETTINGS!$L$8,IF(ISNUMBER(SEARCH(SETTINGS!$K$9,D657)),SETTINGS!$L$9,IF(ISNUMBER(SEARCH(SETTINGS!$K$10,D657)),SETTINGS!$L$10,IF(ISNUMBER(SEARCH(SETTINGS!$K$11,D657)),SETTINGS!$L$11,IF(ISNUMBER(SEARCH(SETTINGS!$K$12,D657)),SETTINGS!$L$12,IF(ISNUMBER(SEARCH(SETTINGS!$K$13,D657)),SETTINGS!$L$13,IF(ISNUMBER(SEARCH(SETTINGS!$K$14,D657)),SETTINGS!$L$14,IF(ISNUMBER(SEARCH(SETTINGS!$K$15,D657)),SETTINGS!$L$15,IF(ISNUMBER(SEARCH(SETTINGS!$K$16,D657)),SETTINGS!$L$16,IF(ISNUMBER(SEARCH(SETTINGS!$K$17,D657)),SETTINGS!$L$17,IF(ISNUMBER(SEARCH(SETTINGS!$K$18,D657)),SETTINGS!$L$18,"Miscellaneous"))))))))))))))))</f>
        <v/>
      </c>
      <c r="I657" s="44" t="str">
        <f t="shared" si="80"/>
        <v/>
      </c>
      <c r="J657" s="9"/>
      <c r="K657" s="9"/>
      <c r="L657" s="9"/>
      <c r="M657" s="9"/>
      <c r="N657" s="9"/>
      <c r="O657" s="9"/>
      <c r="P657" s="13"/>
      <c r="Q657" s="9"/>
      <c r="R657" s="9"/>
      <c r="S657" s="9"/>
      <c r="T657" s="11"/>
      <c r="U657" s="44" t="str">
        <f t="shared" si="81"/>
        <v/>
      </c>
      <c r="V657" s="44" t="str">
        <f t="shared" si="82"/>
        <v/>
      </c>
      <c r="W657" s="44" t="str">
        <f t="shared" si="83"/>
        <v/>
      </c>
      <c r="X657" s="44" t="str">
        <f t="shared" si="84"/>
        <v/>
      </c>
      <c r="Y657" s="44" t="str">
        <f t="shared" si="85"/>
        <v/>
      </c>
      <c r="Z657" s="44" t="str">
        <f t="shared" si="86"/>
        <v/>
      </c>
      <c r="AA657" s="50" t="str">
        <f t="shared" si="87"/>
        <v/>
      </c>
      <c r="AB657" s="50" t="str">
        <f>IF(OR(B657="",C657&lt;&gt;"Expense"),"",IF(E657&gt;IFERROR(AVERAGEIFS($E$8:$E$1007,$I$8:$I$1007,I657,$C$8:$C$1007,"Expense")*SETTINGS!$B$20,0),"Unusually High","Normal"))</f>
        <v/>
      </c>
      <c r="AC657" s="51"/>
      <c r="AD657" s="51"/>
      <c r="AE657" s="51"/>
      <c r="AF657" s="50" t="str">
        <f>IF(A657&lt;&gt;"Yes","No",IF(AND(AC657="Yes",SETTINGS!$B$16="No"),"No","Yes"))</f>
        <v>No</v>
      </c>
      <c r="AG657" s="50" t="str">
        <f>IF(A657&lt;&gt;"Yes","",IF(OR(B657="",D657="",E657&lt;=0,F657="",I657=""),"Check Required Fields",IF(AA657="Possible Duplicate","Possible Duplicate",IF(E657&gt;SETTINGS!$B$22,"Review Extreme Value","OK"))))</f>
        <v/>
      </c>
    </row>
    <row r="658" spans="1:33" ht="14.4">
      <c r="A658" s="9"/>
      <c r="B658" s="13"/>
      <c r="C658" s="9"/>
      <c r="D658" s="9"/>
      <c r="E658" s="11"/>
      <c r="F658" s="9"/>
      <c r="G658" s="9"/>
      <c r="H658" s="44" t="str">
        <f>IF(D658="","",IF(ISNUMBER(SEARCH(SETTINGS!$K$4,D658)),SETTINGS!$L$4,IF(ISNUMBER(SEARCH(SETTINGS!$K$5,D658)),SETTINGS!$L$5,IF(ISNUMBER(SEARCH(SETTINGS!$K$6,D658)),SETTINGS!$L$6,IF(ISNUMBER(SEARCH(SETTINGS!$K$7,D658)),SETTINGS!$L$7,IF(ISNUMBER(SEARCH(SETTINGS!$K$8,D658)),SETTINGS!$L$8,IF(ISNUMBER(SEARCH(SETTINGS!$K$9,D658)),SETTINGS!$L$9,IF(ISNUMBER(SEARCH(SETTINGS!$K$10,D658)),SETTINGS!$L$10,IF(ISNUMBER(SEARCH(SETTINGS!$K$11,D658)),SETTINGS!$L$11,IF(ISNUMBER(SEARCH(SETTINGS!$K$12,D658)),SETTINGS!$L$12,IF(ISNUMBER(SEARCH(SETTINGS!$K$13,D658)),SETTINGS!$L$13,IF(ISNUMBER(SEARCH(SETTINGS!$K$14,D658)),SETTINGS!$L$14,IF(ISNUMBER(SEARCH(SETTINGS!$K$15,D658)),SETTINGS!$L$15,IF(ISNUMBER(SEARCH(SETTINGS!$K$16,D658)),SETTINGS!$L$16,IF(ISNUMBER(SEARCH(SETTINGS!$K$17,D658)),SETTINGS!$L$17,IF(ISNUMBER(SEARCH(SETTINGS!$K$18,D658)),SETTINGS!$L$18,"Miscellaneous"))))))))))))))))</f>
        <v/>
      </c>
      <c r="I658" s="44" t="str">
        <f t="shared" si="80"/>
        <v/>
      </c>
      <c r="J658" s="9"/>
      <c r="K658" s="9"/>
      <c r="L658" s="9"/>
      <c r="M658" s="9"/>
      <c r="N658" s="9"/>
      <c r="O658" s="9"/>
      <c r="P658" s="13"/>
      <c r="Q658" s="9"/>
      <c r="R658" s="9"/>
      <c r="S658" s="9"/>
      <c r="T658" s="11"/>
      <c r="U658" s="44" t="str">
        <f t="shared" si="81"/>
        <v/>
      </c>
      <c r="V658" s="44" t="str">
        <f t="shared" si="82"/>
        <v/>
      </c>
      <c r="W658" s="44" t="str">
        <f t="shared" si="83"/>
        <v/>
      </c>
      <c r="X658" s="44" t="str">
        <f t="shared" si="84"/>
        <v/>
      </c>
      <c r="Y658" s="44" t="str">
        <f t="shared" si="85"/>
        <v/>
      </c>
      <c r="Z658" s="44" t="str">
        <f t="shared" si="86"/>
        <v/>
      </c>
      <c r="AA658" s="50" t="str">
        <f t="shared" si="87"/>
        <v/>
      </c>
      <c r="AB658" s="50" t="str">
        <f>IF(OR(B658="",C658&lt;&gt;"Expense"),"",IF(E658&gt;IFERROR(AVERAGEIFS($E$8:$E$1007,$I$8:$I$1007,I658,$C$8:$C$1007,"Expense")*SETTINGS!$B$20,0),"Unusually High","Normal"))</f>
        <v/>
      </c>
      <c r="AC658" s="51"/>
      <c r="AD658" s="51"/>
      <c r="AE658" s="51"/>
      <c r="AF658" s="50" t="str">
        <f>IF(A658&lt;&gt;"Yes","No",IF(AND(AC658="Yes",SETTINGS!$B$16="No"),"No","Yes"))</f>
        <v>No</v>
      </c>
      <c r="AG658" s="50" t="str">
        <f>IF(A658&lt;&gt;"Yes","",IF(OR(B658="",D658="",E658&lt;=0,F658="",I658=""),"Check Required Fields",IF(AA658="Possible Duplicate","Possible Duplicate",IF(E658&gt;SETTINGS!$B$22,"Review Extreme Value","OK"))))</f>
        <v/>
      </c>
    </row>
    <row r="659" spans="1:33" ht="14.4">
      <c r="A659" s="9"/>
      <c r="B659" s="13"/>
      <c r="C659" s="9"/>
      <c r="D659" s="9"/>
      <c r="E659" s="11"/>
      <c r="F659" s="9"/>
      <c r="G659" s="9"/>
      <c r="H659" s="44" t="str">
        <f>IF(D659="","",IF(ISNUMBER(SEARCH(SETTINGS!$K$4,D659)),SETTINGS!$L$4,IF(ISNUMBER(SEARCH(SETTINGS!$K$5,D659)),SETTINGS!$L$5,IF(ISNUMBER(SEARCH(SETTINGS!$K$6,D659)),SETTINGS!$L$6,IF(ISNUMBER(SEARCH(SETTINGS!$K$7,D659)),SETTINGS!$L$7,IF(ISNUMBER(SEARCH(SETTINGS!$K$8,D659)),SETTINGS!$L$8,IF(ISNUMBER(SEARCH(SETTINGS!$K$9,D659)),SETTINGS!$L$9,IF(ISNUMBER(SEARCH(SETTINGS!$K$10,D659)),SETTINGS!$L$10,IF(ISNUMBER(SEARCH(SETTINGS!$K$11,D659)),SETTINGS!$L$11,IF(ISNUMBER(SEARCH(SETTINGS!$K$12,D659)),SETTINGS!$L$12,IF(ISNUMBER(SEARCH(SETTINGS!$K$13,D659)),SETTINGS!$L$13,IF(ISNUMBER(SEARCH(SETTINGS!$K$14,D659)),SETTINGS!$L$14,IF(ISNUMBER(SEARCH(SETTINGS!$K$15,D659)),SETTINGS!$L$15,IF(ISNUMBER(SEARCH(SETTINGS!$K$16,D659)),SETTINGS!$L$16,IF(ISNUMBER(SEARCH(SETTINGS!$K$17,D659)),SETTINGS!$L$17,IF(ISNUMBER(SEARCH(SETTINGS!$K$18,D659)),SETTINGS!$L$18,"Miscellaneous"))))))))))))))))</f>
        <v/>
      </c>
      <c r="I659" s="44" t="str">
        <f t="shared" si="80"/>
        <v/>
      </c>
      <c r="J659" s="9"/>
      <c r="K659" s="9"/>
      <c r="L659" s="9"/>
      <c r="M659" s="9"/>
      <c r="N659" s="9"/>
      <c r="O659" s="9"/>
      <c r="P659" s="13"/>
      <c r="Q659" s="9"/>
      <c r="R659" s="9"/>
      <c r="S659" s="9"/>
      <c r="T659" s="11"/>
      <c r="U659" s="44" t="str">
        <f t="shared" si="81"/>
        <v/>
      </c>
      <c r="V659" s="44" t="str">
        <f t="shared" si="82"/>
        <v/>
      </c>
      <c r="W659" s="44" t="str">
        <f t="shared" si="83"/>
        <v/>
      </c>
      <c r="X659" s="44" t="str">
        <f t="shared" si="84"/>
        <v/>
      </c>
      <c r="Y659" s="44" t="str">
        <f t="shared" si="85"/>
        <v/>
      </c>
      <c r="Z659" s="44" t="str">
        <f t="shared" si="86"/>
        <v/>
      </c>
      <c r="AA659" s="50" t="str">
        <f t="shared" si="87"/>
        <v/>
      </c>
      <c r="AB659" s="50" t="str">
        <f>IF(OR(B659="",C659&lt;&gt;"Expense"),"",IF(E659&gt;IFERROR(AVERAGEIFS($E$8:$E$1007,$I$8:$I$1007,I659,$C$8:$C$1007,"Expense")*SETTINGS!$B$20,0),"Unusually High","Normal"))</f>
        <v/>
      </c>
      <c r="AC659" s="51"/>
      <c r="AD659" s="51"/>
      <c r="AE659" s="51"/>
      <c r="AF659" s="50" t="str">
        <f>IF(A659&lt;&gt;"Yes","No",IF(AND(AC659="Yes",SETTINGS!$B$16="No"),"No","Yes"))</f>
        <v>No</v>
      </c>
      <c r="AG659" s="50" t="str">
        <f>IF(A659&lt;&gt;"Yes","",IF(OR(B659="",D659="",E659&lt;=0,F659="",I659=""),"Check Required Fields",IF(AA659="Possible Duplicate","Possible Duplicate",IF(E659&gt;SETTINGS!$B$22,"Review Extreme Value","OK"))))</f>
        <v/>
      </c>
    </row>
    <row r="660" spans="1:33" ht="14.4">
      <c r="A660" s="9"/>
      <c r="B660" s="13"/>
      <c r="C660" s="9"/>
      <c r="D660" s="9"/>
      <c r="E660" s="11"/>
      <c r="F660" s="9"/>
      <c r="G660" s="9"/>
      <c r="H660" s="44" t="str">
        <f>IF(D660="","",IF(ISNUMBER(SEARCH(SETTINGS!$K$4,D660)),SETTINGS!$L$4,IF(ISNUMBER(SEARCH(SETTINGS!$K$5,D660)),SETTINGS!$L$5,IF(ISNUMBER(SEARCH(SETTINGS!$K$6,D660)),SETTINGS!$L$6,IF(ISNUMBER(SEARCH(SETTINGS!$K$7,D660)),SETTINGS!$L$7,IF(ISNUMBER(SEARCH(SETTINGS!$K$8,D660)),SETTINGS!$L$8,IF(ISNUMBER(SEARCH(SETTINGS!$K$9,D660)),SETTINGS!$L$9,IF(ISNUMBER(SEARCH(SETTINGS!$K$10,D660)),SETTINGS!$L$10,IF(ISNUMBER(SEARCH(SETTINGS!$K$11,D660)),SETTINGS!$L$11,IF(ISNUMBER(SEARCH(SETTINGS!$K$12,D660)),SETTINGS!$L$12,IF(ISNUMBER(SEARCH(SETTINGS!$K$13,D660)),SETTINGS!$L$13,IF(ISNUMBER(SEARCH(SETTINGS!$K$14,D660)),SETTINGS!$L$14,IF(ISNUMBER(SEARCH(SETTINGS!$K$15,D660)),SETTINGS!$L$15,IF(ISNUMBER(SEARCH(SETTINGS!$K$16,D660)),SETTINGS!$L$16,IF(ISNUMBER(SEARCH(SETTINGS!$K$17,D660)),SETTINGS!$L$17,IF(ISNUMBER(SEARCH(SETTINGS!$K$18,D660)),SETTINGS!$L$18,"Miscellaneous"))))))))))))))))</f>
        <v/>
      </c>
      <c r="I660" s="44" t="str">
        <f t="shared" si="80"/>
        <v/>
      </c>
      <c r="J660" s="9"/>
      <c r="K660" s="9"/>
      <c r="L660" s="9"/>
      <c r="M660" s="9"/>
      <c r="N660" s="9"/>
      <c r="O660" s="9"/>
      <c r="P660" s="13"/>
      <c r="Q660" s="9"/>
      <c r="R660" s="9"/>
      <c r="S660" s="9"/>
      <c r="T660" s="11"/>
      <c r="U660" s="44" t="str">
        <f t="shared" si="81"/>
        <v/>
      </c>
      <c r="V660" s="44" t="str">
        <f t="shared" si="82"/>
        <v/>
      </c>
      <c r="W660" s="44" t="str">
        <f t="shared" si="83"/>
        <v/>
      </c>
      <c r="X660" s="44" t="str">
        <f t="shared" si="84"/>
        <v/>
      </c>
      <c r="Y660" s="44" t="str">
        <f t="shared" si="85"/>
        <v/>
      </c>
      <c r="Z660" s="44" t="str">
        <f t="shared" si="86"/>
        <v/>
      </c>
      <c r="AA660" s="50" t="str">
        <f t="shared" si="87"/>
        <v/>
      </c>
      <c r="AB660" s="50" t="str">
        <f>IF(OR(B660="",C660&lt;&gt;"Expense"),"",IF(E660&gt;IFERROR(AVERAGEIFS($E$8:$E$1007,$I$8:$I$1007,I660,$C$8:$C$1007,"Expense")*SETTINGS!$B$20,0),"Unusually High","Normal"))</f>
        <v/>
      </c>
      <c r="AC660" s="51"/>
      <c r="AD660" s="51"/>
      <c r="AE660" s="51"/>
      <c r="AF660" s="50" t="str">
        <f>IF(A660&lt;&gt;"Yes","No",IF(AND(AC660="Yes",SETTINGS!$B$16="No"),"No","Yes"))</f>
        <v>No</v>
      </c>
      <c r="AG660" s="50" t="str">
        <f>IF(A660&lt;&gt;"Yes","",IF(OR(B660="",D660="",E660&lt;=0,F660="",I660=""),"Check Required Fields",IF(AA660="Possible Duplicate","Possible Duplicate",IF(E660&gt;SETTINGS!$B$22,"Review Extreme Value","OK"))))</f>
        <v/>
      </c>
    </row>
    <row r="661" spans="1:33" ht="14.4">
      <c r="A661" s="9"/>
      <c r="B661" s="13"/>
      <c r="C661" s="9"/>
      <c r="D661" s="9"/>
      <c r="E661" s="11"/>
      <c r="F661" s="9"/>
      <c r="G661" s="9"/>
      <c r="H661" s="44" t="str">
        <f>IF(D661="","",IF(ISNUMBER(SEARCH(SETTINGS!$K$4,D661)),SETTINGS!$L$4,IF(ISNUMBER(SEARCH(SETTINGS!$K$5,D661)),SETTINGS!$L$5,IF(ISNUMBER(SEARCH(SETTINGS!$K$6,D661)),SETTINGS!$L$6,IF(ISNUMBER(SEARCH(SETTINGS!$K$7,D661)),SETTINGS!$L$7,IF(ISNUMBER(SEARCH(SETTINGS!$K$8,D661)),SETTINGS!$L$8,IF(ISNUMBER(SEARCH(SETTINGS!$K$9,D661)),SETTINGS!$L$9,IF(ISNUMBER(SEARCH(SETTINGS!$K$10,D661)),SETTINGS!$L$10,IF(ISNUMBER(SEARCH(SETTINGS!$K$11,D661)),SETTINGS!$L$11,IF(ISNUMBER(SEARCH(SETTINGS!$K$12,D661)),SETTINGS!$L$12,IF(ISNUMBER(SEARCH(SETTINGS!$K$13,D661)),SETTINGS!$L$13,IF(ISNUMBER(SEARCH(SETTINGS!$K$14,D661)),SETTINGS!$L$14,IF(ISNUMBER(SEARCH(SETTINGS!$K$15,D661)),SETTINGS!$L$15,IF(ISNUMBER(SEARCH(SETTINGS!$K$16,D661)),SETTINGS!$L$16,IF(ISNUMBER(SEARCH(SETTINGS!$K$17,D661)),SETTINGS!$L$17,IF(ISNUMBER(SEARCH(SETTINGS!$K$18,D661)),SETTINGS!$L$18,"Miscellaneous"))))))))))))))))</f>
        <v/>
      </c>
      <c r="I661" s="44" t="str">
        <f t="shared" si="80"/>
        <v/>
      </c>
      <c r="J661" s="9"/>
      <c r="K661" s="9"/>
      <c r="L661" s="9"/>
      <c r="M661" s="9"/>
      <c r="N661" s="9"/>
      <c r="O661" s="9"/>
      <c r="P661" s="13"/>
      <c r="Q661" s="9"/>
      <c r="R661" s="9"/>
      <c r="S661" s="9"/>
      <c r="T661" s="11"/>
      <c r="U661" s="44" t="str">
        <f t="shared" si="81"/>
        <v/>
      </c>
      <c r="V661" s="44" t="str">
        <f t="shared" si="82"/>
        <v/>
      </c>
      <c r="W661" s="44" t="str">
        <f t="shared" si="83"/>
        <v/>
      </c>
      <c r="X661" s="44" t="str">
        <f t="shared" si="84"/>
        <v/>
      </c>
      <c r="Y661" s="44" t="str">
        <f t="shared" si="85"/>
        <v/>
      </c>
      <c r="Z661" s="44" t="str">
        <f t="shared" si="86"/>
        <v/>
      </c>
      <c r="AA661" s="50" t="str">
        <f t="shared" si="87"/>
        <v/>
      </c>
      <c r="AB661" s="50" t="str">
        <f>IF(OR(B661="",C661&lt;&gt;"Expense"),"",IF(E661&gt;IFERROR(AVERAGEIFS($E$8:$E$1007,$I$8:$I$1007,I661,$C$8:$C$1007,"Expense")*SETTINGS!$B$20,0),"Unusually High","Normal"))</f>
        <v/>
      </c>
      <c r="AC661" s="51"/>
      <c r="AD661" s="51"/>
      <c r="AE661" s="51"/>
      <c r="AF661" s="50" t="str">
        <f>IF(A661&lt;&gt;"Yes","No",IF(AND(AC661="Yes",SETTINGS!$B$16="No"),"No","Yes"))</f>
        <v>No</v>
      </c>
      <c r="AG661" s="50" t="str">
        <f>IF(A661&lt;&gt;"Yes","",IF(OR(B661="",D661="",E661&lt;=0,F661="",I661=""),"Check Required Fields",IF(AA661="Possible Duplicate","Possible Duplicate",IF(E661&gt;SETTINGS!$B$22,"Review Extreme Value","OK"))))</f>
        <v/>
      </c>
    </row>
    <row r="662" spans="1:33" ht="14.4">
      <c r="A662" s="9"/>
      <c r="B662" s="13"/>
      <c r="C662" s="9"/>
      <c r="D662" s="9"/>
      <c r="E662" s="11"/>
      <c r="F662" s="9"/>
      <c r="G662" s="9"/>
      <c r="H662" s="44" t="str">
        <f>IF(D662="","",IF(ISNUMBER(SEARCH(SETTINGS!$K$4,D662)),SETTINGS!$L$4,IF(ISNUMBER(SEARCH(SETTINGS!$K$5,D662)),SETTINGS!$L$5,IF(ISNUMBER(SEARCH(SETTINGS!$K$6,D662)),SETTINGS!$L$6,IF(ISNUMBER(SEARCH(SETTINGS!$K$7,D662)),SETTINGS!$L$7,IF(ISNUMBER(SEARCH(SETTINGS!$K$8,D662)),SETTINGS!$L$8,IF(ISNUMBER(SEARCH(SETTINGS!$K$9,D662)),SETTINGS!$L$9,IF(ISNUMBER(SEARCH(SETTINGS!$K$10,D662)),SETTINGS!$L$10,IF(ISNUMBER(SEARCH(SETTINGS!$K$11,D662)),SETTINGS!$L$11,IF(ISNUMBER(SEARCH(SETTINGS!$K$12,D662)),SETTINGS!$L$12,IF(ISNUMBER(SEARCH(SETTINGS!$K$13,D662)),SETTINGS!$L$13,IF(ISNUMBER(SEARCH(SETTINGS!$K$14,D662)),SETTINGS!$L$14,IF(ISNUMBER(SEARCH(SETTINGS!$K$15,D662)),SETTINGS!$L$15,IF(ISNUMBER(SEARCH(SETTINGS!$K$16,D662)),SETTINGS!$L$16,IF(ISNUMBER(SEARCH(SETTINGS!$K$17,D662)),SETTINGS!$L$17,IF(ISNUMBER(SEARCH(SETTINGS!$K$18,D662)),SETTINGS!$L$18,"Miscellaneous"))))))))))))))))</f>
        <v/>
      </c>
      <c r="I662" s="44" t="str">
        <f t="shared" si="80"/>
        <v/>
      </c>
      <c r="J662" s="9"/>
      <c r="K662" s="9"/>
      <c r="L662" s="9"/>
      <c r="M662" s="9"/>
      <c r="N662" s="9"/>
      <c r="O662" s="9"/>
      <c r="P662" s="13"/>
      <c r="Q662" s="9"/>
      <c r="R662" s="9"/>
      <c r="S662" s="9"/>
      <c r="T662" s="11"/>
      <c r="U662" s="44" t="str">
        <f t="shared" si="81"/>
        <v/>
      </c>
      <c r="V662" s="44" t="str">
        <f t="shared" si="82"/>
        <v/>
      </c>
      <c r="W662" s="44" t="str">
        <f t="shared" si="83"/>
        <v/>
      </c>
      <c r="X662" s="44" t="str">
        <f t="shared" si="84"/>
        <v/>
      </c>
      <c r="Y662" s="44" t="str">
        <f t="shared" si="85"/>
        <v/>
      </c>
      <c r="Z662" s="44" t="str">
        <f t="shared" si="86"/>
        <v/>
      </c>
      <c r="AA662" s="50" t="str">
        <f t="shared" si="87"/>
        <v/>
      </c>
      <c r="AB662" s="50" t="str">
        <f>IF(OR(B662="",C662&lt;&gt;"Expense"),"",IF(E662&gt;IFERROR(AVERAGEIFS($E$8:$E$1007,$I$8:$I$1007,I662,$C$8:$C$1007,"Expense")*SETTINGS!$B$20,0),"Unusually High","Normal"))</f>
        <v/>
      </c>
      <c r="AC662" s="51"/>
      <c r="AD662" s="51"/>
      <c r="AE662" s="51"/>
      <c r="AF662" s="50" t="str">
        <f>IF(A662&lt;&gt;"Yes","No",IF(AND(AC662="Yes",SETTINGS!$B$16="No"),"No","Yes"))</f>
        <v>No</v>
      </c>
      <c r="AG662" s="50" t="str">
        <f>IF(A662&lt;&gt;"Yes","",IF(OR(B662="",D662="",E662&lt;=0,F662="",I662=""),"Check Required Fields",IF(AA662="Possible Duplicate","Possible Duplicate",IF(E662&gt;SETTINGS!$B$22,"Review Extreme Value","OK"))))</f>
        <v/>
      </c>
    </row>
    <row r="663" spans="1:33" ht="14.4">
      <c r="A663" s="9"/>
      <c r="B663" s="13"/>
      <c r="C663" s="9"/>
      <c r="D663" s="9"/>
      <c r="E663" s="11"/>
      <c r="F663" s="9"/>
      <c r="G663" s="9"/>
      <c r="H663" s="44" t="str">
        <f>IF(D663="","",IF(ISNUMBER(SEARCH(SETTINGS!$K$4,D663)),SETTINGS!$L$4,IF(ISNUMBER(SEARCH(SETTINGS!$K$5,D663)),SETTINGS!$L$5,IF(ISNUMBER(SEARCH(SETTINGS!$K$6,D663)),SETTINGS!$L$6,IF(ISNUMBER(SEARCH(SETTINGS!$K$7,D663)),SETTINGS!$L$7,IF(ISNUMBER(SEARCH(SETTINGS!$K$8,D663)),SETTINGS!$L$8,IF(ISNUMBER(SEARCH(SETTINGS!$K$9,D663)),SETTINGS!$L$9,IF(ISNUMBER(SEARCH(SETTINGS!$K$10,D663)),SETTINGS!$L$10,IF(ISNUMBER(SEARCH(SETTINGS!$K$11,D663)),SETTINGS!$L$11,IF(ISNUMBER(SEARCH(SETTINGS!$K$12,D663)),SETTINGS!$L$12,IF(ISNUMBER(SEARCH(SETTINGS!$K$13,D663)),SETTINGS!$L$13,IF(ISNUMBER(SEARCH(SETTINGS!$K$14,D663)),SETTINGS!$L$14,IF(ISNUMBER(SEARCH(SETTINGS!$K$15,D663)),SETTINGS!$L$15,IF(ISNUMBER(SEARCH(SETTINGS!$K$16,D663)),SETTINGS!$L$16,IF(ISNUMBER(SEARCH(SETTINGS!$K$17,D663)),SETTINGS!$L$17,IF(ISNUMBER(SEARCH(SETTINGS!$K$18,D663)),SETTINGS!$L$18,"Miscellaneous"))))))))))))))))</f>
        <v/>
      </c>
      <c r="I663" s="44" t="str">
        <f t="shared" si="80"/>
        <v/>
      </c>
      <c r="J663" s="9"/>
      <c r="K663" s="9"/>
      <c r="L663" s="9"/>
      <c r="M663" s="9"/>
      <c r="N663" s="9"/>
      <c r="O663" s="9"/>
      <c r="P663" s="13"/>
      <c r="Q663" s="9"/>
      <c r="R663" s="9"/>
      <c r="S663" s="9"/>
      <c r="T663" s="11"/>
      <c r="U663" s="44" t="str">
        <f t="shared" si="81"/>
        <v/>
      </c>
      <c r="V663" s="44" t="str">
        <f t="shared" si="82"/>
        <v/>
      </c>
      <c r="W663" s="44" t="str">
        <f t="shared" si="83"/>
        <v/>
      </c>
      <c r="X663" s="44" t="str">
        <f t="shared" si="84"/>
        <v/>
      </c>
      <c r="Y663" s="44" t="str">
        <f t="shared" si="85"/>
        <v/>
      </c>
      <c r="Z663" s="44" t="str">
        <f t="shared" si="86"/>
        <v/>
      </c>
      <c r="AA663" s="50" t="str">
        <f t="shared" si="87"/>
        <v/>
      </c>
      <c r="AB663" s="50" t="str">
        <f>IF(OR(B663="",C663&lt;&gt;"Expense"),"",IF(E663&gt;IFERROR(AVERAGEIFS($E$8:$E$1007,$I$8:$I$1007,I663,$C$8:$C$1007,"Expense")*SETTINGS!$B$20,0),"Unusually High","Normal"))</f>
        <v/>
      </c>
      <c r="AC663" s="51"/>
      <c r="AD663" s="51"/>
      <c r="AE663" s="51"/>
      <c r="AF663" s="50" t="str">
        <f>IF(A663&lt;&gt;"Yes","No",IF(AND(AC663="Yes",SETTINGS!$B$16="No"),"No","Yes"))</f>
        <v>No</v>
      </c>
      <c r="AG663" s="50" t="str">
        <f>IF(A663&lt;&gt;"Yes","",IF(OR(B663="",D663="",E663&lt;=0,F663="",I663=""),"Check Required Fields",IF(AA663="Possible Duplicate","Possible Duplicate",IF(E663&gt;SETTINGS!$B$22,"Review Extreme Value","OK"))))</f>
        <v/>
      </c>
    </row>
    <row r="664" spans="1:33" ht="14.4">
      <c r="A664" s="9"/>
      <c r="B664" s="13"/>
      <c r="C664" s="9"/>
      <c r="D664" s="9"/>
      <c r="E664" s="11"/>
      <c r="F664" s="9"/>
      <c r="G664" s="9"/>
      <c r="H664" s="44" t="str">
        <f>IF(D664="","",IF(ISNUMBER(SEARCH(SETTINGS!$K$4,D664)),SETTINGS!$L$4,IF(ISNUMBER(SEARCH(SETTINGS!$K$5,D664)),SETTINGS!$L$5,IF(ISNUMBER(SEARCH(SETTINGS!$K$6,D664)),SETTINGS!$L$6,IF(ISNUMBER(SEARCH(SETTINGS!$K$7,D664)),SETTINGS!$L$7,IF(ISNUMBER(SEARCH(SETTINGS!$K$8,D664)),SETTINGS!$L$8,IF(ISNUMBER(SEARCH(SETTINGS!$K$9,D664)),SETTINGS!$L$9,IF(ISNUMBER(SEARCH(SETTINGS!$K$10,D664)),SETTINGS!$L$10,IF(ISNUMBER(SEARCH(SETTINGS!$K$11,D664)),SETTINGS!$L$11,IF(ISNUMBER(SEARCH(SETTINGS!$K$12,D664)),SETTINGS!$L$12,IF(ISNUMBER(SEARCH(SETTINGS!$K$13,D664)),SETTINGS!$L$13,IF(ISNUMBER(SEARCH(SETTINGS!$K$14,D664)),SETTINGS!$L$14,IF(ISNUMBER(SEARCH(SETTINGS!$K$15,D664)),SETTINGS!$L$15,IF(ISNUMBER(SEARCH(SETTINGS!$K$16,D664)),SETTINGS!$L$16,IF(ISNUMBER(SEARCH(SETTINGS!$K$17,D664)),SETTINGS!$L$17,IF(ISNUMBER(SEARCH(SETTINGS!$K$18,D664)),SETTINGS!$L$18,"Miscellaneous"))))))))))))))))</f>
        <v/>
      </c>
      <c r="I664" s="44" t="str">
        <f t="shared" si="80"/>
        <v/>
      </c>
      <c r="J664" s="9"/>
      <c r="K664" s="9"/>
      <c r="L664" s="9"/>
      <c r="M664" s="9"/>
      <c r="N664" s="9"/>
      <c r="O664" s="9"/>
      <c r="P664" s="13"/>
      <c r="Q664" s="9"/>
      <c r="R664" s="9"/>
      <c r="S664" s="9"/>
      <c r="T664" s="11"/>
      <c r="U664" s="44" t="str">
        <f t="shared" si="81"/>
        <v/>
      </c>
      <c r="V664" s="44" t="str">
        <f t="shared" si="82"/>
        <v/>
      </c>
      <c r="W664" s="44" t="str">
        <f t="shared" si="83"/>
        <v/>
      </c>
      <c r="X664" s="44" t="str">
        <f t="shared" si="84"/>
        <v/>
      </c>
      <c r="Y664" s="44" t="str">
        <f t="shared" si="85"/>
        <v/>
      </c>
      <c r="Z664" s="44" t="str">
        <f t="shared" si="86"/>
        <v/>
      </c>
      <c r="AA664" s="50" t="str">
        <f t="shared" si="87"/>
        <v/>
      </c>
      <c r="AB664" s="50" t="str">
        <f>IF(OR(B664="",C664&lt;&gt;"Expense"),"",IF(E664&gt;IFERROR(AVERAGEIFS($E$8:$E$1007,$I$8:$I$1007,I664,$C$8:$C$1007,"Expense")*SETTINGS!$B$20,0),"Unusually High","Normal"))</f>
        <v/>
      </c>
      <c r="AC664" s="51"/>
      <c r="AD664" s="51"/>
      <c r="AE664" s="51"/>
      <c r="AF664" s="50" t="str">
        <f>IF(A664&lt;&gt;"Yes","No",IF(AND(AC664="Yes",SETTINGS!$B$16="No"),"No","Yes"))</f>
        <v>No</v>
      </c>
      <c r="AG664" s="50" t="str">
        <f>IF(A664&lt;&gt;"Yes","",IF(OR(B664="",D664="",E664&lt;=0,F664="",I664=""),"Check Required Fields",IF(AA664="Possible Duplicate","Possible Duplicate",IF(E664&gt;SETTINGS!$B$22,"Review Extreme Value","OK"))))</f>
        <v/>
      </c>
    </row>
    <row r="665" spans="1:33" ht="14.4">
      <c r="A665" s="9"/>
      <c r="B665" s="13"/>
      <c r="C665" s="9"/>
      <c r="D665" s="9"/>
      <c r="E665" s="11"/>
      <c r="F665" s="9"/>
      <c r="G665" s="9"/>
      <c r="H665" s="44" t="str">
        <f>IF(D665="","",IF(ISNUMBER(SEARCH(SETTINGS!$K$4,D665)),SETTINGS!$L$4,IF(ISNUMBER(SEARCH(SETTINGS!$K$5,D665)),SETTINGS!$L$5,IF(ISNUMBER(SEARCH(SETTINGS!$K$6,D665)),SETTINGS!$L$6,IF(ISNUMBER(SEARCH(SETTINGS!$K$7,D665)),SETTINGS!$L$7,IF(ISNUMBER(SEARCH(SETTINGS!$K$8,D665)),SETTINGS!$L$8,IF(ISNUMBER(SEARCH(SETTINGS!$K$9,D665)),SETTINGS!$L$9,IF(ISNUMBER(SEARCH(SETTINGS!$K$10,D665)),SETTINGS!$L$10,IF(ISNUMBER(SEARCH(SETTINGS!$K$11,D665)),SETTINGS!$L$11,IF(ISNUMBER(SEARCH(SETTINGS!$K$12,D665)),SETTINGS!$L$12,IF(ISNUMBER(SEARCH(SETTINGS!$K$13,D665)),SETTINGS!$L$13,IF(ISNUMBER(SEARCH(SETTINGS!$K$14,D665)),SETTINGS!$L$14,IF(ISNUMBER(SEARCH(SETTINGS!$K$15,D665)),SETTINGS!$L$15,IF(ISNUMBER(SEARCH(SETTINGS!$K$16,D665)),SETTINGS!$L$16,IF(ISNUMBER(SEARCH(SETTINGS!$K$17,D665)),SETTINGS!$L$17,IF(ISNUMBER(SEARCH(SETTINGS!$K$18,D665)),SETTINGS!$L$18,"Miscellaneous"))))))))))))))))</f>
        <v/>
      </c>
      <c r="I665" s="44" t="str">
        <f t="shared" si="80"/>
        <v/>
      </c>
      <c r="J665" s="9"/>
      <c r="K665" s="9"/>
      <c r="L665" s="9"/>
      <c r="M665" s="9"/>
      <c r="N665" s="9"/>
      <c r="O665" s="9"/>
      <c r="P665" s="13"/>
      <c r="Q665" s="9"/>
      <c r="R665" s="9"/>
      <c r="S665" s="9"/>
      <c r="T665" s="11"/>
      <c r="U665" s="44" t="str">
        <f t="shared" si="81"/>
        <v/>
      </c>
      <c r="V665" s="44" t="str">
        <f t="shared" si="82"/>
        <v/>
      </c>
      <c r="W665" s="44" t="str">
        <f t="shared" si="83"/>
        <v/>
      </c>
      <c r="X665" s="44" t="str">
        <f t="shared" si="84"/>
        <v/>
      </c>
      <c r="Y665" s="44" t="str">
        <f t="shared" si="85"/>
        <v/>
      </c>
      <c r="Z665" s="44" t="str">
        <f t="shared" si="86"/>
        <v/>
      </c>
      <c r="AA665" s="50" t="str">
        <f t="shared" si="87"/>
        <v/>
      </c>
      <c r="AB665" s="50" t="str">
        <f>IF(OR(B665="",C665&lt;&gt;"Expense"),"",IF(E665&gt;IFERROR(AVERAGEIFS($E$8:$E$1007,$I$8:$I$1007,I665,$C$8:$C$1007,"Expense")*SETTINGS!$B$20,0),"Unusually High","Normal"))</f>
        <v/>
      </c>
      <c r="AC665" s="51"/>
      <c r="AD665" s="51"/>
      <c r="AE665" s="51"/>
      <c r="AF665" s="50" t="str">
        <f>IF(A665&lt;&gt;"Yes","No",IF(AND(AC665="Yes",SETTINGS!$B$16="No"),"No","Yes"))</f>
        <v>No</v>
      </c>
      <c r="AG665" s="50" t="str">
        <f>IF(A665&lt;&gt;"Yes","",IF(OR(B665="",D665="",E665&lt;=0,F665="",I665=""),"Check Required Fields",IF(AA665="Possible Duplicate","Possible Duplicate",IF(E665&gt;SETTINGS!$B$22,"Review Extreme Value","OK"))))</f>
        <v/>
      </c>
    </row>
    <row r="666" spans="1:33" ht="14.4">
      <c r="A666" s="9"/>
      <c r="B666" s="13"/>
      <c r="C666" s="9"/>
      <c r="D666" s="9"/>
      <c r="E666" s="11"/>
      <c r="F666" s="9"/>
      <c r="G666" s="9"/>
      <c r="H666" s="44" t="str">
        <f>IF(D666="","",IF(ISNUMBER(SEARCH(SETTINGS!$K$4,D666)),SETTINGS!$L$4,IF(ISNUMBER(SEARCH(SETTINGS!$K$5,D666)),SETTINGS!$L$5,IF(ISNUMBER(SEARCH(SETTINGS!$K$6,D666)),SETTINGS!$L$6,IF(ISNUMBER(SEARCH(SETTINGS!$K$7,D666)),SETTINGS!$L$7,IF(ISNUMBER(SEARCH(SETTINGS!$K$8,D666)),SETTINGS!$L$8,IF(ISNUMBER(SEARCH(SETTINGS!$K$9,D666)),SETTINGS!$L$9,IF(ISNUMBER(SEARCH(SETTINGS!$K$10,D666)),SETTINGS!$L$10,IF(ISNUMBER(SEARCH(SETTINGS!$K$11,D666)),SETTINGS!$L$11,IF(ISNUMBER(SEARCH(SETTINGS!$K$12,D666)),SETTINGS!$L$12,IF(ISNUMBER(SEARCH(SETTINGS!$K$13,D666)),SETTINGS!$L$13,IF(ISNUMBER(SEARCH(SETTINGS!$K$14,D666)),SETTINGS!$L$14,IF(ISNUMBER(SEARCH(SETTINGS!$K$15,D666)),SETTINGS!$L$15,IF(ISNUMBER(SEARCH(SETTINGS!$K$16,D666)),SETTINGS!$L$16,IF(ISNUMBER(SEARCH(SETTINGS!$K$17,D666)),SETTINGS!$L$17,IF(ISNUMBER(SEARCH(SETTINGS!$K$18,D666)),SETTINGS!$L$18,"Miscellaneous"))))))))))))))))</f>
        <v/>
      </c>
      <c r="I666" s="44" t="str">
        <f t="shared" si="80"/>
        <v/>
      </c>
      <c r="J666" s="9"/>
      <c r="K666" s="9"/>
      <c r="L666" s="9"/>
      <c r="M666" s="9"/>
      <c r="N666" s="9"/>
      <c r="O666" s="9"/>
      <c r="P666" s="13"/>
      <c r="Q666" s="9"/>
      <c r="R666" s="9"/>
      <c r="S666" s="9"/>
      <c r="T666" s="11"/>
      <c r="U666" s="44" t="str">
        <f t="shared" si="81"/>
        <v/>
      </c>
      <c r="V666" s="44" t="str">
        <f t="shared" si="82"/>
        <v/>
      </c>
      <c r="W666" s="44" t="str">
        <f t="shared" si="83"/>
        <v/>
      </c>
      <c r="X666" s="44" t="str">
        <f t="shared" si="84"/>
        <v/>
      </c>
      <c r="Y666" s="44" t="str">
        <f t="shared" si="85"/>
        <v/>
      </c>
      <c r="Z666" s="44" t="str">
        <f t="shared" si="86"/>
        <v/>
      </c>
      <c r="AA666" s="50" t="str">
        <f t="shared" si="87"/>
        <v/>
      </c>
      <c r="AB666" s="50" t="str">
        <f>IF(OR(B666="",C666&lt;&gt;"Expense"),"",IF(E666&gt;IFERROR(AVERAGEIFS($E$8:$E$1007,$I$8:$I$1007,I666,$C$8:$C$1007,"Expense")*SETTINGS!$B$20,0),"Unusually High","Normal"))</f>
        <v/>
      </c>
      <c r="AC666" s="51"/>
      <c r="AD666" s="51"/>
      <c r="AE666" s="51"/>
      <c r="AF666" s="50" t="str">
        <f>IF(A666&lt;&gt;"Yes","No",IF(AND(AC666="Yes",SETTINGS!$B$16="No"),"No","Yes"))</f>
        <v>No</v>
      </c>
      <c r="AG666" s="50" t="str">
        <f>IF(A666&lt;&gt;"Yes","",IF(OR(B666="",D666="",E666&lt;=0,F666="",I666=""),"Check Required Fields",IF(AA666="Possible Duplicate","Possible Duplicate",IF(E666&gt;SETTINGS!$B$22,"Review Extreme Value","OK"))))</f>
        <v/>
      </c>
    </row>
    <row r="667" spans="1:33" ht="14.4">
      <c r="A667" s="9"/>
      <c r="B667" s="13"/>
      <c r="C667" s="9"/>
      <c r="D667" s="9"/>
      <c r="E667" s="11"/>
      <c r="F667" s="9"/>
      <c r="G667" s="9"/>
      <c r="H667" s="44" t="str">
        <f>IF(D667="","",IF(ISNUMBER(SEARCH(SETTINGS!$K$4,D667)),SETTINGS!$L$4,IF(ISNUMBER(SEARCH(SETTINGS!$K$5,D667)),SETTINGS!$L$5,IF(ISNUMBER(SEARCH(SETTINGS!$K$6,D667)),SETTINGS!$L$6,IF(ISNUMBER(SEARCH(SETTINGS!$K$7,D667)),SETTINGS!$L$7,IF(ISNUMBER(SEARCH(SETTINGS!$K$8,D667)),SETTINGS!$L$8,IF(ISNUMBER(SEARCH(SETTINGS!$K$9,D667)),SETTINGS!$L$9,IF(ISNUMBER(SEARCH(SETTINGS!$K$10,D667)),SETTINGS!$L$10,IF(ISNUMBER(SEARCH(SETTINGS!$K$11,D667)),SETTINGS!$L$11,IF(ISNUMBER(SEARCH(SETTINGS!$K$12,D667)),SETTINGS!$L$12,IF(ISNUMBER(SEARCH(SETTINGS!$K$13,D667)),SETTINGS!$L$13,IF(ISNUMBER(SEARCH(SETTINGS!$K$14,D667)),SETTINGS!$L$14,IF(ISNUMBER(SEARCH(SETTINGS!$K$15,D667)),SETTINGS!$L$15,IF(ISNUMBER(SEARCH(SETTINGS!$K$16,D667)),SETTINGS!$L$16,IF(ISNUMBER(SEARCH(SETTINGS!$K$17,D667)),SETTINGS!$L$17,IF(ISNUMBER(SEARCH(SETTINGS!$K$18,D667)),SETTINGS!$L$18,"Miscellaneous"))))))))))))))))</f>
        <v/>
      </c>
      <c r="I667" s="44" t="str">
        <f t="shared" si="80"/>
        <v/>
      </c>
      <c r="J667" s="9"/>
      <c r="K667" s="9"/>
      <c r="L667" s="9"/>
      <c r="M667" s="9"/>
      <c r="N667" s="9"/>
      <c r="O667" s="9"/>
      <c r="P667" s="13"/>
      <c r="Q667" s="9"/>
      <c r="R667" s="9"/>
      <c r="S667" s="9"/>
      <c r="T667" s="11"/>
      <c r="U667" s="44" t="str">
        <f t="shared" si="81"/>
        <v/>
      </c>
      <c r="V667" s="44" t="str">
        <f t="shared" si="82"/>
        <v/>
      </c>
      <c r="W667" s="44" t="str">
        <f t="shared" si="83"/>
        <v/>
      </c>
      <c r="X667" s="44" t="str">
        <f t="shared" si="84"/>
        <v/>
      </c>
      <c r="Y667" s="44" t="str">
        <f t="shared" si="85"/>
        <v/>
      </c>
      <c r="Z667" s="44" t="str">
        <f t="shared" si="86"/>
        <v/>
      </c>
      <c r="AA667" s="50" t="str">
        <f t="shared" si="87"/>
        <v/>
      </c>
      <c r="AB667" s="50" t="str">
        <f>IF(OR(B667="",C667&lt;&gt;"Expense"),"",IF(E667&gt;IFERROR(AVERAGEIFS($E$8:$E$1007,$I$8:$I$1007,I667,$C$8:$C$1007,"Expense")*SETTINGS!$B$20,0),"Unusually High","Normal"))</f>
        <v/>
      </c>
      <c r="AC667" s="51"/>
      <c r="AD667" s="51"/>
      <c r="AE667" s="51"/>
      <c r="AF667" s="50" t="str">
        <f>IF(A667&lt;&gt;"Yes","No",IF(AND(AC667="Yes",SETTINGS!$B$16="No"),"No","Yes"))</f>
        <v>No</v>
      </c>
      <c r="AG667" s="50" t="str">
        <f>IF(A667&lt;&gt;"Yes","",IF(OR(B667="",D667="",E667&lt;=0,F667="",I667=""),"Check Required Fields",IF(AA667="Possible Duplicate","Possible Duplicate",IF(E667&gt;SETTINGS!$B$22,"Review Extreme Value","OK"))))</f>
        <v/>
      </c>
    </row>
    <row r="668" spans="1:33" ht="14.4">
      <c r="A668" s="9"/>
      <c r="B668" s="13"/>
      <c r="C668" s="9"/>
      <c r="D668" s="9"/>
      <c r="E668" s="11"/>
      <c r="F668" s="9"/>
      <c r="G668" s="9"/>
      <c r="H668" s="44" t="str">
        <f>IF(D668="","",IF(ISNUMBER(SEARCH(SETTINGS!$K$4,D668)),SETTINGS!$L$4,IF(ISNUMBER(SEARCH(SETTINGS!$K$5,D668)),SETTINGS!$L$5,IF(ISNUMBER(SEARCH(SETTINGS!$K$6,D668)),SETTINGS!$L$6,IF(ISNUMBER(SEARCH(SETTINGS!$K$7,D668)),SETTINGS!$L$7,IF(ISNUMBER(SEARCH(SETTINGS!$K$8,D668)),SETTINGS!$L$8,IF(ISNUMBER(SEARCH(SETTINGS!$K$9,D668)),SETTINGS!$L$9,IF(ISNUMBER(SEARCH(SETTINGS!$K$10,D668)),SETTINGS!$L$10,IF(ISNUMBER(SEARCH(SETTINGS!$K$11,D668)),SETTINGS!$L$11,IF(ISNUMBER(SEARCH(SETTINGS!$K$12,D668)),SETTINGS!$L$12,IF(ISNUMBER(SEARCH(SETTINGS!$K$13,D668)),SETTINGS!$L$13,IF(ISNUMBER(SEARCH(SETTINGS!$K$14,D668)),SETTINGS!$L$14,IF(ISNUMBER(SEARCH(SETTINGS!$K$15,D668)),SETTINGS!$L$15,IF(ISNUMBER(SEARCH(SETTINGS!$K$16,D668)),SETTINGS!$L$16,IF(ISNUMBER(SEARCH(SETTINGS!$K$17,D668)),SETTINGS!$L$17,IF(ISNUMBER(SEARCH(SETTINGS!$K$18,D668)),SETTINGS!$L$18,"Miscellaneous"))))))))))))))))</f>
        <v/>
      </c>
      <c r="I668" s="44" t="str">
        <f t="shared" si="80"/>
        <v/>
      </c>
      <c r="J668" s="9"/>
      <c r="K668" s="9"/>
      <c r="L668" s="9"/>
      <c r="M668" s="9"/>
      <c r="N668" s="9"/>
      <c r="O668" s="9"/>
      <c r="P668" s="13"/>
      <c r="Q668" s="9"/>
      <c r="R668" s="9"/>
      <c r="S668" s="9"/>
      <c r="T668" s="11"/>
      <c r="U668" s="44" t="str">
        <f t="shared" si="81"/>
        <v/>
      </c>
      <c r="V668" s="44" t="str">
        <f t="shared" si="82"/>
        <v/>
      </c>
      <c r="W668" s="44" t="str">
        <f t="shared" si="83"/>
        <v/>
      </c>
      <c r="X668" s="44" t="str">
        <f t="shared" si="84"/>
        <v/>
      </c>
      <c r="Y668" s="44" t="str">
        <f t="shared" si="85"/>
        <v/>
      </c>
      <c r="Z668" s="44" t="str">
        <f t="shared" si="86"/>
        <v/>
      </c>
      <c r="AA668" s="50" t="str">
        <f t="shared" si="87"/>
        <v/>
      </c>
      <c r="AB668" s="50" t="str">
        <f>IF(OR(B668="",C668&lt;&gt;"Expense"),"",IF(E668&gt;IFERROR(AVERAGEIFS($E$8:$E$1007,$I$8:$I$1007,I668,$C$8:$C$1007,"Expense")*SETTINGS!$B$20,0),"Unusually High","Normal"))</f>
        <v/>
      </c>
      <c r="AC668" s="51"/>
      <c r="AD668" s="51"/>
      <c r="AE668" s="51"/>
      <c r="AF668" s="50" t="str">
        <f>IF(A668&lt;&gt;"Yes","No",IF(AND(AC668="Yes",SETTINGS!$B$16="No"),"No","Yes"))</f>
        <v>No</v>
      </c>
      <c r="AG668" s="50" t="str">
        <f>IF(A668&lt;&gt;"Yes","",IF(OR(B668="",D668="",E668&lt;=0,F668="",I668=""),"Check Required Fields",IF(AA668="Possible Duplicate","Possible Duplicate",IF(E668&gt;SETTINGS!$B$22,"Review Extreme Value","OK"))))</f>
        <v/>
      </c>
    </row>
    <row r="669" spans="1:33" ht="14.4">
      <c r="A669" s="9"/>
      <c r="B669" s="13"/>
      <c r="C669" s="9"/>
      <c r="D669" s="9"/>
      <c r="E669" s="11"/>
      <c r="F669" s="9"/>
      <c r="G669" s="9"/>
      <c r="H669" s="44" t="str">
        <f>IF(D669="","",IF(ISNUMBER(SEARCH(SETTINGS!$K$4,D669)),SETTINGS!$L$4,IF(ISNUMBER(SEARCH(SETTINGS!$K$5,D669)),SETTINGS!$L$5,IF(ISNUMBER(SEARCH(SETTINGS!$K$6,D669)),SETTINGS!$L$6,IF(ISNUMBER(SEARCH(SETTINGS!$K$7,D669)),SETTINGS!$L$7,IF(ISNUMBER(SEARCH(SETTINGS!$K$8,D669)),SETTINGS!$L$8,IF(ISNUMBER(SEARCH(SETTINGS!$K$9,D669)),SETTINGS!$L$9,IF(ISNUMBER(SEARCH(SETTINGS!$K$10,D669)),SETTINGS!$L$10,IF(ISNUMBER(SEARCH(SETTINGS!$K$11,D669)),SETTINGS!$L$11,IF(ISNUMBER(SEARCH(SETTINGS!$K$12,D669)),SETTINGS!$L$12,IF(ISNUMBER(SEARCH(SETTINGS!$K$13,D669)),SETTINGS!$L$13,IF(ISNUMBER(SEARCH(SETTINGS!$K$14,D669)),SETTINGS!$L$14,IF(ISNUMBER(SEARCH(SETTINGS!$K$15,D669)),SETTINGS!$L$15,IF(ISNUMBER(SEARCH(SETTINGS!$K$16,D669)),SETTINGS!$L$16,IF(ISNUMBER(SEARCH(SETTINGS!$K$17,D669)),SETTINGS!$L$17,IF(ISNUMBER(SEARCH(SETTINGS!$K$18,D669)),SETTINGS!$L$18,"Miscellaneous"))))))))))))))))</f>
        <v/>
      </c>
      <c r="I669" s="44" t="str">
        <f t="shared" si="80"/>
        <v/>
      </c>
      <c r="J669" s="9"/>
      <c r="K669" s="9"/>
      <c r="L669" s="9"/>
      <c r="M669" s="9"/>
      <c r="N669" s="9"/>
      <c r="O669" s="9"/>
      <c r="P669" s="13"/>
      <c r="Q669" s="9"/>
      <c r="R669" s="9"/>
      <c r="S669" s="9"/>
      <c r="T669" s="11"/>
      <c r="U669" s="44" t="str">
        <f t="shared" si="81"/>
        <v/>
      </c>
      <c r="V669" s="44" t="str">
        <f t="shared" si="82"/>
        <v/>
      </c>
      <c r="W669" s="44" t="str">
        <f t="shared" si="83"/>
        <v/>
      </c>
      <c r="X669" s="44" t="str">
        <f t="shared" si="84"/>
        <v/>
      </c>
      <c r="Y669" s="44" t="str">
        <f t="shared" si="85"/>
        <v/>
      </c>
      <c r="Z669" s="44" t="str">
        <f t="shared" si="86"/>
        <v/>
      </c>
      <c r="AA669" s="50" t="str">
        <f t="shared" si="87"/>
        <v/>
      </c>
      <c r="AB669" s="50" t="str">
        <f>IF(OR(B669="",C669&lt;&gt;"Expense"),"",IF(E669&gt;IFERROR(AVERAGEIFS($E$8:$E$1007,$I$8:$I$1007,I669,$C$8:$C$1007,"Expense")*SETTINGS!$B$20,0),"Unusually High","Normal"))</f>
        <v/>
      </c>
      <c r="AC669" s="51"/>
      <c r="AD669" s="51"/>
      <c r="AE669" s="51"/>
      <c r="AF669" s="50" t="str">
        <f>IF(A669&lt;&gt;"Yes","No",IF(AND(AC669="Yes",SETTINGS!$B$16="No"),"No","Yes"))</f>
        <v>No</v>
      </c>
      <c r="AG669" s="50" t="str">
        <f>IF(A669&lt;&gt;"Yes","",IF(OR(B669="",D669="",E669&lt;=0,F669="",I669=""),"Check Required Fields",IF(AA669="Possible Duplicate","Possible Duplicate",IF(E669&gt;SETTINGS!$B$22,"Review Extreme Value","OK"))))</f>
        <v/>
      </c>
    </row>
    <row r="670" spans="1:33" ht="14.4">
      <c r="A670" s="9"/>
      <c r="B670" s="13"/>
      <c r="C670" s="9"/>
      <c r="D670" s="9"/>
      <c r="E670" s="11"/>
      <c r="F670" s="9"/>
      <c r="G670" s="9"/>
      <c r="H670" s="44" t="str">
        <f>IF(D670="","",IF(ISNUMBER(SEARCH(SETTINGS!$K$4,D670)),SETTINGS!$L$4,IF(ISNUMBER(SEARCH(SETTINGS!$K$5,D670)),SETTINGS!$L$5,IF(ISNUMBER(SEARCH(SETTINGS!$K$6,D670)),SETTINGS!$L$6,IF(ISNUMBER(SEARCH(SETTINGS!$K$7,D670)),SETTINGS!$L$7,IF(ISNUMBER(SEARCH(SETTINGS!$K$8,D670)),SETTINGS!$L$8,IF(ISNUMBER(SEARCH(SETTINGS!$K$9,D670)),SETTINGS!$L$9,IF(ISNUMBER(SEARCH(SETTINGS!$K$10,D670)),SETTINGS!$L$10,IF(ISNUMBER(SEARCH(SETTINGS!$K$11,D670)),SETTINGS!$L$11,IF(ISNUMBER(SEARCH(SETTINGS!$K$12,D670)),SETTINGS!$L$12,IF(ISNUMBER(SEARCH(SETTINGS!$K$13,D670)),SETTINGS!$L$13,IF(ISNUMBER(SEARCH(SETTINGS!$K$14,D670)),SETTINGS!$L$14,IF(ISNUMBER(SEARCH(SETTINGS!$K$15,D670)),SETTINGS!$L$15,IF(ISNUMBER(SEARCH(SETTINGS!$K$16,D670)),SETTINGS!$L$16,IF(ISNUMBER(SEARCH(SETTINGS!$K$17,D670)),SETTINGS!$L$17,IF(ISNUMBER(SEARCH(SETTINGS!$K$18,D670)),SETTINGS!$L$18,"Miscellaneous"))))))))))))))))</f>
        <v/>
      </c>
      <c r="I670" s="44" t="str">
        <f t="shared" si="80"/>
        <v/>
      </c>
      <c r="J670" s="9"/>
      <c r="K670" s="9"/>
      <c r="L670" s="9"/>
      <c r="M670" s="9"/>
      <c r="N670" s="9"/>
      <c r="O670" s="9"/>
      <c r="P670" s="13"/>
      <c r="Q670" s="9"/>
      <c r="R670" s="9"/>
      <c r="S670" s="9"/>
      <c r="T670" s="11"/>
      <c r="U670" s="44" t="str">
        <f t="shared" si="81"/>
        <v/>
      </c>
      <c r="V670" s="44" t="str">
        <f t="shared" si="82"/>
        <v/>
      </c>
      <c r="W670" s="44" t="str">
        <f t="shared" si="83"/>
        <v/>
      </c>
      <c r="X670" s="44" t="str">
        <f t="shared" si="84"/>
        <v/>
      </c>
      <c r="Y670" s="44" t="str">
        <f t="shared" si="85"/>
        <v/>
      </c>
      <c r="Z670" s="44" t="str">
        <f t="shared" si="86"/>
        <v/>
      </c>
      <c r="AA670" s="50" t="str">
        <f t="shared" si="87"/>
        <v/>
      </c>
      <c r="AB670" s="50" t="str">
        <f>IF(OR(B670="",C670&lt;&gt;"Expense"),"",IF(E670&gt;IFERROR(AVERAGEIFS($E$8:$E$1007,$I$8:$I$1007,I670,$C$8:$C$1007,"Expense")*SETTINGS!$B$20,0),"Unusually High","Normal"))</f>
        <v/>
      </c>
      <c r="AC670" s="51"/>
      <c r="AD670" s="51"/>
      <c r="AE670" s="51"/>
      <c r="AF670" s="50" t="str">
        <f>IF(A670&lt;&gt;"Yes","No",IF(AND(AC670="Yes",SETTINGS!$B$16="No"),"No","Yes"))</f>
        <v>No</v>
      </c>
      <c r="AG670" s="50" t="str">
        <f>IF(A670&lt;&gt;"Yes","",IF(OR(B670="",D670="",E670&lt;=0,F670="",I670=""),"Check Required Fields",IF(AA670="Possible Duplicate","Possible Duplicate",IF(E670&gt;SETTINGS!$B$22,"Review Extreme Value","OK"))))</f>
        <v/>
      </c>
    </row>
    <row r="671" spans="1:33" ht="14.4">
      <c r="A671" s="9"/>
      <c r="B671" s="13"/>
      <c r="C671" s="9"/>
      <c r="D671" s="9"/>
      <c r="E671" s="11"/>
      <c r="F671" s="9"/>
      <c r="G671" s="9"/>
      <c r="H671" s="44" t="str">
        <f>IF(D671="","",IF(ISNUMBER(SEARCH(SETTINGS!$K$4,D671)),SETTINGS!$L$4,IF(ISNUMBER(SEARCH(SETTINGS!$K$5,D671)),SETTINGS!$L$5,IF(ISNUMBER(SEARCH(SETTINGS!$K$6,D671)),SETTINGS!$L$6,IF(ISNUMBER(SEARCH(SETTINGS!$K$7,D671)),SETTINGS!$L$7,IF(ISNUMBER(SEARCH(SETTINGS!$K$8,D671)),SETTINGS!$L$8,IF(ISNUMBER(SEARCH(SETTINGS!$K$9,D671)),SETTINGS!$L$9,IF(ISNUMBER(SEARCH(SETTINGS!$K$10,D671)),SETTINGS!$L$10,IF(ISNUMBER(SEARCH(SETTINGS!$K$11,D671)),SETTINGS!$L$11,IF(ISNUMBER(SEARCH(SETTINGS!$K$12,D671)),SETTINGS!$L$12,IF(ISNUMBER(SEARCH(SETTINGS!$K$13,D671)),SETTINGS!$L$13,IF(ISNUMBER(SEARCH(SETTINGS!$K$14,D671)),SETTINGS!$L$14,IF(ISNUMBER(SEARCH(SETTINGS!$K$15,D671)),SETTINGS!$L$15,IF(ISNUMBER(SEARCH(SETTINGS!$K$16,D671)),SETTINGS!$L$16,IF(ISNUMBER(SEARCH(SETTINGS!$K$17,D671)),SETTINGS!$L$17,IF(ISNUMBER(SEARCH(SETTINGS!$K$18,D671)),SETTINGS!$L$18,"Miscellaneous"))))))))))))))))</f>
        <v/>
      </c>
      <c r="I671" s="44" t="str">
        <f t="shared" si="80"/>
        <v/>
      </c>
      <c r="J671" s="9"/>
      <c r="K671" s="9"/>
      <c r="L671" s="9"/>
      <c r="M671" s="9"/>
      <c r="N671" s="9"/>
      <c r="O671" s="9"/>
      <c r="P671" s="13"/>
      <c r="Q671" s="9"/>
      <c r="R671" s="9"/>
      <c r="S671" s="9"/>
      <c r="T671" s="11"/>
      <c r="U671" s="44" t="str">
        <f t="shared" si="81"/>
        <v/>
      </c>
      <c r="V671" s="44" t="str">
        <f t="shared" si="82"/>
        <v/>
      </c>
      <c r="W671" s="44" t="str">
        <f t="shared" si="83"/>
        <v/>
      </c>
      <c r="X671" s="44" t="str">
        <f t="shared" si="84"/>
        <v/>
      </c>
      <c r="Y671" s="44" t="str">
        <f t="shared" si="85"/>
        <v/>
      </c>
      <c r="Z671" s="44" t="str">
        <f t="shared" si="86"/>
        <v/>
      </c>
      <c r="AA671" s="50" t="str">
        <f t="shared" si="87"/>
        <v/>
      </c>
      <c r="AB671" s="50" t="str">
        <f>IF(OR(B671="",C671&lt;&gt;"Expense"),"",IF(E671&gt;IFERROR(AVERAGEIFS($E$8:$E$1007,$I$8:$I$1007,I671,$C$8:$C$1007,"Expense")*SETTINGS!$B$20,0),"Unusually High","Normal"))</f>
        <v/>
      </c>
      <c r="AC671" s="51"/>
      <c r="AD671" s="51"/>
      <c r="AE671" s="51"/>
      <c r="AF671" s="50" t="str">
        <f>IF(A671&lt;&gt;"Yes","No",IF(AND(AC671="Yes",SETTINGS!$B$16="No"),"No","Yes"))</f>
        <v>No</v>
      </c>
      <c r="AG671" s="50" t="str">
        <f>IF(A671&lt;&gt;"Yes","",IF(OR(B671="",D671="",E671&lt;=0,F671="",I671=""),"Check Required Fields",IF(AA671="Possible Duplicate","Possible Duplicate",IF(E671&gt;SETTINGS!$B$22,"Review Extreme Value","OK"))))</f>
        <v/>
      </c>
    </row>
    <row r="672" spans="1:33" ht="14.4">
      <c r="A672" s="9"/>
      <c r="B672" s="13"/>
      <c r="C672" s="9"/>
      <c r="D672" s="9"/>
      <c r="E672" s="11"/>
      <c r="F672" s="9"/>
      <c r="G672" s="9"/>
      <c r="H672" s="44" t="str">
        <f>IF(D672="","",IF(ISNUMBER(SEARCH(SETTINGS!$K$4,D672)),SETTINGS!$L$4,IF(ISNUMBER(SEARCH(SETTINGS!$K$5,D672)),SETTINGS!$L$5,IF(ISNUMBER(SEARCH(SETTINGS!$K$6,D672)),SETTINGS!$L$6,IF(ISNUMBER(SEARCH(SETTINGS!$K$7,D672)),SETTINGS!$L$7,IF(ISNUMBER(SEARCH(SETTINGS!$K$8,D672)),SETTINGS!$L$8,IF(ISNUMBER(SEARCH(SETTINGS!$K$9,D672)),SETTINGS!$L$9,IF(ISNUMBER(SEARCH(SETTINGS!$K$10,D672)),SETTINGS!$L$10,IF(ISNUMBER(SEARCH(SETTINGS!$K$11,D672)),SETTINGS!$L$11,IF(ISNUMBER(SEARCH(SETTINGS!$K$12,D672)),SETTINGS!$L$12,IF(ISNUMBER(SEARCH(SETTINGS!$K$13,D672)),SETTINGS!$L$13,IF(ISNUMBER(SEARCH(SETTINGS!$K$14,D672)),SETTINGS!$L$14,IF(ISNUMBER(SEARCH(SETTINGS!$K$15,D672)),SETTINGS!$L$15,IF(ISNUMBER(SEARCH(SETTINGS!$K$16,D672)),SETTINGS!$L$16,IF(ISNUMBER(SEARCH(SETTINGS!$K$17,D672)),SETTINGS!$L$17,IF(ISNUMBER(SEARCH(SETTINGS!$K$18,D672)),SETTINGS!$L$18,"Miscellaneous"))))))))))))))))</f>
        <v/>
      </c>
      <c r="I672" s="44" t="str">
        <f t="shared" si="80"/>
        <v/>
      </c>
      <c r="J672" s="9"/>
      <c r="K672" s="9"/>
      <c r="L672" s="9"/>
      <c r="M672" s="9"/>
      <c r="N672" s="9"/>
      <c r="O672" s="9"/>
      <c r="P672" s="13"/>
      <c r="Q672" s="9"/>
      <c r="R672" s="9"/>
      <c r="S672" s="9"/>
      <c r="T672" s="11"/>
      <c r="U672" s="44" t="str">
        <f t="shared" si="81"/>
        <v/>
      </c>
      <c r="V672" s="44" t="str">
        <f t="shared" si="82"/>
        <v/>
      </c>
      <c r="W672" s="44" t="str">
        <f t="shared" si="83"/>
        <v/>
      </c>
      <c r="X672" s="44" t="str">
        <f t="shared" si="84"/>
        <v/>
      </c>
      <c r="Y672" s="44" t="str">
        <f t="shared" si="85"/>
        <v/>
      </c>
      <c r="Z672" s="44" t="str">
        <f t="shared" si="86"/>
        <v/>
      </c>
      <c r="AA672" s="50" t="str">
        <f t="shared" si="87"/>
        <v/>
      </c>
      <c r="AB672" s="50" t="str">
        <f>IF(OR(B672="",C672&lt;&gt;"Expense"),"",IF(E672&gt;IFERROR(AVERAGEIFS($E$8:$E$1007,$I$8:$I$1007,I672,$C$8:$C$1007,"Expense")*SETTINGS!$B$20,0),"Unusually High","Normal"))</f>
        <v/>
      </c>
      <c r="AC672" s="51"/>
      <c r="AD672" s="51"/>
      <c r="AE672" s="51"/>
      <c r="AF672" s="50" t="str">
        <f>IF(A672&lt;&gt;"Yes","No",IF(AND(AC672="Yes",SETTINGS!$B$16="No"),"No","Yes"))</f>
        <v>No</v>
      </c>
      <c r="AG672" s="50" t="str">
        <f>IF(A672&lt;&gt;"Yes","",IF(OR(B672="",D672="",E672&lt;=0,F672="",I672=""),"Check Required Fields",IF(AA672="Possible Duplicate","Possible Duplicate",IF(E672&gt;SETTINGS!$B$22,"Review Extreme Value","OK"))))</f>
        <v/>
      </c>
    </row>
    <row r="673" spans="1:33" ht="14.4">
      <c r="A673" s="9"/>
      <c r="B673" s="13"/>
      <c r="C673" s="9"/>
      <c r="D673" s="9"/>
      <c r="E673" s="11"/>
      <c r="F673" s="9"/>
      <c r="G673" s="9"/>
      <c r="H673" s="44" t="str">
        <f>IF(D673="","",IF(ISNUMBER(SEARCH(SETTINGS!$K$4,D673)),SETTINGS!$L$4,IF(ISNUMBER(SEARCH(SETTINGS!$K$5,D673)),SETTINGS!$L$5,IF(ISNUMBER(SEARCH(SETTINGS!$K$6,D673)),SETTINGS!$L$6,IF(ISNUMBER(SEARCH(SETTINGS!$K$7,D673)),SETTINGS!$L$7,IF(ISNUMBER(SEARCH(SETTINGS!$K$8,D673)),SETTINGS!$L$8,IF(ISNUMBER(SEARCH(SETTINGS!$K$9,D673)),SETTINGS!$L$9,IF(ISNUMBER(SEARCH(SETTINGS!$K$10,D673)),SETTINGS!$L$10,IF(ISNUMBER(SEARCH(SETTINGS!$K$11,D673)),SETTINGS!$L$11,IF(ISNUMBER(SEARCH(SETTINGS!$K$12,D673)),SETTINGS!$L$12,IF(ISNUMBER(SEARCH(SETTINGS!$K$13,D673)),SETTINGS!$L$13,IF(ISNUMBER(SEARCH(SETTINGS!$K$14,D673)),SETTINGS!$L$14,IF(ISNUMBER(SEARCH(SETTINGS!$K$15,D673)),SETTINGS!$L$15,IF(ISNUMBER(SEARCH(SETTINGS!$K$16,D673)),SETTINGS!$L$16,IF(ISNUMBER(SEARCH(SETTINGS!$K$17,D673)),SETTINGS!$L$17,IF(ISNUMBER(SEARCH(SETTINGS!$K$18,D673)),SETTINGS!$L$18,"Miscellaneous"))))))))))))))))</f>
        <v/>
      </c>
      <c r="I673" s="44" t="str">
        <f t="shared" si="80"/>
        <v/>
      </c>
      <c r="J673" s="9"/>
      <c r="K673" s="9"/>
      <c r="L673" s="9"/>
      <c r="M673" s="9"/>
      <c r="N673" s="9"/>
      <c r="O673" s="9"/>
      <c r="P673" s="13"/>
      <c r="Q673" s="9"/>
      <c r="R673" s="9"/>
      <c r="S673" s="9"/>
      <c r="T673" s="11"/>
      <c r="U673" s="44" t="str">
        <f t="shared" si="81"/>
        <v/>
      </c>
      <c r="V673" s="44" t="str">
        <f t="shared" si="82"/>
        <v/>
      </c>
      <c r="W673" s="44" t="str">
        <f t="shared" si="83"/>
        <v/>
      </c>
      <c r="X673" s="44" t="str">
        <f t="shared" si="84"/>
        <v/>
      </c>
      <c r="Y673" s="44" t="str">
        <f t="shared" si="85"/>
        <v/>
      </c>
      <c r="Z673" s="44" t="str">
        <f t="shared" si="86"/>
        <v/>
      </c>
      <c r="AA673" s="50" t="str">
        <f t="shared" si="87"/>
        <v/>
      </c>
      <c r="AB673" s="50" t="str">
        <f>IF(OR(B673="",C673&lt;&gt;"Expense"),"",IF(E673&gt;IFERROR(AVERAGEIFS($E$8:$E$1007,$I$8:$I$1007,I673,$C$8:$C$1007,"Expense")*SETTINGS!$B$20,0),"Unusually High","Normal"))</f>
        <v/>
      </c>
      <c r="AC673" s="51"/>
      <c r="AD673" s="51"/>
      <c r="AE673" s="51"/>
      <c r="AF673" s="50" t="str">
        <f>IF(A673&lt;&gt;"Yes","No",IF(AND(AC673="Yes",SETTINGS!$B$16="No"),"No","Yes"))</f>
        <v>No</v>
      </c>
      <c r="AG673" s="50" t="str">
        <f>IF(A673&lt;&gt;"Yes","",IF(OR(B673="",D673="",E673&lt;=0,F673="",I673=""),"Check Required Fields",IF(AA673="Possible Duplicate","Possible Duplicate",IF(E673&gt;SETTINGS!$B$22,"Review Extreme Value","OK"))))</f>
        <v/>
      </c>
    </row>
    <row r="674" spans="1:33" ht="14.4">
      <c r="A674" s="9"/>
      <c r="B674" s="13"/>
      <c r="C674" s="9"/>
      <c r="D674" s="9"/>
      <c r="E674" s="11"/>
      <c r="F674" s="9"/>
      <c r="G674" s="9"/>
      <c r="H674" s="44" t="str">
        <f>IF(D674="","",IF(ISNUMBER(SEARCH(SETTINGS!$K$4,D674)),SETTINGS!$L$4,IF(ISNUMBER(SEARCH(SETTINGS!$K$5,D674)),SETTINGS!$L$5,IF(ISNUMBER(SEARCH(SETTINGS!$K$6,D674)),SETTINGS!$L$6,IF(ISNUMBER(SEARCH(SETTINGS!$K$7,D674)),SETTINGS!$L$7,IF(ISNUMBER(SEARCH(SETTINGS!$K$8,D674)),SETTINGS!$L$8,IF(ISNUMBER(SEARCH(SETTINGS!$K$9,D674)),SETTINGS!$L$9,IF(ISNUMBER(SEARCH(SETTINGS!$K$10,D674)),SETTINGS!$L$10,IF(ISNUMBER(SEARCH(SETTINGS!$K$11,D674)),SETTINGS!$L$11,IF(ISNUMBER(SEARCH(SETTINGS!$K$12,D674)),SETTINGS!$L$12,IF(ISNUMBER(SEARCH(SETTINGS!$K$13,D674)),SETTINGS!$L$13,IF(ISNUMBER(SEARCH(SETTINGS!$K$14,D674)),SETTINGS!$L$14,IF(ISNUMBER(SEARCH(SETTINGS!$K$15,D674)),SETTINGS!$L$15,IF(ISNUMBER(SEARCH(SETTINGS!$K$16,D674)),SETTINGS!$L$16,IF(ISNUMBER(SEARCH(SETTINGS!$K$17,D674)),SETTINGS!$L$17,IF(ISNUMBER(SEARCH(SETTINGS!$K$18,D674)),SETTINGS!$L$18,"Miscellaneous"))))))))))))))))</f>
        <v/>
      </c>
      <c r="I674" s="44" t="str">
        <f t="shared" si="80"/>
        <v/>
      </c>
      <c r="J674" s="9"/>
      <c r="K674" s="9"/>
      <c r="L674" s="9"/>
      <c r="M674" s="9"/>
      <c r="N674" s="9"/>
      <c r="O674" s="9"/>
      <c r="P674" s="13"/>
      <c r="Q674" s="9"/>
      <c r="R674" s="9"/>
      <c r="S674" s="9"/>
      <c r="T674" s="11"/>
      <c r="U674" s="44" t="str">
        <f t="shared" si="81"/>
        <v/>
      </c>
      <c r="V674" s="44" t="str">
        <f t="shared" si="82"/>
        <v/>
      </c>
      <c r="W674" s="44" t="str">
        <f t="shared" si="83"/>
        <v/>
      </c>
      <c r="X674" s="44" t="str">
        <f t="shared" si="84"/>
        <v/>
      </c>
      <c r="Y674" s="44" t="str">
        <f t="shared" si="85"/>
        <v/>
      </c>
      <c r="Z674" s="44" t="str">
        <f t="shared" si="86"/>
        <v/>
      </c>
      <c r="AA674" s="50" t="str">
        <f t="shared" si="87"/>
        <v/>
      </c>
      <c r="AB674" s="50" t="str">
        <f>IF(OR(B674="",C674&lt;&gt;"Expense"),"",IF(E674&gt;IFERROR(AVERAGEIFS($E$8:$E$1007,$I$8:$I$1007,I674,$C$8:$C$1007,"Expense")*SETTINGS!$B$20,0),"Unusually High","Normal"))</f>
        <v/>
      </c>
      <c r="AC674" s="51"/>
      <c r="AD674" s="51"/>
      <c r="AE674" s="51"/>
      <c r="AF674" s="50" t="str">
        <f>IF(A674&lt;&gt;"Yes","No",IF(AND(AC674="Yes",SETTINGS!$B$16="No"),"No","Yes"))</f>
        <v>No</v>
      </c>
      <c r="AG674" s="50" t="str">
        <f>IF(A674&lt;&gt;"Yes","",IF(OR(B674="",D674="",E674&lt;=0,F674="",I674=""),"Check Required Fields",IF(AA674="Possible Duplicate","Possible Duplicate",IF(E674&gt;SETTINGS!$B$22,"Review Extreme Value","OK"))))</f>
        <v/>
      </c>
    </row>
    <row r="675" spans="1:33" ht="14.4">
      <c r="A675" s="9"/>
      <c r="B675" s="13"/>
      <c r="C675" s="9"/>
      <c r="D675" s="9"/>
      <c r="E675" s="11"/>
      <c r="F675" s="9"/>
      <c r="G675" s="9"/>
      <c r="H675" s="44" t="str">
        <f>IF(D675="","",IF(ISNUMBER(SEARCH(SETTINGS!$K$4,D675)),SETTINGS!$L$4,IF(ISNUMBER(SEARCH(SETTINGS!$K$5,D675)),SETTINGS!$L$5,IF(ISNUMBER(SEARCH(SETTINGS!$K$6,D675)),SETTINGS!$L$6,IF(ISNUMBER(SEARCH(SETTINGS!$K$7,D675)),SETTINGS!$L$7,IF(ISNUMBER(SEARCH(SETTINGS!$K$8,D675)),SETTINGS!$L$8,IF(ISNUMBER(SEARCH(SETTINGS!$K$9,D675)),SETTINGS!$L$9,IF(ISNUMBER(SEARCH(SETTINGS!$K$10,D675)),SETTINGS!$L$10,IF(ISNUMBER(SEARCH(SETTINGS!$K$11,D675)),SETTINGS!$L$11,IF(ISNUMBER(SEARCH(SETTINGS!$K$12,D675)),SETTINGS!$L$12,IF(ISNUMBER(SEARCH(SETTINGS!$K$13,D675)),SETTINGS!$L$13,IF(ISNUMBER(SEARCH(SETTINGS!$K$14,D675)),SETTINGS!$L$14,IF(ISNUMBER(SEARCH(SETTINGS!$K$15,D675)),SETTINGS!$L$15,IF(ISNUMBER(SEARCH(SETTINGS!$K$16,D675)),SETTINGS!$L$16,IF(ISNUMBER(SEARCH(SETTINGS!$K$17,D675)),SETTINGS!$L$17,IF(ISNUMBER(SEARCH(SETTINGS!$K$18,D675)),SETTINGS!$L$18,"Miscellaneous"))))))))))))))))</f>
        <v/>
      </c>
      <c r="I675" s="44" t="str">
        <f t="shared" si="80"/>
        <v/>
      </c>
      <c r="J675" s="9"/>
      <c r="K675" s="9"/>
      <c r="L675" s="9"/>
      <c r="M675" s="9"/>
      <c r="N675" s="9"/>
      <c r="O675" s="9"/>
      <c r="P675" s="13"/>
      <c r="Q675" s="9"/>
      <c r="R675" s="9"/>
      <c r="S675" s="9"/>
      <c r="T675" s="11"/>
      <c r="U675" s="44" t="str">
        <f t="shared" si="81"/>
        <v/>
      </c>
      <c r="V675" s="44" t="str">
        <f t="shared" si="82"/>
        <v/>
      </c>
      <c r="W675" s="44" t="str">
        <f t="shared" si="83"/>
        <v/>
      </c>
      <c r="X675" s="44" t="str">
        <f t="shared" si="84"/>
        <v/>
      </c>
      <c r="Y675" s="44" t="str">
        <f t="shared" si="85"/>
        <v/>
      </c>
      <c r="Z675" s="44" t="str">
        <f t="shared" si="86"/>
        <v/>
      </c>
      <c r="AA675" s="50" t="str">
        <f t="shared" si="87"/>
        <v/>
      </c>
      <c r="AB675" s="50" t="str">
        <f>IF(OR(B675="",C675&lt;&gt;"Expense"),"",IF(E675&gt;IFERROR(AVERAGEIFS($E$8:$E$1007,$I$8:$I$1007,I675,$C$8:$C$1007,"Expense")*SETTINGS!$B$20,0),"Unusually High","Normal"))</f>
        <v/>
      </c>
      <c r="AC675" s="51"/>
      <c r="AD675" s="51"/>
      <c r="AE675" s="51"/>
      <c r="AF675" s="50" t="str">
        <f>IF(A675&lt;&gt;"Yes","No",IF(AND(AC675="Yes",SETTINGS!$B$16="No"),"No","Yes"))</f>
        <v>No</v>
      </c>
      <c r="AG675" s="50" t="str">
        <f>IF(A675&lt;&gt;"Yes","",IF(OR(B675="",D675="",E675&lt;=0,F675="",I675=""),"Check Required Fields",IF(AA675="Possible Duplicate","Possible Duplicate",IF(E675&gt;SETTINGS!$B$22,"Review Extreme Value","OK"))))</f>
        <v/>
      </c>
    </row>
    <row r="676" spans="1:33" ht="14.4">
      <c r="A676" s="9"/>
      <c r="B676" s="13"/>
      <c r="C676" s="9"/>
      <c r="D676" s="9"/>
      <c r="E676" s="11"/>
      <c r="F676" s="9"/>
      <c r="G676" s="9"/>
      <c r="H676" s="44" t="str">
        <f>IF(D676="","",IF(ISNUMBER(SEARCH(SETTINGS!$K$4,D676)),SETTINGS!$L$4,IF(ISNUMBER(SEARCH(SETTINGS!$K$5,D676)),SETTINGS!$L$5,IF(ISNUMBER(SEARCH(SETTINGS!$K$6,D676)),SETTINGS!$L$6,IF(ISNUMBER(SEARCH(SETTINGS!$K$7,D676)),SETTINGS!$L$7,IF(ISNUMBER(SEARCH(SETTINGS!$K$8,D676)),SETTINGS!$L$8,IF(ISNUMBER(SEARCH(SETTINGS!$K$9,D676)),SETTINGS!$L$9,IF(ISNUMBER(SEARCH(SETTINGS!$K$10,D676)),SETTINGS!$L$10,IF(ISNUMBER(SEARCH(SETTINGS!$K$11,D676)),SETTINGS!$L$11,IF(ISNUMBER(SEARCH(SETTINGS!$K$12,D676)),SETTINGS!$L$12,IF(ISNUMBER(SEARCH(SETTINGS!$K$13,D676)),SETTINGS!$L$13,IF(ISNUMBER(SEARCH(SETTINGS!$K$14,D676)),SETTINGS!$L$14,IF(ISNUMBER(SEARCH(SETTINGS!$K$15,D676)),SETTINGS!$L$15,IF(ISNUMBER(SEARCH(SETTINGS!$K$16,D676)),SETTINGS!$L$16,IF(ISNUMBER(SEARCH(SETTINGS!$K$17,D676)),SETTINGS!$L$17,IF(ISNUMBER(SEARCH(SETTINGS!$K$18,D676)),SETTINGS!$L$18,"Miscellaneous"))))))))))))))))</f>
        <v/>
      </c>
      <c r="I676" s="44" t="str">
        <f t="shared" si="80"/>
        <v/>
      </c>
      <c r="J676" s="9"/>
      <c r="K676" s="9"/>
      <c r="L676" s="9"/>
      <c r="M676" s="9"/>
      <c r="N676" s="9"/>
      <c r="O676" s="9"/>
      <c r="P676" s="13"/>
      <c r="Q676" s="9"/>
      <c r="R676" s="9"/>
      <c r="S676" s="9"/>
      <c r="T676" s="11"/>
      <c r="U676" s="44" t="str">
        <f t="shared" si="81"/>
        <v/>
      </c>
      <c r="V676" s="44" t="str">
        <f t="shared" si="82"/>
        <v/>
      </c>
      <c r="W676" s="44" t="str">
        <f t="shared" si="83"/>
        <v/>
      </c>
      <c r="X676" s="44" t="str">
        <f t="shared" si="84"/>
        <v/>
      </c>
      <c r="Y676" s="44" t="str">
        <f t="shared" si="85"/>
        <v/>
      </c>
      <c r="Z676" s="44" t="str">
        <f t="shared" si="86"/>
        <v/>
      </c>
      <c r="AA676" s="50" t="str">
        <f t="shared" si="87"/>
        <v/>
      </c>
      <c r="AB676" s="50" t="str">
        <f>IF(OR(B676="",C676&lt;&gt;"Expense"),"",IF(E676&gt;IFERROR(AVERAGEIFS($E$8:$E$1007,$I$8:$I$1007,I676,$C$8:$C$1007,"Expense")*SETTINGS!$B$20,0),"Unusually High","Normal"))</f>
        <v/>
      </c>
      <c r="AC676" s="51"/>
      <c r="AD676" s="51"/>
      <c r="AE676" s="51"/>
      <c r="AF676" s="50" t="str">
        <f>IF(A676&lt;&gt;"Yes","No",IF(AND(AC676="Yes",SETTINGS!$B$16="No"),"No","Yes"))</f>
        <v>No</v>
      </c>
      <c r="AG676" s="50" t="str">
        <f>IF(A676&lt;&gt;"Yes","",IF(OR(B676="",D676="",E676&lt;=0,F676="",I676=""),"Check Required Fields",IF(AA676="Possible Duplicate","Possible Duplicate",IF(E676&gt;SETTINGS!$B$22,"Review Extreme Value","OK"))))</f>
        <v/>
      </c>
    </row>
    <row r="677" spans="1:33" ht="14.4">
      <c r="A677" s="9"/>
      <c r="B677" s="13"/>
      <c r="C677" s="9"/>
      <c r="D677" s="9"/>
      <c r="E677" s="11"/>
      <c r="F677" s="9"/>
      <c r="G677" s="9"/>
      <c r="H677" s="44" t="str">
        <f>IF(D677="","",IF(ISNUMBER(SEARCH(SETTINGS!$K$4,D677)),SETTINGS!$L$4,IF(ISNUMBER(SEARCH(SETTINGS!$K$5,D677)),SETTINGS!$L$5,IF(ISNUMBER(SEARCH(SETTINGS!$K$6,D677)),SETTINGS!$L$6,IF(ISNUMBER(SEARCH(SETTINGS!$K$7,D677)),SETTINGS!$L$7,IF(ISNUMBER(SEARCH(SETTINGS!$K$8,D677)),SETTINGS!$L$8,IF(ISNUMBER(SEARCH(SETTINGS!$K$9,D677)),SETTINGS!$L$9,IF(ISNUMBER(SEARCH(SETTINGS!$K$10,D677)),SETTINGS!$L$10,IF(ISNUMBER(SEARCH(SETTINGS!$K$11,D677)),SETTINGS!$L$11,IF(ISNUMBER(SEARCH(SETTINGS!$K$12,D677)),SETTINGS!$L$12,IF(ISNUMBER(SEARCH(SETTINGS!$K$13,D677)),SETTINGS!$L$13,IF(ISNUMBER(SEARCH(SETTINGS!$K$14,D677)),SETTINGS!$L$14,IF(ISNUMBER(SEARCH(SETTINGS!$K$15,D677)),SETTINGS!$L$15,IF(ISNUMBER(SEARCH(SETTINGS!$K$16,D677)),SETTINGS!$L$16,IF(ISNUMBER(SEARCH(SETTINGS!$K$17,D677)),SETTINGS!$L$17,IF(ISNUMBER(SEARCH(SETTINGS!$K$18,D677)),SETTINGS!$L$18,"Miscellaneous"))))))))))))))))</f>
        <v/>
      </c>
      <c r="I677" s="44" t="str">
        <f t="shared" si="80"/>
        <v/>
      </c>
      <c r="J677" s="9"/>
      <c r="K677" s="9"/>
      <c r="L677" s="9"/>
      <c r="M677" s="9"/>
      <c r="N677" s="9"/>
      <c r="O677" s="9"/>
      <c r="P677" s="13"/>
      <c r="Q677" s="9"/>
      <c r="R677" s="9"/>
      <c r="S677" s="9"/>
      <c r="T677" s="11"/>
      <c r="U677" s="44" t="str">
        <f t="shared" si="81"/>
        <v/>
      </c>
      <c r="V677" s="44" t="str">
        <f t="shared" si="82"/>
        <v/>
      </c>
      <c r="W677" s="44" t="str">
        <f t="shared" si="83"/>
        <v/>
      </c>
      <c r="X677" s="44" t="str">
        <f t="shared" si="84"/>
        <v/>
      </c>
      <c r="Y677" s="44" t="str">
        <f t="shared" si="85"/>
        <v/>
      </c>
      <c r="Z677" s="44" t="str">
        <f t="shared" si="86"/>
        <v/>
      </c>
      <c r="AA677" s="50" t="str">
        <f t="shared" si="87"/>
        <v/>
      </c>
      <c r="AB677" s="50" t="str">
        <f>IF(OR(B677="",C677&lt;&gt;"Expense"),"",IF(E677&gt;IFERROR(AVERAGEIFS($E$8:$E$1007,$I$8:$I$1007,I677,$C$8:$C$1007,"Expense")*SETTINGS!$B$20,0),"Unusually High","Normal"))</f>
        <v/>
      </c>
      <c r="AC677" s="51"/>
      <c r="AD677" s="51"/>
      <c r="AE677" s="51"/>
      <c r="AF677" s="50" t="str">
        <f>IF(A677&lt;&gt;"Yes","No",IF(AND(AC677="Yes",SETTINGS!$B$16="No"),"No","Yes"))</f>
        <v>No</v>
      </c>
      <c r="AG677" s="50" t="str">
        <f>IF(A677&lt;&gt;"Yes","",IF(OR(B677="",D677="",E677&lt;=0,F677="",I677=""),"Check Required Fields",IF(AA677="Possible Duplicate","Possible Duplicate",IF(E677&gt;SETTINGS!$B$22,"Review Extreme Value","OK"))))</f>
        <v/>
      </c>
    </row>
    <row r="678" spans="1:33" ht="14.4">
      <c r="A678" s="9"/>
      <c r="B678" s="13"/>
      <c r="C678" s="9"/>
      <c r="D678" s="9"/>
      <c r="E678" s="11"/>
      <c r="F678" s="9"/>
      <c r="G678" s="9"/>
      <c r="H678" s="44" t="str">
        <f>IF(D678="","",IF(ISNUMBER(SEARCH(SETTINGS!$K$4,D678)),SETTINGS!$L$4,IF(ISNUMBER(SEARCH(SETTINGS!$K$5,D678)),SETTINGS!$L$5,IF(ISNUMBER(SEARCH(SETTINGS!$K$6,D678)),SETTINGS!$L$6,IF(ISNUMBER(SEARCH(SETTINGS!$K$7,D678)),SETTINGS!$L$7,IF(ISNUMBER(SEARCH(SETTINGS!$K$8,D678)),SETTINGS!$L$8,IF(ISNUMBER(SEARCH(SETTINGS!$K$9,D678)),SETTINGS!$L$9,IF(ISNUMBER(SEARCH(SETTINGS!$K$10,D678)),SETTINGS!$L$10,IF(ISNUMBER(SEARCH(SETTINGS!$K$11,D678)),SETTINGS!$L$11,IF(ISNUMBER(SEARCH(SETTINGS!$K$12,D678)),SETTINGS!$L$12,IF(ISNUMBER(SEARCH(SETTINGS!$K$13,D678)),SETTINGS!$L$13,IF(ISNUMBER(SEARCH(SETTINGS!$K$14,D678)),SETTINGS!$L$14,IF(ISNUMBER(SEARCH(SETTINGS!$K$15,D678)),SETTINGS!$L$15,IF(ISNUMBER(SEARCH(SETTINGS!$K$16,D678)),SETTINGS!$L$16,IF(ISNUMBER(SEARCH(SETTINGS!$K$17,D678)),SETTINGS!$L$17,IF(ISNUMBER(SEARCH(SETTINGS!$K$18,D678)),SETTINGS!$L$18,"Miscellaneous"))))))))))))))))</f>
        <v/>
      </c>
      <c r="I678" s="44" t="str">
        <f t="shared" si="80"/>
        <v/>
      </c>
      <c r="J678" s="9"/>
      <c r="K678" s="9"/>
      <c r="L678" s="9"/>
      <c r="M678" s="9"/>
      <c r="N678" s="9"/>
      <c r="O678" s="9"/>
      <c r="P678" s="13"/>
      <c r="Q678" s="9"/>
      <c r="R678" s="9"/>
      <c r="S678" s="9"/>
      <c r="T678" s="11"/>
      <c r="U678" s="44" t="str">
        <f t="shared" si="81"/>
        <v/>
      </c>
      <c r="V678" s="44" t="str">
        <f t="shared" si="82"/>
        <v/>
      </c>
      <c r="W678" s="44" t="str">
        <f t="shared" si="83"/>
        <v/>
      </c>
      <c r="X678" s="44" t="str">
        <f t="shared" si="84"/>
        <v/>
      </c>
      <c r="Y678" s="44" t="str">
        <f t="shared" si="85"/>
        <v/>
      </c>
      <c r="Z678" s="44" t="str">
        <f t="shared" si="86"/>
        <v/>
      </c>
      <c r="AA678" s="50" t="str">
        <f t="shared" si="87"/>
        <v/>
      </c>
      <c r="AB678" s="50" t="str">
        <f>IF(OR(B678="",C678&lt;&gt;"Expense"),"",IF(E678&gt;IFERROR(AVERAGEIFS($E$8:$E$1007,$I$8:$I$1007,I678,$C$8:$C$1007,"Expense")*SETTINGS!$B$20,0),"Unusually High","Normal"))</f>
        <v/>
      </c>
      <c r="AC678" s="51"/>
      <c r="AD678" s="51"/>
      <c r="AE678" s="51"/>
      <c r="AF678" s="50" t="str">
        <f>IF(A678&lt;&gt;"Yes","No",IF(AND(AC678="Yes",SETTINGS!$B$16="No"),"No","Yes"))</f>
        <v>No</v>
      </c>
      <c r="AG678" s="50" t="str">
        <f>IF(A678&lt;&gt;"Yes","",IF(OR(B678="",D678="",E678&lt;=0,F678="",I678=""),"Check Required Fields",IF(AA678="Possible Duplicate","Possible Duplicate",IF(E678&gt;SETTINGS!$B$22,"Review Extreme Value","OK"))))</f>
        <v/>
      </c>
    </row>
    <row r="679" spans="1:33" ht="14.4">
      <c r="A679" s="9"/>
      <c r="B679" s="13"/>
      <c r="C679" s="9"/>
      <c r="D679" s="9"/>
      <c r="E679" s="11"/>
      <c r="F679" s="9"/>
      <c r="G679" s="9"/>
      <c r="H679" s="44" t="str">
        <f>IF(D679="","",IF(ISNUMBER(SEARCH(SETTINGS!$K$4,D679)),SETTINGS!$L$4,IF(ISNUMBER(SEARCH(SETTINGS!$K$5,D679)),SETTINGS!$L$5,IF(ISNUMBER(SEARCH(SETTINGS!$K$6,D679)),SETTINGS!$L$6,IF(ISNUMBER(SEARCH(SETTINGS!$K$7,D679)),SETTINGS!$L$7,IF(ISNUMBER(SEARCH(SETTINGS!$K$8,D679)),SETTINGS!$L$8,IF(ISNUMBER(SEARCH(SETTINGS!$K$9,D679)),SETTINGS!$L$9,IF(ISNUMBER(SEARCH(SETTINGS!$K$10,D679)),SETTINGS!$L$10,IF(ISNUMBER(SEARCH(SETTINGS!$K$11,D679)),SETTINGS!$L$11,IF(ISNUMBER(SEARCH(SETTINGS!$K$12,D679)),SETTINGS!$L$12,IF(ISNUMBER(SEARCH(SETTINGS!$K$13,D679)),SETTINGS!$L$13,IF(ISNUMBER(SEARCH(SETTINGS!$K$14,D679)),SETTINGS!$L$14,IF(ISNUMBER(SEARCH(SETTINGS!$K$15,D679)),SETTINGS!$L$15,IF(ISNUMBER(SEARCH(SETTINGS!$K$16,D679)),SETTINGS!$L$16,IF(ISNUMBER(SEARCH(SETTINGS!$K$17,D679)),SETTINGS!$L$17,IF(ISNUMBER(SEARCH(SETTINGS!$K$18,D679)),SETTINGS!$L$18,"Miscellaneous"))))))))))))))))</f>
        <v/>
      </c>
      <c r="I679" s="44" t="str">
        <f t="shared" si="80"/>
        <v/>
      </c>
      <c r="J679" s="9"/>
      <c r="K679" s="9"/>
      <c r="L679" s="9"/>
      <c r="M679" s="9"/>
      <c r="N679" s="9"/>
      <c r="O679" s="9"/>
      <c r="P679" s="13"/>
      <c r="Q679" s="9"/>
      <c r="R679" s="9"/>
      <c r="S679" s="9"/>
      <c r="T679" s="11"/>
      <c r="U679" s="44" t="str">
        <f t="shared" si="81"/>
        <v/>
      </c>
      <c r="V679" s="44" t="str">
        <f t="shared" si="82"/>
        <v/>
      </c>
      <c r="W679" s="44" t="str">
        <f t="shared" si="83"/>
        <v/>
      </c>
      <c r="X679" s="44" t="str">
        <f t="shared" si="84"/>
        <v/>
      </c>
      <c r="Y679" s="44" t="str">
        <f t="shared" si="85"/>
        <v/>
      </c>
      <c r="Z679" s="44" t="str">
        <f t="shared" si="86"/>
        <v/>
      </c>
      <c r="AA679" s="50" t="str">
        <f t="shared" si="87"/>
        <v/>
      </c>
      <c r="AB679" s="50" t="str">
        <f>IF(OR(B679="",C679&lt;&gt;"Expense"),"",IF(E679&gt;IFERROR(AVERAGEIFS($E$8:$E$1007,$I$8:$I$1007,I679,$C$8:$C$1007,"Expense")*SETTINGS!$B$20,0),"Unusually High","Normal"))</f>
        <v/>
      </c>
      <c r="AC679" s="51"/>
      <c r="AD679" s="51"/>
      <c r="AE679" s="51"/>
      <c r="AF679" s="50" t="str">
        <f>IF(A679&lt;&gt;"Yes","No",IF(AND(AC679="Yes",SETTINGS!$B$16="No"),"No","Yes"))</f>
        <v>No</v>
      </c>
      <c r="AG679" s="50" t="str">
        <f>IF(A679&lt;&gt;"Yes","",IF(OR(B679="",D679="",E679&lt;=0,F679="",I679=""),"Check Required Fields",IF(AA679="Possible Duplicate","Possible Duplicate",IF(E679&gt;SETTINGS!$B$22,"Review Extreme Value","OK"))))</f>
        <v/>
      </c>
    </row>
    <row r="680" spans="1:33" ht="14.4">
      <c r="A680" s="9"/>
      <c r="B680" s="13"/>
      <c r="C680" s="9"/>
      <c r="D680" s="9"/>
      <c r="E680" s="11"/>
      <c r="F680" s="9"/>
      <c r="G680" s="9"/>
      <c r="H680" s="44" t="str">
        <f>IF(D680="","",IF(ISNUMBER(SEARCH(SETTINGS!$K$4,D680)),SETTINGS!$L$4,IF(ISNUMBER(SEARCH(SETTINGS!$K$5,D680)),SETTINGS!$L$5,IF(ISNUMBER(SEARCH(SETTINGS!$K$6,D680)),SETTINGS!$L$6,IF(ISNUMBER(SEARCH(SETTINGS!$K$7,D680)),SETTINGS!$L$7,IF(ISNUMBER(SEARCH(SETTINGS!$K$8,D680)),SETTINGS!$L$8,IF(ISNUMBER(SEARCH(SETTINGS!$K$9,D680)),SETTINGS!$L$9,IF(ISNUMBER(SEARCH(SETTINGS!$K$10,D680)),SETTINGS!$L$10,IF(ISNUMBER(SEARCH(SETTINGS!$K$11,D680)),SETTINGS!$L$11,IF(ISNUMBER(SEARCH(SETTINGS!$K$12,D680)),SETTINGS!$L$12,IF(ISNUMBER(SEARCH(SETTINGS!$K$13,D680)),SETTINGS!$L$13,IF(ISNUMBER(SEARCH(SETTINGS!$K$14,D680)),SETTINGS!$L$14,IF(ISNUMBER(SEARCH(SETTINGS!$K$15,D680)),SETTINGS!$L$15,IF(ISNUMBER(SEARCH(SETTINGS!$K$16,D680)),SETTINGS!$L$16,IF(ISNUMBER(SEARCH(SETTINGS!$K$17,D680)),SETTINGS!$L$17,IF(ISNUMBER(SEARCH(SETTINGS!$K$18,D680)),SETTINGS!$L$18,"Miscellaneous"))))))))))))))))</f>
        <v/>
      </c>
      <c r="I680" s="44" t="str">
        <f t="shared" si="80"/>
        <v/>
      </c>
      <c r="J680" s="9"/>
      <c r="K680" s="9"/>
      <c r="L680" s="9"/>
      <c r="M680" s="9"/>
      <c r="N680" s="9"/>
      <c r="O680" s="9"/>
      <c r="P680" s="13"/>
      <c r="Q680" s="9"/>
      <c r="R680" s="9"/>
      <c r="S680" s="9"/>
      <c r="T680" s="11"/>
      <c r="U680" s="44" t="str">
        <f t="shared" si="81"/>
        <v/>
      </c>
      <c r="V680" s="44" t="str">
        <f t="shared" si="82"/>
        <v/>
      </c>
      <c r="W680" s="44" t="str">
        <f t="shared" si="83"/>
        <v/>
      </c>
      <c r="X680" s="44" t="str">
        <f t="shared" si="84"/>
        <v/>
      </c>
      <c r="Y680" s="44" t="str">
        <f t="shared" si="85"/>
        <v/>
      </c>
      <c r="Z680" s="44" t="str">
        <f t="shared" si="86"/>
        <v/>
      </c>
      <c r="AA680" s="50" t="str">
        <f t="shared" si="87"/>
        <v/>
      </c>
      <c r="AB680" s="50" t="str">
        <f>IF(OR(B680="",C680&lt;&gt;"Expense"),"",IF(E680&gt;IFERROR(AVERAGEIFS($E$8:$E$1007,$I$8:$I$1007,I680,$C$8:$C$1007,"Expense")*SETTINGS!$B$20,0),"Unusually High","Normal"))</f>
        <v/>
      </c>
      <c r="AC680" s="51"/>
      <c r="AD680" s="51"/>
      <c r="AE680" s="51"/>
      <c r="AF680" s="50" t="str">
        <f>IF(A680&lt;&gt;"Yes","No",IF(AND(AC680="Yes",SETTINGS!$B$16="No"),"No","Yes"))</f>
        <v>No</v>
      </c>
      <c r="AG680" s="50" t="str">
        <f>IF(A680&lt;&gt;"Yes","",IF(OR(B680="",D680="",E680&lt;=0,F680="",I680=""),"Check Required Fields",IF(AA680="Possible Duplicate","Possible Duplicate",IF(E680&gt;SETTINGS!$B$22,"Review Extreme Value","OK"))))</f>
        <v/>
      </c>
    </row>
    <row r="681" spans="1:33" ht="14.4">
      <c r="A681" s="9"/>
      <c r="B681" s="13"/>
      <c r="C681" s="9"/>
      <c r="D681" s="9"/>
      <c r="E681" s="11"/>
      <c r="F681" s="9"/>
      <c r="G681" s="9"/>
      <c r="H681" s="44" t="str">
        <f>IF(D681="","",IF(ISNUMBER(SEARCH(SETTINGS!$K$4,D681)),SETTINGS!$L$4,IF(ISNUMBER(SEARCH(SETTINGS!$K$5,D681)),SETTINGS!$L$5,IF(ISNUMBER(SEARCH(SETTINGS!$K$6,D681)),SETTINGS!$L$6,IF(ISNUMBER(SEARCH(SETTINGS!$K$7,D681)),SETTINGS!$L$7,IF(ISNUMBER(SEARCH(SETTINGS!$K$8,D681)),SETTINGS!$L$8,IF(ISNUMBER(SEARCH(SETTINGS!$K$9,D681)),SETTINGS!$L$9,IF(ISNUMBER(SEARCH(SETTINGS!$K$10,D681)),SETTINGS!$L$10,IF(ISNUMBER(SEARCH(SETTINGS!$K$11,D681)),SETTINGS!$L$11,IF(ISNUMBER(SEARCH(SETTINGS!$K$12,D681)),SETTINGS!$L$12,IF(ISNUMBER(SEARCH(SETTINGS!$K$13,D681)),SETTINGS!$L$13,IF(ISNUMBER(SEARCH(SETTINGS!$K$14,D681)),SETTINGS!$L$14,IF(ISNUMBER(SEARCH(SETTINGS!$K$15,D681)),SETTINGS!$L$15,IF(ISNUMBER(SEARCH(SETTINGS!$K$16,D681)),SETTINGS!$L$16,IF(ISNUMBER(SEARCH(SETTINGS!$K$17,D681)),SETTINGS!$L$17,IF(ISNUMBER(SEARCH(SETTINGS!$K$18,D681)),SETTINGS!$L$18,"Miscellaneous"))))))))))))))))</f>
        <v/>
      </c>
      <c r="I681" s="44" t="str">
        <f t="shared" si="80"/>
        <v/>
      </c>
      <c r="J681" s="9"/>
      <c r="K681" s="9"/>
      <c r="L681" s="9"/>
      <c r="M681" s="9"/>
      <c r="N681" s="9"/>
      <c r="O681" s="9"/>
      <c r="P681" s="13"/>
      <c r="Q681" s="9"/>
      <c r="R681" s="9"/>
      <c r="S681" s="9"/>
      <c r="T681" s="11"/>
      <c r="U681" s="44" t="str">
        <f t="shared" si="81"/>
        <v/>
      </c>
      <c r="V681" s="44" t="str">
        <f t="shared" si="82"/>
        <v/>
      </c>
      <c r="W681" s="44" t="str">
        <f t="shared" si="83"/>
        <v/>
      </c>
      <c r="X681" s="44" t="str">
        <f t="shared" si="84"/>
        <v/>
      </c>
      <c r="Y681" s="44" t="str">
        <f t="shared" si="85"/>
        <v/>
      </c>
      <c r="Z681" s="44" t="str">
        <f t="shared" si="86"/>
        <v/>
      </c>
      <c r="AA681" s="50" t="str">
        <f t="shared" si="87"/>
        <v/>
      </c>
      <c r="AB681" s="50" t="str">
        <f>IF(OR(B681="",C681&lt;&gt;"Expense"),"",IF(E681&gt;IFERROR(AVERAGEIFS($E$8:$E$1007,$I$8:$I$1007,I681,$C$8:$C$1007,"Expense")*SETTINGS!$B$20,0),"Unusually High","Normal"))</f>
        <v/>
      </c>
      <c r="AC681" s="51"/>
      <c r="AD681" s="51"/>
      <c r="AE681" s="51"/>
      <c r="AF681" s="50" t="str">
        <f>IF(A681&lt;&gt;"Yes","No",IF(AND(AC681="Yes",SETTINGS!$B$16="No"),"No","Yes"))</f>
        <v>No</v>
      </c>
      <c r="AG681" s="50" t="str">
        <f>IF(A681&lt;&gt;"Yes","",IF(OR(B681="",D681="",E681&lt;=0,F681="",I681=""),"Check Required Fields",IF(AA681="Possible Duplicate","Possible Duplicate",IF(E681&gt;SETTINGS!$B$22,"Review Extreme Value","OK"))))</f>
        <v/>
      </c>
    </row>
    <row r="682" spans="1:33" ht="14.4">
      <c r="A682" s="9"/>
      <c r="B682" s="13"/>
      <c r="C682" s="9"/>
      <c r="D682" s="9"/>
      <c r="E682" s="11"/>
      <c r="F682" s="9"/>
      <c r="G682" s="9"/>
      <c r="H682" s="44" t="str">
        <f>IF(D682="","",IF(ISNUMBER(SEARCH(SETTINGS!$K$4,D682)),SETTINGS!$L$4,IF(ISNUMBER(SEARCH(SETTINGS!$K$5,D682)),SETTINGS!$L$5,IF(ISNUMBER(SEARCH(SETTINGS!$K$6,D682)),SETTINGS!$L$6,IF(ISNUMBER(SEARCH(SETTINGS!$K$7,D682)),SETTINGS!$L$7,IF(ISNUMBER(SEARCH(SETTINGS!$K$8,D682)),SETTINGS!$L$8,IF(ISNUMBER(SEARCH(SETTINGS!$K$9,D682)),SETTINGS!$L$9,IF(ISNUMBER(SEARCH(SETTINGS!$K$10,D682)),SETTINGS!$L$10,IF(ISNUMBER(SEARCH(SETTINGS!$K$11,D682)),SETTINGS!$L$11,IF(ISNUMBER(SEARCH(SETTINGS!$K$12,D682)),SETTINGS!$L$12,IF(ISNUMBER(SEARCH(SETTINGS!$K$13,D682)),SETTINGS!$L$13,IF(ISNUMBER(SEARCH(SETTINGS!$K$14,D682)),SETTINGS!$L$14,IF(ISNUMBER(SEARCH(SETTINGS!$K$15,D682)),SETTINGS!$L$15,IF(ISNUMBER(SEARCH(SETTINGS!$K$16,D682)),SETTINGS!$L$16,IF(ISNUMBER(SEARCH(SETTINGS!$K$17,D682)),SETTINGS!$L$17,IF(ISNUMBER(SEARCH(SETTINGS!$K$18,D682)),SETTINGS!$L$18,"Miscellaneous"))))))))))))))))</f>
        <v/>
      </c>
      <c r="I682" s="44" t="str">
        <f t="shared" si="80"/>
        <v/>
      </c>
      <c r="J682" s="9"/>
      <c r="K682" s="9"/>
      <c r="L682" s="9"/>
      <c r="M682" s="9"/>
      <c r="N682" s="9"/>
      <c r="O682" s="9"/>
      <c r="P682" s="13"/>
      <c r="Q682" s="9"/>
      <c r="R682" s="9"/>
      <c r="S682" s="9"/>
      <c r="T682" s="11"/>
      <c r="U682" s="44" t="str">
        <f t="shared" si="81"/>
        <v/>
      </c>
      <c r="V682" s="44" t="str">
        <f t="shared" si="82"/>
        <v/>
      </c>
      <c r="W682" s="44" t="str">
        <f t="shared" si="83"/>
        <v/>
      </c>
      <c r="X682" s="44" t="str">
        <f t="shared" si="84"/>
        <v/>
      </c>
      <c r="Y682" s="44" t="str">
        <f t="shared" si="85"/>
        <v/>
      </c>
      <c r="Z682" s="44" t="str">
        <f t="shared" si="86"/>
        <v/>
      </c>
      <c r="AA682" s="50" t="str">
        <f t="shared" si="87"/>
        <v/>
      </c>
      <c r="AB682" s="50" t="str">
        <f>IF(OR(B682="",C682&lt;&gt;"Expense"),"",IF(E682&gt;IFERROR(AVERAGEIFS($E$8:$E$1007,$I$8:$I$1007,I682,$C$8:$C$1007,"Expense")*SETTINGS!$B$20,0),"Unusually High","Normal"))</f>
        <v/>
      </c>
      <c r="AC682" s="51"/>
      <c r="AD682" s="51"/>
      <c r="AE682" s="51"/>
      <c r="AF682" s="50" t="str">
        <f>IF(A682&lt;&gt;"Yes","No",IF(AND(AC682="Yes",SETTINGS!$B$16="No"),"No","Yes"))</f>
        <v>No</v>
      </c>
      <c r="AG682" s="50" t="str">
        <f>IF(A682&lt;&gt;"Yes","",IF(OR(B682="",D682="",E682&lt;=0,F682="",I682=""),"Check Required Fields",IF(AA682="Possible Duplicate","Possible Duplicate",IF(E682&gt;SETTINGS!$B$22,"Review Extreme Value","OK"))))</f>
        <v/>
      </c>
    </row>
    <row r="683" spans="1:33" ht="14.4">
      <c r="A683" s="9"/>
      <c r="B683" s="13"/>
      <c r="C683" s="9"/>
      <c r="D683" s="9"/>
      <c r="E683" s="11"/>
      <c r="F683" s="9"/>
      <c r="G683" s="9"/>
      <c r="H683" s="44" t="str">
        <f>IF(D683="","",IF(ISNUMBER(SEARCH(SETTINGS!$K$4,D683)),SETTINGS!$L$4,IF(ISNUMBER(SEARCH(SETTINGS!$K$5,D683)),SETTINGS!$L$5,IF(ISNUMBER(SEARCH(SETTINGS!$K$6,D683)),SETTINGS!$L$6,IF(ISNUMBER(SEARCH(SETTINGS!$K$7,D683)),SETTINGS!$L$7,IF(ISNUMBER(SEARCH(SETTINGS!$K$8,D683)),SETTINGS!$L$8,IF(ISNUMBER(SEARCH(SETTINGS!$K$9,D683)),SETTINGS!$L$9,IF(ISNUMBER(SEARCH(SETTINGS!$K$10,D683)),SETTINGS!$L$10,IF(ISNUMBER(SEARCH(SETTINGS!$K$11,D683)),SETTINGS!$L$11,IF(ISNUMBER(SEARCH(SETTINGS!$K$12,D683)),SETTINGS!$L$12,IF(ISNUMBER(SEARCH(SETTINGS!$K$13,D683)),SETTINGS!$L$13,IF(ISNUMBER(SEARCH(SETTINGS!$K$14,D683)),SETTINGS!$L$14,IF(ISNUMBER(SEARCH(SETTINGS!$K$15,D683)),SETTINGS!$L$15,IF(ISNUMBER(SEARCH(SETTINGS!$K$16,D683)),SETTINGS!$L$16,IF(ISNUMBER(SEARCH(SETTINGS!$K$17,D683)),SETTINGS!$L$17,IF(ISNUMBER(SEARCH(SETTINGS!$K$18,D683)),SETTINGS!$L$18,"Miscellaneous"))))))))))))))))</f>
        <v/>
      </c>
      <c r="I683" s="44" t="str">
        <f t="shared" si="80"/>
        <v/>
      </c>
      <c r="J683" s="9"/>
      <c r="K683" s="9"/>
      <c r="L683" s="9"/>
      <c r="M683" s="9"/>
      <c r="N683" s="9"/>
      <c r="O683" s="9"/>
      <c r="P683" s="13"/>
      <c r="Q683" s="9"/>
      <c r="R683" s="9"/>
      <c r="S683" s="9"/>
      <c r="T683" s="11"/>
      <c r="U683" s="44" t="str">
        <f t="shared" si="81"/>
        <v/>
      </c>
      <c r="V683" s="44" t="str">
        <f t="shared" si="82"/>
        <v/>
      </c>
      <c r="W683" s="44" t="str">
        <f t="shared" si="83"/>
        <v/>
      </c>
      <c r="X683" s="44" t="str">
        <f t="shared" si="84"/>
        <v/>
      </c>
      <c r="Y683" s="44" t="str">
        <f t="shared" si="85"/>
        <v/>
      </c>
      <c r="Z683" s="44" t="str">
        <f t="shared" si="86"/>
        <v/>
      </c>
      <c r="AA683" s="50" t="str">
        <f t="shared" si="87"/>
        <v/>
      </c>
      <c r="AB683" s="50" t="str">
        <f>IF(OR(B683="",C683&lt;&gt;"Expense"),"",IF(E683&gt;IFERROR(AVERAGEIFS($E$8:$E$1007,$I$8:$I$1007,I683,$C$8:$C$1007,"Expense")*SETTINGS!$B$20,0),"Unusually High","Normal"))</f>
        <v/>
      </c>
      <c r="AC683" s="51"/>
      <c r="AD683" s="51"/>
      <c r="AE683" s="51"/>
      <c r="AF683" s="50" t="str">
        <f>IF(A683&lt;&gt;"Yes","No",IF(AND(AC683="Yes",SETTINGS!$B$16="No"),"No","Yes"))</f>
        <v>No</v>
      </c>
      <c r="AG683" s="50" t="str">
        <f>IF(A683&lt;&gt;"Yes","",IF(OR(B683="",D683="",E683&lt;=0,F683="",I683=""),"Check Required Fields",IF(AA683="Possible Duplicate","Possible Duplicate",IF(E683&gt;SETTINGS!$B$22,"Review Extreme Value","OK"))))</f>
        <v/>
      </c>
    </row>
    <row r="684" spans="1:33" ht="14.4">
      <c r="A684" s="9"/>
      <c r="B684" s="13"/>
      <c r="C684" s="9"/>
      <c r="D684" s="9"/>
      <c r="E684" s="11"/>
      <c r="F684" s="9"/>
      <c r="G684" s="9"/>
      <c r="H684" s="44" t="str">
        <f>IF(D684="","",IF(ISNUMBER(SEARCH(SETTINGS!$K$4,D684)),SETTINGS!$L$4,IF(ISNUMBER(SEARCH(SETTINGS!$K$5,D684)),SETTINGS!$L$5,IF(ISNUMBER(SEARCH(SETTINGS!$K$6,D684)),SETTINGS!$L$6,IF(ISNUMBER(SEARCH(SETTINGS!$K$7,D684)),SETTINGS!$L$7,IF(ISNUMBER(SEARCH(SETTINGS!$K$8,D684)),SETTINGS!$L$8,IF(ISNUMBER(SEARCH(SETTINGS!$K$9,D684)),SETTINGS!$L$9,IF(ISNUMBER(SEARCH(SETTINGS!$K$10,D684)),SETTINGS!$L$10,IF(ISNUMBER(SEARCH(SETTINGS!$K$11,D684)),SETTINGS!$L$11,IF(ISNUMBER(SEARCH(SETTINGS!$K$12,D684)),SETTINGS!$L$12,IF(ISNUMBER(SEARCH(SETTINGS!$K$13,D684)),SETTINGS!$L$13,IF(ISNUMBER(SEARCH(SETTINGS!$K$14,D684)),SETTINGS!$L$14,IF(ISNUMBER(SEARCH(SETTINGS!$K$15,D684)),SETTINGS!$L$15,IF(ISNUMBER(SEARCH(SETTINGS!$K$16,D684)),SETTINGS!$L$16,IF(ISNUMBER(SEARCH(SETTINGS!$K$17,D684)),SETTINGS!$L$17,IF(ISNUMBER(SEARCH(SETTINGS!$K$18,D684)),SETTINGS!$L$18,"Miscellaneous"))))))))))))))))</f>
        <v/>
      </c>
      <c r="I684" s="44" t="str">
        <f t="shared" si="80"/>
        <v/>
      </c>
      <c r="J684" s="9"/>
      <c r="K684" s="9"/>
      <c r="L684" s="9"/>
      <c r="M684" s="9"/>
      <c r="N684" s="9"/>
      <c r="O684" s="9"/>
      <c r="P684" s="13"/>
      <c r="Q684" s="9"/>
      <c r="R684" s="9"/>
      <c r="S684" s="9"/>
      <c r="T684" s="11"/>
      <c r="U684" s="44" t="str">
        <f t="shared" si="81"/>
        <v/>
      </c>
      <c r="V684" s="44" t="str">
        <f t="shared" si="82"/>
        <v/>
      </c>
      <c r="W684" s="44" t="str">
        <f t="shared" si="83"/>
        <v/>
      </c>
      <c r="X684" s="44" t="str">
        <f t="shared" si="84"/>
        <v/>
      </c>
      <c r="Y684" s="44" t="str">
        <f t="shared" si="85"/>
        <v/>
      </c>
      <c r="Z684" s="44" t="str">
        <f t="shared" si="86"/>
        <v/>
      </c>
      <c r="AA684" s="50" t="str">
        <f t="shared" si="87"/>
        <v/>
      </c>
      <c r="AB684" s="50" t="str">
        <f>IF(OR(B684="",C684&lt;&gt;"Expense"),"",IF(E684&gt;IFERROR(AVERAGEIFS($E$8:$E$1007,$I$8:$I$1007,I684,$C$8:$C$1007,"Expense")*SETTINGS!$B$20,0),"Unusually High","Normal"))</f>
        <v/>
      </c>
      <c r="AC684" s="51"/>
      <c r="AD684" s="51"/>
      <c r="AE684" s="51"/>
      <c r="AF684" s="50" t="str">
        <f>IF(A684&lt;&gt;"Yes","No",IF(AND(AC684="Yes",SETTINGS!$B$16="No"),"No","Yes"))</f>
        <v>No</v>
      </c>
      <c r="AG684" s="50" t="str">
        <f>IF(A684&lt;&gt;"Yes","",IF(OR(B684="",D684="",E684&lt;=0,F684="",I684=""),"Check Required Fields",IF(AA684="Possible Duplicate","Possible Duplicate",IF(E684&gt;SETTINGS!$B$22,"Review Extreme Value","OK"))))</f>
        <v/>
      </c>
    </row>
    <row r="685" spans="1:33" ht="14.4">
      <c r="A685" s="9"/>
      <c r="B685" s="13"/>
      <c r="C685" s="9"/>
      <c r="D685" s="9"/>
      <c r="E685" s="11"/>
      <c r="F685" s="9"/>
      <c r="G685" s="9"/>
      <c r="H685" s="44" t="str">
        <f>IF(D685="","",IF(ISNUMBER(SEARCH(SETTINGS!$K$4,D685)),SETTINGS!$L$4,IF(ISNUMBER(SEARCH(SETTINGS!$K$5,D685)),SETTINGS!$L$5,IF(ISNUMBER(SEARCH(SETTINGS!$K$6,D685)),SETTINGS!$L$6,IF(ISNUMBER(SEARCH(SETTINGS!$K$7,D685)),SETTINGS!$L$7,IF(ISNUMBER(SEARCH(SETTINGS!$K$8,D685)),SETTINGS!$L$8,IF(ISNUMBER(SEARCH(SETTINGS!$K$9,D685)),SETTINGS!$L$9,IF(ISNUMBER(SEARCH(SETTINGS!$K$10,D685)),SETTINGS!$L$10,IF(ISNUMBER(SEARCH(SETTINGS!$K$11,D685)),SETTINGS!$L$11,IF(ISNUMBER(SEARCH(SETTINGS!$K$12,D685)),SETTINGS!$L$12,IF(ISNUMBER(SEARCH(SETTINGS!$K$13,D685)),SETTINGS!$L$13,IF(ISNUMBER(SEARCH(SETTINGS!$K$14,D685)),SETTINGS!$L$14,IF(ISNUMBER(SEARCH(SETTINGS!$K$15,D685)),SETTINGS!$L$15,IF(ISNUMBER(SEARCH(SETTINGS!$K$16,D685)),SETTINGS!$L$16,IF(ISNUMBER(SEARCH(SETTINGS!$K$17,D685)),SETTINGS!$L$17,IF(ISNUMBER(SEARCH(SETTINGS!$K$18,D685)),SETTINGS!$L$18,"Miscellaneous"))))))))))))))))</f>
        <v/>
      </c>
      <c r="I685" s="44" t="str">
        <f t="shared" si="80"/>
        <v/>
      </c>
      <c r="J685" s="9"/>
      <c r="K685" s="9"/>
      <c r="L685" s="9"/>
      <c r="M685" s="9"/>
      <c r="N685" s="9"/>
      <c r="O685" s="9"/>
      <c r="P685" s="13"/>
      <c r="Q685" s="9"/>
      <c r="R685" s="9"/>
      <c r="S685" s="9"/>
      <c r="T685" s="11"/>
      <c r="U685" s="44" t="str">
        <f t="shared" si="81"/>
        <v/>
      </c>
      <c r="V685" s="44" t="str">
        <f t="shared" si="82"/>
        <v/>
      </c>
      <c r="W685" s="44" t="str">
        <f t="shared" si="83"/>
        <v/>
      </c>
      <c r="X685" s="44" t="str">
        <f t="shared" si="84"/>
        <v/>
      </c>
      <c r="Y685" s="44" t="str">
        <f t="shared" si="85"/>
        <v/>
      </c>
      <c r="Z685" s="44" t="str">
        <f t="shared" si="86"/>
        <v/>
      </c>
      <c r="AA685" s="50" t="str">
        <f t="shared" si="87"/>
        <v/>
      </c>
      <c r="AB685" s="50" t="str">
        <f>IF(OR(B685="",C685&lt;&gt;"Expense"),"",IF(E685&gt;IFERROR(AVERAGEIFS($E$8:$E$1007,$I$8:$I$1007,I685,$C$8:$C$1007,"Expense")*SETTINGS!$B$20,0),"Unusually High","Normal"))</f>
        <v/>
      </c>
      <c r="AC685" s="51"/>
      <c r="AD685" s="51"/>
      <c r="AE685" s="51"/>
      <c r="AF685" s="50" t="str">
        <f>IF(A685&lt;&gt;"Yes","No",IF(AND(AC685="Yes",SETTINGS!$B$16="No"),"No","Yes"))</f>
        <v>No</v>
      </c>
      <c r="AG685" s="50" t="str">
        <f>IF(A685&lt;&gt;"Yes","",IF(OR(B685="",D685="",E685&lt;=0,F685="",I685=""),"Check Required Fields",IF(AA685="Possible Duplicate","Possible Duplicate",IF(E685&gt;SETTINGS!$B$22,"Review Extreme Value","OK"))))</f>
        <v/>
      </c>
    </row>
    <row r="686" spans="1:33" ht="14.4">
      <c r="A686" s="9"/>
      <c r="B686" s="13"/>
      <c r="C686" s="9"/>
      <c r="D686" s="9"/>
      <c r="E686" s="11"/>
      <c r="F686" s="9"/>
      <c r="G686" s="9"/>
      <c r="H686" s="44" t="str">
        <f>IF(D686="","",IF(ISNUMBER(SEARCH(SETTINGS!$K$4,D686)),SETTINGS!$L$4,IF(ISNUMBER(SEARCH(SETTINGS!$K$5,D686)),SETTINGS!$L$5,IF(ISNUMBER(SEARCH(SETTINGS!$K$6,D686)),SETTINGS!$L$6,IF(ISNUMBER(SEARCH(SETTINGS!$K$7,D686)),SETTINGS!$L$7,IF(ISNUMBER(SEARCH(SETTINGS!$K$8,D686)),SETTINGS!$L$8,IF(ISNUMBER(SEARCH(SETTINGS!$K$9,D686)),SETTINGS!$L$9,IF(ISNUMBER(SEARCH(SETTINGS!$K$10,D686)),SETTINGS!$L$10,IF(ISNUMBER(SEARCH(SETTINGS!$K$11,D686)),SETTINGS!$L$11,IF(ISNUMBER(SEARCH(SETTINGS!$K$12,D686)),SETTINGS!$L$12,IF(ISNUMBER(SEARCH(SETTINGS!$K$13,D686)),SETTINGS!$L$13,IF(ISNUMBER(SEARCH(SETTINGS!$K$14,D686)),SETTINGS!$L$14,IF(ISNUMBER(SEARCH(SETTINGS!$K$15,D686)),SETTINGS!$L$15,IF(ISNUMBER(SEARCH(SETTINGS!$K$16,D686)),SETTINGS!$L$16,IF(ISNUMBER(SEARCH(SETTINGS!$K$17,D686)),SETTINGS!$L$17,IF(ISNUMBER(SEARCH(SETTINGS!$K$18,D686)),SETTINGS!$L$18,"Miscellaneous"))))))))))))))))</f>
        <v/>
      </c>
      <c r="I686" s="44" t="str">
        <f t="shared" si="80"/>
        <v/>
      </c>
      <c r="J686" s="9"/>
      <c r="K686" s="9"/>
      <c r="L686" s="9"/>
      <c r="M686" s="9"/>
      <c r="N686" s="9"/>
      <c r="O686" s="9"/>
      <c r="P686" s="13"/>
      <c r="Q686" s="9"/>
      <c r="R686" s="9"/>
      <c r="S686" s="9"/>
      <c r="T686" s="11"/>
      <c r="U686" s="44" t="str">
        <f t="shared" si="81"/>
        <v/>
      </c>
      <c r="V686" s="44" t="str">
        <f t="shared" si="82"/>
        <v/>
      </c>
      <c r="W686" s="44" t="str">
        <f t="shared" si="83"/>
        <v/>
      </c>
      <c r="X686" s="44" t="str">
        <f t="shared" si="84"/>
        <v/>
      </c>
      <c r="Y686" s="44" t="str">
        <f t="shared" si="85"/>
        <v/>
      </c>
      <c r="Z686" s="44" t="str">
        <f t="shared" si="86"/>
        <v/>
      </c>
      <c r="AA686" s="50" t="str">
        <f t="shared" si="87"/>
        <v/>
      </c>
      <c r="AB686" s="50" t="str">
        <f>IF(OR(B686="",C686&lt;&gt;"Expense"),"",IF(E686&gt;IFERROR(AVERAGEIFS($E$8:$E$1007,$I$8:$I$1007,I686,$C$8:$C$1007,"Expense")*SETTINGS!$B$20,0),"Unusually High","Normal"))</f>
        <v/>
      </c>
      <c r="AC686" s="51"/>
      <c r="AD686" s="51"/>
      <c r="AE686" s="51"/>
      <c r="AF686" s="50" t="str">
        <f>IF(A686&lt;&gt;"Yes","No",IF(AND(AC686="Yes",SETTINGS!$B$16="No"),"No","Yes"))</f>
        <v>No</v>
      </c>
      <c r="AG686" s="50" t="str">
        <f>IF(A686&lt;&gt;"Yes","",IF(OR(B686="",D686="",E686&lt;=0,F686="",I686=""),"Check Required Fields",IF(AA686="Possible Duplicate","Possible Duplicate",IF(E686&gt;SETTINGS!$B$22,"Review Extreme Value","OK"))))</f>
        <v/>
      </c>
    </row>
    <row r="687" spans="1:33" ht="14.4">
      <c r="A687" s="9"/>
      <c r="B687" s="13"/>
      <c r="C687" s="9"/>
      <c r="D687" s="9"/>
      <c r="E687" s="11"/>
      <c r="F687" s="9"/>
      <c r="G687" s="9"/>
      <c r="H687" s="44" t="str">
        <f>IF(D687="","",IF(ISNUMBER(SEARCH(SETTINGS!$K$4,D687)),SETTINGS!$L$4,IF(ISNUMBER(SEARCH(SETTINGS!$K$5,D687)),SETTINGS!$L$5,IF(ISNUMBER(SEARCH(SETTINGS!$K$6,D687)),SETTINGS!$L$6,IF(ISNUMBER(SEARCH(SETTINGS!$K$7,D687)),SETTINGS!$L$7,IF(ISNUMBER(SEARCH(SETTINGS!$K$8,D687)),SETTINGS!$L$8,IF(ISNUMBER(SEARCH(SETTINGS!$K$9,D687)),SETTINGS!$L$9,IF(ISNUMBER(SEARCH(SETTINGS!$K$10,D687)),SETTINGS!$L$10,IF(ISNUMBER(SEARCH(SETTINGS!$K$11,D687)),SETTINGS!$L$11,IF(ISNUMBER(SEARCH(SETTINGS!$K$12,D687)),SETTINGS!$L$12,IF(ISNUMBER(SEARCH(SETTINGS!$K$13,D687)),SETTINGS!$L$13,IF(ISNUMBER(SEARCH(SETTINGS!$K$14,D687)),SETTINGS!$L$14,IF(ISNUMBER(SEARCH(SETTINGS!$K$15,D687)),SETTINGS!$L$15,IF(ISNUMBER(SEARCH(SETTINGS!$K$16,D687)),SETTINGS!$L$16,IF(ISNUMBER(SEARCH(SETTINGS!$K$17,D687)),SETTINGS!$L$17,IF(ISNUMBER(SEARCH(SETTINGS!$K$18,D687)),SETTINGS!$L$18,"Miscellaneous"))))))))))))))))</f>
        <v/>
      </c>
      <c r="I687" s="44" t="str">
        <f t="shared" si="80"/>
        <v/>
      </c>
      <c r="J687" s="9"/>
      <c r="K687" s="9"/>
      <c r="L687" s="9"/>
      <c r="M687" s="9"/>
      <c r="N687" s="9"/>
      <c r="O687" s="9"/>
      <c r="P687" s="13"/>
      <c r="Q687" s="9"/>
      <c r="R687" s="9"/>
      <c r="S687" s="9"/>
      <c r="T687" s="11"/>
      <c r="U687" s="44" t="str">
        <f t="shared" si="81"/>
        <v/>
      </c>
      <c r="V687" s="44" t="str">
        <f t="shared" si="82"/>
        <v/>
      </c>
      <c r="W687" s="44" t="str">
        <f t="shared" si="83"/>
        <v/>
      </c>
      <c r="X687" s="44" t="str">
        <f t="shared" si="84"/>
        <v/>
      </c>
      <c r="Y687" s="44" t="str">
        <f t="shared" si="85"/>
        <v/>
      </c>
      <c r="Z687" s="44" t="str">
        <f t="shared" si="86"/>
        <v/>
      </c>
      <c r="AA687" s="50" t="str">
        <f t="shared" si="87"/>
        <v/>
      </c>
      <c r="AB687" s="50" t="str">
        <f>IF(OR(B687="",C687&lt;&gt;"Expense"),"",IF(E687&gt;IFERROR(AVERAGEIFS($E$8:$E$1007,$I$8:$I$1007,I687,$C$8:$C$1007,"Expense")*SETTINGS!$B$20,0),"Unusually High","Normal"))</f>
        <v/>
      </c>
      <c r="AC687" s="51"/>
      <c r="AD687" s="51"/>
      <c r="AE687" s="51"/>
      <c r="AF687" s="50" t="str">
        <f>IF(A687&lt;&gt;"Yes","No",IF(AND(AC687="Yes",SETTINGS!$B$16="No"),"No","Yes"))</f>
        <v>No</v>
      </c>
      <c r="AG687" s="50" t="str">
        <f>IF(A687&lt;&gt;"Yes","",IF(OR(B687="",D687="",E687&lt;=0,F687="",I687=""),"Check Required Fields",IF(AA687="Possible Duplicate","Possible Duplicate",IF(E687&gt;SETTINGS!$B$22,"Review Extreme Value","OK"))))</f>
        <v/>
      </c>
    </row>
    <row r="688" spans="1:33" ht="14.4">
      <c r="A688" s="9"/>
      <c r="B688" s="13"/>
      <c r="C688" s="9"/>
      <c r="D688" s="9"/>
      <c r="E688" s="11"/>
      <c r="F688" s="9"/>
      <c r="G688" s="9"/>
      <c r="H688" s="44" t="str">
        <f>IF(D688="","",IF(ISNUMBER(SEARCH(SETTINGS!$K$4,D688)),SETTINGS!$L$4,IF(ISNUMBER(SEARCH(SETTINGS!$K$5,D688)),SETTINGS!$L$5,IF(ISNUMBER(SEARCH(SETTINGS!$K$6,D688)),SETTINGS!$L$6,IF(ISNUMBER(SEARCH(SETTINGS!$K$7,D688)),SETTINGS!$L$7,IF(ISNUMBER(SEARCH(SETTINGS!$K$8,D688)),SETTINGS!$L$8,IF(ISNUMBER(SEARCH(SETTINGS!$K$9,D688)),SETTINGS!$L$9,IF(ISNUMBER(SEARCH(SETTINGS!$K$10,D688)),SETTINGS!$L$10,IF(ISNUMBER(SEARCH(SETTINGS!$K$11,D688)),SETTINGS!$L$11,IF(ISNUMBER(SEARCH(SETTINGS!$K$12,D688)),SETTINGS!$L$12,IF(ISNUMBER(SEARCH(SETTINGS!$K$13,D688)),SETTINGS!$L$13,IF(ISNUMBER(SEARCH(SETTINGS!$K$14,D688)),SETTINGS!$L$14,IF(ISNUMBER(SEARCH(SETTINGS!$K$15,D688)),SETTINGS!$L$15,IF(ISNUMBER(SEARCH(SETTINGS!$K$16,D688)),SETTINGS!$L$16,IF(ISNUMBER(SEARCH(SETTINGS!$K$17,D688)),SETTINGS!$L$17,IF(ISNUMBER(SEARCH(SETTINGS!$K$18,D688)),SETTINGS!$L$18,"Miscellaneous"))))))))))))))))</f>
        <v/>
      </c>
      <c r="I688" s="44" t="str">
        <f t="shared" si="80"/>
        <v/>
      </c>
      <c r="J688" s="9"/>
      <c r="K688" s="9"/>
      <c r="L688" s="9"/>
      <c r="M688" s="9"/>
      <c r="N688" s="9"/>
      <c r="O688" s="9"/>
      <c r="P688" s="13"/>
      <c r="Q688" s="9"/>
      <c r="R688" s="9"/>
      <c r="S688" s="9"/>
      <c r="T688" s="11"/>
      <c r="U688" s="44" t="str">
        <f t="shared" si="81"/>
        <v/>
      </c>
      <c r="V688" s="44" t="str">
        <f t="shared" si="82"/>
        <v/>
      </c>
      <c r="W688" s="44" t="str">
        <f t="shared" si="83"/>
        <v/>
      </c>
      <c r="X688" s="44" t="str">
        <f t="shared" si="84"/>
        <v/>
      </c>
      <c r="Y688" s="44" t="str">
        <f t="shared" si="85"/>
        <v/>
      </c>
      <c r="Z688" s="44" t="str">
        <f t="shared" si="86"/>
        <v/>
      </c>
      <c r="AA688" s="50" t="str">
        <f t="shared" si="87"/>
        <v/>
      </c>
      <c r="AB688" s="50" t="str">
        <f>IF(OR(B688="",C688&lt;&gt;"Expense"),"",IF(E688&gt;IFERROR(AVERAGEIFS($E$8:$E$1007,$I$8:$I$1007,I688,$C$8:$C$1007,"Expense")*SETTINGS!$B$20,0),"Unusually High","Normal"))</f>
        <v/>
      </c>
      <c r="AC688" s="51"/>
      <c r="AD688" s="51"/>
      <c r="AE688" s="51"/>
      <c r="AF688" s="50" t="str">
        <f>IF(A688&lt;&gt;"Yes","No",IF(AND(AC688="Yes",SETTINGS!$B$16="No"),"No","Yes"))</f>
        <v>No</v>
      </c>
      <c r="AG688" s="50" t="str">
        <f>IF(A688&lt;&gt;"Yes","",IF(OR(B688="",D688="",E688&lt;=0,F688="",I688=""),"Check Required Fields",IF(AA688="Possible Duplicate","Possible Duplicate",IF(E688&gt;SETTINGS!$B$22,"Review Extreme Value","OK"))))</f>
        <v/>
      </c>
    </row>
    <row r="689" spans="1:33" ht="14.4">
      <c r="A689" s="9"/>
      <c r="B689" s="13"/>
      <c r="C689" s="9"/>
      <c r="D689" s="9"/>
      <c r="E689" s="11"/>
      <c r="F689" s="9"/>
      <c r="G689" s="9"/>
      <c r="H689" s="44" t="str">
        <f>IF(D689="","",IF(ISNUMBER(SEARCH(SETTINGS!$K$4,D689)),SETTINGS!$L$4,IF(ISNUMBER(SEARCH(SETTINGS!$K$5,D689)),SETTINGS!$L$5,IF(ISNUMBER(SEARCH(SETTINGS!$K$6,D689)),SETTINGS!$L$6,IF(ISNUMBER(SEARCH(SETTINGS!$K$7,D689)),SETTINGS!$L$7,IF(ISNUMBER(SEARCH(SETTINGS!$K$8,D689)),SETTINGS!$L$8,IF(ISNUMBER(SEARCH(SETTINGS!$K$9,D689)),SETTINGS!$L$9,IF(ISNUMBER(SEARCH(SETTINGS!$K$10,D689)),SETTINGS!$L$10,IF(ISNUMBER(SEARCH(SETTINGS!$K$11,D689)),SETTINGS!$L$11,IF(ISNUMBER(SEARCH(SETTINGS!$K$12,D689)),SETTINGS!$L$12,IF(ISNUMBER(SEARCH(SETTINGS!$K$13,D689)),SETTINGS!$L$13,IF(ISNUMBER(SEARCH(SETTINGS!$K$14,D689)),SETTINGS!$L$14,IF(ISNUMBER(SEARCH(SETTINGS!$K$15,D689)),SETTINGS!$L$15,IF(ISNUMBER(SEARCH(SETTINGS!$K$16,D689)),SETTINGS!$L$16,IF(ISNUMBER(SEARCH(SETTINGS!$K$17,D689)),SETTINGS!$L$17,IF(ISNUMBER(SEARCH(SETTINGS!$K$18,D689)),SETTINGS!$L$18,"Miscellaneous"))))))))))))))))</f>
        <v/>
      </c>
      <c r="I689" s="44" t="str">
        <f t="shared" si="80"/>
        <v/>
      </c>
      <c r="J689" s="9"/>
      <c r="K689" s="9"/>
      <c r="L689" s="9"/>
      <c r="M689" s="9"/>
      <c r="N689" s="9"/>
      <c r="O689" s="9"/>
      <c r="P689" s="13"/>
      <c r="Q689" s="9"/>
      <c r="R689" s="9"/>
      <c r="S689" s="9"/>
      <c r="T689" s="11"/>
      <c r="U689" s="44" t="str">
        <f t="shared" si="81"/>
        <v/>
      </c>
      <c r="V689" s="44" t="str">
        <f t="shared" si="82"/>
        <v/>
      </c>
      <c r="W689" s="44" t="str">
        <f t="shared" si="83"/>
        <v/>
      </c>
      <c r="X689" s="44" t="str">
        <f t="shared" si="84"/>
        <v/>
      </c>
      <c r="Y689" s="44" t="str">
        <f t="shared" si="85"/>
        <v/>
      </c>
      <c r="Z689" s="44" t="str">
        <f t="shared" si="86"/>
        <v/>
      </c>
      <c r="AA689" s="50" t="str">
        <f t="shared" si="87"/>
        <v/>
      </c>
      <c r="AB689" s="50" t="str">
        <f>IF(OR(B689="",C689&lt;&gt;"Expense"),"",IF(E689&gt;IFERROR(AVERAGEIFS($E$8:$E$1007,$I$8:$I$1007,I689,$C$8:$C$1007,"Expense")*SETTINGS!$B$20,0),"Unusually High","Normal"))</f>
        <v/>
      </c>
      <c r="AC689" s="51"/>
      <c r="AD689" s="51"/>
      <c r="AE689" s="51"/>
      <c r="AF689" s="50" t="str">
        <f>IF(A689&lt;&gt;"Yes","No",IF(AND(AC689="Yes",SETTINGS!$B$16="No"),"No","Yes"))</f>
        <v>No</v>
      </c>
      <c r="AG689" s="50" t="str">
        <f>IF(A689&lt;&gt;"Yes","",IF(OR(B689="",D689="",E689&lt;=0,F689="",I689=""),"Check Required Fields",IF(AA689="Possible Duplicate","Possible Duplicate",IF(E689&gt;SETTINGS!$B$22,"Review Extreme Value","OK"))))</f>
        <v/>
      </c>
    </row>
    <row r="690" spans="1:33" ht="14.4">
      <c r="A690" s="9"/>
      <c r="B690" s="13"/>
      <c r="C690" s="9"/>
      <c r="D690" s="9"/>
      <c r="E690" s="11"/>
      <c r="F690" s="9"/>
      <c r="G690" s="9"/>
      <c r="H690" s="44" t="str">
        <f>IF(D690="","",IF(ISNUMBER(SEARCH(SETTINGS!$K$4,D690)),SETTINGS!$L$4,IF(ISNUMBER(SEARCH(SETTINGS!$K$5,D690)),SETTINGS!$L$5,IF(ISNUMBER(SEARCH(SETTINGS!$K$6,D690)),SETTINGS!$L$6,IF(ISNUMBER(SEARCH(SETTINGS!$K$7,D690)),SETTINGS!$L$7,IF(ISNUMBER(SEARCH(SETTINGS!$K$8,D690)),SETTINGS!$L$8,IF(ISNUMBER(SEARCH(SETTINGS!$K$9,D690)),SETTINGS!$L$9,IF(ISNUMBER(SEARCH(SETTINGS!$K$10,D690)),SETTINGS!$L$10,IF(ISNUMBER(SEARCH(SETTINGS!$K$11,D690)),SETTINGS!$L$11,IF(ISNUMBER(SEARCH(SETTINGS!$K$12,D690)),SETTINGS!$L$12,IF(ISNUMBER(SEARCH(SETTINGS!$K$13,D690)),SETTINGS!$L$13,IF(ISNUMBER(SEARCH(SETTINGS!$K$14,D690)),SETTINGS!$L$14,IF(ISNUMBER(SEARCH(SETTINGS!$K$15,D690)),SETTINGS!$L$15,IF(ISNUMBER(SEARCH(SETTINGS!$K$16,D690)),SETTINGS!$L$16,IF(ISNUMBER(SEARCH(SETTINGS!$K$17,D690)),SETTINGS!$L$17,IF(ISNUMBER(SEARCH(SETTINGS!$K$18,D690)),SETTINGS!$L$18,"Miscellaneous"))))))))))))))))</f>
        <v/>
      </c>
      <c r="I690" s="44" t="str">
        <f t="shared" si="80"/>
        <v/>
      </c>
      <c r="J690" s="9"/>
      <c r="K690" s="9"/>
      <c r="L690" s="9"/>
      <c r="M690" s="9"/>
      <c r="N690" s="9"/>
      <c r="O690" s="9"/>
      <c r="P690" s="13"/>
      <c r="Q690" s="9"/>
      <c r="R690" s="9"/>
      <c r="S690" s="9"/>
      <c r="T690" s="11"/>
      <c r="U690" s="44" t="str">
        <f t="shared" si="81"/>
        <v/>
      </c>
      <c r="V690" s="44" t="str">
        <f t="shared" si="82"/>
        <v/>
      </c>
      <c r="W690" s="44" t="str">
        <f t="shared" si="83"/>
        <v/>
      </c>
      <c r="X690" s="44" t="str">
        <f t="shared" si="84"/>
        <v/>
      </c>
      <c r="Y690" s="44" t="str">
        <f t="shared" si="85"/>
        <v/>
      </c>
      <c r="Z690" s="44" t="str">
        <f t="shared" si="86"/>
        <v/>
      </c>
      <c r="AA690" s="50" t="str">
        <f t="shared" si="87"/>
        <v/>
      </c>
      <c r="AB690" s="50" t="str">
        <f>IF(OR(B690="",C690&lt;&gt;"Expense"),"",IF(E690&gt;IFERROR(AVERAGEIFS($E$8:$E$1007,$I$8:$I$1007,I690,$C$8:$C$1007,"Expense")*SETTINGS!$B$20,0),"Unusually High","Normal"))</f>
        <v/>
      </c>
      <c r="AC690" s="51"/>
      <c r="AD690" s="51"/>
      <c r="AE690" s="51"/>
      <c r="AF690" s="50" t="str">
        <f>IF(A690&lt;&gt;"Yes","No",IF(AND(AC690="Yes",SETTINGS!$B$16="No"),"No","Yes"))</f>
        <v>No</v>
      </c>
      <c r="AG690" s="50" t="str">
        <f>IF(A690&lt;&gt;"Yes","",IF(OR(B690="",D690="",E690&lt;=0,F690="",I690=""),"Check Required Fields",IF(AA690="Possible Duplicate","Possible Duplicate",IF(E690&gt;SETTINGS!$B$22,"Review Extreme Value","OK"))))</f>
        <v/>
      </c>
    </row>
    <row r="691" spans="1:33" ht="14.4">
      <c r="A691" s="9"/>
      <c r="B691" s="13"/>
      <c r="C691" s="9"/>
      <c r="D691" s="9"/>
      <c r="E691" s="11"/>
      <c r="F691" s="9"/>
      <c r="G691" s="9"/>
      <c r="H691" s="44" t="str">
        <f>IF(D691="","",IF(ISNUMBER(SEARCH(SETTINGS!$K$4,D691)),SETTINGS!$L$4,IF(ISNUMBER(SEARCH(SETTINGS!$K$5,D691)),SETTINGS!$L$5,IF(ISNUMBER(SEARCH(SETTINGS!$K$6,D691)),SETTINGS!$L$6,IF(ISNUMBER(SEARCH(SETTINGS!$K$7,D691)),SETTINGS!$L$7,IF(ISNUMBER(SEARCH(SETTINGS!$K$8,D691)),SETTINGS!$L$8,IF(ISNUMBER(SEARCH(SETTINGS!$K$9,D691)),SETTINGS!$L$9,IF(ISNUMBER(SEARCH(SETTINGS!$K$10,D691)),SETTINGS!$L$10,IF(ISNUMBER(SEARCH(SETTINGS!$K$11,D691)),SETTINGS!$L$11,IF(ISNUMBER(SEARCH(SETTINGS!$K$12,D691)),SETTINGS!$L$12,IF(ISNUMBER(SEARCH(SETTINGS!$K$13,D691)),SETTINGS!$L$13,IF(ISNUMBER(SEARCH(SETTINGS!$K$14,D691)),SETTINGS!$L$14,IF(ISNUMBER(SEARCH(SETTINGS!$K$15,D691)),SETTINGS!$L$15,IF(ISNUMBER(SEARCH(SETTINGS!$K$16,D691)),SETTINGS!$L$16,IF(ISNUMBER(SEARCH(SETTINGS!$K$17,D691)),SETTINGS!$L$17,IF(ISNUMBER(SEARCH(SETTINGS!$K$18,D691)),SETTINGS!$L$18,"Miscellaneous"))))))))))))))))</f>
        <v/>
      </c>
      <c r="I691" s="44" t="str">
        <f t="shared" si="80"/>
        <v/>
      </c>
      <c r="J691" s="9"/>
      <c r="K691" s="9"/>
      <c r="L691" s="9"/>
      <c r="M691" s="9"/>
      <c r="N691" s="9"/>
      <c r="O691" s="9"/>
      <c r="P691" s="13"/>
      <c r="Q691" s="9"/>
      <c r="R691" s="9"/>
      <c r="S691" s="9"/>
      <c r="T691" s="11"/>
      <c r="U691" s="44" t="str">
        <f t="shared" si="81"/>
        <v/>
      </c>
      <c r="V691" s="44" t="str">
        <f t="shared" si="82"/>
        <v/>
      </c>
      <c r="W691" s="44" t="str">
        <f t="shared" si="83"/>
        <v/>
      </c>
      <c r="X691" s="44" t="str">
        <f t="shared" si="84"/>
        <v/>
      </c>
      <c r="Y691" s="44" t="str">
        <f t="shared" si="85"/>
        <v/>
      </c>
      <c r="Z691" s="44" t="str">
        <f t="shared" si="86"/>
        <v/>
      </c>
      <c r="AA691" s="50" t="str">
        <f t="shared" si="87"/>
        <v/>
      </c>
      <c r="AB691" s="50" t="str">
        <f>IF(OR(B691="",C691&lt;&gt;"Expense"),"",IF(E691&gt;IFERROR(AVERAGEIFS($E$8:$E$1007,$I$8:$I$1007,I691,$C$8:$C$1007,"Expense")*SETTINGS!$B$20,0),"Unusually High","Normal"))</f>
        <v/>
      </c>
      <c r="AC691" s="51"/>
      <c r="AD691" s="51"/>
      <c r="AE691" s="51"/>
      <c r="AF691" s="50" t="str">
        <f>IF(A691&lt;&gt;"Yes","No",IF(AND(AC691="Yes",SETTINGS!$B$16="No"),"No","Yes"))</f>
        <v>No</v>
      </c>
      <c r="AG691" s="50" t="str">
        <f>IF(A691&lt;&gt;"Yes","",IF(OR(B691="",D691="",E691&lt;=0,F691="",I691=""),"Check Required Fields",IF(AA691="Possible Duplicate","Possible Duplicate",IF(E691&gt;SETTINGS!$B$22,"Review Extreme Value","OK"))))</f>
        <v/>
      </c>
    </row>
    <row r="692" spans="1:33" ht="14.4">
      <c r="A692" s="9"/>
      <c r="B692" s="13"/>
      <c r="C692" s="9"/>
      <c r="D692" s="9"/>
      <c r="E692" s="11"/>
      <c r="F692" s="9"/>
      <c r="G692" s="9"/>
      <c r="H692" s="44" t="str">
        <f>IF(D692="","",IF(ISNUMBER(SEARCH(SETTINGS!$K$4,D692)),SETTINGS!$L$4,IF(ISNUMBER(SEARCH(SETTINGS!$K$5,D692)),SETTINGS!$L$5,IF(ISNUMBER(SEARCH(SETTINGS!$K$6,D692)),SETTINGS!$L$6,IF(ISNUMBER(SEARCH(SETTINGS!$K$7,D692)),SETTINGS!$L$7,IF(ISNUMBER(SEARCH(SETTINGS!$K$8,D692)),SETTINGS!$L$8,IF(ISNUMBER(SEARCH(SETTINGS!$K$9,D692)),SETTINGS!$L$9,IF(ISNUMBER(SEARCH(SETTINGS!$K$10,D692)),SETTINGS!$L$10,IF(ISNUMBER(SEARCH(SETTINGS!$K$11,D692)),SETTINGS!$L$11,IF(ISNUMBER(SEARCH(SETTINGS!$K$12,D692)),SETTINGS!$L$12,IF(ISNUMBER(SEARCH(SETTINGS!$K$13,D692)),SETTINGS!$L$13,IF(ISNUMBER(SEARCH(SETTINGS!$K$14,D692)),SETTINGS!$L$14,IF(ISNUMBER(SEARCH(SETTINGS!$K$15,D692)),SETTINGS!$L$15,IF(ISNUMBER(SEARCH(SETTINGS!$K$16,D692)),SETTINGS!$L$16,IF(ISNUMBER(SEARCH(SETTINGS!$K$17,D692)),SETTINGS!$L$17,IF(ISNUMBER(SEARCH(SETTINGS!$K$18,D692)),SETTINGS!$L$18,"Miscellaneous"))))))))))))))))</f>
        <v/>
      </c>
      <c r="I692" s="44" t="str">
        <f t="shared" si="80"/>
        <v/>
      </c>
      <c r="J692" s="9"/>
      <c r="K692" s="9"/>
      <c r="L692" s="9"/>
      <c r="M692" s="9"/>
      <c r="N692" s="9"/>
      <c r="O692" s="9"/>
      <c r="P692" s="13"/>
      <c r="Q692" s="9"/>
      <c r="R692" s="9"/>
      <c r="S692" s="9"/>
      <c r="T692" s="11"/>
      <c r="U692" s="44" t="str">
        <f t="shared" si="81"/>
        <v/>
      </c>
      <c r="V692" s="44" t="str">
        <f t="shared" si="82"/>
        <v/>
      </c>
      <c r="W692" s="44" t="str">
        <f t="shared" si="83"/>
        <v/>
      </c>
      <c r="X692" s="44" t="str">
        <f t="shared" si="84"/>
        <v/>
      </c>
      <c r="Y692" s="44" t="str">
        <f t="shared" si="85"/>
        <v/>
      </c>
      <c r="Z692" s="44" t="str">
        <f t="shared" si="86"/>
        <v/>
      </c>
      <c r="AA692" s="50" t="str">
        <f t="shared" si="87"/>
        <v/>
      </c>
      <c r="AB692" s="50" t="str">
        <f>IF(OR(B692="",C692&lt;&gt;"Expense"),"",IF(E692&gt;IFERROR(AVERAGEIFS($E$8:$E$1007,$I$8:$I$1007,I692,$C$8:$C$1007,"Expense")*SETTINGS!$B$20,0),"Unusually High","Normal"))</f>
        <v/>
      </c>
      <c r="AC692" s="51"/>
      <c r="AD692" s="51"/>
      <c r="AE692" s="51"/>
      <c r="AF692" s="50" t="str">
        <f>IF(A692&lt;&gt;"Yes","No",IF(AND(AC692="Yes",SETTINGS!$B$16="No"),"No","Yes"))</f>
        <v>No</v>
      </c>
      <c r="AG692" s="50" t="str">
        <f>IF(A692&lt;&gt;"Yes","",IF(OR(B692="",D692="",E692&lt;=0,F692="",I692=""),"Check Required Fields",IF(AA692="Possible Duplicate","Possible Duplicate",IF(E692&gt;SETTINGS!$B$22,"Review Extreme Value","OK"))))</f>
        <v/>
      </c>
    </row>
    <row r="693" spans="1:33" ht="14.4">
      <c r="A693" s="9"/>
      <c r="B693" s="13"/>
      <c r="C693" s="9"/>
      <c r="D693" s="9"/>
      <c r="E693" s="11"/>
      <c r="F693" s="9"/>
      <c r="G693" s="9"/>
      <c r="H693" s="44" t="str">
        <f>IF(D693="","",IF(ISNUMBER(SEARCH(SETTINGS!$K$4,D693)),SETTINGS!$L$4,IF(ISNUMBER(SEARCH(SETTINGS!$K$5,D693)),SETTINGS!$L$5,IF(ISNUMBER(SEARCH(SETTINGS!$K$6,D693)),SETTINGS!$L$6,IF(ISNUMBER(SEARCH(SETTINGS!$K$7,D693)),SETTINGS!$L$7,IF(ISNUMBER(SEARCH(SETTINGS!$K$8,D693)),SETTINGS!$L$8,IF(ISNUMBER(SEARCH(SETTINGS!$K$9,D693)),SETTINGS!$L$9,IF(ISNUMBER(SEARCH(SETTINGS!$K$10,D693)),SETTINGS!$L$10,IF(ISNUMBER(SEARCH(SETTINGS!$K$11,D693)),SETTINGS!$L$11,IF(ISNUMBER(SEARCH(SETTINGS!$K$12,D693)),SETTINGS!$L$12,IF(ISNUMBER(SEARCH(SETTINGS!$K$13,D693)),SETTINGS!$L$13,IF(ISNUMBER(SEARCH(SETTINGS!$K$14,D693)),SETTINGS!$L$14,IF(ISNUMBER(SEARCH(SETTINGS!$K$15,D693)),SETTINGS!$L$15,IF(ISNUMBER(SEARCH(SETTINGS!$K$16,D693)),SETTINGS!$L$16,IF(ISNUMBER(SEARCH(SETTINGS!$K$17,D693)),SETTINGS!$L$17,IF(ISNUMBER(SEARCH(SETTINGS!$K$18,D693)),SETTINGS!$L$18,"Miscellaneous"))))))))))))))))</f>
        <v/>
      </c>
      <c r="I693" s="44" t="str">
        <f t="shared" si="80"/>
        <v/>
      </c>
      <c r="J693" s="9"/>
      <c r="K693" s="9"/>
      <c r="L693" s="9"/>
      <c r="M693" s="9"/>
      <c r="N693" s="9"/>
      <c r="O693" s="9"/>
      <c r="P693" s="13"/>
      <c r="Q693" s="9"/>
      <c r="R693" s="9"/>
      <c r="S693" s="9"/>
      <c r="T693" s="11"/>
      <c r="U693" s="44" t="str">
        <f t="shared" si="81"/>
        <v/>
      </c>
      <c r="V693" s="44" t="str">
        <f t="shared" si="82"/>
        <v/>
      </c>
      <c r="W693" s="44" t="str">
        <f t="shared" si="83"/>
        <v/>
      </c>
      <c r="X693" s="44" t="str">
        <f t="shared" si="84"/>
        <v/>
      </c>
      <c r="Y693" s="44" t="str">
        <f t="shared" si="85"/>
        <v/>
      </c>
      <c r="Z693" s="44" t="str">
        <f t="shared" si="86"/>
        <v/>
      </c>
      <c r="AA693" s="50" t="str">
        <f t="shared" si="87"/>
        <v/>
      </c>
      <c r="AB693" s="50" t="str">
        <f>IF(OR(B693="",C693&lt;&gt;"Expense"),"",IF(E693&gt;IFERROR(AVERAGEIFS($E$8:$E$1007,$I$8:$I$1007,I693,$C$8:$C$1007,"Expense")*SETTINGS!$B$20,0),"Unusually High","Normal"))</f>
        <v/>
      </c>
      <c r="AC693" s="51"/>
      <c r="AD693" s="51"/>
      <c r="AE693" s="51"/>
      <c r="AF693" s="50" t="str">
        <f>IF(A693&lt;&gt;"Yes","No",IF(AND(AC693="Yes",SETTINGS!$B$16="No"),"No","Yes"))</f>
        <v>No</v>
      </c>
      <c r="AG693" s="50" t="str">
        <f>IF(A693&lt;&gt;"Yes","",IF(OR(B693="",D693="",E693&lt;=0,F693="",I693=""),"Check Required Fields",IF(AA693="Possible Duplicate","Possible Duplicate",IF(E693&gt;SETTINGS!$B$22,"Review Extreme Value","OK"))))</f>
        <v/>
      </c>
    </row>
    <row r="694" spans="1:33" ht="14.4">
      <c r="A694" s="9"/>
      <c r="B694" s="13"/>
      <c r="C694" s="9"/>
      <c r="D694" s="9"/>
      <c r="E694" s="11"/>
      <c r="F694" s="9"/>
      <c r="G694" s="9"/>
      <c r="H694" s="44" t="str">
        <f>IF(D694="","",IF(ISNUMBER(SEARCH(SETTINGS!$K$4,D694)),SETTINGS!$L$4,IF(ISNUMBER(SEARCH(SETTINGS!$K$5,D694)),SETTINGS!$L$5,IF(ISNUMBER(SEARCH(SETTINGS!$K$6,D694)),SETTINGS!$L$6,IF(ISNUMBER(SEARCH(SETTINGS!$K$7,D694)),SETTINGS!$L$7,IF(ISNUMBER(SEARCH(SETTINGS!$K$8,D694)),SETTINGS!$L$8,IF(ISNUMBER(SEARCH(SETTINGS!$K$9,D694)),SETTINGS!$L$9,IF(ISNUMBER(SEARCH(SETTINGS!$K$10,D694)),SETTINGS!$L$10,IF(ISNUMBER(SEARCH(SETTINGS!$K$11,D694)),SETTINGS!$L$11,IF(ISNUMBER(SEARCH(SETTINGS!$K$12,D694)),SETTINGS!$L$12,IF(ISNUMBER(SEARCH(SETTINGS!$K$13,D694)),SETTINGS!$L$13,IF(ISNUMBER(SEARCH(SETTINGS!$K$14,D694)),SETTINGS!$L$14,IF(ISNUMBER(SEARCH(SETTINGS!$K$15,D694)),SETTINGS!$L$15,IF(ISNUMBER(SEARCH(SETTINGS!$K$16,D694)),SETTINGS!$L$16,IF(ISNUMBER(SEARCH(SETTINGS!$K$17,D694)),SETTINGS!$L$17,IF(ISNUMBER(SEARCH(SETTINGS!$K$18,D694)),SETTINGS!$L$18,"Miscellaneous"))))))))))))))))</f>
        <v/>
      </c>
      <c r="I694" s="44" t="str">
        <f t="shared" si="80"/>
        <v/>
      </c>
      <c r="J694" s="9"/>
      <c r="K694" s="9"/>
      <c r="L694" s="9"/>
      <c r="M694" s="9"/>
      <c r="N694" s="9"/>
      <c r="O694" s="9"/>
      <c r="P694" s="13"/>
      <c r="Q694" s="9"/>
      <c r="R694" s="9"/>
      <c r="S694" s="9"/>
      <c r="T694" s="11"/>
      <c r="U694" s="44" t="str">
        <f t="shared" si="81"/>
        <v/>
      </c>
      <c r="V694" s="44" t="str">
        <f t="shared" si="82"/>
        <v/>
      </c>
      <c r="W694" s="44" t="str">
        <f t="shared" si="83"/>
        <v/>
      </c>
      <c r="X694" s="44" t="str">
        <f t="shared" si="84"/>
        <v/>
      </c>
      <c r="Y694" s="44" t="str">
        <f t="shared" si="85"/>
        <v/>
      </c>
      <c r="Z694" s="44" t="str">
        <f t="shared" si="86"/>
        <v/>
      </c>
      <c r="AA694" s="50" t="str">
        <f t="shared" si="87"/>
        <v/>
      </c>
      <c r="AB694" s="50" t="str">
        <f>IF(OR(B694="",C694&lt;&gt;"Expense"),"",IF(E694&gt;IFERROR(AVERAGEIFS($E$8:$E$1007,$I$8:$I$1007,I694,$C$8:$C$1007,"Expense")*SETTINGS!$B$20,0),"Unusually High","Normal"))</f>
        <v/>
      </c>
      <c r="AC694" s="51"/>
      <c r="AD694" s="51"/>
      <c r="AE694" s="51"/>
      <c r="AF694" s="50" t="str">
        <f>IF(A694&lt;&gt;"Yes","No",IF(AND(AC694="Yes",SETTINGS!$B$16="No"),"No","Yes"))</f>
        <v>No</v>
      </c>
      <c r="AG694" s="50" t="str">
        <f>IF(A694&lt;&gt;"Yes","",IF(OR(B694="",D694="",E694&lt;=0,F694="",I694=""),"Check Required Fields",IF(AA694="Possible Duplicate","Possible Duplicate",IF(E694&gt;SETTINGS!$B$22,"Review Extreme Value","OK"))))</f>
        <v/>
      </c>
    </row>
    <row r="695" spans="1:33" ht="14.4">
      <c r="A695" s="9"/>
      <c r="B695" s="13"/>
      <c r="C695" s="9"/>
      <c r="D695" s="9"/>
      <c r="E695" s="11"/>
      <c r="F695" s="9"/>
      <c r="G695" s="9"/>
      <c r="H695" s="44" t="str">
        <f>IF(D695="","",IF(ISNUMBER(SEARCH(SETTINGS!$K$4,D695)),SETTINGS!$L$4,IF(ISNUMBER(SEARCH(SETTINGS!$K$5,D695)),SETTINGS!$L$5,IF(ISNUMBER(SEARCH(SETTINGS!$K$6,D695)),SETTINGS!$L$6,IF(ISNUMBER(SEARCH(SETTINGS!$K$7,D695)),SETTINGS!$L$7,IF(ISNUMBER(SEARCH(SETTINGS!$K$8,D695)),SETTINGS!$L$8,IF(ISNUMBER(SEARCH(SETTINGS!$K$9,D695)),SETTINGS!$L$9,IF(ISNUMBER(SEARCH(SETTINGS!$K$10,D695)),SETTINGS!$L$10,IF(ISNUMBER(SEARCH(SETTINGS!$K$11,D695)),SETTINGS!$L$11,IF(ISNUMBER(SEARCH(SETTINGS!$K$12,D695)),SETTINGS!$L$12,IF(ISNUMBER(SEARCH(SETTINGS!$K$13,D695)),SETTINGS!$L$13,IF(ISNUMBER(SEARCH(SETTINGS!$K$14,D695)),SETTINGS!$L$14,IF(ISNUMBER(SEARCH(SETTINGS!$K$15,D695)),SETTINGS!$L$15,IF(ISNUMBER(SEARCH(SETTINGS!$K$16,D695)),SETTINGS!$L$16,IF(ISNUMBER(SEARCH(SETTINGS!$K$17,D695)),SETTINGS!$L$17,IF(ISNUMBER(SEARCH(SETTINGS!$K$18,D695)),SETTINGS!$L$18,"Miscellaneous"))))))))))))))))</f>
        <v/>
      </c>
      <c r="I695" s="44" t="str">
        <f t="shared" si="80"/>
        <v/>
      </c>
      <c r="J695" s="9"/>
      <c r="K695" s="9"/>
      <c r="L695" s="9"/>
      <c r="M695" s="9"/>
      <c r="N695" s="9"/>
      <c r="O695" s="9"/>
      <c r="P695" s="13"/>
      <c r="Q695" s="9"/>
      <c r="R695" s="9"/>
      <c r="S695" s="9"/>
      <c r="T695" s="11"/>
      <c r="U695" s="44" t="str">
        <f t="shared" si="81"/>
        <v/>
      </c>
      <c r="V695" s="44" t="str">
        <f t="shared" si="82"/>
        <v/>
      </c>
      <c r="W695" s="44" t="str">
        <f t="shared" si="83"/>
        <v/>
      </c>
      <c r="X695" s="44" t="str">
        <f t="shared" si="84"/>
        <v/>
      </c>
      <c r="Y695" s="44" t="str">
        <f t="shared" si="85"/>
        <v/>
      </c>
      <c r="Z695" s="44" t="str">
        <f t="shared" si="86"/>
        <v/>
      </c>
      <c r="AA695" s="50" t="str">
        <f t="shared" si="87"/>
        <v/>
      </c>
      <c r="AB695" s="50" t="str">
        <f>IF(OR(B695="",C695&lt;&gt;"Expense"),"",IF(E695&gt;IFERROR(AVERAGEIFS($E$8:$E$1007,$I$8:$I$1007,I695,$C$8:$C$1007,"Expense")*SETTINGS!$B$20,0),"Unusually High","Normal"))</f>
        <v/>
      </c>
      <c r="AC695" s="51"/>
      <c r="AD695" s="51"/>
      <c r="AE695" s="51"/>
      <c r="AF695" s="50" t="str">
        <f>IF(A695&lt;&gt;"Yes","No",IF(AND(AC695="Yes",SETTINGS!$B$16="No"),"No","Yes"))</f>
        <v>No</v>
      </c>
      <c r="AG695" s="50" t="str">
        <f>IF(A695&lt;&gt;"Yes","",IF(OR(B695="",D695="",E695&lt;=0,F695="",I695=""),"Check Required Fields",IF(AA695="Possible Duplicate","Possible Duplicate",IF(E695&gt;SETTINGS!$B$22,"Review Extreme Value","OK"))))</f>
        <v/>
      </c>
    </row>
    <row r="696" spans="1:33" ht="14.4">
      <c r="A696" s="9"/>
      <c r="B696" s="13"/>
      <c r="C696" s="9"/>
      <c r="D696" s="9"/>
      <c r="E696" s="11"/>
      <c r="F696" s="9"/>
      <c r="G696" s="9"/>
      <c r="H696" s="44" t="str">
        <f>IF(D696="","",IF(ISNUMBER(SEARCH(SETTINGS!$K$4,D696)),SETTINGS!$L$4,IF(ISNUMBER(SEARCH(SETTINGS!$K$5,D696)),SETTINGS!$L$5,IF(ISNUMBER(SEARCH(SETTINGS!$K$6,D696)),SETTINGS!$L$6,IF(ISNUMBER(SEARCH(SETTINGS!$K$7,D696)),SETTINGS!$L$7,IF(ISNUMBER(SEARCH(SETTINGS!$K$8,D696)),SETTINGS!$L$8,IF(ISNUMBER(SEARCH(SETTINGS!$K$9,D696)),SETTINGS!$L$9,IF(ISNUMBER(SEARCH(SETTINGS!$K$10,D696)),SETTINGS!$L$10,IF(ISNUMBER(SEARCH(SETTINGS!$K$11,D696)),SETTINGS!$L$11,IF(ISNUMBER(SEARCH(SETTINGS!$K$12,D696)),SETTINGS!$L$12,IF(ISNUMBER(SEARCH(SETTINGS!$K$13,D696)),SETTINGS!$L$13,IF(ISNUMBER(SEARCH(SETTINGS!$K$14,D696)),SETTINGS!$L$14,IF(ISNUMBER(SEARCH(SETTINGS!$K$15,D696)),SETTINGS!$L$15,IF(ISNUMBER(SEARCH(SETTINGS!$K$16,D696)),SETTINGS!$L$16,IF(ISNUMBER(SEARCH(SETTINGS!$K$17,D696)),SETTINGS!$L$17,IF(ISNUMBER(SEARCH(SETTINGS!$K$18,D696)),SETTINGS!$L$18,"Miscellaneous"))))))))))))))))</f>
        <v/>
      </c>
      <c r="I696" s="44" t="str">
        <f t="shared" si="80"/>
        <v/>
      </c>
      <c r="J696" s="9"/>
      <c r="K696" s="9"/>
      <c r="L696" s="9"/>
      <c r="M696" s="9"/>
      <c r="N696" s="9"/>
      <c r="O696" s="9"/>
      <c r="P696" s="13"/>
      <c r="Q696" s="9"/>
      <c r="R696" s="9"/>
      <c r="S696" s="9"/>
      <c r="T696" s="11"/>
      <c r="U696" s="44" t="str">
        <f t="shared" si="81"/>
        <v/>
      </c>
      <c r="V696" s="44" t="str">
        <f t="shared" si="82"/>
        <v/>
      </c>
      <c r="W696" s="44" t="str">
        <f t="shared" si="83"/>
        <v/>
      </c>
      <c r="X696" s="44" t="str">
        <f t="shared" si="84"/>
        <v/>
      </c>
      <c r="Y696" s="44" t="str">
        <f t="shared" si="85"/>
        <v/>
      </c>
      <c r="Z696" s="44" t="str">
        <f t="shared" si="86"/>
        <v/>
      </c>
      <c r="AA696" s="50" t="str">
        <f t="shared" si="87"/>
        <v/>
      </c>
      <c r="AB696" s="50" t="str">
        <f>IF(OR(B696="",C696&lt;&gt;"Expense"),"",IF(E696&gt;IFERROR(AVERAGEIFS($E$8:$E$1007,$I$8:$I$1007,I696,$C$8:$C$1007,"Expense")*SETTINGS!$B$20,0),"Unusually High","Normal"))</f>
        <v/>
      </c>
      <c r="AC696" s="51"/>
      <c r="AD696" s="51"/>
      <c r="AE696" s="51"/>
      <c r="AF696" s="50" t="str">
        <f>IF(A696&lt;&gt;"Yes","No",IF(AND(AC696="Yes",SETTINGS!$B$16="No"),"No","Yes"))</f>
        <v>No</v>
      </c>
      <c r="AG696" s="50" t="str">
        <f>IF(A696&lt;&gt;"Yes","",IF(OR(B696="",D696="",E696&lt;=0,F696="",I696=""),"Check Required Fields",IF(AA696="Possible Duplicate","Possible Duplicate",IF(E696&gt;SETTINGS!$B$22,"Review Extreme Value","OK"))))</f>
        <v/>
      </c>
    </row>
    <row r="697" spans="1:33" ht="14.4">
      <c r="A697" s="9"/>
      <c r="B697" s="13"/>
      <c r="C697" s="9"/>
      <c r="D697" s="9"/>
      <c r="E697" s="11"/>
      <c r="F697" s="9"/>
      <c r="G697" s="9"/>
      <c r="H697" s="44" t="str">
        <f>IF(D697="","",IF(ISNUMBER(SEARCH(SETTINGS!$K$4,D697)),SETTINGS!$L$4,IF(ISNUMBER(SEARCH(SETTINGS!$K$5,D697)),SETTINGS!$L$5,IF(ISNUMBER(SEARCH(SETTINGS!$K$6,D697)),SETTINGS!$L$6,IF(ISNUMBER(SEARCH(SETTINGS!$K$7,D697)),SETTINGS!$L$7,IF(ISNUMBER(SEARCH(SETTINGS!$K$8,D697)),SETTINGS!$L$8,IF(ISNUMBER(SEARCH(SETTINGS!$K$9,D697)),SETTINGS!$L$9,IF(ISNUMBER(SEARCH(SETTINGS!$K$10,D697)),SETTINGS!$L$10,IF(ISNUMBER(SEARCH(SETTINGS!$K$11,D697)),SETTINGS!$L$11,IF(ISNUMBER(SEARCH(SETTINGS!$K$12,D697)),SETTINGS!$L$12,IF(ISNUMBER(SEARCH(SETTINGS!$K$13,D697)),SETTINGS!$L$13,IF(ISNUMBER(SEARCH(SETTINGS!$K$14,D697)),SETTINGS!$L$14,IF(ISNUMBER(SEARCH(SETTINGS!$K$15,D697)),SETTINGS!$L$15,IF(ISNUMBER(SEARCH(SETTINGS!$K$16,D697)),SETTINGS!$L$16,IF(ISNUMBER(SEARCH(SETTINGS!$K$17,D697)),SETTINGS!$L$17,IF(ISNUMBER(SEARCH(SETTINGS!$K$18,D697)),SETTINGS!$L$18,"Miscellaneous"))))))))))))))))</f>
        <v/>
      </c>
      <c r="I697" s="44" t="str">
        <f t="shared" si="80"/>
        <v/>
      </c>
      <c r="J697" s="9"/>
      <c r="K697" s="9"/>
      <c r="L697" s="9"/>
      <c r="M697" s="9"/>
      <c r="N697" s="9"/>
      <c r="O697" s="9"/>
      <c r="P697" s="13"/>
      <c r="Q697" s="9"/>
      <c r="R697" s="9"/>
      <c r="S697" s="9"/>
      <c r="T697" s="11"/>
      <c r="U697" s="44" t="str">
        <f t="shared" si="81"/>
        <v/>
      </c>
      <c r="V697" s="44" t="str">
        <f t="shared" si="82"/>
        <v/>
      </c>
      <c r="W697" s="44" t="str">
        <f t="shared" si="83"/>
        <v/>
      </c>
      <c r="X697" s="44" t="str">
        <f t="shared" si="84"/>
        <v/>
      </c>
      <c r="Y697" s="44" t="str">
        <f t="shared" si="85"/>
        <v/>
      </c>
      <c r="Z697" s="44" t="str">
        <f t="shared" si="86"/>
        <v/>
      </c>
      <c r="AA697" s="50" t="str">
        <f t="shared" si="87"/>
        <v/>
      </c>
      <c r="AB697" s="50" t="str">
        <f>IF(OR(B697="",C697&lt;&gt;"Expense"),"",IF(E697&gt;IFERROR(AVERAGEIFS($E$8:$E$1007,$I$8:$I$1007,I697,$C$8:$C$1007,"Expense")*SETTINGS!$B$20,0),"Unusually High","Normal"))</f>
        <v/>
      </c>
      <c r="AC697" s="51"/>
      <c r="AD697" s="51"/>
      <c r="AE697" s="51"/>
      <c r="AF697" s="50" t="str">
        <f>IF(A697&lt;&gt;"Yes","No",IF(AND(AC697="Yes",SETTINGS!$B$16="No"),"No","Yes"))</f>
        <v>No</v>
      </c>
      <c r="AG697" s="50" t="str">
        <f>IF(A697&lt;&gt;"Yes","",IF(OR(B697="",D697="",E697&lt;=0,F697="",I697=""),"Check Required Fields",IF(AA697="Possible Duplicate","Possible Duplicate",IF(E697&gt;SETTINGS!$B$22,"Review Extreme Value","OK"))))</f>
        <v/>
      </c>
    </row>
    <row r="698" spans="1:33" ht="14.4">
      <c r="A698" s="9"/>
      <c r="B698" s="13"/>
      <c r="C698" s="9"/>
      <c r="D698" s="9"/>
      <c r="E698" s="11"/>
      <c r="F698" s="9"/>
      <c r="G698" s="9"/>
      <c r="H698" s="44" t="str">
        <f>IF(D698="","",IF(ISNUMBER(SEARCH(SETTINGS!$K$4,D698)),SETTINGS!$L$4,IF(ISNUMBER(SEARCH(SETTINGS!$K$5,D698)),SETTINGS!$L$5,IF(ISNUMBER(SEARCH(SETTINGS!$K$6,D698)),SETTINGS!$L$6,IF(ISNUMBER(SEARCH(SETTINGS!$K$7,D698)),SETTINGS!$L$7,IF(ISNUMBER(SEARCH(SETTINGS!$K$8,D698)),SETTINGS!$L$8,IF(ISNUMBER(SEARCH(SETTINGS!$K$9,D698)),SETTINGS!$L$9,IF(ISNUMBER(SEARCH(SETTINGS!$K$10,D698)),SETTINGS!$L$10,IF(ISNUMBER(SEARCH(SETTINGS!$K$11,D698)),SETTINGS!$L$11,IF(ISNUMBER(SEARCH(SETTINGS!$K$12,D698)),SETTINGS!$L$12,IF(ISNUMBER(SEARCH(SETTINGS!$K$13,D698)),SETTINGS!$L$13,IF(ISNUMBER(SEARCH(SETTINGS!$K$14,D698)),SETTINGS!$L$14,IF(ISNUMBER(SEARCH(SETTINGS!$K$15,D698)),SETTINGS!$L$15,IF(ISNUMBER(SEARCH(SETTINGS!$K$16,D698)),SETTINGS!$L$16,IF(ISNUMBER(SEARCH(SETTINGS!$K$17,D698)),SETTINGS!$L$17,IF(ISNUMBER(SEARCH(SETTINGS!$K$18,D698)),SETTINGS!$L$18,"Miscellaneous"))))))))))))))))</f>
        <v/>
      </c>
      <c r="I698" s="44" t="str">
        <f t="shared" si="80"/>
        <v/>
      </c>
      <c r="J698" s="9"/>
      <c r="K698" s="9"/>
      <c r="L698" s="9"/>
      <c r="M698" s="9"/>
      <c r="N698" s="9"/>
      <c r="O698" s="9"/>
      <c r="P698" s="13"/>
      <c r="Q698" s="9"/>
      <c r="R698" s="9"/>
      <c r="S698" s="9"/>
      <c r="T698" s="11"/>
      <c r="U698" s="44" t="str">
        <f t="shared" si="81"/>
        <v/>
      </c>
      <c r="V698" s="44" t="str">
        <f t="shared" si="82"/>
        <v/>
      </c>
      <c r="W698" s="44" t="str">
        <f t="shared" si="83"/>
        <v/>
      </c>
      <c r="X698" s="44" t="str">
        <f t="shared" si="84"/>
        <v/>
      </c>
      <c r="Y698" s="44" t="str">
        <f t="shared" si="85"/>
        <v/>
      </c>
      <c r="Z698" s="44" t="str">
        <f t="shared" si="86"/>
        <v/>
      </c>
      <c r="AA698" s="50" t="str">
        <f t="shared" si="87"/>
        <v/>
      </c>
      <c r="AB698" s="50" t="str">
        <f>IF(OR(B698="",C698&lt;&gt;"Expense"),"",IF(E698&gt;IFERROR(AVERAGEIFS($E$8:$E$1007,$I$8:$I$1007,I698,$C$8:$C$1007,"Expense")*SETTINGS!$B$20,0),"Unusually High","Normal"))</f>
        <v/>
      </c>
      <c r="AC698" s="51"/>
      <c r="AD698" s="51"/>
      <c r="AE698" s="51"/>
      <c r="AF698" s="50" t="str">
        <f>IF(A698&lt;&gt;"Yes","No",IF(AND(AC698="Yes",SETTINGS!$B$16="No"),"No","Yes"))</f>
        <v>No</v>
      </c>
      <c r="AG698" s="50" t="str">
        <f>IF(A698&lt;&gt;"Yes","",IF(OR(B698="",D698="",E698&lt;=0,F698="",I698=""),"Check Required Fields",IF(AA698="Possible Duplicate","Possible Duplicate",IF(E698&gt;SETTINGS!$B$22,"Review Extreme Value","OK"))))</f>
        <v/>
      </c>
    </row>
    <row r="699" spans="1:33" ht="14.4">
      <c r="A699" s="9"/>
      <c r="B699" s="13"/>
      <c r="C699" s="9"/>
      <c r="D699" s="9"/>
      <c r="E699" s="11"/>
      <c r="F699" s="9"/>
      <c r="G699" s="9"/>
      <c r="H699" s="44" t="str">
        <f>IF(D699="","",IF(ISNUMBER(SEARCH(SETTINGS!$K$4,D699)),SETTINGS!$L$4,IF(ISNUMBER(SEARCH(SETTINGS!$K$5,D699)),SETTINGS!$L$5,IF(ISNUMBER(SEARCH(SETTINGS!$K$6,D699)),SETTINGS!$L$6,IF(ISNUMBER(SEARCH(SETTINGS!$K$7,D699)),SETTINGS!$L$7,IF(ISNUMBER(SEARCH(SETTINGS!$K$8,D699)),SETTINGS!$L$8,IF(ISNUMBER(SEARCH(SETTINGS!$K$9,D699)),SETTINGS!$L$9,IF(ISNUMBER(SEARCH(SETTINGS!$K$10,D699)),SETTINGS!$L$10,IF(ISNUMBER(SEARCH(SETTINGS!$K$11,D699)),SETTINGS!$L$11,IF(ISNUMBER(SEARCH(SETTINGS!$K$12,D699)),SETTINGS!$L$12,IF(ISNUMBER(SEARCH(SETTINGS!$K$13,D699)),SETTINGS!$L$13,IF(ISNUMBER(SEARCH(SETTINGS!$K$14,D699)),SETTINGS!$L$14,IF(ISNUMBER(SEARCH(SETTINGS!$K$15,D699)),SETTINGS!$L$15,IF(ISNUMBER(SEARCH(SETTINGS!$K$16,D699)),SETTINGS!$L$16,IF(ISNUMBER(SEARCH(SETTINGS!$K$17,D699)),SETTINGS!$L$17,IF(ISNUMBER(SEARCH(SETTINGS!$K$18,D699)),SETTINGS!$L$18,"Miscellaneous"))))))))))))))))</f>
        <v/>
      </c>
      <c r="I699" s="44" t="str">
        <f t="shared" si="80"/>
        <v/>
      </c>
      <c r="J699" s="9"/>
      <c r="K699" s="9"/>
      <c r="L699" s="9"/>
      <c r="M699" s="9"/>
      <c r="N699" s="9"/>
      <c r="O699" s="9"/>
      <c r="P699" s="13"/>
      <c r="Q699" s="9"/>
      <c r="R699" s="9"/>
      <c r="S699" s="9"/>
      <c r="T699" s="11"/>
      <c r="U699" s="44" t="str">
        <f t="shared" si="81"/>
        <v/>
      </c>
      <c r="V699" s="44" t="str">
        <f t="shared" si="82"/>
        <v/>
      </c>
      <c r="W699" s="44" t="str">
        <f t="shared" si="83"/>
        <v/>
      </c>
      <c r="X699" s="44" t="str">
        <f t="shared" si="84"/>
        <v/>
      </c>
      <c r="Y699" s="44" t="str">
        <f t="shared" si="85"/>
        <v/>
      </c>
      <c r="Z699" s="44" t="str">
        <f t="shared" si="86"/>
        <v/>
      </c>
      <c r="AA699" s="50" t="str">
        <f t="shared" si="87"/>
        <v/>
      </c>
      <c r="AB699" s="50" t="str">
        <f>IF(OR(B699="",C699&lt;&gt;"Expense"),"",IF(E699&gt;IFERROR(AVERAGEIFS($E$8:$E$1007,$I$8:$I$1007,I699,$C$8:$C$1007,"Expense")*SETTINGS!$B$20,0),"Unusually High","Normal"))</f>
        <v/>
      </c>
      <c r="AC699" s="51"/>
      <c r="AD699" s="51"/>
      <c r="AE699" s="51"/>
      <c r="AF699" s="50" t="str">
        <f>IF(A699&lt;&gt;"Yes","No",IF(AND(AC699="Yes",SETTINGS!$B$16="No"),"No","Yes"))</f>
        <v>No</v>
      </c>
      <c r="AG699" s="50" t="str">
        <f>IF(A699&lt;&gt;"Yes","",IF(OR(B699="",D699="",E699&lt;=0,F699="",I699=""),"Check Required Fields",IF(AA699="Possible Duplicate","Possible Duplicate",IF(E699&gt;SETTINGS!$B$22,"Review Extreme Value","OK"))))</f>
        <v/>
      </c>
    </row>
    <row r="700" spans="1:33" ht="14.4">
      <c r="A700" s="9"/>
      <c r="B700" s="13"/>
      <c r="C700" s="9"/>
      <c r="D700" s="9"/>
      <c r="E700" s="11"/>
      <c r="F700" s="9"/>
      <c r="G700" s="9"/>
      <c r="H700" s="44" t="str">
        <f>IF(D700="","",IF(ISNUMBER(SEARCH(SETTINGS!$K$4,D700)),SETTINGS!$L$4,IF(ISNUMBER(SEARCH(SETTINGS!$K$5,D700)),SETTINGS!$L$5,IF(ISNUMBER(SEARCH(SETTINGS!$K$6,D700)),SETTINGS!$L$6,IF(ISNUMBER(SEARCH(SETTINGS!$K$7,D700)),SETTINGS!$L$7,IF(ISNUMBER(SEARCH(SETTINGS!$K$8,D700)),SETTINGS!$L$8,IF(ISNUMBER(SEARCH(SETTINGS!$K$9,D700)),SETTINGS!$L$9,IF(ISNUMBER(SEARCH(SETTINGS!$K$10,D700)),SETTINGS!$L$10,IF(ISNUMBER(SEARCH(SETTINGS!$K$11,D700)),SETTINGS!$L$11,IF(ISNUMBER(SEARCH(SETTINGS!$K$12,D700)),SETTINGS!$L$12,IF(ISNUMBER(SEARCH(SETTINGS!$K$13,D700)),SETTINGS!$L$13,IF(ISNUMBER(SEARCH(SETTINGS!$K$14,D700)),SETTINGS!$L$14,IF(ISNUMBER(SEARCH(SETTINGS!$K$15,D700)),SETTINGS!$L$15,IF(ISNUMBER(SEARCH(SETTINGS!$K$16,D700)),SETTINGS!$L$16,IF(ISNUMBER(SEARCH(SETTINGS!$K$17,D700)),SETTINGS!$L$17,IF(ISNUMBER(SEARCH(SETTINGS!$K$18,D700)),SETTINGS!$L$18,"Miscellaneous"))))))))))))))))</f>
        <v/>
      </c>
      <c r="I700" s="44" t="str">
        <f t="shared" si="80"/>
        <v/>
      </c>
      <c r="J700" s="9"/>
      <c r="K700" s="9"/>
      <c r="L700" s="9"/>
      <c r="M700" s="9"/>
      <c r="N700" s="9"/>
      <c r="O700" s="9"/>
      <c r="P700" s="13"/>
      <c r="Q700" s="9"/>
      <c r="R700" s="9"/>
      <c r="S700" s="9"/>
      <c r="T700" s="11"/>
      <c r="U700" s="44" t="str">
        <f t="shared" si="81"/>
        <v/>
      </c>
      <c r="V700" s="44" t="str">
        <f t="shared" si="82"/>
        <v/>
      </c>
      <c r="W700" s="44" t="str">
        <f t="shared" si="83"/>
        <v/>
      </c>
      <c r="X700" s="44" t="str">
        <f t="shared" si="84"/>
        <v/>
      </c>
      <c r="Y700" s="44" t="str">
        <f t="shared" si="85"/>
        <v/>
      </c>
      <c r="Z700" s="44" t="str">
        <f t="shared" si="86"/>
        <v/>
      </c>
      <c r="AA700" s="50" t="str">
        <f t="shared" si="87"/>
        <v/>
      </c>
      <c r="AB700" s="50" t="str">
        <f>IF(OR(B700="",C700&lt;&gt;"Expense"),"",IF(E700&gt;IFERROR(AVERAGEIFS($E$8:$E$1007,$I$8:$I$1007,I700,$C$8:$C$1007,"Expense")*SETTINGS!$B$20,0),"Unusually High","Normal"))</f>
        <v/>
      </c>
      <c r="AC700" s="51"/>
      <c r="AD700" s="51"/>
      <c r="AE700" s="51"/>
      <c r="AF700" s="50" t="str">
        <f>IF(A700&lt;&gt;"Yes","No",IF(AND(AC700="Yes",SETTINGS!$B$16="No"),"No","Yes"))</f>
        <v>No</v>
      </c>
      <c r="AG700" s="50" t="str">
        <f>IF(A700&lt;&gt;"Yes","",IF(OR(B700="",D700="",E700&lt;=0,F700="",I700=""),"Check Required Fields",IF(AA700="Possible Duplicate","Possible Duplicate",IF(E700&gt;SETTINGS!$B$22,"Review Extreme Value","OK"))))</f>
        <v/>
      </c>
    </row>
    <row r="701" spans="1:33" ht="14.4">
      <c r="A701" s="9"/>
      <c r="B701" s="13"/>
      <c r="C701" s="9"/>
      <c r="D701" s="9"/>
      <c r="E701" s="11"/>
      <c r="F701" s="9"/>
      <c r="G701" s="9"/>
      <c r="H701" s="44" t="str">
        <f>IF(D701="","",IF(ISNUMBER(SEARCH(SETTINGS!$K$4,D701)),SETTINGS!$L$4,IF(ISNUMBER(SEARCH(SETTINGS!$K$5,D701)),SETTINGS!$L$5,IF(ISNUMBER(SEARCH(SETTINGS!$K$6,D701)),SETTINGS!$L$6,IF(ISNUMBER(SEARCH(SETTINGS!$K$7,D701)),SETTINGS!$L$7,IF(ISNUMBER(SEARCH(SETTINGS!$K$8,D701)),SETTINGS!$L$8,IF(ISNUMBER(SEARCH(SETTINGS!$K$9,D701)),SETTINGS!$L$9,IF(ISNUMBER(SEARCH(SETTINGS!$K$10,D701)),SETTINGS!$L$10,IF(ISNUMBER(SEARCH(SETTINGS!$K$11,D701)),SETTINGS!$L$11,IF(ISNUMBER(SEARCH(SETTINGS!$K$12,D701)),SETTINGS!$L$12,IF(ISNUMBER(SEARCH(SETTINGS!$K$13,D701)),SETTINGS!$L$13,IF(ISNUMBER(SEARCH(SETTINGS!$K$14,D701)),SETTINGS!$L$14,IF(ISNUMBER(SEARCH(SETTINGS!$K$15,D701)),SETTINGS!$L$15,IF(ISNUMBER(SEARCH(SETTINGS!$K$16,D701)),SETTINGS!$L$16,IF(ISNUMBER(SEARCH(SETTINGS!$K$17,D701)),SETTINGS!$L$17,IF(ISNUMBER(SEARCH(SETTINGS!$K$18,D701)),SETTINGS!$L$18,"Miscellaneous"))))))))))))))))</f>
        <v/>
      </c>
      <c r="I701" s="44" t="str">
        <f t="shared" si="80"/>
        <v/>
      </c>
      <c r="J701" s="9"/>
      <c r="K701" s="9"/>
      <c r="L701" s="9"/>
      <c r="M701" s="9"/>
      <c r="N701" s="9"/>
      <c r="O701" s="9"/>
      <c r="P701" s="13"/>
      <c r="Q701" s="9"/>
      <c r="R701" s="9"/>
      <c r="S701" s="9"/>
      <c r="T701" s="11"/>
      <c r="U701" s="44" t="str">
        <f t="shared" si="81"/>
        <v/>
      </c>
      <c r="V701" s="44" t="str">
        <f t="shared" si="82"/>
        <v/>
      </c>
      <c r="W701" s="44" t="str">
        <f t="shared" si="83"/>
        <v/>
      </c>
      <c r="X701" s="44" t="str">
        <f t="shared" si="84"/>
        <v/>
      </c>
      <c r="Y701" s="44" t="str">
        <f t="shared" si="85"/>
        <v/>
      </c>
      <c r="Z701" s="44" t="str">
        <f t="shared" si="86"/>
        <v/>
      </c>
      <c r="AA701" s="50" t="str">
        <f t="shared" si="87"/>
        <v/>
      </c>
      <c r="AB701" s="50" t="str">
        <f>IF(OR(B701="",C701&lt;&gt;"Expense"),"",IF(E701&gt;IFERROR(AVERAGEIFS($E$8:$E$1007,$I$8:$I$1007,I701,$C$8:$C$1007,"Expense")*SETTINGS!$B$20,0),"Unusually High","Normal"))</f>
        <v/>
      </c>
      <c r="AC701" s="51"/>
      <c r="AD701" s="51"/>
      <c r="AE701" s="51"/>
      <c r="AF701" s="50" t="str">
        <f>IF(A701&lt;&gt;"Yes","No",IF(AND(AC701="Yes",SETTINGS!$B$16="No"),"No","Yes"))</f>
        <v>No</v>
      </c>
      <c r="AG701" s="50" t="str">
        <f>IF(A701&lt;&gt;"Yes","",IF(OR(B701="",D701="",E701&lt;=0,F701="",I701=""),"Check Required Fields",IF(AA701="Possible Duplicate","Possible Duplicate",IF(E701&gt;SETTINGS!$B$22,"Review Extreme Value","OK"))))</f>
        <v/>
      </c>
    </row>
    <row r="702" spans="1:33" ht="14.4">
      <c r="A702" s="9"/>
      <c r="B702" s="13"/>
      <c r="C702" s="9"/>
      <c r="D702" s="9"/>
      <c r="E702" s="11"/>
      <c r="F702" s="9"/>
      <c r="G702" s="9"/>
      <c r="H702" s="44" t="str">
        <f>IF(D702="","",IF(ISNUMBER(SEARCH(SETTINGS!$K$4,D702)),SETTINGS!$L$4,IF(ISNUMBER(SEARCH(SETTINGS!$K$5,D702)),SETTINGS!$L$5,IF(ISNUMBER(SEARCH(SETTINGS!$K$6,D702)),SETTINGS!$L$6,IF(ISNUMBER(SEARCH(SETTINGS!$K$7,D702)),SETTINGS!$L$7,IF(ISNUMBER(SEARCH(SETTINGS!$K$8,D702)),SETTINGS!$L$8,IF(ISNUMBER(SEARCH(SETTINGS!$K$9,D702)),SETTINGS!$L$9,IF(ISNUMBER(SEARCH(SETTINGS!$K$10,D702)),SETTINGS!$L$10,IF(ISNUMBER(SEARCH(SETTINGS!$K$11,D702)),SETTINGS!$L$11,IF(ISNUMBER(SEARCH(SETTINGS!$K$12,D702)),SETTINGS!$L$12,IF(ISNUMBER(SEARCH(SETTINGS!$K$13,D702)),SETTINGS!$L$13,IF(ISNUMBER(SEARCH(SETTINGS!$K$14,D702)),SETTINGS!$L$14,IF(ISNUMBER(SEARCH(SETTINGS!$K$15,D702)),SETTINGS!$L$15,IF(ISNUMBER(SEARCH(SETTINGS!$K$16,D702)),SETTINGS!$L$16,IF(ISNUMBER(SEARCH(SETTINGS!$K$17,D702)),SETTINGS!$L$17,IF(ISNUMBER(SEARCH(SETTINGS!$K$18,D702)),SETTINGS!$L$18,"Miscellaneous"))))))))))))))))</f>
        <v/>
      </c>
      <c r="I702" s="44" t="str">
        <f t="shared" si="80"/>
        <v/>
      </c>
      <c r="J702" s="9"/>
      <c r="K702" s="9"/>
      <c r="L702" s="9"/>
      <c r="M702" s="9"/>
      <c r="N702" s="9"/>
      <c r="O702" s="9"/>
      <c r="P702" s="13"/>
      <c r="Q702" s="9"/>
      <c r="R702" s="9"/>
      <c r="S702" s="9"/>
      <c r="T702" s="11"/>
      <c r="U702" s="44" t="str">
        <f t="shared" si="81"/>
        <v/>
      </c>
      <c r="V702" s="44" t="str">
        <f t="shared" si="82"/>
        <v/>
      </c>
      <c r="W702" s="44" t="str">
        <f t="shared" si="83"/>
        <v/>
      </c>
      <c r="X702" s="44" t="str">
        <f t="shared" si="84"/>
        <v/>
      </c>
      <c r="Y702" s="44" t="str">
        <f t="shared" si="85"/>
        <v/>
      </c>
      <c r="Z702" s="44" t="str">
        <f t="shared" si="86"/>
        <v/>
      </c>
      <c r="AA702" s="50" t="str">
        <f t="shared" si="87"/>
        <v/>
      </c>
      <c r="AB702" s="50" t="str">
        <f>IF(OR(B702="",C702&lt;&gt;"Expense"),"",IF(E702&gt;IFERROR(AVERAGEIFS($E$8:$E$1007,$I$8:$I$1007,I702,$C$8:$C$1007,"Expense")*SETTINGS!$B$20,0),"Unusually High","Normal"))</f>
        <v/>
      </c>
      <c r="AC702" s="51"/>
      <c r="AD702" s="51"/>
      <c r="AE702" s="51"/>
      <c r="AF702" s="50" t="str">
        <f>IF(A702&lt;&gt;"Yes","No",IF(AND(AC702="Yes",SETTINGS!$B$16="No"),"No","Yes"))</f>
        <v>No</v>
      </c>
      <c r="AG702" s="50" t="str">
        <f>IF(A702&lt;&gt;"Yes","",IF(OR(B702="",D702="",E702&lt;=0,F702="",I702=""),"Check Required Fields",IF(AA702="Possible Duplicate","Possible Duplicate",IF(E702&gt;SETTINGS!$B$22,"Review Extreme Value","OK"))))</f>
        <v/>
      </c>
    </row>
    <row r="703" spans="1:33" ht="14.4">
      <c r="A703" s="9"/>
      <c r="B703" s="13"/>
      <c r="C703" s="9"/>
      <c r="D703" s="9"/>
      <c r="E703" s="11"/>
      <c r="F703" s="9"/>
      <c r="G703" s="9"/>
      <c r="H703" s="44" t="str">
        <f>IF(D703="","",IF(ISNUMBER(SEARCH(SETTINGS!$K$4,D703)),SETTINGS!$L$4,IF(ISNUMBER(SEARCH(SETTINGS!$K$5,D703)),SETTINGS!$L$5,IF(ISNUMBER(SEARCH(SETTINGS!$K$6,D703)),SETTINGS!$L$6,IF(ISNUMBER(SEARCH(SETTINGS!$K$7,D703)),SETTINGS!$L$7,IF(ISNUMBER(SEARCH(SETTINGS!$K$8,D703)),SETTINGS!$L$8,IF(ISNUMBER(SEARCH(SETTINGS!$K$9,D703)),SETTINGS!$L$9,IF(ISNUMBER(SEARCH(SETTINGS!$K$10,D703)),SETTINGS!$L$10,IF(ISNUMBER(SEARCH(SETTINGS!$K$11,D703)),SETTINGS!$L$11,IF(ISNUMBER(SEARCH(SETTINGS!$K$12,D703)),SETTINGS!$L$12,IF(ISNUMBER(SEARCH(SETTINGS!$K$13,D703)),SETTINGS!$L$13,IF(ISNUMBER(SEARCH(SETTINGS!$K$14,D703)),SETTINGS!$L$14,IF(ISNUMBER(SEARCH(SETTINGS!$K$15,D703)),SETTINGS!$L$15,IF(ISNUMBER(SEARCH(SETTINGS!$K$16,D703)),SETTINGS!$L$16,IF(ISNUMBER(SEARCH(SETTINGS!$K$17,D703)),SETTINGS!$L$17,IF(ISNUMBER(SEARCH(SETTINGS!$K$18,D703)),SETTINGS!$L$18,"Miscellaneous"))))))))))))))))</f>
        <v/>
      </c>
      <c r="I703" s="44" t="str">
        <f t="shared" si="80"/>
        <v/>
      </c>
      <c r="J703" s="9"/>
      <c r="K703" s="9"/>
      <c r="L703" s="9"/>
      <c r="M703" s="9"/>
      <c r="N703" s="9"/>
      <c r="O703" s="9"/>
      <c r="P703" s="13"/>
      <c r="Q703" s="9"/>
      <c r="R703" s="9"/>
      <c r="S703" s="9"/>
      <c r="T703" s="11"/>
      <c r="U703" s="44" t="str">
        <f t="shared" si="81"/>
        <v/>
      </c>
      <c r="V703" s="44" t="str">
        <f t="shared" si="82"/>
        <v/>
      </c>
      <c r="W703" s="44" t="str">
        <f t="shared" si="83"/>
        <v/>
      </c>
      <c r="X703" s="44" t="str">
        <f t="shared" si="84"/>
        <v/>
      </c>
      <c r="Y703" s="44" t="str">
        <f t="shared" si="85"/>
        <v/>
      </c>
      <c r="Z703" s="44" t="str">
        <f t="shared" si="86"/>
        <v/>
      </c>
      <c r="AA703" s="50" t="str">
        <f t="shared" si="87"/>
        <v/>
      </c>
      <c r="AB703" s="50" t="str">
        <f>IF(OR(B703="",C703&lt;&gt;"Expense"),"",IF(E703&gt;IFERROR(AVERAGEIFS($E$8:$E$1007,$I$8:$I$1007,I703,$C$8:$C$1007,"Expense")*SETTINGS!$B$20,0),"Unusually High","Normal"))</f>
        <v/>
      </c>
      <c r="AC703" s="51"/>
      <c r="AD703" s="51"/>
      <c r="AE703" s="51"/>
      <c r="AF703" s="50" t="str">
        <f>IF(A703&lt;&gt;"Yes","No",IF(AND(AC703="Yes",SETTINGS!$B$16="No"),"No","Yes"))</f>
        <v>No</v>
      </c>
      <c r="AG703" s="50" t="str">
        <f>IF(A703&lt;&gt;"Yes","",IF(OR(B703="",D703="",E703&lt;=0,F703="",I703=""),"Check Required Fields",IF(AA703="Possible Duplicate","Possible Duplicate",IF(E703&gt;SETTINGS!$B$22,"Review Extreme Value","OK"))))</f>
        <v/>
      </c>
    </row>
    <row r="704" spans="1:33" ht="14.4">
      <c r="A704" s="9"/>
      <c r="B704" s="13"/>
      <c r="C704" s="9"/>
      <c r="D704" s="9"/>
      <c r="E704" s="11"/>
      <c r="F704" s="9"/>
      <c r="G704" s="9"/>
      <c r="H704" s="44" t="str">
        <f>IF(D704="","",IF(ISNUMBER(SEARCH(SETTINGS!$K$4,D704)),SETTINGS!$L$4,IF(ISNUMBER(SEARCH(SETTINGS!$K$5,D704)),SETTINGS!$L$5,IF(ISNUMBER(SEARCH(SETTINGS!$K$6,D704)),SETTINGS!$L$6,IF(ISNUMBER(SEARCH(SETTINGS!$K$7,D704)),SETTINGS!$L$7,IF(ISNUMBER(SEARCH(SETTINGS!$K$8,D704)),SETTINGS!$L$8,IF(ISNUMBER(SEARCH(SETTINGS!$K$9,D704)),SETTINGS!$L$9,IF(ISNUMBER(SEARCH(SETTINGS!$K$10,D704)),SETTINGS!$L$10,IF(ISNUMBER(SEARCH(SETTINGS!$K$11,D704)),SETTINGS!$L$11,IF(ISNUMBER(SEARCH(SETTINGS!$K$12,D704)),SETTINGS!$L$12,IF(ISNUMBER(SEARCH(SETTINGS!$K$13,D704)),SETTINGS!$L$13,IF(ISNUMBER(SEARCH(SETTINGS!$K$14,D704)),SETTINGS!$L$14,IF(ISNUMBER(SEARCH(SETTINGS!$K$15,D704)),SETTINGS!$L$15,IF(ISNUMBER(SEARCH(SETTINGS!$K$16,D704)),SETTINGS!$L$16,IF(ISNUMBER(SEARCH(SETTINGS!$K$17,D704)),SETTINGS!$L$17,IF(ISNUMBER(SEARCH(SETTINGS!$K$18,D704)),SETTINGS!$L$18,"Miscellaneous"))))))))))))))))</f>
        <v/>
      </c>
      <c r="I704" s="44" t="str">
        <f t="shared" si="80"/>
        <v/>
      </c>
      <c r="J704" s="9"/>
      <c r="K704" s="9"/>
      <c r="L704" s="9"/>
      <c r="M704" s="9"/>
      <c r="N704" s="9"/>
      <c r="O704" s="9"/>
      <c r="P704" s="13"/>
      <c r="Q704" s="9"/>
      <c r="R704" s="9"/>
      <c r="S704" s="9"/>
      <c r="T704" s="11"/>
      <c r="U704" s="44" t="str">
        <f t="shared" si="81"/>
        <v/>
      </c>
      <c r="V704" s="44" t="str">
        <f t="shared" si="82"/>
        <v/>
      </c>
      <c r="W704" s="44" t="str">
        <f t="shared" si="83"/>
        <v/>
      </c>
      <c r="X704" s="44" t="str">
        <f t="shared" si="84"/>
        <v/>
      </c>
      <c r="Y704" s="44" t="str">
        <f t="shared" si="85"/>
        <v/>
      </c>
      <c r="Z704" s="44" t="str">
        <f t="shared" si="86"/>
        <v/>
      </c>
      <c r="AA704" s="50" t="str">
        <f t="shared" si="87"/>
        <v/>
      </c>
      <c r="AB704" s="50" t="str">
        <f>IF(OR(B704="",C704&lt;&gt;"Expense"),"",IF(E704&gt;IFERROR(AVERAGEIFS($E$8:$E$1007,$I$8:$I$1007,I704,$C$8:$C$1007,"Expense")*SETTINGS!$B$20,0),"Unusually High","Normal"))</f>
        <v/>
      </c>
      <c r="AC704" s="51"/>
      <c r="AD704" s="51"/>
      <c r="AE704" s="51"/>
      <c r="AF704" s="50" t="str">
        <f>IF(A704&lt;&gt;"Yes","No",IF(AND(AC704="Yes",SETTINGS!$B$16="No"),"No","Yes"))</f>
        <v>No</v>
      </c>
      <c r="AG704" s="50" t="str">
        <f>IF(A704&lt;&gt;"Yes","",IF(OR(B704="",D704="",E704&lt;=0,F704="",I704=""),"Check Required Fields",IF(AA704="Possible Duplicate","Possible Duplicate",IF(E704&gt;SETTINGS!$B$22,"Review Extreme Value","OK"))))</f>
        <v/>
      </c>
    </row>
    <row r="705" spans="1:33" ht="14.4">
      <c r="A705" s="9"/>
      <c r="B705" s="13"/>
      <c r="C705" s="9"/>
      <c r="D705" s="9"/>
      <c r="E705" s="11"/>
      <c r="F705" s="9"/>
      <c r="G705" s="9"/>
      <c r="H705" s="44" t="str">
        <f>IF(D705="","",IF(ISNUMBER(SEARCH(SETTINGS!$K$4,D705)),SETTINGS!$L$4,IF(ISNUMBER(SEARCH(SETTINGS!$K$5,D705)),SETTINGS!$L$5,IF(ISNUMBER(SEARCH(SETTINGS!$K$6,D705)),SETTINGS!$L$6,IF(ISNUMBER(SEARCH(SETTINGS!$K$7,D705)),SETTINGS!$L$7,IF(ISNUMBER(SEARCH(SETTINGS!$K$8,D705)),SETTINGS!$L$8,IF(ISNUMBER(SEARCH(SETTINGS!$K$9,D705)),SETTINGS!$L$9,IF(ISNUMBER(SEARCH(SETTINGS!$K$10,D705)),SETTINGS!$L$10,IF(ISNUMBER(SEARCH(SETTINGS!$K$11,D705)),SETTINGS!$L$11,IF(ISNUMBER(SEARCH(SETTINGS!$K$12,D705)),SETTINGS!$L$12,IF(ISNUMBER(SEARCH(SETTINGS!$K$13,D705)),SETTINGS!$L$13,IF(ISNUMBER(SEARCH(SETTINGS!$K$14,D705)),SETTINGS!$L$14,IF(ISNUMBER(SEARCH(SETTINGS!$K$15,D705)),SETTINGS!$L$15,IF(ISNUMBER(SEARCH(SETTINGS!$K$16,D705)),SETTINGS!$L$16,IF(ISNUMBER(SEARCH(SETTINGS!$K$17,D705)),SETTINGS!$L$17,IF(ISNUMBER(SEARCH(SETTINGS!$K$18,D705)),SETTINGS!$L$18,"Miscellaneous"))))))))))))))))</f>
        <v/>
      </c>
      <c r="I705" s="44" t="str">
        <f t="shared" si="80"/>
        <v/>
      </c>
      <c r="J705" s="9"/>
      <c r="K705" s="9"/>
      <c r="L705" s="9"/>
      <c r="M705" s="9"/>
      <c r="N705" s="9"/>
      <c r="O705" s="9"/>
      <c r="P705" s="13"/>
      <c r="Q705" s="9"/>
      <c r="R705" s="9"/>
      <c r="S705" s="9"/>
      <c r="T705" s="11"/>
      <c r="U705" s="44" t="str">
        <f t="shared" si="81"/>
        <v/>
      </c>
      <c r="V705" s="44" t="str">
        <f t="shared" si="82"/>
        <v/>
      </c>
      <c r="W705" s="44" t="str">
        <f t="shared" si="83"/>
        <v/>
      </c>
      <c r="X705" s="44" t="str">
        <f t="shared" si="84"/>
        <v/>
      </c>
      <c r="Y705" s="44" t="str">
        <f t="shared" si="85"/>
        <v/>
      </c>
      <c r="Z705" s="44" t="str">
        <f t="shared" si="86"/>
        <v/>
      </c>
      <c r="AA705" s="50" t="str">
        <f t="shared" si="87"/>
        <v/>
      </c>
      <c r="AB705" s="50" t="str">
        <f>IF(OR(B705="",C705&lt;&gt;"Expense"),"",IF(E705&gt;IFERROR(AVERAGEIFS($E$8:$E$1007,$I$8:$I$1007,I705,$C$8:$C$1007,"Expense")*SETTINGS!$B$20,0),"Unusually High","Normal"))</f>
        <v/>
      </c>
      <c r="AC705" s="51"/>
      <c r="AD705" s="51"/>
      <c r="AE705" s="51"/>
      <c r="AF705" s="50" t="str">
        <f>IF(A705&lt;&gt;"Yes","No",IF(AND(AC705="Yes",SETTINGS!$B$16="No"),"No","Yes"))</f>
        <v>No</v>
      </c>
      <c r="AG705" s="50" t="str">
        <f>IF(A705&lt;&gt;"Yes","",IF(OR(B705="",D705="",E705&lt;=0,F705="",I705=""),"Check Required Fields",IF(AA705="Possible Duplicate","Possible Duplicate",IF(E705&gt;SETTINGS!$B$22,"Review Extreme Value","OK"))))</f>
        <v/>
      </c>
    </row>
    <row r="706" spans="1:33" ht="14.4">
      <c r="A706" s="9"/>
      <c r="B706" s="13"/>
      <c r="C706" s="9"/>
      <c r="D706" s="9"/>
      <c r="E706" s="11"/>
      <c r="F706" s="9"/>
      <c r="G706" s="9"/>
      <c r="H706" s="44" t="str">
        <f>IF(D706="","",IF(ISNUMBER(SEARCH(SETTINGS!$K$4,D706)),SETTINGS!$L$4,IF(ISNUMBER(SEARCH(SETTINGS!$K$5,D706)),SETTINGS!$L$5,IF(ISNUMBER(SEARCH(SETTINGS!$K$6,D706)),SETTINGS!$L$6,IF(ISNUMBER(SEARCH(SETTINGS!$K$7,D706)),SETTINGS!$L$7,IF(ISNUMBER(SEARCH(SETTINGS!$K$8,D706)),SETTINGS!$L$8,IF(ISNUMBER(SEARCH(SETTINGS!$K$9,D706)),SETTINGS!$L$9,IF(ISNUMBER(SEARCH(SETTINGS!$K$10,D706)),SETTINGS!$L$10,IF(ISNUMBER(SEARCH(SETTINGS!$K$11,D706)),SETTINGS!$L$11,IF(ISNUMBER(SEARCH(SETTINGS!$K$12,D706)),SETTINGS!$L$12,IF(ISNUMBER(SEARCH(SETTINGS!$K$13,D706)),SETTINGS!$L$13,IF(ISNUMBER(SEARCH(SETTINGS!$K$14,D706)),SETTINGS!$L$14,IF(ISNUMBER(SEARCH(SETTINGS!$K$15,D706)),SETTINGS!$L$15,IF(ISNUMBER(SEARCH(SETTINGS!$K$16,D706)),SETTINGS!$L$16,IF(ISNUMBER(SEARCH(SETTINGS!$K$17,D706)),SETTINGS!$L$17,IF(ISNUMBER(SEARCH(SETTINGS!$K$18,D706)),SETTINGS!$L$18,"Miscellaneous"))))))))))))))))</f>
        <v/>
      </c>
      <c r="I706" s="44" t="str">
        <f t="shared" si="80"/>
        <v/>
      </c>
      <c r="J706" s="9"/>
      <c r="K706" s="9"/>
      <c r="L706" s="9"/>
      <c r="M706" s="9"/>
      <c r="N706" s="9"/>
      <c r="O706" s="9"/>
      <c r="P706" s="13"/>
      <c r="Q706" s="9"/>
      <c r="R706" s="9"/>
      <c r="S706" s="9"/>
      <c r="T706" s="11"/>
      <c r="U706" s="44" t="str">
        <f t="shared" si="81"/>
        <v/>
      </c>
      <c r="V706" s="44" t="str">
        <f t="shared" si="82"/>
        <v/>
      </c>
      <c r="W706" s="44" t="str">
        <f t="shared" si="83"/>
        <v/>
      </c>
      <c r="X706" s="44" t="str">
        <f t="shared" si="84"/>
        <v/>
      </c>
      <c r="Y706" s="44" t="str">
        <f t="shared" si="85"/>
        <v/>
      </c>
      <c r="Z706" s="44" t="str">
        <f t="shared" si="86"/>
        <v/>
      </c>
      <c r="AA706" s="50" t="str">
        <f t="shared" si="87"/>
        <v/>
      </c>
      <c r="AB706" s="50" t="str">
        <f>IF(OR(B706="",C706&lt;&gt;"Expense"),"",IF(E706&gt;IFERROR(AVERAGEIFS($E$8:$E$1007,$I$8:$I$1007,I706,$C$8:$C$1007,"Expense")*SETTINGS!$B$20,0),"Unusually High","Normal"))</f>
        <v/>
      </c>
      <c r="AC706" s="51"/>
      <c r="AD706" s="51"/>
      <c r="AE706" s="51"/>
      <c r="AF706" s="50" t="str">
        <f>IF(A706&lt;&gt;"Yes","No",IF(AND(AC706="Yes",SETTINGS!$B$16="No"),"No","Yes"))</f>
        <v>No</v>
      </c>
      <c r="AG706" s="50" t="str">
        <f>IF(A706&lt;&gt;"Yes","",IF(OR(B706="",D706="",E706&lt;=0,F706="",I706=""),"Check Required Fields",IF(AA706="Possible Duplicate","Possible Duplicate",IF(E706&gt;SETTINGS!$B$22,"Review Extreme Value","OK"))))</f>
        <v/>
      </c>
    </row>
    <row r="707" spans="1:33" ht="14.4">
      <c r="A707" s="9"/>
      <c r="B707" s="13"/>
      <c r="C707" s="9"/>
      <c r="D707" s="9"/>
      <c r="E707" s="11"/>
      <c r="F707" s="9"/>
      <c r="G707" s="9"/>
      <c r="H707" s="44" t="str">
        <f>IF(D707="","",IF(ISNUMBER(SEARCH(SETTINGS!$K$4,D707)),SETTINGS!$L$4,IF(ISNUMBER(SEARCH(SETTINGS!$K$5,D707)),SETTINGS!$L$5,IF(ISNUMBER(SEARCH(SETTINGS!$K$6,D707)),SETTINGS!$L$6,IF(ISNUMBER(SEARCH(SETTINGS!$K$7,D707)),SETTINGS!$L$7,IF(ISNUMBER(SEARCH(SETTINGS!$K$8,D707)),SETTINGS!$L$8,IF(ISNUMBER(SEARCH(SETTINGS!$K$9,D707)),SETTINGS!$L$9,IF(ISNUMBER(SEARCH(SETTINGS!$K$10,D707)),SETTINGS!$L$10,IF(ISNUMBER(SEARCH(SETTINGS!$K$11,D707)),SETTINGS!$L$11,IF(ISNUMBER(SEARCH(SETTINGS!$K$12,D707)),SETTINGS!$L$12,IF(ISNUMBER(SEARCH(SETTINGS!$K$13,D707)),SETTINGS!$L$13,IF(ISNUMBER(SEARCH(SETTINGS!$K$14,D707)),SETTINGS!$L$14,IF(ISNUMBER(SEARCH(SETTINGS!$K$15,D707)),SETTINGS!$L$15,IF(ISNUMBER(SEARCH(SETTINGS!$K$16,D707)),SETTINGS!$L$16,IF(ISNUMBER(SEARCH(SETTINGS!$K$17,D707)),SETTINGS!$L$17,IF(ISNUMBER(SEARCH(SETTINGS!$K$18,D707)),SETTINGS!$L$18,"Miscellaneous"))))))))))))))))</f>
        <v/>
      </c>
      <c r="I707" s="44" t="str">
        <f t="shared" si="80"/>
        <v/>
      </c>
      <c r="J707" s="9"/>
      <c r="K707" s="9"/>
      <c r="L707" s="9"/>
      <c r="M707" s="9"/>
      <c r="N707" s="9"/>
      <c r="O707" s="9"/>
      <c r="P707" s="13"/>
      <c r="Q707" s="9"/>
      <c r="R707" s="9"/>
      <c r="S707" s="9"/>
      <c r="T707" s="11"/>
      <c r="U707" s="44" t="str">
        <f t="shared" si="81"/>
        <v/>
      </c>
      <c r="V707" s="44" t="str">
        <f t="shared" si="82"/>
        <v/>
      </c>
      <c r="W707" s="44" t="str">
        <f t="shared" si="83"/>
        <v/>
      </c>
      <c r="X707" s="44" t="str">
        <f t="shared" si="84"/>
        <v/>
      </c>
      <c r="Y707" s="44" t="str">
        <f t="shared" si="85"/>
        <v/>
      </c>
      <c r="Z707" s="44" t="str">
        <f t="shared" si="86"/>
        <v/>
      </c>
      <c r="AA707" s="50" t="str">
        <f t="shared" si="87"/>
        <v/>
      </c>
      <c r="AB707" s="50" t="str">
        <f>IF(OR(B707="",C707&lt;&gt;"Expense"),"",IF(E707&gt;IFERROR(AVERAGEIFS($E$8:$E$1007,$I$8:$I$1007,I707,$C$8:$C$1007,"Expense")*SETTINGS!$B$20,0),"Unusually High","Normal"))</f>
        <v/>
      </c>
      <c r="AC707" s="51"/>
      <c r="AD707" s="51"/>
      <c r="AE707" s="51"/>
      <c r="AF707" s="50" t="str">
        <f>IF(A707&lt;&gt;"Yes","No",IF(AND(AC707="Yes",SETTINGS!$B$16="No"),"No","Yes"))</f>
        <v>No</v>
      </c>
      <c r="AG707" s="50" t="str">
        <f>IF(A707&lt;&gt;"Yes","",IF(OR(B707="",D707="",E707&lt;=0,F707="",I707=""),"Check Required Fields",IF(AA707="Possible Duplicate","Possible Duplicate",IF(E707&gt;SETTINGS!$B$22,"Review Extreme Value","OK"))))</f>
        <v/>
      </c>
    </row>
    <row r="708" spans="1:33" ht="14.4">
      <c r="A708" s="9"/>
      <c r="B708" s="13"/>
      <c r="C708" s="9"/>
      <c r="D708" s="9"/>
      <c r="E708" s="11"/>
      <c r="F708" s="9"/>
      <c r="G708" s="9"/>
      <c r="H708" s="44" t="str">
        <f>IF(D708="","",IF(ISNUMBER(SEARCH(SETTINGS!$K$4,D708)),SETTINGS!$L$4,IF(ISNUMBER(SEARCH(SETTINGS!$K$5,D708)),SETTINGS!$L$5,IF(ISNUMBER(SEARCH(SETTINGS!$K$6,D708)),SETTINGS!$L$6,IF(ISNUMBER(SEARCH(SETTINGS!$K$7,D708)),SETTINGS!$L$7,IF(ISNUMBER(SEARCH(SETTINGS!$K$8,D708)),SETTINGS!$L$8,IF(ISNUMBER(SEARCH(SETTINGS!$K$9,D708)),SETTINGS!$L$9,IF(ISNUMBER(SEARCH(SETTINGS!$K$10,D708)),SETTINGS!$L$10,IF(ISNUMBER(SEARCH(SETTINGS!$K$11,D708)),SETTINGS!$L$11,IF(ISNUMBER(SEARCH(SETTINGS!$K$12,D708)),SETTINGS!$L$12,IF(ISNUMBER(SEARCH(SETTINGS!$K$13,D708)),SETTINGS!$L$13,IF(ISNUMBER(SEARCH(SETTINGS!$K$14,D708)),SETTINGS!$L$14,IF(ISNUMBER(SEARCH(SETTINGS!$K$15,D708)),SETTINGS!$L$15,IF(ISNUMBER(SEARCH(SETTINGS!$K$16,D708)),SETTINGS!$L$16,IF(ISNUMBER(SEARCH(SETTINGS!$K$17,D708)),SETTINGS!$L$17,IF(ISNUMBER(SEARCH(SETTINGS!$K$18,D708)),SETTINGS!$L$18,"Miscellaneous"))))))))))))))))</f>
        <v/>
      </c>
      <c r="I708" s="44" t="str">
        <f t="shared" si="80"/>
        <v/>
      </c>
      <c r="J708" s="9"/>
      <c r="K708" s="9"/>
      <c r="L708" s="9"/>
      <c r="M708" s="9"/>
      <c r="N708" s="9"/>
      <c r="O708" s="9"/>
      <c r="P708" s="13"/>
      <c r="Q708" s="9"/>
      <c r="R708" s="9"/>
      <c r="S708" s="9"/>
      <c r="T708" s="11"/>
      <c r="U708" s="44" t="str">
        <f t="shared" si="81"/>
        <v/>
      </c>
      <c r="V708" s="44" t="str">
        <f t="shared" si="82"/>
        <v/>
      </c>
      <c r="W708" s="44" t="str">
        <f t="shared" si="83"/>
        <v/>
      </c>
      <c r="X708" s="44" t="str">
        <f t="shared" si="84"/>
        <v/>
      </c>
      <c r="Y708" s="44" t="str">
        <f t="shared" si="85"/>
        <v/>
      </c>
      <c r="Z708" s="44" t="str">
        <f t="shared" si="86"/>
        <v/>
      </c>
      <c r="AA708" s="50" t="str">
        <f t="shared" si="87"/>
        <v/>
      </c>
      <c r="AB708" s="50" t="str">
        <f>IF(OR(B708="",C708&lt;&gt;"Expense"),"",IF(E708&gt;IFERROR(AVERAGEIFS($E$8:$E$1007,$I$8:$I$1007,I708,$C$8:$C$1007,"Expense")*SETTINGS!$B$20,0),"Unusually High","Normal"))</f>
        <v/>
      </c>
      <c r="AC708" s="51"/>
      <c r="AD708" s="51"/>
      <c r="AE708" s="51"/>
      <c r="AF708" s="50" t="str">
        <f>IF(A708&lt;&gt;"Yes","No",IF(AND(AC708="Yes",SETTINGS!$B$16="No"),"No","Yes"))</f>
        <v>No</v>
      </c>
      <c r="AG708" s="50" t="str">
        <f>IF(A708&lt;&gt;"Yes","",IF(OR(B708="",D708="",E708&lt;=0,F708="",I708=""),"Check Required Fields",IF(AA708="Possible Duplicate","Possible Duplicate",IF(E708&gt;SETTINGS!$B$22,"Review Extreme Value","OK"))))</f>
        <v/>
      </c>
    </row>
    <row r="709" spans="1:33" ht="14.4">
      <c r="A709" s="9"/>
      <c r="B709" s="13"/>
      <c r="C709" s="9"/>
      <c r="D709" s="9"/>
      <c r="E709" s="11"/>
      <c r="F709" s="9"/>
      <c r="G709" s="9"/>
      <c r="H709" s="44" t="str">
        <f>IF(D709="","",IF(ISNUMBER(SEARCH(SETTINGS!$K$4,D709)),SETTINGS!$L$4,IF(ISNUMBER(SEARCH(SETTINGS!$K$5,D709)),SETTINGS!$L$5,IF(ISNUMBER(SEARCH(SETTINGS!$K$6,D709)),SETTINGS!$L$6,IF(ISNUMBER(SEARCH(SETTINGS!$K$7,D709)),SETTINGS!$L$7,IF(ISNUMBER(SEARCH(SETTINGS!$K$8,D709)),SETTINGS!$L$8,IF(ISNUMBER(SEARCH(SETTINGS!$K$9,D709)),SETTINGS!$L$9,IF(ISNUMBER(SEARCH(SETTINGS!$K$10,D709)),SETTINGS!$L$10,IF(ISNUMBER(SEARCH(SETTINGS!$K$11,D709)),SETTINGS!$L$11,IF(ISNUMBER(SEARCH(SETTINGS!$K$12,D709)),SETTINGS!$L$12,IF(ISNUMBER(SEARCH(SETTINGS!$K$13,D709)),SETTINGS!$L$13,IF(ISNUMBER(SEARCH(SETTINGS!$K$14,D709)),SETTINGS!$L$14,IF(ISNUMBER(SEARCH(SETTINGS!$K$15,D709)),SETTINGS!$L$15,IF(ISNUMBER(SEARCH(SETTINGS!$K$16,D709)),SETTINGS!$L$16,IF(ISNUMBER(SEARCH(SETTINGS!$K$17,D709)),SETTINGS!$L$17,IF(ISNUMBER(SEARCH(SETTINGS!$K$18,D709)),SETTINGS!$L$18,"Miscellaneous"))))))))))))))))</f>
        <v/>
      </c>
      <c r="I709" s="44" t="str">
        <f t="shared" si="80"/>
        <v/>
      </c>
      <c r="J709" s="9"/>
      <c r="K709" s="9"/>
      <c r="L709" s="9"/>
      <c r="M709" s="9"/>
      <c r="N709" s="9"/>
      <c r="O709" s="9"/>
      <c r="P709" s="13"/>
      <c r="Q709" s="9"/>
      <c r="R709" s="9"/>
      <c r="S709" s="9"/>
      <c r="T709" s="11"/>
      <c r="U709" s="44" t="str">
        <f t="shared" si="81"/>
        <v/>
      </c>
      <c r="V709" s="44" t="str">
        <f t="shared" si="82"/>
        <v/>
      </c>
      <c r="W709" s="44" t="str">
        <f t="shared" si="83"/>
        <v/>
      </c>
      <c r="X709" s="44" t="str">
        <f t="shared" si="84"/>
        <v/>
      </c>
      <c r="Y709" s="44" t="str">
        <f t="shared" si="85"/>
        <v/>
      </c>
      <c r="Z709" s="44" t="str">
        <f t="shared" si="86"/>
        <v/>
      </c>
      <c r="AA709" s="50" t="str">
        <f t="shared" si="87"/>
        <v/>
      </c>
      <c r="AB709" s="50" t="str">
        <f>IF(OR(B709="",C709&lt;&gt;"Expense"),"",IF(E709&gt;IFERROR(AVERAGEIFS($E$8:$E$1007,$I$8:$I$1007,I709,$C$8:$C$1007,"Expense")*SETTINGS!$B$20,0),"Unusually High","Normal"))</f>
        <v/>
      </c>
      <c r="AC709" s="51"/>
      <c r="AD709" s="51"/>
      <c r="AE709" s="51"/>
      <c r="AF709" s="50" t="str">
        <f>IF(A709&lt;&gt;"Yes","No",IF(AND(AC709="Yes",SETTINGS!$B$16="No"),"No","Yes"))</f>
        <v>No</v>
      </c>
      <c r="AG709" s="50" t="str">
        <f>IF(A709&lt;&gt;"Yes","",IF(OR(B709="",D709="",E709&lt;=0,F709="",I709=""),"Check Required Fields",IF(AA709="Possible Duplicate","Possible Duplicate",IF(E709&gt;SETTINGS!$B$22,"Review Extreme Value","OK"))))</f>
        <v/>
      </c>
    </row>
    <row r="710" spans="1:33" ht="14.4">
      <c r="A710" s="9"/>
      <c r="B710" s="13"/>
      <c r="C710" s="9"/>
      <c r="D710" s="9"/>
      <c r="E710" s="11"/>
      <c r="F710" s="9"/>
      <c r="G710" s="9"/>
      <c r="H710" s="44" t="str">
        <f>IF(D710="","",IF(ISNUMBER(SEARCH(SETTINGS!$K$4,D710)),SETTINGS!$L$4,IF(ISNUMBER(SEARCH(SETTINGS!$K$5,D710)),SETTINGS!$L$5,IF(ISNUMBER(SEARCH(SETTINGS!$K$6,D710)),SETTINGS!$L$6,IF(ISNUMBER(SEARCH(SETTINGS!$K$7,D710)),SETTINGS!$L$7,IF(ISNUMBER(SEARCH(SETTINGS!$K$8,D710)),SETTINGS!$L$8,IF(ISNUMBER(SEARCH(SETTINGS!$K$9,D710)),SETTINGS!$L$9,IF(ISNUMBER(SEARCH(SETTINGS!$K$10,D710)),SETTINGS!$L$10,IF(ISNUMBER(SEARCH(SETTINGS!$K$11,D710)),SETTINGS!$L$11,IF(ISNUMBER(SEARCH(SETTINGS!$K$12,D710)),SETTINGS!$L$12,IF(ISNUMBER(SEARCH(SETTINGS!$K$13,D710)),SETTINGS!$L$13,IF(ISNUMBER(SEARCH(SETTINGS!$K$14,D710)),SETTINGS!$L$14,IF(ISNUMBER(SEARCH(SETTINGS!$K$15,D710)),SETTINGS!$L$15,IF(ISNUMBER(SEARCH(SETTINGS!$K$16,D710)),SETTINGS!$L$16,IF(ISNUMBER(SEARCH(SETTINGS!$K$17,D710)),SETTINGS!$L$17,IF(ISNUMBER(SEARCH(SETTINGS!$K$18,D710)),SETTINGS!$L$18,"Miscellaneous"))))))))))))))))</f>
        <v/>
      </c>
      <c r="I710" s="44" t="str">
        <f t="shared" si="80"/>
        <v/>
      </c>
      <c r="J710" s="9"/>
      <c r="K710" s="9"/>
      <c r="L710" s="9"/>
      <c r="M710" s="9"/>
      <c r="N710" s="9"/>
      <c r="O710" s="9"/>
      <c r="P710" s="13"/>
      <c r="Q710" s="9"/>
      <c r="R710" s="9"/>
      <c r="S710" s="9"/>
      <c r="T710" s="11"/>
      <c r="U710" s="44" t="str">
        <f t="shared" si="81"/>
        <v/>
      </c>
      <c r="V710" s="44" t="str">
        <f t="shared" si="82"/>
        <v/>
      </c>
      <c r="W710" s="44" t="str">
        <f t="shared" si="83"/>
        <v/>
      </c>
      <c r="X710" s="44" t="str">
        <f t="shared" si="84"/>
        <v/>
      </c>
      <c r="Y710" s="44" t="str">
        <f t="shared" si="85"/>
        <v/>
      </c>
      <c r="Z710" s="44" t="str">
        <f t="shared" si="86"/>
        <v/>
      </c>
      <c r="AA710" s="50" t="str">
        <f t="shared" si="87"/>
        <v/>
      </c>
      <c r="AB710" s="50" t="str">
        <f>IF(OR(B710="",C710&lt;&gt;"Expense"),"",IF(E710&gt;IFERROR(AVERAGEIFS($E$8:$E$1007,$I$8:$I$1007,I710,$C$8:$C$1007,"Expense")*SETTINGS!$B$20,0),"Unusually High","Normal"))</f>
        <v/>
      </c>
      <c r="AC710" s="51"/>
      <c r="AD710" s="51"/>
      <c r="AE710" s="51"/>
      <c r="AF710" s="50" t="str">
        <f>IF(A710&lt;&gt;"Yes","No",IF(AND(AC710="Yes",SETTINGS!$B$16="No"),"No","Yes"))</f>
        <v>No</v>
      </c>
      <c r="AG710" s="50" t="str">
        <f>IF(A710&lt;&gt;"Yes","",IF(OR(B710="",D710="",E710&lt;=0,F710="",I710=""),"Check Required Fields",IF(AA710="Possible Duplicate","Possible Duplicate",IF(E710&gt;SETTINGS!$B$22,"Review Extreme Value","OK"))))</f>
        <v/>
      </c>
    </row>
    <row r="711" spans="1:33" ht="14.4">
      <c r="A711" s="9"/>
      <c r="B711" s="13"/>
      <c r="C711" s="9"/>
      <c r="D711" s="9"/>
      <c r="E711" s="11"/>
      <c r="F711" s="9"/>
      <c r="G711" s="9"/>
      <c r="H711" s="44" t="str">
        <f>IF(D711="","",IF(ISNUMBER(SEARCH(SETTINGS!$K$4,D711)),SETTINGS!$L$4,IF(ISNUMBER(SEARCH(SETTINGS!$K$5,D711)),SETTINGS!$L$5,IF(ISNUMBER(SEARCH(SETTINGS!$K$6,D711)),SETTINGS!$L$6,IF(ISNUMBER(SEARCH(SETTINGS!$K$7,D711)),SETTINGS!$L$7,IF(ISNUMBER(SEARCH(SETTINGS!$K$8,D711)),SETTINGS!$L$8,IF(ISNUMBER(SEARCH(SETTINGS!$K$9,D711)),SETTINGS!$L$9,IF(ISNUMBER(SEARCH(SETTINGS!$K$10,D711)),SETTINGS!$L$10,IF(ISNUMBER(SEARCH(SETTINGS!$K$11,D711)),SETTINGS!$L$11,IF(ISNUMBER(SEARCH(SETTINGS!$K$12,D711)),SETTINGS!$L$12,IF(ISNUMBER(SEARCH(SETTINGS!$K$13,D711)),SETTINGS!$L$13,IF(ISNUMBER(SEARCH(SETTINGS!$K$14,D711)),SETTINGS!$L$14,IF(ISNUMBER(SEARCH(SETTINGS!$K$15,D711)),SETTINGS!$L$15,IF(ISNUMBER(SEARCH(SETTINGS!$K$16,D711)),SETTINGS!$L$16,IF(ISNUMBER(SEARCH(SETTINGS!$K$17,D711)),SETTINGS!$L$17,IF(ISNUMBER(SEARCH(SETTINGS!$K$18,D711)),SETTINGS!$L$18,"Miscellaneous"))))))))))))))))</f>
        <v/>
      </c>
      <c r="I711" s="44" t="str">
        <f t="shared" si="80"/>
        <v/>
      </c>
      <c r="J711" s="9"/>
      <c r="K711" s="9"/>
      <c r="L711" s="9"/>
      <c r="M711" s="9"/>
      <c r="N711" s="9"/>
      <c r="O711" s="9"/>
      <c r="P711" s="13"/>
      <c r="Q711" s="9"/>
      <c r="R711" s="9"/>
      <c r="S711" s="9"/>
      <c r="T711" s="11"/>
      <c r="U711" s="44" t="str">
        <f t="shared" si="81"/>
        <v/>
      </c>
      <c r="V711" s="44" t="str">
        <f t="shared" si="82"/>
        <v/>
      </c>
      <c r="W711" s="44" t="str">
        <f t="shared" si="83"/>
        <v/>
      </c>
      <c r="X711" s="44" t="str">
        <f t="shared" si="84"/>
        <v/>
      </c>
      <c r="Y711" s="44" t="str">
        <f t="shared" si="85"/>
        <v/>
      </c>
      <c r="Z711" s="44" t="str">
        <f t="shared" si="86"/>
        <v/>
      </c>
      <c r="AA711" s="50" t="str">
        <f t="shared" si="87"/>
        <v/>
      </c>
      <c r="AB711" s="50" t="str">
        <f>IF(OR(B711="",C711&lt;&gt;"Expense"),"",IF(E711&gt;IFERROR(AVERAGEIFS($E$8:$E$1007,$I$8:$I$1007,I711,$C$8:$C$1007,"Expense")*SETTINGS!$B$20,0),"Unusually High","Normal"))</f>
        <v/>
      </c>
      <c r="AC711" s="51"/>
      <c r="AD711" s="51"/>
      <c r="AE711" s="51"/>
      <c r="AF711" s="50" t="str">
        <f>IF(A711&lt;&gt;"Yes","No",IF(AND(AC711="Yes",SETTINGS!$B$16="No"),"No","Yes"))</f>
        <v>No</v>
      </c>
      <c r="AG711" s="50" t="str">
        <f>IF(A711&lt;&gt;"Yes","",IF(OR(B711="",D711="",E711&lt;=0,F711="",I711=""),"Check Required Fields",IF(AA711="Possible Duplicate","Possible Duplicate",IF(E711&gt;SETTINGS!$B$22,"Review Extreme Value","OK"))))</f>
        <v/>
      </c>
    </row>
    <row r="712" spans="1:33" ht="14.4">
      <c r="A712" s="9"/>
      <c r="B712" s="13"/>
      <c r="C712" s="9"/>
      <c r="D712" s="9"/>
      <c r="E712" s="11"/>
      <c r="F712" s="9"/>
      <c r="G712" s="9"/>
      <c r="H712" s="44" t="str">
        <f>IF(D712="","",IF(ISNUMBER(SEARCH(SETTINGS!$K$4,D712)),SETTINGS!$L$4,IF(ISNUMBER(SEARCH(SETTINGS!$K$5,D712)),SETTINGS!$L$5,IF(ISNUMBER(SEARCH(SETTINGS!$K$6,D712)),SETTINGS!$L$6,IF(ISNUMBER(SEARCH(SETTINGS!$K$7,D712)),SETTINGS!$L$7,IF(ISNUMBER(SEARCH(SETTINGS!$K$8,D712)),SETTINGS!$L$8,IF(ISNUMBER(SEARCH(SETTINGS!$K$9,D712)),SETTINGS!$L$9,IF(ISNUMBER(SEARCH(SETTINGS!$K$10,D712)),SETTINGS!$L$10,IF(ISNUMBER(SEARCH(SETTINGS!$K$11,D712)),SETTINGS!$L$11,IF(ISNUMBER(SEARCH(SETTINGS!$K$12,D712)),SETTINGS!$L$12,IF(ISNUMBER(SEARCH(SETTINGS!$K$13,D712)),SETTINGS!$L$13,IF(ISNUMBER(SEARCH(SETTINGS!$K$14,D712)),SETTINGS!$L$14,IF(ISNUMBER(SEARCH(SETTINGS!$K$15,D712)),SETTINGS!$L$15,IF(ISNUMBER(SEARCH(SETTINGS!$K$16,D712)),SETTINGS!$L$16,IF(ISNUMBER(SEARCH(SETTINGS!$K$17,D712)),SETTINGS!$L$17,IF(ISNUMBER(SEARCH(SETTINGS!$K$18,D712)),SETTINGS!$L$18,"Miscellaneous"))))))))))))))))</f>
        <v/>
      </c>
      <c r="I712" s="44" t="str">
        <f t="shared" ref="I712:I775" si="88">IF(B712="","",IF(G712&lt;&gt;"",G712,H712))</f>
        <v/>
      </c>
      <c r="J712" s="9"/>
      <c r="K712" s="9"/>
      <c r="L712" s="9"/>
      <c r="M712" s="9"/>
      <c r="N712" s="9"/>
      <c r="O712" s="9"/>
      <c r="P712" s="13"/>
      <c r="Q712" s="9"/>
      <c r="R712" s="9"/>
      <c r="S712" s="9"/>
      <c r="T712" s="11"/>
      <c r="U712" s="44" t="str">
        <f t="shared" ref="U712:U775" si="89">IF(B712="","",IF(C712="Income","INC-",IF(C712="Expense","EXP-","TRX-"))&amp;TEXT(YEAR(B712),"0000")&amp;"-"&amp;TEXT(ROW()-7,"0000"))</f>
        <v/>
      </c>
      <c r="V712" s="44" t="str">
        <f t="shared" ref="V712:V775" si="90">IF(B712="","",TEXT(B712,"mmmm"))</f>
        <v/>
      </c>
      <c r="W712" s="44" t="str">
        <f t="shared" ref="W712:W775" si="91">IF(B712="","",MONTH(B712))</f>
        <v/>
      </c>
      <c r="X712" s="44" t="str">
        <f t="shared" ref="X712:X775" si="92">IF(B712="","",YEAR(B712))</f>
        <v/>
      </c>
      <c r="Y712" s="44" t="str">
        <f t="shared" ref="Y712:Y775" si="93">IF(B712="","",DAY(B712))</f>
        <v/>
      </c>
      <c r="Z712" s="44" t="str">
        <f t="shared" ref="Z712:Z775" si="94">IF(B712="","",IF(WEEKDAY(B712,2)&gt;5,"Weekend","Weekday"))</f>
        <v/>
      </c>
      <c r="AA712" s="50" t="str">
        <f t="shared" ref="AA712:AA775" si="95">IF(B712="","",IF(COUNTIFS($B$8:$B$1007,B712,$E$8:$E$1007,E712,$D$8:$D$1007,D712,$I$8:$I$1007,I712)&gt;1,"Possible Duplicate","OK"))</f>
        <v/>
      </c>
      <c r="AB712" s="50" t="str">
        <f>IF(OR(B712="",C712&lt;&gt;"Expense"),"",IF(E712&gt;IFERROR(AVERAGEIFS($E$8:$E$1007,$I$8:$I$1007,I712,$C$8:$C$1007,"Expense")*SETTINGS!$B$20,0),"Unusually High","Normal"))</f>
        <v/>
      </c>
      <c r="AC712" s="51"/>
      <c r="AD712" s="51"/>
      <c r="AE712" s="51"/>
      <c r="AF712" s="50" t="str">
        <f>IF(A712&lt;&gt;"Yes","No",IF(AND(AC712="Yes",SETTINGS!$B$16="No"),"No","Yes"))</f>
        <v>No</v>
      </c>
      <c r="AG712" s="50" t="str">
        <f>IF(A712&lt;&gt;"Yes","",IF(OR(B712="",D712="",E712&lt;=0,F712="",I712=""),"Check Required Fields",IF(AA712="Possible Duplicate","Possible Duplicate",IF(E712&gt;SETTINGS!$B$22,"Review Extreme Value","OK"))))</f>
        <v/>
      </c>
    </row>
    <row r="713" spans="1:33" ht="14.4">
      <c r="A713" s="9"/>
      <c r="B713" s="13"/>
      <c r="C713" s="9"/>
      <c r="D713" s="9"/>
      <c r="E713" s="11"/>
      <c r="F713" s="9"/>
      <c r="G713" s="9"/>
      <c r="H713" s="44" t="str">
        <f>IF(D713="","",IF(ISNUMBER(SEARCH(SETTINGS!$K$4,D713)),SETTINGS!$L$4,IF(ISNUMBER(SEARCH(SETTINGS!$K$5,D713)),SETTINGS!$L$5,IF(ISNUMBER(SEARCH(SETTINGS!$K$6,D713)),SETTINGS!$L$6,IF(ISNUMBER(SEARCH(SETTINGS!$K$7,D713)),SETTINGS!$L$7,IF(ISNUMBER(SEARCH(SETTINGS!$K$8,D713)),SETTINGS!$L$8,IF(ISNUMBER(SEARCH(SETTINGS!$K$9,D713)),SETTINGS!$L$9,IF(ISNUMBER(SEARCH(SETTINGS!$K$10,D713)),SETTINGS!$L$10,IF(ISNUMBER(SEARCH(SETTINGS!$K$11,D713)),SETTINGS!$L$11,IF(ISNUMBER(SEARCH(SETTINGS!$K$12,D713)),SETTINGS!$L$12,IF(ISNUMBER(SEARCH(SETTINGS!$K$13,D713)),SETTINGS!$L$13,IF(ISNUMBER(SEARCH(SETTINGS!$K$14,D713)),SETTINGS!$L$14,IF(ISNUMBER(SEARCH(SETTINGS!$K$15,D713)),SETTINGS!$L$15,IF(ISNUMBER(SEARCH(SETTINGS!$K$16,D713)),SETTINGS!$L$16,IF(ISNUMBER(SEARCH(SETTINGS!$K$17,D713)),SETTINGS!$L$17,IF(ISNUMBER(SEARCH(SETTINGS!$K$18,D713)),SETTINGS!$L$18,"Miscellaneous"))))))))))))))))</f>
        <v/>
      </c>
      <c r="I713" s="44" t="str">
        <f t="shared" si="88"/>
        <v/>
      </c>
      <c r="J713" s="9"/>
      <c r="K713" s="9"/>
      <c r="L713" s="9"/>
      <c r="M713" s="9"/>
      <c r="N713" s="9"/>
      <c r="O713" s="9"/>
      <c r="P713" s="13"/>
      <c r="Q713" s="9"/>
      <c r="R713" s="9"/>
      <c r="S713" s="9"/>
      <c r="T713" s="11"/>
      <c r="U713" s="44" t="str">
        <f t="shared" si="89"/>
        <v/>
      </c>
      <c r="V713" s="44" t="str">
        <f t="shared" si="90"/>
        <v/>
      </c>
      <c r="W713" s="44" t="str">
        <f t="shared" si="91"/>
        <v/>
      </c>
      <c r="X713" s="44" t="str">
        <f t="shared" si="92"/>
        <v/>
      </c>
      <c r="Y713" s="44" t="str">
        <f t="shared" si="93"/>
        <v/>
      </c>
      <c r="Z713" s="44" t="str">
        <f t="shared" si="94"/>
        <v/>
      </c>
      <c r="AA713" s="50" t="str">
        <f t="shared" si="95"/>
        <v/>
      </c>
      <c r="AB713" s="50" t="str">
        <f>IF(OR(B713="",C713&lt;&gt;"Expense"),"",IF(E713&gt;IFERROR(AVERAGEIFS($E$8:$E$1007,$I$8:$I$1007,I713,$C$8:$C$1007,"Expense")*SETTINGS!$B$20,0),"Unusually High","Normal"))</f>
        <v/>
      </c>
      <c r="AC713" s="51"/>
      <c r="AD713" s="51"/>
      <c r="AE713" s="51"/>
      <c r="AF713" s="50" t="str">
        <f>IF(A713&lt;&gt;"Yes","No",IF(AND(AC713="Yes",SETTINGS!$B$16="No"),"No","Yes"))</f>
        <v>No</v>
      </c>
      <c r="AG713" s="50" t="str">
        <f>IF(A713&lt;&gt;"Yes","",IF(OR(B713="",D713="",E713&lt;=0,F713="",I713=""),"Check Required Fields",IF(AA713="Possible Duplicate","Possible Duplicate",IF(E713&gt;SETTINGS!$B$22,"Review Extreme Value","OK"))))</f>
        <v/>
      </c>
    </row>
    <row r="714" spans="1:33" ht="14.4">
      <c r="A714" s="9"/>
      <c r="B714" s="13"/>
      <c r="C714" s="9"/>
      <c r="D714" s="9"/>
      <c r="E714" s="11"/>
      <c r="F714" s="9"/>
      <c r="G714" s="9"/>
      <c r="H714" s="44" t="str">
        <f>IF(D714="","",IF(ISNUMBER(SEARCH(SETTINGS!$K$4,D714)),SETTINGS!$L$4,IF(ISNUMBER(SEARCH(SETTINGS!$K$5,D714)),SETTINGS!$L$5,IF(ISNUMBER(SEARCH(SETTINGS!$K$6,D714)),SETTINGS!$L$6,IF(ISNUMBER(SEARCH(SETTINGS!$K$7,D714)),SETTINGS!$L$7,IF(ISNUMBER(SEARCH(SETTINGS!$K$8,D714)),SETTINGS!$L$8,IF(ISNUMBER(SEARCH(SETTINGS!$K$9,D714)),SETTINGS!$L$9,IF(ISNUMBER(SEARCH(SETTINGS!$K$10,D714)),SETTINGS!$L$10,IF(ISNUMBER(SEARCH(SETTINGS!$K$11,D714)),SETTINGS!$L$11,IF(ISNUMBER(SEARCH(SETTINGS!$K$12,D714)),SETTINGS!$L$12,IF(ISNUMBER(SEARCH(SETTINGS!$K$13,D714)),SETTINGS!$L$13,IF(ISNUMBER(SEARCH(SETTINGS!$K$14,D714)),SETTINGS!$L$14,IF(ISNUMBER(SEARCH(SETTINGS!$K$15,D714)),SETTINGS!$L$15,IF(ISNUMBER(SEARCH(SETTINGS!$K$16,D714)),SETTINGS!$L$16,IF(ISNUMBER(SEARCH(SETTINGS!$K$17,D714)),SETTINGS!$L$17,IF(ISNUMBER(SEARCH(SETTINGS!$K$18,D714)),SETTINGS!$L$18,"Miscellaneous"))))))))))))))))</f>
        <v/>
      </c>
      <c r="I714" s="44" t="str">
        <f t="shared" si="88"/>
        <v/>
      </c>
      <c r="J714" s="9"/>
      <c r="K714" s="9"/>
      <c r="L714" s="9"/>
      <c r="M714" s="9"/>
      <c r="N714" s="9"/>
      <c r="O714" s="9"/>
      <c r="P714" s="13"/>
      <c r="Q714" s="9"/>
      <c r="R714" s="9"/>
      <c r="S714" s="9"/>
      <c r="T714" s="11"/>
      <c r="U714" s="44" t="str">
        <f t="shared" si="89"/>
        <v/>
      </c>
      <c r="V714" s="44" t="str">
        <f t="shared" si="90"/>
        <v/>
      </c>
      <c r="W714" s="44" t="str">
        <f t="shared" si="91"/>
        <v/>
      </c>
      <c r="X714" s="44" t="str">
        <f t="shared" si="92"/>
        <v/>
      </c>
      <c r="Y714" s="44" t="str">
        <f t="shared" si="93"/>
        <v/>
      </c>
      <c r="Z714" s="44" t="str">
        <f t="shared" si="94"/>
        <v/>
      </c>
      <c r="AA714" s="50" t="str">
        <f t="shared" si="95"/>
        <v/>
      </c>
      <c r="AB714" s="50" t="str">
        <f>IF(OR(B714="",C714&lt;&gt;"Expense"),"",IF(E714&gt;IFERROR(AVERAGEIFS($E$8:$E$1007,$I$8:$I$1007,I714,$C$8:$C$1007,"Expense")*SETTINGS!$B$20,0),"Unusually High","Normal"))</f>
        <v/>
      </c>
      <c r="AC714" s="51"/>
      <c r="AD714" s="51"/>
      <c r="AE714" s="51"/>
      <c r="AF714" s="50" t="str">
        <f>IF(A714&lt;&gt;"Yes","No",IF(AND(AC714="Yes",SETTINGS!$B$16="No"),"No","Yes"))</f>
        <v>No</v>
      </c>
      <c r="AG714" s="50" t="str">
        <f>IF(A714&lt;&gt;"Yes","",IF(OR(B714="",D714="",E714&lt;=0,F714="",I714=""),"Check Required Fields",IF(AA714="Possible Duplicate","Possible Duplicate",IF(E714&gt;SETTINGS!$B$22,"Review Extreme Value","OK"))))</f>
        <v/>
      </c>
    </row>
    <row r="715" spans="1:33" ht="14.4">
      <c r="A715" s="9"/>
      <c r="B715" s="13"/>
      <c r="C715" s="9"/>
      <c r="D715" s="9"/>
      <c r="E715" s="11"/>
      <c r="F715" s="9"/>
      <c r="G715" s="9"/>
      <c r="H715" s="44" t="str">
        <f>IF(D715="","",IF(ISNUMBER(SEARCH(SETTINGS!$K$4,D715)),SETTINGS!$L$4,IF(ISNUMBER(SEARCH(SETTINGS!$K$5,D715)),SETTINGS!$L$5,IF(ISNUMBER(SEARCH(SETTINGS!$K$6,D715)),SETTINGS!$L$6,IF(ISNUMBER(SEARCH(SETTINGS!$K$7,D715)),SETTINGS!$L$7,IF(ISNUMBER(SEARCH(SETTINGS!$K$8,D715)),SETTINGS!$L$8,IF(ISNUMBER(SEARCH(SETTINGS!$K$9,D715)),SETTINGS!$L$9,IF(ISNUMBER(SEARCH(SETTINGS!$K$10,D715)),SETTINGS!$L$10,IF(ISNUMBER(SEARCH(SETTINGS!$K$11,D715)),SETTINGS!$L$11,IF(ISNUMBER(SEARCH(SETTINGS!$K$12,D715)),SETTINGS!$L$12,IF(ISNUMBER(SEARCH(SETTINGS!$K$13,D715)),SETTINGS!$L$13,IF(ISNUMBER(SEARCH(SETTINGS!$K$14,D715)),SETTINGS!$L$14,IF(ISNUMBER(SEARCH(SETTINGS!$K$15,D715)),SETTINGS!$L$15,IF(ISNUMBER(SEARCH(SETTINGS!$K$16,D715)),SETTINGS!$L$16,IF(ISNUMBER(SEARCH(SETTINGS!$K$17,D715)),SETTINGS!$L$17,IF(ISNUMBER(SEARCH(SETTINGS!$K$18,D715)),SETTINGS!$L$18,"Miscellaneous"))))))))))))))))</f>
        <v/>
      </c>
      <c r="I715" s="44" t="str">
        <f t="shared" si="88"/>
        <v/>
      </c>
      <c r="J715" s="9"/>
      <c r="K715" s="9"/>
      <c r="L715" s="9"/>
      <c r="M715" s="9"/>
      <c r="N715" s="9"/>
      <c r="O715" s="9"/>
      <c r="P715" s="13"/>
      <c r="Q715" s="9"/>
      <c r="R715" s="9"/>
      <c r="S715" s="9"/>
      <c r="T715" s="11"/>
      <c r="U715" s="44" t="str">
        <f t="shared" si="89"/>
        <v/>
      </c>
      <c r="V715" s="44" t="str">
        <f t="shared" si="90"/>
        <v/>
      </c>
      <c r="W715" s="44" t="str">
        <f t="shared" si="91"/>
        <v/>
      </c>
      <c r="X715" s="44" t="str">
        <f t="shared" si="92"/>
        <v/>
      </c>
      <c r="Y715" s="44" t="str">
        <f t="shared" si="93"/>
        <v/>
      </c>
      <c r="Z715" s="44" t="str">
        <f t="shared" si="94"/>
        <v/>
      </c>
      <c r="AA715" s="50" t="str">
        <f t="shared" si="95"/>
        <v/>
      </c>
      <c r="AB715" s="50" t="str">
        <f>IF(OR(B715="",C715&lt;&gt;"Expense"),"",IF(E715&gt;IFERROR(AVERAGEIFS($E$8:$E$1007,$I$8:$I$1007,I715,$C$8:$C$1007,"Expense")*SETTINGS!$B$20,0),"Unusually High","Normal"))</f>
        <v/>
      </c>
      <c r="AC715" s="51"/>
      <c r="AD715" s="51"/>
      <c r="AE715" s="51"/>
      <c r="AF715" s="50" t="str">
        <f>IF(A715&lt;&gt;"Yes","No",IF(AND(AC715="Yes",SETTINGS!$B$16="No"),"No","Yes"))</f>
        <v>No</v>
      </c>
      <c r="AG715" s="50" t="str">
        <f>IF(A715&lt;&gt;"Yes","",IF(OR(B715="",D715="",E715&lt;=0,F715="",I715=""),"Check Required Fields",IF(AA715="Possible Duplicate","Possible Duplicate",IF(E715&gt;SETTINGS!$B$22,"Review Extreme Value","OK"))))</f>
        <v/>
      </c>
    </row>
    <row r="716" spans="1:33" ht="14.4">
      <c r="A716" s="9"/>
      <c r="B716" s="13"/>
      <c r="C716" s="9"/>
      <c r="D716" s="9"/>
      <c r="E716" s="11"/>
      <c r="F716" s="9"/>
      <c r="G716" s="9"/>
      <c r="H716" s="44" t="str">
        <f>IF(D716="","",IF(ISNUMBER(SEARCH(SETTINGS!$K$4,D716)),SETTINGS!$L$4,IF(ISNUMBER(SEARCH(SETTINGS!$K$5,D716)),SETTINGS!$L$5,IF(ISNUMBER(SEARCH(SETTINGS!$K$6,D716)),SETTINGS!$L$6,IF(ISNUMBER(SEARCH(SETTINGS!$K$7,D716)),SETTINGS!$L$7,IF(ISNUMBER(SEARCH(SETTINGS!$K$8,D716)),SETTINGS!$L$8,IF(ISNUMBER(SEARCH(SETTINGS!$K$9,D716)),SETTINGS!$L$9,IF(ISNUMBER(SEARCH(SETTINGS!$K$10,D716)),SETTINGS!$L$10,IF(ISNUMBER(SEARCH(SETTINGS!$K$11,D716)),SETTINGS!$L$11,IF(ISNUMBER(SEARCH(SETTINGS!$K$12,D716)),SETTINGS!$L$12,IF(ISNUMBER(SEARCH(SETTINGS!$K$13,D716)),SETTINGS!$L$13,IF(ISNUMBER(SEARCH(SETTINGS!$K$14,D716)),SETTINGS!$L$14,IF(ISNUMBER(SEARCH(SETTINGS!$K$15,D716)),SETTINGS!$L$15,IF(ISNUMBER(SEARCH(SETTINGS!$K$16,D716)),SETTINGS!$L$16,IF(ISNUMBER(SEARCH(SETTINGS!$K$17,D716)),SETTINGS!$L$17,IF(ISNUMBER(SEARCH(SETTINGS!$K$18,D716)),SETTINGS!$L$18,"Miscellaneous"))))))))))))))))</f>
        <v/>
      </c>
      <c r="I716" s="44" t="str">
        <f t="shared" si="88"/>
        <v/>
      </c>
      <c r="J716" s="9"/>
      <c r="K716" s="9"/>
      <c r="L716" s="9"/>
      <c r="M716" s="9"/>
      <c r="N716" s="9"/>
      <c r="O716" s="9"/>
      <c r="P716" s="13"/>
      <c r="Q716" s="9"/>
      <c r="R716" s="9"/>
      <c r="S716" s="9"/>
      <c r="T716" s="11"/>
      <c r="U716" s="44" t="str">
        <f t="shared" si="89"/>
        <v/>
      </c>
      <c r="V716" s="44" t="str">
        <f t="shared" si="90"/>
        <v/>
      </c>
      <c r="W716" s="44" t="str">
        <f t="shared" si="91"/>
        <v/>
      </c>
      <c r="X716" s="44" t="str">
        <f t="shared" si="92"/>
        <v/>
      </c>
      <c r="Y716" s="44" t="str">
        <f t="shared" si="93"/>
        <v/>
      </c>
      <c r="Z716" s="44" t="str">
        <f t="shared" si="94"/>
        <v/>
      </c>
      <c r="AA716" s="50" t="str">
        <f t="shared" si="95"/>
        <v/>
      </c>
      <c r="AB716" s="50" t="str">
        <f>IF(OR(B716="",C716&lt;&gt;"Expense"),"",IF(E716&gt;IFERROR(AVERAGEIFS($E$8:$E$1007,$I$8:$I$1007,I716,$C$8:$C$1007,"Expense")*SETTINGS!$B$20,0),"Unusually High","Normal"))</f>
        <v/>
      </c>
      <c r="AC716" s="51"/>
      <c r="AD716" s="51"/>
      <c r="AE716" s="51"/>
      <c r="AF716" s="50" t="str">
        <f>IF(A716&lt;&gt;"Yes","No",IF(AND(AC716="Yes",SETTINGS!$B$16="No"),"No","Yes"))</f>
        <v>No</v>
      </c>
      <c r="AG716" s="50" t="str">
        <f>IF(A716&lt;&gt;"Yes","",IF(OR(B716="",D716="",E716&lt;=0,F716="",I716=""),"Check Required Fields",IF(AA716="Possible Duplicate","Possible Duplicate",IF(E716&gt;SETTINGS!$B$22,"Review Extreme Value","OK"))))</f>
        <v/>
      </c>
    </row>
    <row r="717" spans="1:33" ht="14.4">
      <c r="A717" s="9"/>
      <c r="B717" s="13"/>
      <c r="C717" s="9"/>
      <c r="D717" s="9"/>
      <c r="E717" s="11"/>
      <c r="F717" s="9"/>
      <c r="G717" s="9"/>
      <c r="H717" s="44" t="str">
        <f>IF(D717="","",IF(ISNUMBER(SEARCH(SETTINGS!$K$4,D717)),SETTINGS!$L$4,IF(ISNUMBER(SEARCH(SETTINGS!$K$5,D717)),SETTINGS!$L$5,IF(ISNUMBER(SEARCH(SETTINGS!$K$6,D717)),SETTINGS!$L$6,IF(ISNUMBER(SEARCH(SETTINGS!$K$7,D717)),SETTINGS!$L$7,IF(ISNUMBER(SEARCH(SETTINGS!$K$8,D717)),SETTINGS!$L$8,IF(ISNUMBER(SEARCH(SETTINGS!$K$9,D717)),SETTINGS!$L$9,IF(ISNUMBER(SEARCH(SETTINGS!$K$10,D717)),SETTINGS!$L$10,IF(ISNUMBER(SEARCH(SETTINGS!$K$11,D717)),SETTINGS!$L$11,IF(ISNUMBER(SEARCH(SETTINGS!$K$12,D717)),SETTINGS!$L$12,IF(ISNUMBER(SEARCH(SETTINGS!$K$13,D717)),SETTINGS!$L$13,IF(ISNUMBER(SEARCH(SETTINGS!$K$14,D717)),SETTINGS!$L$14,IF(ISNUMBER(SEARCH(SETTINGS!$K$15,D717)),SETTINGS!$L$15,IF(ISNUMBER(SEARCH(SETTINGS!$K$16,D717)),SETTINGS!$L$16,IF(ISNUMBER(SEARCH(SETTINGS!$K$17,D717)),SETTINGS!$L$17,IF(ISNUMBER(SEARCH(SETTINGS!$K$18,D717)),SETTINGS!$L$18,"Miscellaneous"))))))))))))))))</f>
        <v/>
      </c>
      <c r="I717" s="44" t="str">
        <f t="shared" si="88"/>
        <v/>
      </c>
      <c r="J717" s="9"/>
      <c r="K717" s="9"/>
      <c r="L717" s="9"/>
      <c r="M717" s="9"/>
      <c r="N717" s="9"/>
      <c r="O717" s="9"/>
      <c r="P717" s="13"/>
      <c r="Q717" s="9"/>
      <c r="R717" s="9"/>
      <c r="S717" s="9"/>
      <c r="T717" s="11"/>
      <c r="U717" s="44" t="str">
        <f t="shared" si="89"/>
        <v/>
      </c>
      <c r="V717" s="44" t="str">
        <f t="shared" si="90"/>
        <v/>
      </c>
      <c r="W717" s="44" t="str">
        <f t="shared" si="91"/>
        <v/>
      </c>
      <c r="X717" s="44" t="str">
        <f t="shared" si="92"/>
        <v/>
      </c>
      <c r="Y717" s="44" t="str">
        <f t="shared" si="93"/>
        <v/>
      </c>
      <c r="Z717" s="44" t="str">
        <f t="shared" si="94"/>
        <v/>
      </c>
      <c r="AA717" s="50" t="str">
        <f t="shared" si="95"/>
        <v/>
      </c>
      <c r="AB717" s="50" t="str">
        <f>IF(OR(B717="",C717&lt;&gt;"Expense"),"",IF(E717&gt;IFERROR(AVERAGEIFS($E$8:$E$1007,$I$8:$I$1007,I717,$C$8:$C$1007,"Expense")*SETTINGS!$B$20,0),"Unusually High","Normal"))</f>
        <v/>
      </c>
      <c r="AC717" s="51"/>
      <c r="AD717" s="51"/>
      <c r="AE717" s="51"/>
      <c r="AF717" s="50" t="str">
        <f>IF(A717&lt;&gt;"Yes","No",IF(AND(AC717="Yes",SETTINGS!$B$16="No"),"No","Yes"))</f>
        <v>No</v>
      </c>
      <c r="AG717" s="50" t="str">
        <f>IF(A717&lt;&gt;"Yes","",IF(OR(B717="",D717="",E717&lt;=0,F717="",I717=""),"Check Required Fields",IF(AA717="Possible Duplicate","Possible Duplicate",IF(E717&gt;SETTINGS!$B$22,"Review Extreme Value","OK"))))</f>
        <v/>
      </c>
    </row>
    <row r="718" spans="1:33" ht="14.4">
      <c r="A718" s="9"/>
      <c r="B718" s="13"/>
      <c r="C718" s="9"/>
      <c r="D718" s="9"/>
      <c r="E718" s="11"/>
      <c r="F718" s="9"/>
      <c r="G718" s="9"/>
      <c r="H718" s="44" t="str">
        <f>IF(D718="","",IF(ISNUMBER(SEARCH(SETTINGS!$K$4,D718)),SETTINGS!$L$4,IF(ISNUMBER(SEARCH(SETTINGS!$K$5,D718)),SETTINGS!$L$5,IF(ISNUMBER(SEARCH(SETTINGS!$K$6,D718)),SETTINGS!$L$6,IF(ISNUMBER(SEARCH(SETTINGS!$K$7,D718)),SETTINGS!$L$7,IF(ISNUMBER(SEARCH(SETTINGS!$K$8,D718)),SETTINGS!$L$8,IF(ISNUMBER(SEARCH(SETTINGS!$K$9,D718)),SETTINGS!$L$9,IF(ISNUMBER(SEARCH(SETTINGS!$K$10,D718)),SETTINGS!$L$10,IF(ISNUMBER(SEARCH(SETTINGS!$K$11,D718)),SETTINGS!$L$11,IF(ISNUMBER(SEARCH(SETTINGS!$K$12,D718)),SETTINGS!$L$12,IF(ISNUMBER(SEARCH(SETTINGS!$K$13,D718)),SETTINGS!$L$13,IF(ISNUMBER(SEARCH(SETTINGS!$K$14,D718)),SETTINGS!$L$14,IF(ISNUMBER(SEARCH(SETTINGS!$K$15,D718)),SETTINGS!$L$15,IF(ISNUMBER(SEARCH(SETTINGS!$K$16,D718)),SETTINGS!$L$16,IF(ISNUMBER(SEARCH(SETTINGS!$K$17,D718)),SETTINGS!$L$17,IF(ISNUMBER(SEARCH(SETTINGS!$K$18,D718)),SETTINGS!$L$18,"Miscellaneous"))))))))))))))))</f>
        <v/>
      </c>
      <c r="I718" s="44" t="str">
        <f t="shared" si="88"/>
        <v/>
      </c>
      <c r="J718" s="9"/>
      <c r="K718" s="9"/>
      <c r="L718" s="9"/>
      <c r="M718" s="9"/>
      <c r="N718" s="9"/>
      <c r="O718" s="9"/>
      <c r="P718" s="13"/>
      <c r="Q718" s="9"/>
      <c r="R718" s="9"/>
      <c r="S718" s="9"/>
      <c r="T718" s="11"/>
      <c r="U718" s="44" t="str">
        <f t="shared" si="89"/>
        <v/>
      </c>
      <c r="V718" s="44" t="str">
        <f t="shared" si="90"/>
        <v/>
      </c>
      <c r="W718" s="44" t="str">
        <f t="shared" si="91"/>
        <v/>
      </c>
      <c r="X718" s="44" t="str">
        <f t="shared" si="92"/>
        <v/>
      </c>
      <c r="Y718" s="44" t="str">
        <f t="shared" si="93"/>
        <v/>
      </c>
      <c r="Z718" s="44" t="str">
        <f t="shared" si="94"/>
        <v/>
      </c>
      <c r="AA718" s="50" t="str">
        <f t="shared" si="95"/>
        <v/>
      </c>
      <c r="AB718" s="50" t="str">
        <f>IF(OR(B718="",C718&lt;&gt;"Expense"),"",IF(E718&gt;IFERROR(AVERAGEIFS($E$8:$E$1007,$I$8:$I$1007,I718,$C$8:$C$1007,"Expense")*SETTINGS!$B$20,0),"Unusually High","Normal"))</f>
        <v/>
      </c>
      <c r="AC718" s="51"/>
      <c r="AD718" s="51"/>
      <c r="AE718" s="51"/>
      <c r="AF718" s="50" t="str">
        <f>IF(A718&lt;&gt;"Yes","No",IF(AND(AC718="Yes",SETTINGS!$B$16="No"),"No","Yes"))</f>
        <v>No</v>
      </c>
      <c r="AG718" s="50" t="str">
        <f>IF(A718&lt;&gt;"Yes","",IF(OR(B718="",D718="",E718&lt;=0,F718="",I718=""),"Check Required Fields",IF(AA718="Possible Duplicate","Possible Duplicate",IF(E718&gt;SETTINGS!$B$22,"Review Extreme Value","OK"))))</f>
        <v/>
      </c>
    </row>
    <row r="719" spans="1:33" ht="14.4">
      <c r="A719" s="9"/>
      <c r="B719" s="13"/>
      <c r="C719" s="9"/>
      <c r="D719" s="9"/>
      <c r="E719" s="11"/>
      <c r="F719" s="9"/>
      <c r="G719" s="9"/>
      <c r="H719" s="44" t="str">
        <f>IF(D719="","",IF(ISNUMBER(SEARCH(SETTINGS!$K$4,D719)),SETTINGS!$L$4,IF(ISNUMBER(SEARCH(SETTINGS!$K$5,D719)),SETTINGS!$L$5,IF(ISNUMBER(SEARCH(SETTINGS!$K$6,D719)),SETTINGS!$L$6,IF(ISNUMBER(SEARCH(SETTINGS!$K$7,D719)),SETTINGS!$L$7,IF(ISNUMBER(SEARCH(SETTINGS!$K$8,D719)),SETTINGS!$L$8,IF(ISNUMBER(SEARCH(SETTINGS!$K$9,D719)),SETTINGS!$L$9,IF(ISNUMBER(SEARCH(SETTINGS!$K$10,D719)),SETTINGS!$L$10,IF(ISNUMBER(SEARCH(SETTINGS!$K$11,D719)),SETTINGS!$L$11,IF(ISNUMBER(SEARCH(SETTINGS!$K$12,D719)),SETTINGS!$L$12,IF(ISNUMBER(SEARCH(SETTINGS!$K$13,D719)),SETTINGS!$L$13,IF(ISNUMBER(SEARCH(SETTINGS!$K$14,D719)),SETTINGS!$L$14,IF(ISNUMBER(SEARCH(SETTINGS!$K$15,D719)),SETTINGS!$L$15,IF(ISNUMBER(SEARCH(SETTINGS!$K$16,D719)),SETTINGS!$L$16,IF(ISNUMBER(SEARCH(SETTINGS!$K$17,D719)),SETTINGS!$L$17,IF(ISNUMBER(SEARCH(SETTINGS!$K$18,D719)),SETTINGS!$L$18,"Miscellaneous"))))))))))))))))</f>
        <v/>
      </c>
      <c r="I719" s="44" t="str">
        <f t="shared" si="88"/>
        <v/>
      </c>
      <c r="J719" s="9"/>
      <c r="K719" s="9"/>
      <c r="L719" s="9"/>
      <c r="M719" s="9"/>
      <c r="N719" s="9"/>
      <c r="O719" s="9"/>
      <c r="P719" s="13"/>
      <c r="Q719" s="9"/>
      <c r="R719" s="9"/>
      <c r="S719" s="9"/>
      <c r="T719" s="11"/>
      <c r="U719" s="44" t="str">
        <f t="shared" si="89"/>
        <v/>
      </c>
      <c r="V719" s="44" t="str">
        <f t="shared" si="90"/>
        <v/>
      </c>
      <c r="W719" s="44" t="str">
        <f t="shared" si="91"/>
        <v/>
      </c>
      <c r="X719" s="44" t="str">
        <f t="shared" si="92"/>
        <v/>
      </c>
      <c r="Y719" s="44" t="str">
        <f t="shared" si="93"/>
        <v/>
      </c>
      <c r="Z719" s="44" t="str">
        <f t="shared" si="94"/>
        <v/>
      </c>
      <c r="AA719" s="50" t="str">
        <f t="shared" si="95"/>
        <v/>
      </c>
      <c r="AB719" s="50" t="str">
        <f>IF(OR(B719="",C719&lt;&gt;"Expense"),"",IF(E719&gt;IFERROR(AVERAGEIFS($E$8:$E$1007,$I$8:$I$1007,I719,$C$8:$C$1007,"Expense")*SETTINGS!$B$20,0),"Unusually High","Normal"))</f>
        <v/>
      </c>
      <c r="AC719" s="51"/>
      <c r="AD719" s="51"/>
      <c r="AE719" s="51"/>
      <c r="AF719" s="50" t="str">
        <f>IF(A719&lt;&gt;"Yes","No",IF(AND(AC719="Yes",SETTINGS!$B$16="No"),"No","Yes"))</f>
        <v>No</v>
      </c>
      <c r="AG719" s="50" t="str">
        <f>IF(A719&lt;&gt;"Yes","",IF(OR(B719="",D719="",E719&lt;=0,F719="",I719=""),"Check Required Fields",IF(AA719="Possible Duplicate","Possible Duplicate",IF(E719&gt;SETTINGS!$B$22,"Review Extreme Value","OK"))))</f>
        <v/>
      </c>
    </row>
    <row r="720" spans="1:33" ht="14.4">
      <c r="A720" s="9"/>
      <c r="B720" s="13"/>
      <c r="C720" s="9"/>
      <c r="D720" s="9"/>
      <c r="E720" s="11"/>
      <c r="F720" s="9"/>
      <c r="G720" s="9"/>
      <c r="H720" s="44" t="str">
        <f>IF(D720="","",IF(ISNUMBER(SEARCH(SETTINGS!$K$4,D720)),SETTINGS!$L$4,IF(ISNUMBER(SEARCH(SETTINGS!$K$5,D720)),SETTINGS!$L$5,IF(ISNUMBER(SEARCH(SETTINGS!$K$6,D720)),SETTINGS!$L$6,IF(ISNUMBER(SEARCH(SETTINGS!$K$7,D720)),SETTINGS!$L$7,IF(ISNUMBER(SEARCH(SETTINGS!$K$8,D720)),SETTINGS!$L$8,IF(ISNUMBER(SEARCH(SETTINGS!$K$9,D720)),SETTINGS!$L$9,IF(ISNUMBER(SEARCH(SETTINGS!$K$10,D720)),SETTINGS!$L$10,IF(ISNUMBER(SEARCH(SETTINGS!$K$11,D720)),SETTINGS!$L$11,IF(ISNUMBER(SEARCH(SETTINGS!$K$12,D720)),SETTINGS!$L$12,IF(ISNUMBER(SEARCH(SETTINGS!$K$13,D720)),SETTINGS!$L$13,IF(ISNUMBER(SEARCH(SETTINGS!$K$14,D720)),SETTINGS!$L$14,IF(ISNUMBER(SEARCH(SETTINGS!$K$15,D720)),SETTINGS!$L$15,IF(ISNUMBER(SEARCH(SETTINGS!$K$16,D720)),SETTINGS!$L$16,IF(ISNUMBER(SEARCH(SETTINGS!$K$17,D720)),SETTINGS!$L$17,IF(ISNUMBER(SEARCH(SETTINGS!$K$18,D720)),SETTINGS!$L$18,"Miscellaneous"))))))))))))))))</f>
        <v/>
      </c>
      <c r="I720" s="44" t="str">
        <f t="shared" si="88"/>
        <v/>
      </c>
      <c r="J720" s="9"/>
      <c r="K720" s="9"/>
      <c r="L720" s="9"/>
      <c r="M720" s="9"/>
      <c r="N720" s="9"/>
      <c r="O720" s="9"/>
      <c r="P720" s="13"/>
      <c r="Q720" s="9"/>
      <c r="R720" s="9"/>
      <c r="S720" s="9"/>
      <c r="T720" s="11"/>
      <c r="U720" s="44" t="str">
        <f t="shared" si="89"/>
        <v/>
      </c>
      <c r="V720" s="44" t="str">
        <f t="shared" si="90"/>
        <v/>
      </c>
      <c r="W720" s="44" t="str">
        <f t="shared" si="91"/>
        <v/>
      </c>
      <c r="X720" s="44" t="str">
        <f t="shared" si="92"/>
        <v/>
      </c>
      <c r="Y720" s="44" t="str">
        <f t="shared" si="93"/>
        <v/>
      </c>
      <c r="Z720" s="44" t="str">
        <f t="shared" si="94"/>
        <v/>
      </c>
      <c r="AA720" s="50" t="str">
        <f t="shared" si="95"/>
        <v/>
      </c>
      <c r="AB720" s="50" t="str">
        <f>IF(OR(B720="",C720&lt;&gt;"Expense"),"",IF(E720&gt;IFERROR(AVERAGEIFS($E$8:$E$1007,$I$8:$I$1007,I720,$C$8:$C$1007,"Expense")*SETTINGS!$B$20,0),"Unusually High","Normal"))</f>
        <v/>
      </c>
      <c r="AC720" s="51"/>
      <c r="AD720" s="51"/>
      <c r="AE720" s="51"/>
      <c r="AF720" s="50" t="str">
        <f>IF(A720&lt;&gt;"Yes","No",IF(AND(AC720="Yes",SETTINGS!$B$16="No"),"No","Yes"))</f>
        <v>No</v>
      </c>
      <c r="AG720" s="50" t="str">
        <f>IF(A720&lt;&gt;"Yes","",IF(OR(B720="",D720="",E720&lt;=0,F720="",I720=""),"Check Required Fields",IF(AA720="Possible Duplicate","Possible Duplicate",IF(E720&gt;SETTINGS!$B$22,"Review Extreme Value","OK"))))</f>
        <v/>
      </c>
    </row>
    <row r="721" spans="1:33" ht="14.4">
      <c r="A721" s="9"/>
      <c r="B721" s="13"/>
      <c r="C721" s="9"/>
      <c r="D721" s="9"/>
      <c r="E721" s="11"/>
      <c r="F721" s="9"/>
      <c r="G721" s="9"/>
      <c r="H721" s="44" t="str">
        <f>IF(D721="","",IF(ISNUMBER(SEARCH(SETTINGS!$K$4,D721)),SETTINGS!$L$4,IF(ISNUMBER(SEARCH(SETTINGS!$K$5,D721)),SETTINGS!$L$5,IF(ISNUMBER(SEARCH(SETTINGS!$K$6,D721)),SETTINGS!$L$6,IF(ISNUMBER(SEARCH(SETTINGS!$K$7,D721)),SETTINGS!$L$7,IF(ISNUMBER(SEARCH(SETTINGS!$K$8,D721)),SETTINGS!$L$8,IF(ISNUMBER(SEARCH(SETTINGS!$K$9,D721)),SETTINGS!$L$9,IF(ISNUMBER(SEARCH(SETTINGS!$K$10,D721)),SETTINGS!$L$10,IF(ISNUMBER(SEARCH(SETTINGS!$K$11,D721)),SETTINGS!$L$11,IF(ISNUMBER(SEARCH(SETTINGS!$K$12,D721)),SETTINGS!$L$12,IF(ISNUMBER(SEARCH(SETTINGS!$K$13,D721)),SETTINGS!$L$13,IF(ISNUMBER(SEARCH(SETTINGS!$K$14,D721)),SETTINGS!$L$14,IF(ISNUMBER(SEARCH(SETTINGS!$K$15,D721)),SETTINGS!$L$15,IF(ISNUMBER(SEARCH(SETTINGS!$K$16,D721)),SETTINGS!$L$16,IF(ISNUMBER(SEARCH(SETTINGS!$K$17,D721)),SETTINGS!$L$17,IF(ISNUMBER(SEARCH(SETTINGS!$K$18,D721)),SETTINGS!$L$18,"Miscellaneous"))))))))))))))))</f>
        <v/>
      </c>
      <c r="I721" s="44" t="str">
        <f t="shared" si="88"/>
        <v/>
      </c>
      <c r="J721" s="9"/>
      <c r="K721" s="9"/>
      <c r="L721" s="9"/>
      <c r="M721" s="9"/>
      <c r="N721" s="9"/>
      <c r="O721" s="9"/>
      <c r="P721" s="13"/>
      <c r="Q721" s="9"/>
      <c r="R721" s="9"/>
      <c r="S721" s="9"/>
      <c r="T721" s="11"/>
      <c r="U721" s="44" t="str">
        <f t="shared" si="89"/>
        <v/>
      </c>
      <c r="V721" s="44" t="str">
        <f t="shared" si="90"/>
        <v/>
      </c>
      <c r="W721" s="44" t="str">
        <f t="shared" si="91"/>
        <v/>
      </c>
      <c r="X721" s="44" t="str">
        <f t="shared" si="92"/>
        <v/>
      </c>
      <c r="Y721" s="44" t="str">
        <f t="shared" si="93"/>
        <v/>
      </c>
      <c r="Z721" s="44" t="str">
        <f t="shared" si="94"/>
        <v/>
      </c>
      <c r="AA721" s="50" t="str">
        <f t="shared" si="95"/>
        <v/>
      </c>
      <c r="AB721" s="50" t="str">
        <f>IF(OR(B721="",C721&lt;&gt;"Expense"),"",IF(E721&gt;IFERROR(AVERAGEIFS($E$8:$E$1007,$I$8:$I$1007,I721,$C$8:$C$1007,"Expense")*SETTINGS!$B$20,0),"Unusually High","Normal"))</f>
        <v/>
      </c>
      <c r="AC721" s="51"/>
      <c r="AD721" s="51"/>
      <c r="AE721" s="51"/>
      <c r="AF721" s="50" t="str">
        <f>IF(A721&lt;&gt;"Yes","No",IF(AND(AC721="Yes",SETTINGS!$B$16="No"),"No","Yes"))</f>
        <v>No</v>
      </c>
      <c r="AG721" s="50" t="str">
        <f>IF(A721&lt;&gt;"Yes","",IF(OR(B721="",D721="",E721&lt;=0,F721="",I721=""),"Check Required Fields",IF(AA721="Possible Duplicate","Possible Duplicate",IF(E721&gt;SETTINGS!$B$22,"Review Extreme Value","OK"))))</f>
        <v/>
      </c>
    </row>
    <row r="722" spans="1:33" ht="14.4">
      <c r="A722" s="9"/>
      <c r="B722" s="13"/>
      <c r="C722" s="9"/>
      <c r="D722" s="9"/>
      <c r="E722" s="11"/>
      <c r="F722" s="9"/>
      <c r="G722" s="9"/>
      <c r="H722" s="44" t="str">
        <f>IF(D722="","",IF(ISNUMBER(SEARCH(SETTINGS!$K$4,D722)),SETTINGS!$L$4,IF(ISNUMBER(SEARCH(SETTINGS!$K$5,D722)),SETTINGS!$L$5,IF(ISNUMBER(SEARCH(SETTINGS!$K$6,D722)),SETTINGS!$L$6,IF(ISNUMBER(SEARCH(SETTINGS!$K$7,D722)),SETTINGS!$L$7,IF(ISNUMBER(SEARCH(SETTINGS!$K$8,D722)),SETTINGS!$L$8,IF(ISNUMBER(SEARCH(SETTINGS!$K$9,D722)),SETTINGS!$L$9,IF(ISNUMBER(SEARCH(SETTINGS!$K$10,D722)),SETTINGS!$L$10,IF(ISNUMBER(SEARCH(SETTINGS!$K$11,D722)),SETTINGS!$L$11,IF(ISNUMBER(SEARCH(SETTINGS!$K$12,D722)),SETTINGS!$L$12,IF(ISNUMBER(SEARCH(SETTINGS!$K$13,D722)),SETTINGS!$L$13,IF(ISNUMBER(SEARCH(SETTINGS!$K$14,D722)),SETTINGS!$L$14,IF(ISNUMBER(SEARCH(SETTINGS!$K$15,D722)),SETTINGS!$L$15,IF(ISNUMBER(SEARCH(SETTINGS!$K$16,D722)),SETTINGS!$L$16,IF(ISNUMBER(SEARCH(SETTINGS!$K$17,D722)),SETTINGS!$L$17,IF(ISNUMBER(SEARCH(SETTINGS!$K$18,D722)),SETTINGS!$L$18,"Miscellaneous"))))))))))))))))</f>
        <v/>
      </c>
      <c r="I722" s="44" t="str">
        <f t="shared" si="88"/>
        <v/>
      </c>
      <c r="J722" s="9"/>
      <c r="K722" s="9"/>
      <c r="L722" s="9"/>
      <c r="M722" s="9"/>
      <c r="N722" s="9"/>
      <c r="O722" s="9"/>
      <c r="P722" s="13"/>
      <c r="Q722" s="9"/>
      <c r="R722" s="9"/>
      <c r="S722" s="9"/>
      <c r="T722" s="11"/>
      <c r="U722" s="44" t="str">
        <f t="shared" si="89"/>
        <v/>
      </c>
      <c r="V722" s="44" t="str">
        <f t="shared" si="90"/>
        <v/>
      </c>
      <c r="W722" s="44" t="str">
        <f t="shared" si="91"/>
        <v/>
      </c>
      <c r="X722" s="44" t="str">
        <f t="shared" si="92"/>
        <v/>
      </c>
      <c r="Y722" s="44" t="str">
        <f t="shared" si="93"/>
        <v/>
      </c>
      <c r="Z722" s="44" t="str">
        <f t="shared" si="94"/>
        <v/>
      </c>
      <c r="AA722" s="50" t="str">
        <f t="shared" si="95"/>
        <v/>
      </c>
      <c r="AB722" s="50" t="str">
        <f>IF(OR(B722="",C722&lt;&gt;"Expense"),"",IF(E722&gt;IFERROR(AVERAGEIFS($E$8:$E$1007,$I$8:$I$1007,I722,$C$8:$C$1007,"Expense")*SETTINGS!$B$20,0),"Unusually High","Normal"))</f>
        <v/>
      </c>
      <c r="AC722" s="51"/>
      <c r="AD722" s="51"/>
      <c r="AE722" s="51"/>
      <c r="AF722" s="50" t="str">
        <f>IF(A722&lt;&gt;"Yes","No",IF(AND(AC722="Yes",SETTINGS!$B$16="No"),"No","Yes"))</f>
        <v>No</v>
      </c>
      <c r="AG722" s="50" t="str">
        <f>IF(A722&lt;&gt;"Yes","",IF(OR(B722="",D722="",E722&lt;=0,F722="",I722=""),"Check Required Fields",IF(AA722="Possible Duplicate","Possible Duplicate",IF(E722&gt;SETTINGS!$B$22,"Review Extreme Value","OK"))))</f>
        <v/>
      </c>
    </row>
    <row r="723" spans="1:33" ht="14.4">
      <c r="A723" s="9"/>
      <c r="B723" s="13"/>
      <c r="C723" s="9"/>
      <c r="D723" s="9"/>
      <c r="E723" s="11"/>
      <c r="F723" s="9"/>
      <c r="G723" s="9"/>
      <c r="H723" s="44" t="str">
        <f>IF(D723="","",IF(ISNUMBER(SEARCH(SETTINGS!$K$4,D723)),SETTINGS!$L$4,IF(ISNUMBER(SEARCH(SETTINGS!$K$5,D723)),SETTINGS!$L$5,IF(ISNUMBER(SEARCH(SETTINGS!$K$6,D723)),SETTINGS!$L$6,IF(ISNUMBER(SEARCH(SETTINGS!$K$7,D723)),SETTINGS!$L$7,IF(ISNUMBER(SEARCH(SETTINGS!$K$8,D723)),SETTINGS!$L$8,IF(ISNUMBER(SEARCH(SETTINGS!$K$9,D723)),SETTINGS!$L$9,IF(ISNUMBER(SEARCH(SETTINGS!$K$10,D723)),SETTINGS!$L$10,IF(ISNUMBER(SEARCH(SETTINGS!$K$11,D723)),SETTINGS!$L$11,IF(ISNUMBER(SEARCH(SETTINGS!$K$12,D723)),SETTINGS!$L$12,IF(ISNUMBER(SEARCH(SETTINGS!$K$13,D723)),SETTINGS!$L$13,IF(ISNUMBER(SEARCH(SETTINGS!$K$14,D723)),SETTINGS!$L$14,IF(ISNUMBER(SEARCH(SETTINGS!$K$15,D723)),SETTINGS!$L$15,IF(ISNUMBER(SEARCH(SETTINGS!$K$16,D723)),SETTINGS!$L$16,IF(ISNUMBER(SEARCH(SETTINGS!$K$17,D723)),SETTINGS!$L$17,IF(ISNUMBER(SEARCH(SETTINGS!$K$18,D723)),SETTINGS!$L$18,"Miscellaneous"))))))))))))))))</f>
        <v/>
      </c>
      <c r="I723" s="44" t="str">
        <f t="shared" si="88"/>
        <v/>
      </c>
      <c r="J723" s="9"/>
      <c r="K723" s="9"/>
      <c r="L723" s="9"/>
      <c r="M723" s="9"/>
      <c r="N723" s="9"/>
      <c r="O723" s="9"/>
      <c r="P723" s="13"/>
      <c r="Q723" s="9"/>
      <c r="R723" s="9"/>
      <c r="S723" s="9"/>
      <c r="T723" s="11"/>
      <c r="U723" s="44" t="str">
        <f t="shared" si="89"/>
        <v/>
      </c>
      <c r="V723" s="44" t="str">
        <f t="shared" si="90"/>
        <v/>
      </c>
      <c r="W723" s="44" t="str">
        <f t="shared" si="91"/>
        <v/>
      </c>
      <c r="X723" s="44" t="str">
        <f t="shared" si="92"/>
        <v/>
      </c>
      <c r="Y723" s="44" t="str">
        <f t="shared" si="93"/>
        <v/>
      </c>
      <c r="Z723" s="44" t="str">
        <f t="shared" si="94"/>
        <v/>
      </c>
      <c r="AA723" s="50" t="str">
        <f t="shared" si="95"/>
        <v/>
      </c>
      <c r="AB723" s="50" t="str">
        <f>IF(OR(B723="",C723&lt;&gt;"Expense"),"",IF(E723&gt;IFERROR(AVERAGEIFS($E$8:$E$1007,$I$8:$I$1007,I723,$C$8:$C$1007,"Expense")*SETTINGS!$B$20,0),"Unusually High","Normal"))</f>
        <v/>
      </c>
      <c r="AC723" s="51"/>
      <c r="AD723" s="51"/>
      <c r="AE723" s="51"/>
      <c r="AF723" s="50" t="str">
        <f>IF(A723&lt;&gt;"Yes","No",IF(AND(AC723="Yes",SETTINGS!$B$16="No"),"No","Yes"))</f>
        <v>No</v>
      </c>
      <c r="AG723" s="50" t="str">
        <f>IF(A723&lt;&gt;"Yes","",IF(OR(B723="",D723="",E723&lt;=0,F723="",I723=""),"Check Required Fields",IF(AA723="Possible Duplicate","Possible Duplicate",IF(E723&gt;SETTINGS!$B$22,"Review Extreme Value","OK"))))</f>
        <v/>
      </c>
    </row>
    <row r="724" spans="1:33" ht="14.4">
      <c r="A724" s="9"/>
      <c r="B724" s="13"/>
      <c r="C724" s="9"/>
      <c r="D724" s="9"/>
      <c r="E724" s="11"/>
      <c r="F724" s="9"/>
      <c r="G724" s="9"/>
      <c r="H724" s="44" t="str">
        <f>IF(D724="","",IF(ISNUMBER(SEARCH(SETTINGS!$K$4,D724)),SETTINGS!$L$4,IF(ISNUMBER(SEARCH(SETTINGS!$K$5,D724)),SETTINGS!$L$5,IF(ISNUMBER(SEARCH(SETTINGS!$K$6,D724)),SETTINGS!$L$6,IF(ISNUMBER(SEARCH(SETTINGS!$K$7,D724)),SETTINGS!$L$7,IF(ISNUMBER(SEARCH(SETTINGS!$K$8,D724)),SETTINGS!$L$8,IF(ISNUMBER(SEARCH(SETTINGS!$K$9,D724)),SETTINGS!$L$9,IF(ISNUMBER(SEARCH(SETTINGS!$K$10,D724)),SETTINGS!$L$10,IF(ISNUMBER(SEARCH(SETTINGS!$K$11,D724)),SETTINGS!$L$11,IF(ISNUMBER(SEARCH(SETTINGS!$K$12,D724)),SETTINGS!$L$12,IF(ISNUMBER(SEARCH(SETTINGS!$K$13,D724)),SETTINGS!$L$13,IF(ISNUMBER(SEARCH(SETTINGS!$K$14,D724)),SETTINGS!$L$14,IF(ISNUMBER(SEARCH(SETTINGS!$K$15,D724)),SETTINGS!$L$15,IF(ISNUMBER(SEARCH(SETTINGS!$K$16,D724)),SETTINGS!$L$16,IF(ISNUMBER(SEARCH(SETTINGS!$K$17,D724)),SETTINGS!$L$17,IF(ISNUMBER(SEARCH(SETTINGS!$K$18,D724)),SETTINGS!$L$18,"Miscellaneous"))))))))))))))))</f>
        <v/>
      </c>
      <c r="I724" s="44" t="str">
        <f t="shared" si="88"/>
        <v/>
      </c>
      <c r="J724" s="9"/>
      <c r="K724" s="9"/>
      <c r="L724" s="9"/>
      <c r="M724" s="9"/>
      <c r="N724" s="9"/>
      <c r="O724" s="9"/>
      <c r="P724" s="13"/>
      <c r="Q724" s="9"/>
      <c r="R724" s="9"/>
      <c r="S724" s="9"/>
      <c r="T724" s="11"/>
      <c r="U724" s="44" t="str">
        <f t="shared" si="89"/>
        <v/>
      </c>
      <c r="V724" s="44" t="str">
        <f t="shared" si="90"/>
        <v/>
      </c>
      <c r="W724" s="44" t="str">
        <f t="shared" si="91"/>
        <v/>
      </c>
      <c r="X724" s="44" t="str">
        <f t="shared" si="92"/>
        <v/>
      </c>
      <c r="Y724" s="44" t="str">
        <f t="shared" si="93"/>
        <v/>
      </c>
      <c r="Z724" s="44" t="str">
        <f t="shared" si="94"/>
        <v/>
      </c>
      <c r="AA724" s="50" t="str">
        <f t="shared" si="95"/>
        <v/>
      </c>
      <c r="AB724" s="50" t="str">
        <f>IF(OR(B724="",C724&lt;&gt;"Expense"),"",IF(E724&gt;IFERROR(AVERAGEIFS($E$8:$E$1007,$I$8:$I$1007,I724,$C$8:$C$1007,"Expense")*SETTINGS!$B$20,0),"Unusually High","Normal"))</f>
        <v/>
      </c>
      <c r="AC724" s="51"/>
      <c r="AD724" s="51"/>
      <c r="AE724" s="51"/>
      <c r="AF724" s="50" t="str">
        <f>IF(A724&lt;&gt;"Yes","No",IF(AND(AC724="Yes",SETTINGS!$B$16="No"),"No","Yes"))</f>
        <v>No</v>
      </c>
      <c r="AG724" s="50" t="str">
        <f>IF(A724&lt;&gt;"Yes","",IF(OR(B724="",D724="",E724&lt;=0,F724="",I724=""),"Check Required Fields",IF(AA724="Possible Duplicate","Possible Duplicate",IF(E724&gt;SETTINGS!$B$22,"Review Extreme Value","OK"))))</f>
        <v/>
      </c>
    </row>
    <row r="725" spans="1:33" ht="14.4">
      <c r="A725" s="9"/>
      <c r="B725" s="13"/>
      <c r="C725" s="9"/>
      <c r="D725" s="9"/>
      <c r="E725" s="11"/>
      <c r="F725" s="9"/>
      <c r="G725" s="9"/>
      <c r="H725" s="44" t="str">
        <f>IF(D725="","",IF(ISNUMBER(SEARCH(SETTINGS!$K$4,D725)),SETTINGS!$L$4,IF(ISNUMBER(SEARCH(SETTINGS!$K$5,D725)),SETTINGS!$L$5,IF(ISNUMBER(SEARCH(SETTINGS!$K$6,D725)),SETTINGS!$L$6,IF(ISNUMBER(SEARCH(SETTINGS!$K$7,D725)),SETTINGS!$L$7,IF(ISNUMBER(SEARCH(SETTINGS!$K$8,D725)),SETTINGS!$L$8,IF(ISNUMBER(SEARCH(SETTINGS!$K$9,D725)),SETTINGS!$L$9,IF(ISNUMBER(SEARCH(SETTINGS!$K$10,D725)),SETTINGS!$L$10,IF(ISNUMBER(SEARCH(SETTINGS!$K$11,D725)),SETTINGS!$L$11,IF(ISNUMBER(SEARCH(SETTINGS!$K$12,D725)),SETTINGS!$L$12,IF(ISNUMBER(SEARCH(SETTINGS!$K$13,D725)),SETTINGS!$L$13,IF(ISNUMBER(SEARCH(SETTINGS!$K$14,D725)),SETTINGS!$L$14,IF(ISNUMBER(SEARCH(SETTINGS!$K$15,D725)),SETTINGS!$L$15,IF(ISNUMBER(SEARCH(SETTINGS!$K$16,D725)),SETTINGS!$L$16,IF(ISNUMBER(SEARCH(SETTINGS!$K$17,D725)),SETTINGS!$L$17,IF(ISNUMBER(SEARCH(SETTINGS!$K$18,D725)),SETTINGS!$L$18,"Miscellaneous"))))))))))))))))</f>
        <v/>
      </c>
      <c r="I725" s="44" t="str">
        <f t="shared" si="88"/>
        <v/>
      </c>
      <c r="J725" s="9"/>
      <c r="K725" s="9"/>
      <c r="L725" s="9"/>
      <c r="M725" s="9"/>
      <c r="N725" s="9"/>
      <c r="O725" s="9"/>
      <c r="P725" s="13"/>
      <c r="Q725" s="9"/>
      <c r="R725" s="9"/>
      <c r="S725" s="9"/>
      <c r="T725" s="11"/>
      <c r="U725" s="44" t="str">
        <f t="shared" si="89"/>
        <v/>
      </c>
      <c r="V725" s="44" t="str">
        <f t="shared" si="90"/>
        <v/>
      </c>
      <c r="W725" s="44" t="str">
        <f t="shared" si="91"/>
        <v/>
      </c>
      <c r="X725" s="44" t="str">
        <f t="shared" si="92"/>
        <v/>
      </c>
      <c r="Y725" s="44" t="str">
        <f t="shared" si="93"/>
        <v/>
      </c>
      <c r="Z725" s="44" t="str">
        <f t="shared" si="94"/>
        <v/>
      </c>
      <c r="AA725" s="50" t="str">
        <f t="shared" si="95"/>
        <v/>
      </c>
      <c r="AB725" s="50" t="str">
        <f>IF(OR(B725="",C725&lt;&gt;"Expense"),"",IF(E725&gt;IFERROR(AVERAGEIFS($E$8:$E$1007,$I$8:$I$1007,I725,$C$8:$C$1007,"Expense")*SETTINGS!$B$20,0),"Unusually High","Normal"))</f>
        <v/>
      </c>
      <c r="AC725" s="51"/>
      <c r="AD725" s="51"/>
      <c r="AE725" s="51"/>
      <c r="AF725" s="50" t="str">
        <f>IF(A725&lt;&gt;"Yes","No",IF(AND(AC725="Yes",SETTINGS!$B$16="No"),"No","Yes"))</f>
        <v>No</v>
      </c>
      <c r="AG725" s="50" t="str">
        <f>IF(A725&lt;&gt;"Yes","",IF(OR(B725="",D725="",E725&lt;=0,F725="",I725=""),"Check Required Fields",IF(AA725="Possible Duplicate","Possible Duplicate",IF(E725&gt;SETTINGS!$B$22,"Review Extreme Value","OK"))))</f>
        <v/>
      </c>
    </row>
    <row r="726" spans="1:33" ht="14.4">
      <c r="A726" s="9"/>
      <c r="B726" s="13"/>
      <c r="C726" s="9"/>
      <c r="D726" s="9"/>
      <c r="E726" s="11"/>
      <c r="F726" s="9"/>
      <c r="G726" s="9"/>
      <c r="H726" s="44" t="str">
        <f>IF(D726="","",IF(ISNUMBER(SEARCH(SETTINGS!$K$4,D726)),SETTINGS!$L$4,IF(ISNUMBER(SEARCH(SETTINGS!$K$5,D726)),SETTINGS!$L$5,IF(ISNUMBER(SEARCH(SETTINGS!$K$6,D726)),SETTINGS!$L$6,IF(ISNUMBER(SEARCH(SETTINGS!$K$7,D726)),SETTINGS!$L$7,IF(ISNUMBER(SEARCH(SETTINGS!$K$8,D726)),SETTINGS!$L$8,IF(ISNUMBER(SEARCH(SETTINGS!$K$9,D726)),SETTINGS!$L$9,IF(ISNUMBER(SEARCH(SETTINGS!$K$10,D726)),SETTINGS!$L$10,IF(ISNUMBER(SEARCH(SETTINGS!$K$11,D726)),SETTINGS!$L$11,IF(ISNUMBER(SEARCH(SETTINGS!$K$12,D726)),SETTINGS!$L$12,IF(ISNUMBER(SEARCH(SETTINGS!$K$13,D726)),SETTINGS!$L$13,IF(ISNUMBER(SEARCH(SETTINGS!$K$14,D726)),SETTINGS!$L$14,IF(ISNUMBER(SEARCH(SETTINGS!$K$15,D726)),SETTINGS!$L$15,IF(ISNUMBER(SEARCH(SETTINGS!$K$16,D726)),SETTINGS!$L$16,IF(ISNUMBER(SEARCH(SETTINGS!$K$17,D726)),SETTINGS!$L$17,IF(ISNUMBER(SEARCH(SETTINGS!$K$18,D726)),SETTINGS!$L$18,"Miscellaneous"))))))))))))))))</f>
        <v/>
      </c>
      <c r="I726" s="44" t="str">
        <f t="shared" si="88"/>
        <v/>
      </c>
      <c r="J726" s="9"/>
      <c r="K726" s="9"/>
      <c r="L726" s="9"/>
      <c r="M726" s="9"/>
      <c r="N726" s="9"/>
      <c r="O726" s="9"/>
      <c r="P726" s="13"/>
      <c r="Q726" s="9"/>
      <c r="R726" s="9"/>
      <c r="S726" s="9"/>
      <c r="T726" s="11"/>
      <c r="U726" s="44" t="str">
        <f t="shared" si="89"/>
        <v/>
      </c>
      <c r="V726" s="44" t="str">
        <f t="shared" si="90"/>
        <v/>
      </c>
      <c r="W726" s="44" t="str">
        <f t="shared" si="91"/>
        <v/>
      </c>
      <c r="X726" s="44" t="str">
        <f t="shared" si="92"/>
        <v/>
      </c>
      <c r="Y726" s="44" t="str">
        <f t="shared" si="93"/>
        <v/>
      </c>
      <c r="Z726" s="44" t="str">
        <f t="shared" si="94"/>
        <v/>
      </c>
      <c r="AA726" s="50" t="str">
        <f t="shared" si="95"/>
        <v/>
      </c>
      <c r="AB726" s="50" t="str">
        <f>IF(OR(B726="",C726&lt;&gt;"Expense"),"",IF(E726&gt;IFERROR(AVERAGEIFS($E$8:$E$1007,$I$8:$I$1007,I726,$C$8:$C$1007,"Expense")*SETTINGS!$B$20,0),"Unusually High","Normal"))</f>
        <v/>
      </c>
      <c r="AC726" s="51"/>
      <c r="AD726" s="51"/>
      <c r="AE726" s="51"/>
      <c r="AF726" s="50" t="str">
        <f>IF(A726&lt;&gt;"Yes","No",IF(AND(AC726="Yes",SETTINGS!$B$16="No"),"No","Yes"))</f>
        <v>No</v>
      </c>
      <c r="AG726" s="50" t="str">
        <f>IF(A726&lt;&gt;"Yes","",IF(OR(B726="",D726="",E726&lt;=0,F726="",I726=""),"Check Required Fields",IF(AA726="Possible Duplicate","Possible Duplicate",IF(E726&gt;SETTINGS!$B$22,"Review Extreme Value","OK"))))</f>
        <v/>
      </c>
    </row>
    <row r="727" spans="1:33" ht="14.4">
      <c r="A727" s="9"/>
      <c r="B727" s="13"/>
      <c r="C727" s="9"/>
      <c r="D727" s="9"/>
      <c r="E727" s="11"/>
      <c r="F727" s="9"/>
      <c r="G727" s="9"/>
      <c r="H727" s="44" t="str">
        <f>IF(D727="","",IF(ISNUMBER(SEARCH(SETTINGS!$K$4,D727)),SETTINGS!$L$4,IF(ISNUMBER(SEARCH(SETTINGS!$K$5,D727)),SETTINGS!$L$5,IF(ISNUMBER(SEARCH(SETTINGS!$K$6,D727)),SETTINGS!$L$6,IF(ISNUMBER(SEARCH(SETTINGS!$K$7,D727)),SETTINGS!$L$7,IF(ISNUMBER(SEARCH(SETTINGS!$K$8,D727)),SETTINGS!$L$8,IF(ISNUMBER(SEARCH(SETTINGS!$K$9,D727)),SETTINGS!$L$9,IF(ISNUMBER(SEARCH(SETTINGS!$K$10,D727)),SETTINGS!$L$10,IF(ISNUMBER(SEARCH(SETTINGS!$K$11,D727)),SETTINGS!$L$11,IF(ISNUMBER(SEARCH(SETTINGS!$K$12,D727)),SETTINGS!$L$12,IF(ISNUMBER(SEARCH(SETTINGS!$K$13,D727)),SETTINGS!$L$13,IF(ISNUMBER(SEARCH(SETTINGS!$K$14,D727)),SETTINGS!$L$14,IF(ISNUMBER(SEARCH(SETTINGS!$K$15,D727)),SETTINGS!$L$15,IF(ISNUMBER(SEARCH(SETTINGS!$K$16,D727)),SETTINGS!$L$16,IF(ISNUMBER(SEARCH(SETTINGS!$K$17,D727)),SETTINGS!$L$17,IF(ISNUMBER(SEARCH(SETTINGS!$K$18,D727)),SETTINGS!$L$18,"Miscellaneous"))))))))))))))))</f>
        <v/>
      </c>
      <c r="I727" s="44" t="str">
        <f t="shared" si="88"/>
        <v/>
      </c>
      <c r="J727" s="9"/>
      <c r="K727" s="9"/>
      <c r="L727" s="9"/>
      <c r="M727" s="9"/>
      <c r="N727" s="9"/>
      <c r="O727" s="9"/>
      <c r="P727" s="13"/>
      <c r="Q727" s="9"/>
      <c r="R727" s="9"/>
      <c r="S727" s="9"/>
      <c r="T727" s="11"/>
      <c r="U727" s="44" t="str">
        <f t="shared" si="89"/>
        <v/>
      </c>
      <c r="V727" s="44" t="str">
        <f t="shared" si="90"/>
        <v/>
      </c>
      <c r="W727" s="44" t="str">
        <f t="shared" si="91"/>
        <v/>
      </c>
      <c r="X727" s="44" t="str">
        <f t="shared" si="92"/>
        <v/>
      </c>
      <c r="Y727" s="44" t="str">
        <f t="shared" si="93"/>
        <v/>
      </c>
      <c r="Z727" s="44" t="str">
        <f t="shared" si="94"/>
        <v/>
      </c>
      <c r="AA727" s="50" t="str">
        <f t="shared" si="95"/>
        <v/>
      </c>
      <c r="AB727" s="50" t="str">
        <f>IF(OR(B727="",C727&lt;&gt;"Expense"),"",IF(E727&gt;IFERROR(AVERAGEIFS($E$8:$E$1007,$I$8:$I$1007,I727,$C$8:$C$1007,"Expense")*SETTINGS!$B$20,0),"Unusually High","Normal"))</f>
        <v/>
      </c>
      <c r="AC727" s="51"/>
      <c r="AD727" s="51"/>
      <c r="AE727" s="51"/>
      <c r="AF727" s="50" t="str">
        <f>IF(A727&lt;&gt;"Yes","No",IF(AND(AC727="Yes",SETTINGS!$B$16="No"),"No","Yes"))</f>
        <v>No</v>
      </c>
      <c r="AG727" s="50" t="str">
        <f>IF(A727&lt;&gt;"Yes","",IF(OR(B727="",D727="",E727&lt;=0,F727="",I727=""),"Check Required Fields",IF(AA727="Possible Duplicate","Possible Duplicate",IF(E727&gt;SETTINGS!$B$22,"Review Extreme Value","OK"))))</f>
        <v/>
      </c>
    </row>
    <row r="728" spans="1:33" ht="14.4">
      <c r="A728" s="9"/>
      <c r="B728" s="13"/>
      <c r="C728" s="9"/>
      <c r="D728" s="9"/>
      <c r="E728" s="11"/>
      <c r="F728" s="9"/>
      <c r="G728" s="9"/>
      <c r="H728" s="44" t="str">
        <f>IF(D728="","",IF(ISNUMBER(SEARCH(SETTINGS!$K$4,D728)),SETTINGS!$L$4,IF(ISNUMBER(SEARCH(SETTINGS!$K$5,D728)),SETTINGS!$L$5,IF(ISNUMBER(SEARCH(SETTINGS!$K$6,D728)),SETTINGS!$L$6,IF(ISNUMBER(SEARCH(SETTINGS!$K$7,D728)),SETTINGS!$L$7,IF(ISNUMBER(SEARCH(SETTINGS!$K$8,D728)),SETTINGS!$L$8,IF(ISNUMBER(SEARCH(SETTINGS!$K$9,D728)),SETTINGS!$L$9,IF(ISNUMBER(SEARCH(SETTINGS!$K$10,D728)),SETTINGS!$L$10,IF(ISNUMBER(SEARCH(SETTINGS!$K$11,D728)),SETTINGS!$L$11,IF(ISNUMBER(SEARCH(SETTINGS!$K$12,D728)),SETTINGS!$L$12,IF(ISNUMBER(SEARCH(SETTINGS!$K$13,D728)),SETTINGS!$L$13,IF(ISNUMBER(SEARCH(SETTINGS!$K$14,D728)),SETTINGS!$L$14,IF(ISNUMBER(SEARCH(SETTINGS!$K$15,D728)),SETTINGS!$L$15,IF(ISNUMBER(SEARCH(SETTINGS!$K$16,D728)),SETTINGS!$L$16,IF(ISNUMBER(SEARCH(SETTINGS!$K$17,D728)),SETTINGS!$L$17,IF(ISNUMBER(SEARCH(SETTINGS!$K$18,D728)),SETTINGS!$L$18,"Miscellaneous"))))))))))))))))</f>
        <v/>
      </c>
      <c r="I728" s="44" t="str">
        <f t="shared" si="88"/>
        <v/>
      </c>
      <c r="J728" s="9"/>
      <c r="K728" s="9"/>
      <c r="L728" s="9"/>
      <c r="M728" s="9"/>
      <c r="N728" s="9"/>
      <c r="O728" s="9"/>
      <c r="P728" s="13"/>
      <c r="Q728" s="9"/>
      <c r="R728" s="9"/>
      <c r="S728" s="9"/>
      <c r="T728" s="11"/>
      <c r="U728" s="44" t="str">
        <f t="shared" si="89"/>
        <v/>
      </c>
      <c r="V728" s="44" t="str">
        <f t="shared" si="90"/>
        <v/>
      </c>
      <c r="W728" s="44" t="str">
        <f t="shared" si="91"/>
        <v/>
      </c>
      <c r="X728" s="44" t="str">
        <f t="shared" si="92"/>
        <v/>
      </c>
      <c r="Y728" s="44" t="str">
        <f t="shared" si="93"/>
        <v/>
      </c>
      <c r="Z728" s="44" t="str">
        <f t="shared" si="94"/>
        <v/>
      </c>
      <c r="AA728" s="50" t="str">
        <f t="shared" si="95"/>
        <v/>
      </c>
      <c r="AB728" s="50" t="str">
        <f>IF(OR(B728="",C728&lt;&gt;"Expense"),"",IF(E728&gt;IFERROR(AVERAGEIFS($E$8:$E$1007,$I$8:$I$1007,I728,$C$8:$C$1007,"Expense")*SETTINGS!$B$20,0),"Unusually High","Normal"))</f>
        <v/>
      </c>
      <c r="AC728" s="51"/>
      <c r="AD728" s="51"/>
      <c r="AE728" s="51"/>
      <c r="AF728" s="50" t="str">
        <f>IF(A728&lt;&gt;"Yes","No",IF(AND(AC728="Yes",SETTINGS!$B$16="No"),"No","Yes"))</f>
        <v>No</v>
      </c>
      <c r="AG728" s="50" t="str">
        <f>IF(A728&lt;&gt;"Yes","",IF(OR(B728="",D728="",E728&lt;=0,F728="",I728=""),"Check Required Fields",IF(AA728="Possible Duplicate","Possible Duplicate",IF(E728&gt;SETTINGS!$B$22,"Review Extreme Value","OK"))))</f>
        <v/>
      </c>
    </row>
    <row r="729" spans="1:33" ht="14.4">
      <c r="A729" s="9"/>
      <c r="B729" s="13"/>
      <c r="C729" s="9"/>
      <c r="D729" s="9"/>
      <c r="E729" s="11"/>
      <c r="F729" s="9"/>
      <c r="G729" s="9"/>
      <c r="H729" s="44" t="str">
        <f>IF(D729="","",IF(ISNUMBER(SEARCH(SETTINGS!$K$4,D729)),SETTINGS!$L$4,IF(ISNUMBER(SEARCH(SETTINGS!$K$5,D729)),SETTINGS!$L$5,IF(ISNUMBER(SEARCH(SETTINGS!$K$6,D729)),SETTINGS!$L$6,IF(ISNUMBER(SEARCH(SETTINGS!$K$7,D729)),SETTINGS!$L$7,IF(ISNUMBER(SEARCH(SETTINGS!$K$8,D729)),SETTINGS!$L$8,IF(ISNUMBER(SEARCH(SETTINGS!$K$9,D729)),SETTINGS!$L$9,IF(ISNUMBER(SEARCH(SETTINGS!$K$10,D729)),SETTINGS!$L$10,IF(ISNUMBER(SEARCH(SETTINGS!$K$11,D729)),SETTINGS!$L$11,IF(ISNUMBER(SEARCH(SETTINGS!$K$12,D729)),SETTINGS!$L$12,IF(ISNUMBER(SEARCH(SETTINGS!$K$13,D729)),SETTINGS!$L$13,IF(ISNUMBER(SEARCH(SETTINGS!$K$14,D729)),SETTINGS!$L$14,IF(ISNUMBER(SEARCH(SETTINGS!$K$15,D729)),SETTINGS!$L$15,IF(ISNUMBER(SEARCH(SETTINGS!$K$16,D729)),SETTINGS!$L$16,IF(ISNUMBER(SEARCH(SETTINGS!$K$17,D729)),SETTINGS!$L$17,IF(ISNUMBER(SEARCH(SETTINGS!$K$18,D729)),SETTINGS!$L$18,"Miscellaneous"))))))))))))))))</f>
        <v/>
      </c>
      <c r="I729" s="44" t="str">
        <f t="shared" si="88"/>
        <v/>
      </c>
      <c r="J729" s="9"/>
      <c r="K729" s="9"/>
      <c r="L729" s="9"/>
      <c r="M729" s="9"/>
      <c r="N729" s="9"/>
      <c r="O729" s="9"/>
      <c r="P729" s="13"/>
      <c r="Q729" s="9"/>
      <c r="R729" s="9"/>
      <c r="S729" s="9"/>
      <c r="T729" s="11"/>
      <c r="U729" s="44" t="str">
        <f t="shared" si="89"/>
        <v/>
      </c>
      <c r="V729" s="44" t="str">
        <f t="shared" si="90"/>
        <v/>
      </c>
      <c r="W729" s="44" t="str">
        <f t="shared" si="91"/>
        <v/>
      </c>
      <c r="X729" s="44" t="str">
        <f t="shared" si="92"/>
        <v/>
      </c>
      <c r="Y729" s="44" t="str">
        <f t="shared" si="93"/>
        <v/>
      </c>
      <c r="Z729" s="44" t="str">
        <f t="shared" si="94"/>
        <v/>
      </c>
      <c r="AA729" s="50" t="str">
        <f t="shared" si="95"/>
        <v/>
      </c>
      <c r="AB729" s="50" t="str">
        <f>IF(OR(B729="",C729&lt;&gt;"Expense"),"",IF(E729&gt;IFERROR(AVERAGEIFS($E$8:$E$1007,$I$8:$I$1007,I729,$C$8:$C$1007,"Expense")*SETTINGS!$B$20,0),"Unusually High","Normal"))</f>
        <v/>
      </c>
      <c r="AC729" s="51"/>
      <c r="AD729" s="51"/>
      <c r="AE729" s="51"/>
      <c r="AF729" s="50" t="str">
        <f>IF(A729&lt;&gt;"Yes","No",IF(AND(AC729="Yes",SETTINGS!$B$16="No"),"No","Yes"))</f>
        <v>No</v>
      </c>
      <c r="AG729" s="50" t="str">
        <f>IF(A729&lt;&gt;"Yes","",IF(OR(B729="",D729="",E729&lt;=0,F729="",I729=""),"Check Required Fields",IF(AA729="Possible Duplicate","Possible Duplicate",IF(E729&gt;SETTINGS!$B$22,"Review Extreme Value","OK"))))</f>
        <v/>
      </c>
    </row>
    <row r="730" spans="1:33" ht="14.4">
      <c r="A730" s="9"/>
      <c r="B730" s="13"/>
      <c r="C730" s="9"/>
      <c r="D730" s="9"/>
      <c r="E730" s="11"/>
      <c r="F730" s="9"/>
      <c r="G730" s="9"/>
      <c r="H730" s="44" t="str">
        <f>IF(D730="","",IF(ISNUMBER(SEARCH(SETTINGS!$K$4,D730)),SETTINGS!$L$4,IF(ISNUMBER(SEARCH(SETTINGS!$K$5,D730)),SETTINGS!$L$5,IF(ISNUMBER(SEARCH(SETTINGS!$K$6,D730)),SETTINGS!$L$6,IF(ISNUMBER(SEARCH(SETTINGS!$K$7,D730)),SETTINGS!$L$7,IF(ISNUMBER(SEARCH(SETTINGS!$K$8,D730)),SETTINGS!$L$8,IF(ISNUMBER(SEARCH(SETTINGS!$K$9,D730)),SETTINGS!$L$9,IF(ISNUMBER(SEARCH(SETTINGS!$K$10,D730)),SETTINGS!$L$10,IF(ISNUMBER(SEARCH(SETTINGS!$K$11,D730)),SETTINGS!$L$11,IF(ISNUMBER(SEARCH(SETTINGS!$K$12,D730)),SETTINGS!$L$12,IF(ISNUMBER(SEARCH(SETTINGS!$K$13,D730)),SETTINGS!$L$13,IF(ISNUMBER(SEARCH(SETTINGS!$K$14,D730)),SETTINGS!$L$14,IF(ISNUMBER(SEARCH(SETTINGS!$K$15,D730)),SETTINGS!$L$15,IF(ISNUMBER(SEARCH(SETTINGS!$K$16,D730)),SETTINGS!$L$16,IF(ISNUMBER(SEARCH(SETTINGS!$K$17,D730)),SETTINGS!$L$17,IF(ISNUMBER(SEARCH(SETTINGS!$K$18,D730)),SETTINGS!$L$18,"Miscellaneous"))))))))))))))))</f>
        <v/>
      </c>
      <c r="I730" s="44" t="str">
        <f t="shared" si="88"/>
        <v/>
      </c>
      <c r="J730" s="9"/>
      <c r="K730" s="9"/>
      <c r="L730" s="9"/>
      <c r="M730" s="9"/>
      <c r="N730" s="9"/>
      <c r="O730" s="9"/>
      <c r="P730" s="13"/>
      <c r="Q730" s="9"/>
      <c r="R730" s="9"/>
      <c r="S730" s="9"/>
      <c r="T730" s="11"/>
      <c r="U730" s="44" t="str">
        <f t="shared" si="89"/>
        <v/>
      </c>
      <c r="V730" s="44" t="str">
        <f t="shared" si="90"/>
        <v/>
      </c>
      <c r="W730" s="44" t="str">
        <f t="shared" si="91"/>
        <v/>
      </c>
      <c r="X730" s="44" t="str">
        <f t="shared" si="92"/>
        <v/>
      </c>
      <c r="Y730" s="44" t="str">
        <f t="shared" si="93"/>
        <v/>
      </c>
      <c r="Z730" s="44" t="str">
        <f t="shared" si="94"/>
        <v/>
      </c>
      <c r="AA730" s="50" t="str">
        <f t="shared" si="95"/>
        <v/>
      </c>
      <c r="AB730" s="50" t="str">
        <f>IF(OR(B730="",C730&lt;&gt;"Expense"),"",IF(E730&gt;IFERROR(AVERAGEIFS($E$8:$E$1007,$I$8:$I$1007,I730,$C$8:$C$1007,"Expense")*SETTINGS!$B$20,0),"Unusually High","Normal"))</f>
        <v/>
      </c>
      <c r="AC730" s="51"/>
      <c r="AD730" s="51"/>
      <c r="AE730" s="51"/>
      <c r="AF730" s="50" t="str">
        <f>IF(A730&lt;&gt;"Yes","No",IF(AND(AC730="Yes",SETTINGS!$B$16="No"),"No","Yes"))</f>
        <v>No</v>
      </c>
      <c r="AG730" s="50" t="str">
        <f>IF(A730&lt;&gt;"Yes","",IF(OR(B730="",D730="",E730&lt;=0,F730="",I730=""),"Check Required Fields",IF(AA730="Possible Duplicate","Possible Duplicate",IF(E730&gt;SETTINGS!$B$22,"Review Extreme Value","OK"))))</f>
        <v/>
      </c>
    </row>
    <row r="731" spans="1:33" ht="14.4">
      <c r="A731" s="9"/>
      <c r="B731" s="13"/>
      <c r="C731" s="9"/>
      <c r="D731" s="9"/>
      <c r="E731" s="11"/>
      <c r="F731" s="9"/>
      <c r="G731" s="9"/>
      <c r="H731" s="44" t="str">
        <f>IF(D731="","",IF(ISNUMBER(SEARCH(SETTINGS!$K$4,D731)),SETTINGS!$L$4,IF(ISNUMBER(SEARCH(SETTINGS!$K$5,D731)),SETTINGS!$L$5,IF(ISNUMBER(SEARCH(SETTINGS!$K$6,D731)),SETTINGS!$L$6,IF(ISNUMBER(SEARCH(SETTINGS!$K$7,D731)),SETTINGS!$L$7,IF(ISNUMBER(SEARCH(SETTINGS!$K$8,D731)),SETTINGS!$L$8,IF(ISNUMBER(SEARCH(SETTINGS!$K$9,D731)),SETTINGS!$L$9,IF(ISNUMBER(SEARCH(SETTINGS!$K$10,D731)),SETTINGS!$L$10,IF(ISNUMBER(SEARCH(SETTINGS!$K$11,D731)),SETTINGS!$L$11,IF(ISNUMBER(SEARCH(SETTINGS!$K$12,D731)),SETTINGS!$L$12,IF(ISNUMBER(SEARCH(SETTINGS!$K$13,D731)),SETTINGS!$L$13,IF(ISNUMBER(SEARCH(SETTINGS!$K$14,D731)),SETTINGS!$L$14,IF(ISNUMBER(SEARCH(SETTINGS!$K$15,D731)),SETTINGS!$L$15,IF(ISNUMBER(SEARCH(SETTINGS!$K$16,D731)),SETTINGS!$L$16,IF(ISNUMBER(SEARCH(SETTINGS!$K$17,D731)),SETTINGS!$L$17,IF(ISNUMBER(SEARCH(SETTINGS!$K$18,D731)),SETTINGS!$L$18,"Miscellaneous"))))))))))))))))</f>
        <v/>
      </c>
      <c r="I731" s="44" t="str">
        <f t="shared" si="88"/>
        <v/>
      </c>
      <c r="J731" s="9"/>
      <c r="K731" s="9"/>
      <c r="L731" s="9"/>
      <c r="M731" s="9"/>
      <c r="N731" s="9"/>
      <c r="O731" s="9"/>
      <c r="P731" s="13"/>
      <c r="Q731" s="9"/>
      <c r="R731" s="9"/>
      <c r="S731" s="9"/>
      <c r="T731" s="11"/>
      <c r="U731" s="44" t="str">
        <f t="shared" si="89"/>
        <v/>
      </c>
      <c r="V731" s="44" t="str">
        <f t="shared" si="90"/>
        <v/>
      </c>
      <c r="W731" s="44" t="str">
        <f t="shared" si="91"/>
        <v/>
      </c>
      <c r="X731" s="44" t="str">
        <f t="shared" si="92"/>
        <v/>
      </c>
      <c r="Y731" s="44" t="str">
        <f t="shared" si="93"/>
        <v/>
      </c>
      <c r="Z731" s="44" t="str">
        <f t="shared" si="94"/>
        <v/>
      </c>
      <c r="AA731" s="50" t="str">
        <f t="shared" si="95"/>
        <v/>
      </c>
      <c r="AB731" s="50" t="str">
        <f>IF(OR(B731="",C731&lt;&gt;"Expense"),"",IF(E731&gt;IFERROR(AVERAGEIFS($E$8:$E$1007,$I$8:$I$1007,I731,$C$8:$C$1007,"Expense")*SETTINGS!$B$20,0),"Unusually High","Normal"))</f>
        <v/>
      </c>
      <c r="AC731" s="51"/>
      <c r="AD731" s="51"/>
      <c r="AE731" s="51"/>
      <c r="AF731" s="50" t="str">
        <f>IF(A731&lt;&gt;"Yes","No",IF(AND(AC731="Yes",SETTINGS!$B$16="No"),"No","Yes"))</f>
        <v>No</v>
      </c>
      <c r="AG731" s="50" t="str">
        <f>IF(A731&lt;&gt;"Yes","",IF(OR(B731="",D731="",E731&lt;=0,F731="",I731=""),"Check Required Fields",IF(AA731="Possible Duplicate","Possible Duplicate",IF(E731&gt;SETTINGS!$B$22,"Review Extreme Value","OK"))))</f>
        <v/>
      </c>
    </row>
    <row r="732" spans="1:33" ht="14.4">
      <c r="A732" s="9"/>
      <c r="B732" s="13"/>
      <c r="C732" s="9"/>
      <c r="D732" s="9"/>
      <c r="E732" s="11"/>
      <c r="F732" s="9"/>
      <c r="G732" s="9"/>
      <c r="H732" s="44" t="str">
        <f>IF(D732="","",IF(ISNUMBER(SEARCH(SETTINGS!$K$4,D732)),SETTINGS!$L$4,IF(ISNUMBER(SEARCH(SETTINGS!$K$5,D732)),SETTINGS!$L$5,IF(ISNUMBER(SEARCH(SETTINGS!$K$6,D732)),SETTINGS!$L$6,IF(ISNUMBER(SEARCH(SETTINGS!$K$7,D732)),SETTINGS!$L$7,IF(ISNUMBER(SEARCH(SETTINGS!$K$8,D732)),SETTINGS!$L$8,IF(ISNUMBER(SEARCH(SETTINGS!$K$9,D732)),SETTINGS!$L$9,IF(ISNUMBER(SEARCH(SETTINGS!$K$10,D732)),SETTINGS!$L$10,IF(ISNUMBER(SEARCH(SETTINGS!$K$11,D732)),SETTINGS!$L$11,IF(ISNUMBER(SEARCH(SETTINGS!$K$12,D732)),SETTINGS!$L$12,IF(ISNUMBER(SEARCH(SETTINGS!$K$13,D732)),SETTINGS!$L$13,IF(ISNUMBER(SEARCH(SETTINGS!$K$14,D732)),SETTINGS!$L$14,IF(ISNUMBER(SEARCH(SETTINGS!$K$15,D732)),SETTINGS!$L$15,IF(ISNUMBER(SEARCH(SETTINGS!$K$16,D732)),SETTINGS!$L$16,IF(ISNUMBER(SEARCH(SETTINGS!$K$17,D732)),SETTINGS!$L$17,IF(ISNUMBER(SEARCH(SETTINGS!$K$18,D732)),SETTINGS!$L$18,"Miscellaneous"))))))))))))))))</f>
        <v/>
      </c>
      <c r="I732" s="44" t="str">
        <f t="shared" si="88"/>
        <v/>
      </c>
      <c r="J732" s="9"/>
      <c r="K732" s="9"/>
      <c r="L732" s="9"/>
      <c r="M732" s="9"/>
      <c r="N732" s="9"/>
      <c r="O732" s="9"/>
      <c r="P732" s="13"/>
      <c r="Q732" s="9"/>
      <c r="R732" s="9"/>
      <c r="S732" s="9"/>
      <c r="T732" s="11"/>
      <c r="U732" s="44" t="str">
        <f t="shared" si="89"/>
        <v/>
      </c>
      <c r="V732" s="44" t="str">
        <f t="shared" si="90"/>
        <v/>
      </c>
      <c r="W732" s="44" t="str">
        <f t="shared" si="91"/>
        <v/>
      </c>
      <c r="X732" s="44" t="str">
        <f t="shared" si="92"/>
        <v/>
      </c>
      <c r="Y732" s="44" t="str">
        <f t="shared" si="93"/>
        <v/>
      </c>
      <c r="Z732" s="44" t="str">
        <f t="shared" si="94"/>
        <v/>
      </c>
      <c r="AA732" s="50" t="str">
        <f t="shared" si="95"/>
        <v/>
      </c>
      <c r="AB732" s="50" t="str">
        <f>IF(OR(B732="",C732&lt;&gt;"Expense"),"",IF(E732&gt;IFERROR(AVERAGEIFS($E$8:$E$1007,$I$8:$I$1007,I732,$C$8:$C$1007,"Expense")*SETTINGS!$B$20,0),"Unusually High","Normal"))</f>
        <v/>
      </c>
      <c r="AC732" s="51"/>
      <c r="AD732" s="51"/>
      <c r="AE732" s="51"/>
      <c r="AF732" s="50" t="str">
        <f>IF(A732&lt;&gt;"Yes","No",IF(AND(AC732="Yes",SETTINGS!$B$16="No"),"No","Yes"))</f>
        <v>No</v>
      </c>
      <c r="AG732" s="50" t="str">
        <f>IF(A732&lt;&gt;"Yes","",IF(OR(B732="",D732="",E732&lt;=0,F732="",I732=""),"Check Required Fields",IF(AA732="Possible Duplicate","Possible Duplicate",IF(E732&gt;SETTINGS!$B$22,"Review Extreme Value","OK"))))</f>
        <v/>
      </c>
    </row>
    <row r="733" spans="1:33" ht="14.4">
      <c r="A733" s="9"/>
      <c r="B733" s="13"/>
      <c r="C733" s="9"/>
      <c r="D733" s="9"/>
      <c r="E733" s="11"/>
      <c r="F733" s="9"/>
      <c r="G733" s="9"/>
      <c r="H733" s="44" t="str">
        <f>IF(D733="","",IF(ISNUMBER(SEARCH(SETTINGS!$K$4,D733)),SETTINGS!$L$4,IF(ISNUMBER(SEARCH(SETTINGS!$K$5,D733)),SETTINGS!$L$5,IF(ISNUMBER(SEARCH(SETTINGS!$K$6,D733)),SETTINGS!$L$6,IF(ISNUMBER(SEARCH(SETTINGS!$K$7,D733)),SETTINGS!$L$7,IF(ISNUMBER(SEARCH(SETTINGS!$K$8,D733)),SETTINGS!$L$8,IF(ISNUMBER(SEARCH(SETTINGS!$K$9,D733)),SETTINGS!$L$9,IF(ISNUMBER(SEARCH(SETTINGS!$K$10,D733)),SETTINGS!$L$10,IF(ISNUMBER(SEARCH(SETTINGS!$K$11,D733)),SETTINGS!$L$11,IF(ISNUMBER(SEARCH(SETTINGS!$K$12,D733)),SETTINGS!$L$12,IF(ISNUMBER(SEARCH(SETTINGS!$K$13,D733)),SETTINGS!$L$13,IF(ISNUMBER(SEARCH(SETTINGS!$K$14,D733)),SETTINGS!$L$14,IF(ISNUMBER(SEARCH(SETTINGS!$K$15,D733)),SETTINGS!$L$15,IF(ISNUMBER(SEARCH(SETTINGS!$K$16,D733)),SETTINGS!$L$16,IF(ISNUMBER(SEARCH(SETTINGS!$K$17,D733)),SETTINGS!$L$17,IF(ISNUMBER(SEARCH(SETTINGS!$K$18,D733)),SETTINGS!$L$18,"Miscellaneous"))))))))))))))))</f>
        <v/>
      </c>
      <c r="I733" s="44" t="str">
        <f t="shared" si="88"/>
        <v/>
      </c>
      <c r="J733" s="9"/>
      <c r="K733" s="9"/>
      <c r="L733" s="9"/>
      <c r="M733" s="9"/>
      <c r="N733" s="9"/>
      <c r="O733" s="9"/>
      <c r="P733" s="13"/>
      <c r="Q733" s="9"/>
      <c r="R733" s="9"/>
      <c r="S733" s="9"/>
      <c r="T733" s="11"/>
      <c r="U733" s="44" t="str">
        <f t="shared" si="89"/>
        <v/>
      </c>
      <c r="V733" s="44" t="str">
        <f t="shared" si="90"/>
        <v/>
      </c>
      <c r="W733" s="44" t="str">
        <f t="shared" si="91"/>
        <v/>
      </c>
      <c r="X733" s="44" t="str">
        <f t="shared" si="92"/>
        <v/>
      </c>
      <c r="Y733" s="44" t="str">
        <f t="shared" si="93"/>
        <v/>
      </c>
      <c r="Z733" s="44" t="str">
        <f t="shared" si="94"/>
        <v/>
      </c>
      <c r="AA733" s="50" t="str">
        <f t="shared" si="95"/>
        <v/>
      </c>
      <c r="AB733" s="50" t="str">
        <f>IF(OR(B733="",C733&lt;&gt;"Expense"),"",IF(E733&gt;IFERROR(AVERAGEIFS($E$8:$E$1007,$I$8:$I$1007,I733,$C$8:$C$1007,"Expense")*SETTINGS!$B$20,0),"Unusually High","Normal"))</f>
        <v/>
      </c>
      <c r="AC733" s="51"/>
      <c r="AD733" s="51"/>
      <c r="AE733" s="51"/>
      <c r="AF733" s="50" t="str">
        <f>IF(A733&lt;&gt;"Yes","No",IF(AND(AC733="Yes",SETTINGS!$B$16="No"),"No","Yes"))</f>
        <v>No</v>
      </c>
      <c r="AG733" s="50" t="str">
        <f>IF(A733&lt;&gt;"Yes","",IF(OR(B733="",D733="",E733&lt;=0,F733="",I733=""),"Check Required Fields",IF(AA733="Possible Duplicate","Possible Duplicate",IF(E733&gt;SETTINGS!$B$22,"Review Extreme Value","OK"))))</f>
        <v/>
      </c>
    </row>
    <row r="734" spans="1:33" ht="14.4">
      <c r="A734" s="9"/>
      <c r="B734" s="13"/>
      <c r="C734" s="9"/>
      <c r="D734" s="9"/>
      <c r="E734" s="11"/>
      <c r="F734" s="9"/>
      <c r="G734" s="9"/>
      <c r="H734" s="44" t="str">
        <f>IF(D734="","",IF(ISNUMBER(SEARCH(SETTINGS!$K$4,D734)),SETTINGS!$L$4,IF(ISNUMBER(SEARCH(SETTINGS!$K$5,D734)),SETTINGS!$L$5,IF(ISNUMBER(SEARCH(SETTINGS!$K$6,D734)),SETTINGS!$L$6,IF(ISNUMBER(SEARCH(SETTINGS!$K$7,D734)),SETTINGS!$L$7,IF(ISNUMBER(SEARCH(SETTINGS!$K$8,D734)),SETTINGS!$L$8,IF(ISNUMBER(SEARCH(SETTINGS!$K$9,D734)),SETTINGS!$L$9,IF(ISNUMBER(SEARCH(SETTINGS!$K$10,D734)),SETTINGS!$L$10,IF(ISNUMBER(SEARCH(SETTINGS!$K$11,D734)),SETTINGS!$L$11,IF(ISNUMBER(SEARCH(SETTINGS!$K$12,D734)),SETTINGS!$L$12,IF(ISNUMBER(SEARCH(SETTINGS!$K$13,D734)),SETTINGS!$L$13,IF(ISNUMBER(SEARCH(SETTINGS!$K$14,D734)),SETTINGS!$L$14,IF(ISNUMBER(SEARCH(SETTINGS!$K$15,D734)),SETTINGS!$L$15,IF(ISNUMBER(SEARCH(SETTINGS!$K$16,D734)),SETTINGS!$L$16,IF(ISNUMBER(SEARCH(SETTINGS!$K$17,D734)),SETTINGS!$L$17,IF(ISNUMBER(SEARCH(SETTINGS!$K$18,D734)),SETTINGS!$L$18,"Miscellaneous"))))))))))))))))</f>
        <v/>
      </c>
      <c r="I734" s="44" t="str">
        <f t="shared" si="88"/>
        <v/>
      </c>
      <c r="J734" s="9"/>
      <c r="K734" s="9"/>
      <c r="L734" s="9"/>
      <c r="M734" s="9"/>
      <c r="N734" s="9"/>
      <c r="O734" s="9"/>
      <c r="P734" s="13"/>
      <c r="Q734" s="9"/>
      <c r="R734" s="9"/>
      <c r="S734" s="9"/>
      <c r="T734" s="11"/>
      <c r="U734" s="44" t="str">
        <f t="shared" si="89"/>
        <v/>
      </c>
      <c r="V734" s="44" t="str">
        <f t="shared" si="90"/>
        <v/>
      </c>
      <c r="W734" s="44" t="str">
        <f t="shared" si="91"/>
        <v/>
      </c>
      <c r="X734" s="44" t="str">
        <f t="shared" si="92"/>
        <v/>
      </c>
      <c r="Y734" s="44" t="str">
        <f t="shared" si="93"/>
        <v/>
      </c>
      <c r="Z734" s="44" t="str">
        <f t="shared" si="94"/>
        <v/>
      </c>
      <c r="AA734" s="50" t="str">
        <f t="shared" si="95"/>
        <v/>
      </c>
      <c r="AB734" s="50" t="str">
        <f>IF(OR(B734="",C734&lt;&gt;"Expense"),"",IF(E734&gt;IFERROR(AVERAGEIFS($E$8:$E$1007,$I$8:$I$1007,I734,$C$8:$C$1007,"Expense")*SETTINGS!$B$20,0),"Unusually High","Normal"))</f>
        <v/>
      </c>
      <c r="AC734" s="51"/>
      <c r="AD734" s="51"/>
      <c r="AE734" s="51"/>
      <c r="AF734" s="50" t="str">
        <f>IF(A734&lt;&gt;"Yes","No",IF(AND(AC734="Yes",SETTINGS!$B$16="No"),"No","Yes"))</f>
        <v>No</v>
      </c>
      <c r="AG734" s="50" t="str">
        <f>IF(A734&lt;&gt;"Yes","",IF(OR(B734="",D734="",E734&lt;=0,F734="",I734=""),"Check Required Fields",IF(AA734="Possible Duplicate","Possible Duplicate",IF(E734&gt;SETTINGS!$B$22,"Review Extreme Value","OK"))))</f>
        <v/>
      </c>
    </row>
    <row r="735" spans="1:33" ht="14.4">
      <c r="A735" s="9"/>
      <c r="B735" s="13"/>
      <c r="C735" s="9"/>
      <c r="D735" s="9"/>
      <c r="E735" s="11"/>
      <c r="F735" s="9"/>
      <c r="G735" s="9"/>
      <c r="H735" s="44" t="str">
        <f>IF(D735="","",IF(ISNUMBER(SEARCH(SETTINGS!$K$4,D735)),SETTINGS!$L$4,IF(ISNUMBER(SEARCH(SETTINGS!$K$5,D735)),SETTINGS!$L$5,IF(ISNUMBER(SEARCH(SETTINGS!$K$6,D735)),SETTINGS!$L$6,IF(ISNUMBER(SEARCH(SETTINGS!$K$7,D735)),SETTINGS!$L$7,IF(ISNUMBER(SEARCH(SETTINGS!$K$8,D735)),SETTINGS!$L$8,IF(ISNUMBER(SEARCH(SETTINGS!$K$9,D735)),SETTINGS!$L$9,IF(ISNUMBER(SEARCH(SETTINGS!$K$10,D735)),SETTINGS!$L$10,IF(ISNUMBER(SEARCH(SETTINGS!$K$11,D735)),SETTINGS!$L$11,IF(ISNUMBER(SEARCH(SETTINGS!$K$12,D735)),SETTINGS!$L$12,IF(ISNUMBER(SEARCH(SETTINGS!$K$13,D735)),SETTINGS!$L$13,IF(ISNUMBER(SEARCH(SETTINGS!$K$14,D735)),SETTINGS!$L$14,IF(ISNUMBER(SEARCH(SETTINGS!$K$15,D735)),SETTINGS!$L$15,IF(ISNUMBER(SEARCH(SETTINGS!$K$16,D735)),SETTINGS!$L$16,IF(ISNUMBER(SEARCH(SETTINGS!$K$17,D735)),SETTINGS!$L$17,IF(ISNUMBER(SEARCH(SETTINGS!$K$18,D735)),SETTINGS!$L$18,"Miscellaneous"))))))))))))))))</f>
        <v/>
      </c>
      <c r="I735" s="44" t="str">
        <f t="shared" si="88"/>
        <v/>
      </c>
      <c r="J735" s="9"/>
      <c r="K735" s="9"/>
      <c r="L735" s="9"/>
      <c r="M735" s="9"/>
      <c r="N735" s="9"/>
      <c r="O735" s="9"/>
      <c r="P735" s="13"/>
      <c r="Q735" s="9"/>
      <c r="R735" s="9"/>
      <c r="S735" s="9"/>
      <c r="T735" s="11"/>
      <c r="U735" s="44" t="str">
        <f t="shared" si="89"/>
        <v/>
      </c>
      <c r="V735" s="44" t="str">
        <f t="shared" si="90"/>
        <v/>
      </c>
      <c r="W735" s="44" t="str">
        <f t="shared" si="91"/>
        <v/>
      </c>
      <c r="X735" s="44" t="str">
        <f t="shared" si="92"/>
        <v/>
      </c>
      <c r="Y735" s="44" t="str">
        <f t="shared" si="93"/>
        <v/>
      </c>
      <c r="Z735" s="44" t="str">
        <f t="shared" si="94"/>
        <v/>
      </c>
      <c r="AA735" s="50" t="str">
        <f t="shared" si="95"/>
        <v/>
      </c>
      <c r="AB735" s="50" t="str">
        <f>IF(OR(B735="",C735&lt;&gt;"Expense"),"",IF(E735&gt;IFERROR(AVERAGEIFS($E$8:$E$1007,$I$8:$I$1007,I735,$C$8:$C$1007,"Expense")*SETTINGS!$B$20,0),"Unusually High","Normal"))</f>
        <v/>
      </c>
      <c r="AC735" s="51"/>
      <c r="AD735" s="51"/>
      <c r="AE735" s="51"/>
      <c r="AF735" s="50" t="str">
        <f>IF(A735&lt;&gt;"Yes","No",IF(AND(AC735="Yes",SETTINGS!$B$16="No"),"No","Yes"))</f>
        <v>No</v>
      </c>
      <c r="AG735" s="50" t="str">
        <f>IF(A735&lt;&gt;"Yes","",IF(OR(B735="",D735="",E735&lt;=0,F735="",I735=""),"Check Required Fields",IF(AA735="Possible Duplicate","Possible Duplicate",IF(E735&gt;SETTINGS!$B$22,"Review Extreme Value","OK"))))</f>
        <v/>
      </c>
    </row>
    <row r="736" spans="1:33" ht="14.4">
      <c r="A736" s="9"/>
      <c r="B736" s="13"/>
      <c r="C736" s="9"/>
      <c r="D736" s="9"/>
      <c r="E736" s="11"/>
      <c r="F736" s="9"/>
      <c r="G736" s="9"/>
      <c r="H736" s="44" t="str">
        <f>IF(D736="","",IF(ISNUMBER(SEARCH(SETTINGS!$K$4,D736)),SETTINGS!$L$4,IF(ISNUMBER(SEARCH(SETTINGS!$K$5,D736)),SETTINGS!$L$5,IF(ISNUMBER(SEARCH(SETTINGS!$K$6,D736)),SETTINGS!$L$6,IF(ISNUMBER(SEARCH(SETTINGS!$K$7,D736)),SETTINGS!$L$7,IF(ISNUMBER(SEARCH(SETTINGS!$K$8,D736)),SETTINGS!$L$8,IF(ISNUMBER(SEARCH(SETTINGS!$K$9,D736)),SETTINGS!$L$9,IF(ISNUMBER(SEARCH(SETTINGS!$K$10,D736)),SETTINGS!$L$10,IF(ISNUMBER(SEARCH(SETTINGS!$K$11,D736)),SETTINGS!$L$11,IF(ISNUMBER(SEARCH(SETTINGS!$K$12,D736)),SETTINGS!$L$12,IF(ISNUMBER(SEARCH(SETTINGS!$K$13,D736)),SETTINGS!$L$13,IF(ISNUMBER(SEARCH(SETTINGS!$K$14,D736)),SETTINGS!$L$14,IF(ISNUMBER(SEARCH(SETTINGS!$K$15,D736)),SETTINGS!$L$15,IF(ISNUMBER(SEARCH(SETTINGS!$K$16,D736)),SETTINGS!$L$16,IF(ISNUMBER(SEARCH(SETTINGS!$K$17,D736)),SETTINGS!$L$17,IF(ISNUMBER(SEARCH(SETTINGS!$K$18,D736)),SETTINGS!$L$18,"Miscellaneous"))))))))))))))))</f>
        <v/>
      </c>
      <c r="I736" s="44" t="str">
        <f t="shared" si="88"/>
        <v/>
      </c>
      <c r="J736" s="9"/>
      <c r="K736" s="9"/>
      <c r="L736" s="9"/>
      <c r="M736" s="9"/>
      <c r="N736" s="9"/>
      <c r="O736" s="9"/>
      <c r="P736" s="13"/>
      <c r="Q736" s="9"/>
      <c r="R736" s="9"/>
      <c r="S736" s="9"/>
      <c r="T736" s="11"/>
      <c r="U736" s="44" t="str">
        <f t="shared" si="89"/>
        <v/>
      </c>
      <c r="V736" s="44" t="str">
        <f t="shared" si="90"/>
        <v/>
      </c>
      <c r="W736" s="44" t="str">
        <f t="shared" si="91"/>
        <v/>
      </c>
      <c r="X736" s="44" t="str">
        <f t="shared" si="92"/>
        <v/>
      </c>
      <c r="Y736" s="44" t="str">
        <f t="shared" si="93"/>
        <v/>
      </c>
      <c r="Z736" s="44" t="str">
        <f t="shared" si="94"/>
        <v/>
      </c>
      <c r="AA736" s="50" t="str">
        <f t="shared" si="95"/>
        <v/>
      </c>
      <c r="AB736" s="50" t="str">
        <f>IF(OR(B736="",C736&lt;&gt;"Expense"),"",IF(E736&gt;IFERROR(AVERAGEIFS($E$8:$E$1007,$I$8:$I$1007,I736,$C$8:$C$1007,"Expense")*SETTINGS!$B$20,0),"Unusually High","Normal"))</f>
        <v/>
      </c>
      <c r="AC736" s="51"/>
      <c r="AD736" s="51"/>
      <c r="AE736" s="51"/>
      <c r="AF736" s="50" t="str">
        <f>IF(A736&lt;&gt;"Yes","No",IF(AND(AC736="Yes",SETTINGS!$B$16="No"),"No","Yes"))</f>
        <v>No</v>
      </c>
      <c r="AG736" s="50" t="str">
        <f>IF(A736&lt;&gt;"Yes","",IF(OR(B736="",D736="",E736&lt;=0,F736="",I736=""),"Check Required Fields",IF(AA736="Possible Duplicate","Possible Duplicate",IF(E736&gt;SETTINGS!$B$22,"Review Extreme Value","OK"))))</f>
        <v/>
      </c>
    </row>
    <row r="737" spans="1:33" ht="14.4">
      <c r="A737" s="9"/>
      <c r="B737" s="13"/>
      <c r="C737" s="9"/>
      <c r="D737" s="9"/>
      <c r="E737" s="11"/>
      <c r="F737" s="9"/>
      <c r="G737" s="9"/>
      <c r="H737" s="44" t="str">
        <f>IF(D737="","",IF(ISNUMBER(SEARCH(SETTINGS!$K$4,D737)),SETTINGS!$L$4,IF(ISNUMBER(SEARCH(SETTINGS!$K$5,D737)),SETTINGS!$L$5,IF(ISNUMBER(SEARCH(SETTINGS!$K$6,D737)),SETTINGS!$L$6,IF(ISNUMBER(SEARCH(SETTINGS!$K$7,D737)),SETTINGS!$L$7,IF(ISNUMBER(SEARCH(SETTINGS!$K$8,D737)),SETTINGS!$L$8,IF(ISNUMBER(SEARCH(SETTINGS!$K$9,D737)),SETTINGS!$L$9,IF(ISNUMBER(SEARCH(SETTINGS!$K$10,D737)),SETTINGS!$L$10,IF(ISNUMBER(SEARCH(SETTINGS!$K$11,D737)),SETTINGS!$L$11,IF(ISNUMBER(SEARCH(SETTINGS!$K$12,D737)),SETTINGS!$L$12,IF(ISNUMBER(SEARCH(SETTINGS!$K$13,D737)),SETTINGS!$L$13,IF(ISNUMBER(SEARCH(SETTINGS!$K$14,D737)),SETTINGS!$L$14,IF(ISNUMBER(SEARCH(SETTINGS!$K$15,D737)),SETTINGS!$L$15,IF(ISNUMBER(SEARCH(SETTINGS!$K$16,D737)),SETTINGS!$L$16,IF(ISNUMBER(SEARCH(SETTINGS!$K$17,D737)),SETTINGS!$L$17,IF(ISNUMBER(SEARCH(SETTINGS!$K$18,D737)),SETTINGS!$L$18,"Miscellaneous"))))))))))))))))</f>
        <v/>
      </c>
      <c r="I737" s="44" t="str">
        <f t="shared" si="88"/>
        <v/>
      </c>
      <c r="J737" s="9"/>
      <c r="K737" s="9"/>
      <c r="L737" s="9"/>
      <c r="M737" s="9"/>
      <c r="N737" s="9"/>
      <c r="O737" s="9"/>
      <c r="P737" s="13"/>
      <c r="Q737" s="9"/>
      <c r="R737" s="9"/>
      <c r="S737" s="9"/>
      <c r="T737" s="11"/>
      <c r="U737" s="44" t="str">
        <f t="shared" si="89"/>
        <v/>
      </c>
      <c r="V737" s="44" t="str">
        <f t="shared" si="90"/>
        <v/>
      </c>
      <c r="W737" s="44" t="str">
        <f t="shared" si="91"/>
        <v/>
      </c>
      <c r="X737" s="44" t="str">
        <f t="shared" si="92"/>
        <v/>
      </c>
      <c r="Y737" s="44" t="str">
        <f t="shared" si="93"/>
        <v/>
      </c>
      <c r="Z737" s="44" t="str">
        <f t="shared" si="94"/>
        <v/>
      </c>
      <c r="AA737" s="50" t="str">
        <f t="shared" si="95"/>
        <v/>
      </c>
      <c r="AB737" s="50" t="str">
        <f>IF(OR(B737="",C737&lt;&gt;"Expense"),"",IF(E737&gt;IFERROR(AVERAGEIFS($E$8:$E$1007,$I$8:$I$1007,I737,$C$8:$C$1007,"Expense")*SETTINGS!$B$20,0),"Unusually High","Normal"))</f>
        <v/>
      </c>
      <c r="AC737" s="51"/>
      <c r="AD737" s="51"/>
      <c r="AE737" s="51"/>
      <c r="AF737" s="50" t="str">
        <f>IF(A737&lt;&gt;"Yes","No",IF(AND(AC737="Yes",SETTINGS!$B$16="No"),"No","Yes"))</f>
        <v>No</v>
      </c>
      <c r="AG737" s="50" t="str">
        <f>IF(A737&lt;&gt;"Yes","",IF(OR(B737="",D737="",E737&lt;=0,F737="",I737=""),"Check Required Fields",IF(AA737="Possible Duplicate","Possible Duplicate",IF(E737&gt;SETTINGS!$B$22,"Review Extreme Value","OK"))))</f>
        <v/>
      </c>
    </row>
    <row r="738" spans="1:33" ht="14.4">
      <c r="A738" s="9"/>
      <c r="B738" s="13"/>
      <c r="C738" s="9"/>
      <c r="D738" s="9"/>
      <c r="E738" s="11"/>
      <c r="F738" s="9"/>
      <c r="G738" s="9"/>
      <c r="H738" s="44" t="str">
        <f>IF(D738="","",IF(ISNUMBER(SEARCH(SETTINGS!$K$4,D738)),SETTINGS!$L$4,IF(ISNUMBER(SEARCH(SETTINGS!$K$5,D738)),SETTINGS!$L$5,IF(ISNUMBER(SEARCH(SETTINGS!$K$6,D738)),SETTINGS!$L$6,IF(ISNUMBER(SEARCH(SETTINGS!$K$7,D738)),SETTINGS!$L$7,IF(ISNUMBER(SEARCH(SETTINGS!$K$8,D738)),SETTINGS!$L$8,IF(ISNUMBER(SEARCH(SETTINGS!$K$9,D738)),SETTINGS!$L$9,IF(ISNUMBER(SEARCH(SETTINGS!$K$10,D738)),SETTINGS!$L$10,IF(ISNUMBER(SEARCH(SETTINGS!$K$11,D738)),SETTINGS!$L$11,IF(ISNUMBER(SEARCH(SETTINGS!$K$12,D738)),SETTINGS!$L$12,IF(ISNUMBER(SEARCH(SETTINGS!$K$13,D738)),SETTINGS!$L$13,IF(ISNUMBER(SEARCH(SETTINGS!$K$14,D738)),SETTINGS!$L$14,IF(ISNUMBER(SEARCH(SETTINGS!$K$15,D738)),SETTINGS!$L$15,IF(ISNUMBER(SEARCH(SETTINGS!$K$16,D738)),SETTINGS!$L$16,IF(ISNUMBER(SEARCH(SETTINGS!$K$17,D738)),SETTINGS!$L$17,IF(ISNUMBER(SEARCH(SETTINGS!$K$18,D738)),SETTINGS!$L$18,"Miscellaneous"))))))))))))))))</f>
        <v/>
      </c>
      <c r="I738" s="44" t="str">
        <f t="shared" si="88"/>
        <v/>
      </c>
      <c r="J738" s="9"/>
      <c r="K738" s="9"/>
      <c r="L738" s="9"/>
      <c r="M738" s="9"/>
      <c r="N738" s="9"/>
      <c r="O738" s="9"/>
      <c r="P738" s="13"/>
      <c r="Q738" s="9"/>
      <c r="R738" s="9"/>
      <c r="S738" s="9"/>
      <c r="T738" s="11"/>
      <c r="U738" s="44" t="str">
        <f t="shared" si="89"/>
        <v/>
      </c>
      <c r="V738" s="44" t="str">
        <f t="shared" si="90"/>
        <v/>
      </c>
      <c r="W738" s="44" t="str">
        <f t="shared" si="91"/>
        <v/>
      </c>
      <c r="X738" s="44" t="str">
        <f t="shared" si="92"/>
        <v/>
      </c>
      <c r="Y738" s="44" t="str">
        <f t="shared" si="93"/>
        <v/>
      </c>
      <c r="Z738" s="44" t="str">
        <f t="shared" si="94"/>
        <v/>
      </c>
      <c r="AA738" s="50" t="str">
        <f t="shared" si="95"/>
        <v/>
      </c>
      <c r="AB738" s="50" t="str">
        <f>IF(OR(B738="",C738&lt;&gt;"Expense"),"",IF(E738&gt;IFERROR(AVERAGEIFS($E$8:$E$1007,$I$8:$I$1007,I738,$C$8:$C$1007,"Expense")*SETTINGS!$B$20,0),"Unusually High","Normal"))</f>
        <v/>
      </c>
      <c r="AC738" s="51"/>
      <c r="AD738" s="51"/>
      <c r="AE738" s="51"/>
      <c r="AF738" s="50" t="str">
        <f>IF(A738&lt;&gt;"Yes","No",IF(AND(AC738="Yes",SETTINGS!$B$16="No"),"No","Yes"))</f>
        <v>No</v>
      </c>
      <c r="AG738" s="50" t="str">
        <f>IF(A738&lt;&gt;"Yes","",IF(OR(B738="",D738="",E738&lt;=0,F738="",I738=""),"Check Required Fields",IF(AA738="Possible Duplicate","Possible Duplicate",IF(E738&gt;SETTINGS!$B$22,"Review Extreme Value","OK"))))</f>
        <v/>
      </c>
    </row>
    <row r="739" spans="1:33" ht="14.4">
      <c r="A739" s="9"/>
      <c r="B739" s="13"/>
      <c r="C739" s="9"/>
      <c r="D739" s="9"/>
      <c r="E739" s="11"/>
      <c r="F739" s="9"/>
      <c r="G739" s="9"/>
      <c r="H739" s="44" t="str">
        <f>IF(D739="","",IF(ISNUMBER(SEARCH(SETTINGS!$K$4,D739)),SETTINGS!$L$4,IF(ISNUMBER(SEARCH(SETTINGS!$K$5,D739)),SETTINGS!$L$5,IF(ISNUMBER(SEARCH(SETTINGS!$K$6,D739)),SETTINGS!$L$6,IF(ISNUMBER(SEARCH(SETTINGS!$K$7,D739)),SETTINGS!$L$7,IF(ISNUMBER(SEARCH(SETTINGS!$K$8,D739)),SETTINGS!$L$8,IF(ISNUMBER(SEARCH(SETTINGS!$K$9,D739)),SETTINGS!$L$9,IF(ISNUMBER(SEARCH(SETTINGS!$K$10,D739)),SETTINGS!$L$10,IF(ISNUMBER(SEARCH(SETTINGS!$K$11,D739)),SETTINGS!$L$11,IF(ISNUMBER(SEARCH(SETTINGS!$K$12,D739)),SETTINGS!$L$12,IF(ISNUMBER(SEARCH(SETTINGS!$K$13,D739)),SETTINGS!$L$13,IF(ISNUMBER(SEARCH(SETTINGS!$K$14,D739)),SETTINGS!$L$14,IF(ISNUMBER(SEARCH(SETTINGS!$K$15,D739)),SETTINGS!$L$15,IF(ISNUMBER(SEARCH(SETTINGS!$K$16,D739)),SETTINGS!$L$16,IF(ISNUMBER(SEARCH(SETTINGS!$K$17,D739)),SETTINGS!$L$17,IF(ISNUMBER(SEARCH(SETTINGS!$K$18,D739)),SETTINGS!$L$18,"Miscellaneous"))))))))))))))))</f>
        <v/>
      </c>
      <c r="I739" s="44" t="str">
        <f t="shared" si="88"/>
        <v/>
      </c>
      <c r="J739" s="9"/>
      <c r="K739" s="9"/>
      <c r="L739" s="9"/>
      <c r="M739" s="9"/>
      <c r="N739" s="9"/>
      <c r="O739" s="9"/>
      <c r="P739" s="13"/>
      <c r="Q739" s="9"/>
      <c r="R739" s="9"/>
      <c r="S739" s="9"/>
      <c r="T739" s="11"/>
      <c r="U739" s="44" t="str">
        <f t="shared" si="89"/>
        <v/>
      </c>
      <c r="V739" s="44" t="str">
        <f t="shared" si="90"/>
        <v/>
      </c>
      <c r="W739" s="44" t="str">
        <f t="shared" si="91"/>
        <v/>
      </c>
      <c r="X739" s="44" t="str">
        <f t="shared" si="92"/>
        <v/>
      </c>
      <c r="Y739" s="44" t="str">
        <f t="shared" si="93"/>
        <v/>
      </c>
      <c r="Z739" s="44" t="str">
        <f t="shared" si="94"/>
        <v/>
      </c>
      <c r="AA739" s="50" t="str">
        <f t="shared" si="95"/>
        <v/>
      </c>
      <c r="AB739" s="50" t="str">
        <f>IF(OR(B739="",C739&lt;&gt;"Expense"),"",IF(E739&gt;IFERROR(AVERAGEIFS($E$8:$E$1007,$I$8:$I$1007,I739,$C$8:$C$1007,"Expense")*SETTINGS!$B$20,0),"Unusually High","Normal"))</f>
        <v/>
      </c>
      <c r="AC739" s="51"/>
      <c r="AD739" s="51"/>
      <c r="AE739" s="51"/>
      <c r="AF739" s="50" t="str">
        <f>IF(A739&lt;&gt;"Yes","No",IF(AND(AC739="Yes",SETTINGS!$B$16="No"),"No","Yes"))</f>
        <v>No</v>
      </c>
      <c r="AG739" s="50" t="str">
        <f>IF(A739&lt;&gt;"Yes","",IF(OR(B739="",D739="",E739&lt;=0,F739="",I739=""),"Check Required Fields",IF(AA739="Possible Duplicate","Possible Duplicate",IF(E739&gt;SETTINGS!$B$22,"Review Extreme Value","OK"))))</f>
        <v/>
      </c>
    </row>
    <row r="740" spans="1:33" ht="14.4">
      <c r="A740" s="9"/>
      <c r="B740" s="13"/>
      <c r="C740" s="9"/>
      <c r="D740" s="9"/>
      <c r="E740" s="11"/>
      <c r="F740" s="9"/>
      <c r="G740" s="9"/>
      <c r="H740" s="44" t="str">
        <f>IF(D740="","",IF(ISNUMBER(SEARCH(SETTINGS!$K$4,D740)),SETTINGS!$L$4,IF(ISNUMBER(SEARCH(SETTINGS!$K$5,D740)),SETTINGS!$L$5,IF(ISNUMBER(SEARCH(SETTINGS!$K$6,D740)),SETTINGS!$L$6,IF(ISNUMBER(SEARCH(SETTINGS!$K$7,D740)),SETTINGS!$L$7,IF(ISNUMBER(SEARCH(SETTINGS!$K$8,D740)),SETTINGS!$L$8,IF(ISNUMBER(SEARCH(SETTINGS!$K$9,D740)),SETTINGS!$L$9,IF(ISNUMBER(SEARCH(SETTINGS!$K$10,D740)),SETTINGS!$L$10,IF(ISNUMBER(SEARCH(SETTINGS!$K$11,D740)),SETTINGS!$L$11,IF(ISNUMBER(SEARCH(SETTINGS!$K$12,D740)),SETTINGS!$L$12,IF(ISNUMBER(SEARCH(SETTINGS!$K$13,D740)),SETTINGS!$L$13,IF(ISNUMBER(SEARCH(SETTINGS!$K$14,D740)),SETTINGS!$L$14,IF(ISNUMBER(SEARCH(SETTINGS!$K$15,D740)),SETTINGS!$L$15,IF(ISNUMBER(SEARCH(SETTINGS!$K$16,D740)),SETTINGS!$L$16,IF(ISNUMBER(SEARCH(SETTINGS!$K$17,D740)),SETTINGS!$L$17,IF(ISNUMBER(SEARCH(SETTINGS!$K$18,D740)),SETTINGS!$L$18,"Miscellaneous"))))))))))))))))</f>
        <v/>
      </c>
      <c r="I740" s="44" t="str">
        <f t="shared" si="88"/>
        <v/>
      </c>
      <c r="J740" s="9"/>
      <c r="K740" s="9"/>
      <c r="L740" s="9"/>
      <c r="M740" s="9"/>
      <c r="N740" s="9"/>
      <c r="O740" s="9"/>
      <c r="P740" s="13"/>
      <c r="Q740" s="9"/>
      <c r="R740" s="9"/>
      <c r="S740" s="9"/>
      <c r="T740" s="11"/>
      <c r="U740" s="44" t="str">
        <f t="shared" si="89"/>
        <v/>
      </c>
      <c r="V740" s="44" t="str">
        <f t="shared" si="90"/>
        <v/>
      </c>
      <c r="W740" s="44" t="str">
        <f t="shared" si="91"/>
        <v/>
      </c>
      <c r="X740" s="44" t="str">
        <f t="shared" si="92"/>
        <v/>
      </c>
      <c r="Y740" s="44" t="str">
        <f t="shared" si="93"/>
        <v/>
      </c>
      <c r="Z740" s="44" t="str">
        <f t="shared" si="94"/>
        <v/>
      </c>
      <c r="AA740" s="50" t="str">
        <f t="shared" si="95"/>
        <v/>
      </c>
      <c r="AB740" s="50" t="str">
        <f>IF(OR(B740="",C740&lt;&gt;"Expense"),"",IF(E740&gt;IFERROR(AVERAGEIFS($E$8:$E$1007,$I$8:$I$1007,I740,$C$8:$C$1007,"Expense")*SETTINGS!$B$20,0),"Unusually High","Normal"))</f>
        <v/>
      </c>
      <c r="AC740" s="51"/>
      <c r="AD740" s="51"/>
      <c r="AE740" s="51"/>
      <c r="AF740" s="50" t="str">
        <f>IF(A740&lt;&gt;"Yes","No",IF(AND(AC740="Yes",SETTINGS!$B$16="No"),"No","Yes"))</f>
        <v>No</v>
      </c>
      <c r="AG740" s="50" t="str">
        <f>IF(A740&lt;&gt;"Yes","",IF(OR(B740="",D740="",E740&lt;=0,F740="",I740=""),"Check Required Fields",IF(AA740="Possible Duplicate","Possible Duplicate",IF(E740&gt;SETTINGS!$B$22,"Review Extreme Value","OK"))))</f>
        <v/>
      </c>
    </row>
    <row r="741" spans="1:33" ht="14.4">
      <c r="A741" s="9"/>
      <c r="B741" s="13"/>
      <c r="C741" s="9"/>
      <c r="D741" s="9"/>
      <c r="E741" s="11"/>
      <c r="F741" s="9"/>
      <c r="G741" s="9"/>
      <c r="H741" s="44" t="str">
        <f>IF(D741="","",IF(ISNUMBER(SEARCH(SETTINGS!$K$4,D741)),SETTINGS!$L$4,IF(ISNUMBER(SEARCH(SETTINGS!$K$5,D741)),SETTINGS!$L$5,IF(ISNUMBER(SEARCH(SETTINGS!$K$6,D741)),SETTINGS!$L$6,IF(ISNUMBER(SEARCH(SETTINGS!$K$7,D741)),SETTINGS!$L$7,IF(ISNUMBER(SEARCH(SETTINGS!$K$8,D741)),SETTINGS!$L$8,IF(ISNUMBER(SEARCH(SETTINGS!$K$9,D741)),SETTINGS!$L$9,IF(ISNUMBER(SEARCH(SETTINGS!$K$10,D741)),SETTINGS!$L$10,IF(ISNUMBER(SEARCH(SETTINGS!$K$11,D741)),SETTINGS!$L$11,IF(ISNUMBER(SEARCH(SETTINGS!$K$12,D741)),SETTINGS!$L$12,IF(ISNUMBER(SEARCH(SETTINGS!$K$13,D741)),SETTINGS!$L$13,IF(ISNUMBER(SEARCH(SETTINGS!$K$14,D741)),SETTINGS!$L$14,IF(ISNUMBER(SEARCH(SETTINGS!$K$15,D741)),SETTINGS!$L$15,IF(ISNUMBER(SEARCH(SETTINGS!$K$16,D741)),SETTINGS!$L$16,IF(ISNUMBER(SEARCH(SETTINGS!$K$17,D741)),SETTINGS!$L$17,IF(ISNUMBER(SEARCH(SETTINGS!$K$18,D741)),SETTINGS!$L$18,"Miscellaneous"))))))))))))))))</f>
        <v/>
      </c>
      <c r="I741" s="44" t="str">
        <f t="shared" si="88"/>
        <v/>
      </c>
      <c r="J741" s="9"/>
      <c r="K741" s="9"/>
      <c r="L741" s="9"/>
      <c r="M741" s="9"/>
      <c r="N741" s="9"/>
      <c r="O741" s="9"/>
      <c r="P741" s="13"/>
      <c r="Q741" s="9"/>
      <c r="R741" s="9"/>
      <c r="S741" s="9"/>
      <c r="T741" s="11"/>
      <c r="U741" s="44" t="str">
        <f t="shared" si="89"/>
        <v/>
      </c>
      <c r="V741" s="44" t="str">
        <f t="shared" si="90"/>
        <v/>
      </c>
      <c r="W741" s="44" t="str">
        <f t="shared" si="91"/>
        <v/>
      </c>
      <c r="X741" s="44" t="str">
        <f t="shared" si="92"/>
        <v/>
      </c>
      <c r="Y741" s="44" t="str">
        <f t="shared" si="93"/>
        <v/>
      </c>
      <c r="Z741" s="44" t="str">
        <f t="shared" si="94"/>
        <v/>
      </c>
      <c r="AA741" s="50" t="str">
        <f t="shared" si="95"/>
        <v/>
      </c>
      <c r="AB741" s="50" t="str">
        <f>IF(OR(B741="",C741&lt;&gt;"Expense"),"",IF(E741&gt;IFERROR(AVERAGEIFS($E$8:$E$1007,$I$8:$I$1007,I741,$C$8:$C$1007,"Expense")*SETTINGS!$B$20,0),"Unusually High","Normal"))</f>
        <v/>
      </c>
      <c r="AC741" s="51"/>
      <c r="AD741" s="51"/>
      <c r="AE741" s="51"/>
      <c r="AF741" s="50" t="str">
        <f>IF(A741&lt;&gt;"Yes","No",IF(AND(AC741="Yes",SETTINGS!$B$16="No"),"No","Yes"))</f>
        <v>No</v>
      </c>
      <c r="AG741" s="50" t="str">
        <f>IF(A741&lt;&gt;"Yes","",IF(OR(B741="",D741="",E741&lt;=0,F741="",I741=""),"Check Required Fields",IF(AA741="Possible Duplicate","Possible Duplicate",IF(E741&gt;SETTINGS!$B$22,"Review Extreme Value","OK"))))</f>
        <v/>
      </c>
    </row>
    <row r="742" spans="1:33" ht="14.4">
      <c r="A742" s="9"/>
      <c r="B742" s="13"/>
      <c r="C742" s="9"/>
      <c r="D742" s="9"/>
      <c r="E742" s="11"/>
      <c r="F742" s="9"/>
      <c r="G742" s="9"/>
      <c r="H742" s="44" t="str">
        <f>IF(D742="","",IF(ISNUMBER(SEARCH(SETTINGS!$K$4,D742)),SETTINGS!$L$4,IF(ISNUMBER(SEARCH(SETTINGS!$K$5,D742)),SETTINGS!$L$5,IF(ISNUMBER(SEARCH(SETTINGS!$K$6,D742)),SETTINGS!$L$6,IF(ISNUMBER(SEARCH(SETTINGS!$K$7,D742)),SETTINGS!$L$7,IF(ISNUMBER(SEARCH(SETTINGS!$K$8,D742)),SETTINGS!$L$8,IF(ISNUMBER(SEARCH(SETTINGS!$K$9,D742)),SETTINGS!$L$9,IF(ISNUMBER(SEARCH(SETTINGS!$K$10,D742)),SETTINGS!$L$10,IF(ISNUMBER(SEARCH(SETTINGS!$K$11,D742)),SETTINGS!$L$11,IF(ISNUMBER(SEARCH(SETTINGS!$K$12,D742)),SETTINGS!$L$12,IF(ISNUMBER(SEARCH(SETTINGS!$K$13,D742)),SETTINGS!$L$13,IF(ISNUMBER(SEARCH(SETTINGS!$K$14,D742)),SETTINGS!$L$14,IF(ISNUMBER(SEARCH(SETTINGS!$K$15,D742)),SETTINGS!$L$15,IF(ISNUMBER(SEARCH(SETTINGS!$K$16,D742)),SETTINGS!$L$16,IF(ISNUMBER(SEARCH(SETTINGS!$K$17,D742)),SETTINGS!$L$17,IF(ISNUMBER(SEARCH(SETTINGS!$K$18,D742)),SETTINGS!$L$18,"Miscellaneous"))))))))))))))))</f>
        <v/>
      </c>
      <c r="I742" s="44" t="str">
        <f t="shared" si="88"/>
        <v/>
      </c>
      <c r="J742" s="9"/>
      <c r="K742" s="9"/>
      <c r="L742" s="9"/>
      <c r="M742" s="9"/>
      <c r="N742" s="9"/>
      <c r="O742" s="9"/>
      <c r="P742" s="13"/>
      <c r="Q742" s="9"/>
      <c r="R742" s="9"/>
      <c r="S742" s="9"/>
      <c r="T742" s="11"/>
      <c r="U742" s="44" t="str">
        <f t="shared" si="89"/>
        <v/>
      </c>
      <c r="V742" s="44" t="str">
        <f t="shared" si="90"/>
        <v/>
      </c>
      <c r="W742" s="44" t="str">
        <f t="shared" si="91"/>
        <v/>
      </c>
      <c r="X742" s="44" t="str">
        <f t="shared" si="92"/>
        <v/>
      </c>
      <c r="Y742" s="44" t="str">
        <f t="shared" si="93"/>
        <v/>
      </c>
      <c r="Z742" s="44" t="str">
        <f t="shared" si="94"/>
        <v/>
      </c>
      <c r="AA742" s="50" t="str">
        <f t="shared" si="95"/>
        <v/>
      </c>
      <c r="AB742" s="50" t="str">
        <f>IF(OR(B742="",C742&lt;&gt;"Expense"),"",IF(E742&gt;IFERROR(AVERAGEIFS($E$8:$E$1007,$I$8:$I$1007,I742,$C$8:$C$1007,"Expense")*SETTINGS!$B$20,0),"Unusually High","Normal"))</f>
        <v/>
      </c>
      <c r="AC742" s="51"/>
      <c r="AD742" s="51"/>
      <c r="AE742" s="51"/>
      <c r="AF742" s="50" t="str">
        <f>IF(A742&lt;&gt;"Yes","No",IF(AND(AC742="Yes",SETTINGS!$B$16="No"),"No","Yes"))</f>
        <v>No</v>
      </c>
      <c r="AG742" s="50" t="str">
        <f>IF(A742&lt;&gt;"Yes","",IF(OR(B742="",D742="",E742&lt;=0,F742="",I742=""),"Check Required Fields",IF(AA742="Possible Duplicate","Possible Duplicate",IF(E742&gt;SETTINGS!$B$22,"Review Extreme Value","OK"))))</f>
        <v/>
      </c>
    </row>
    <row r="743" spans="1:33" ht="14.4">
      <c r="A743" s="9"/>
      <c r="B743" s="13"/>
      <c r="C743" s="9"/>
      <c r="D743" s="9"/>
      <c r="E743" s="11"/>
      <c r="F743" s="9"/>
      <c r="G743" s="9"/>
      <c r="H743" s="44" t="str">
        <f>IF(D743="","",IF(ISNUMBER(SEARCH(SETTINGS!$K$4,D743)),SETTINGS!$L$4,IF(ISNUMBER(SEARCH(SETTINGS!$K$5,D743)),SETTINGS!$L$5,IF(ISNUMBER(SEARCH(SETTINGS!$K$6,D743)),SETTINGS!$L$6,IF(ISNUMBER(SEARCH(SETTINGS!$K$7,D743)),SETTINGS!$L$7,IF(ISNUMBER(SEARCH(SETTINGS!$K$8,D743)),SETTINGS!$L$8,IF(ISNUMBER(SEARCH(SETTINGS!$K$9,D743)),SETTINGS!$L$9,IF(ISNUMBER(SEARCH(SETTINGS!$K$10,D743)),SETTINGS!$L$10,IF(ISNUMBER(SEARCH(SETTINGS!$K$11,D743)),SETTINGS!$L$11,IF(ISNUMBER(SEARCH(SETTINGS!$K$12,D743)),SETTINGS!$L$12,IF(ISNUMBER(SEARCH(SETTINGS!$K$13,D743)),SETTINGS!$L$13,IF(ISNUMBER(SEARCH(SETTINGS!$K$14,D743)),SETTINGS!$L$14,IF(ISNUMBER(SEARCH(SETTINGS!$K$15,D743)),SETTINGS!$L$15,IF(ISNUMBER(SEARCH(SETTINGS!$K$16,D743)),SETTINGS!$L$16,IF(ISNUMBER(SEARCH(SETTINGS!$K$17,D743)),SETTINGS!$L$17,IF(ISNUMBER(SEARCH(SETTINGS!$K$18,D743)),SETTINGS!$L$18,"Miscellaneous"))))))))))))))))</f>
        <v/>
      </c>
      <c r="I743" s="44" t="str">
        <f t="shared" si="88"/>
        <v/>
      </c>
      <c r="J743" s="9"/>
      <c r="K743" s="9"/>
      <c r="L743" s="9"/>
      <c r="M743" s="9"/>
      <c r="N743" s="9"/>
      <c r="O743" s="9"/>
      <c r="P743" s="13"/>
      <c r="Q743" s="9"/>
      <c r="R743" s="9"/>
      <c r="S743" s="9"/>
      <c r="T743" s="11"/>
      <c r="U743" s="44" t="str">
        <f t="shared" si="89"/>
        <v/>
      </c>
      <c r="V743" s="44" t="str">
        <f t="shared" si="90"/>
        <v/>
      </c>
      <c r="W743" s="44" t="str">
        <f t="shared" si="91"/>
        <v/>
      </c>
      <c r="X743" s="44" t="str">
        <f t="shared" si="92"/>
        <v/>
      </c>
      <c r="Y743" s="44" t="str">
        <f t="shared" si="93"/>
        <v/>
      </c>
      <c r="Z743" s="44" t="str">
        <f t="shared" si="94"/>
        <v/>
      </c>
      <c r="AA743" s="50" t="str">
        <f t="shared" si="95"/>
        <v/>
      </c>
      <c r="AB743" s="50" t="str">
        <f>IF(OR(B743="",C743&lt;&gt;"Expense"),"",IF(E743&gt;IFERROR(AVERAGEIFS($E$8:$E$1007,$I$8:$I$1007,I743,$C$8:$C$1007,"Expense")*SETTINGS!$B$20,0),"Unusually High","Normal"))</f>
        <v/>
      </c>
      <c r="AC743" s="51"/>
      <c r="AD743" s="51"/>
      <c r="AE743" s="51"/>
      <c r="AF743" s="50" t="str">
        <f>IF(A743&lt;&gt;"Yes","No",IF(AND(AC743="Yes",SETTINGS!$B$16="No"),"No","Yes"))</f>
        <v>No</v>
      </c>
      <c r="AG743" s="50" t="str">
        <f>IF(A743&lt;&gt;"Yes","",IF(OR(B743="",D743="",E743&lt;=0,F743="",I743=""),"Check Required Fields",IF(AA743="Possible Duplicate","Possible Duplicate",IF(E743&gt;SETTINGS!$B$22,"Review Extreme Value","OK"))))</f>
        <v/>
      </c>
    </row>
    <row r="744" spans="1:33" ht="14.4">
      <c r="A744" s="9"/>
      <c r="B744" s="13"/>
      <c r="C744" s="9"/>
      <c r="D744" s="9"/>
      <c r="E744" s="11"/>
      <c r="F744" s="9"/>
      <c r="G744" s="9"/>
      <c r="H744" s="44" t="str">
        <f>IF(D744="","",IF(ISNUMBER(SEARCH(SETTINGS!$K$4,D744)),SETTINGS!$L$4,IF(ISNUMBER(SEARCH(SETTINGS!$K$5,D744)),SETTINGS!$L$5,IF(ISNUMBER(SEARCH(SETTINGS!$K$6,D744)),SETTINGS!$L$6,IF(ISNUMBER(SEARCH(SETTINGS!$K$7,D744)),SETTINGS!$L$7,IF(ISNUMBER(SEARCH(SETTINGS!$K$8,D744)),SETTINGS!$L$8,IF(ISNUMBER(SEARCH(SETTINGS!$K$9,D744)),SETTINGS!$L$9,IF(ISNUMBER(SEARCH(SETTINGS!$K$10,D744)),SETTINGS!$L$10,IF(ISNUMBER(SEARCH(SETTINGS!$K$11,D744)),SETTINGS!$L$11,IF(ISNUMBER(SEARCH(SETTINGS!$K$12,D744)),SETTINGS!$L$12,IF(ISNUMBER(SEARCH(SETTINGS!$K$13,D744)),SETTINGS!$L$13,IF(ISNUMBER(SEARCH(SETTINGS!$K$14,D744)),SETTINGS!$L$14,IF(ISNUMBER(SEARCH(SETTINGS!$K$15,D744)),SETTINGS!$L$15,IF(ISNUMBER(SEARCH(SETTINGS!$K$16,D744)),SETTINGS!$L$16,IF(ISNUMBER(SEARCH(SETTINGS!$K$17,D744)),SETTINGS!$L$17,IF(ISNUMBER(SEARCH(SETTINGS!$K$18,D744)),SETTINGS!$L$18,"Miscellaneous"))))))))))))))))</f>
        <v/>
      </c>
      <c r="I744" s="44" t="str">
        <f t="shared" si="88"/>
        <v/>
      </c>
      <c r="J744" s="9"/>
      <c r="K744" s="9"/>
      <c r="L744" s="9"/>
      <c r="M744" s="9"/>
      <c r="N744" s="9"/>
      <c r="O744" s="9"/>
      <c r="P744" s="13"/>
      <c r="Q744" s="9"/>
      <c r="R744" s="9"/>
      <c r="S744" s="9"/>
      <c r="T744" s="11"/>
      <c r="U744" s="44" t="str">
        <f t="shared" si="89"/>
        <v/>
      </c>
      <c r="V744" s="44" t="str">
        <f t="shared" si="90"/>
        <v/>
      </c>
      <c r="W744" s="44" t="str">
        <f t="shared" si="91"/>
        <v/>
      </c>
      <c r="X744" s="44" t="str">
        <f t="shared" si="92"/>
        <v/>
      </c>
      <c r="Y744" s="44" t="str">
        <f t="shared" si="93"/>
        <v/>
      </c>
      <c r="Z744" s="44" t="str">
        <f t="shared" si="94"/>
        <v/>
      </c>
      <c r="AA744" s="50" t="str">
        <f t="shared" si="95"/>
        <v/>
      </c>
      <c r="AB744" s="50" t="str">
        <f>IF(OR(B744="",C744&lt;&gt;"Expense"),"",IF(E744&gt;IFERROR(AVERAGEIFS($E$8:$E$1007,$I$8:$I$1007,I744,$C$8:$C$1007,"Expense")*SETTINGS!$B$20,0),"Unusually High","Normal"))</f>
        <v/>
      </c>
      <c r="AC744" s="51"/>
      <c r="AD744" s="51"/>
      <c r="AE744" s="51"/>
      <c r="AF744" s="50" t="str">
        <f>IF(A744&lt;&gt;"Yes","No",IF(AND(AC744="Yes",SETTINGS!$B$16="No"),"No","Yes"))</f>
        <v>No</v>
      </c>
      <c r="AG744" s="50" t="str">
        <f>IF(A744&lt;&gt;"Yes","",IF(OR(B744="",D744="",E744&lt;=0,F744="",I744=""),"Check Required Fields",IF(AA744="Possible Duplicate","Possible Duplicate",IF(E744&gt;SETTINGS!$B$22,"Review Extreme Value","OK"))))</f>
        <v/>
      </c>
    </row>
    <row r="745" spans="1:33" ht="14.4">
      <c r="A745" s="9"/>
      <c r="B745" s="13"/>
      <c r="C745" s="9"/>
      <c r="D745" s="9"/>
      <c r="E745" s="11"/>
      <c r="F745" s="9"/>
      <c r="G745" s="9"/>
      <c r="H745" s="44" t="str">
        <f>IF(D745="","",IF(ISNUMBER(SEARCH(SETTINGS!$K$4,D745)),SETTINGS!$L$4,IF(ISNUMBER(SEARCH(SETTINGS!$K$5,D745)),SETTINGS!$L$5,IF(ISNUMBER(SEARCH(SETTINGS!$K$6,D745)),SETTINGS!$L$6,IF(ISNUMBER(SEARCH(SETTINGS!$K$7,D745)),SETTINGS!$L$7,IF(ISNUMBER(SEARCH(SETTINGS!$K$8,D745)),SETTINGS!$L$8,IF(ISNUMBER(SEARCH(SETTINGS!$K$9,D745)),SETTINGS!$L$9,IF(ISNUMBER(SEARCH(SETTINGS!$K$10,D745)),SETTINGS!$L$10,IF(ISNUMBER(SEARCH(SETTINGS!$K$11,D745)),SETTINGS!$L$11,IF(ISNUMBER(SEARCH(SETTINGS!$K$12,D745)),SETTINGS!$L$12,IF(ISNUMBER(SEARCH(SETTINGS!$K$13,D745)),SETTINGS!$L$13,IF(ISNUMBER(SEARCH(SETTINGS!$K$14,D745)),SETTINGS!$L$14,IF(ISNUMBER(SEARCH(SETTINGS!$K$15,D745)),SETTINGS!$L$15,IF(ISNUMBER(SEARCH(SETTINGS!$K$16,D745)),SETTINGS!$L$16,IF(ISNUMBER(SEARCH(SETTINGS!$K$17,D745)),SETTINGS!$L$17,IF(ISNUMBER(SEARCH(SETTINGS!$K$18,D745)),SETTINGS!$L$18,"Miscellaneous"))))))))))))))))</f>
        <v/>
      </c>
      <c r="I745" s="44" t="str">
        <f t="shared" si="88"/>
        <v/>
      </c>
      <c r="J745" s="9"/>
      <c r="K745" s="9"/>
      <c r="L745" s="9"/>
      <c r="M745" s="9"/>
      <c r="N745" s="9"/>
      <c r="O745" s="9"/>
      <c r="P745" s="13"/>
      <c r="Q745" s="9"/>
      <c r="R745" s="9"/>
      <c r="S745" s="9"/>
      <c r="T745" s="11"/>
      <c r="U745" s="44" t="str">
        <f t="shared" si="89"/>
        <v/>
      </c>
      <c r="V745" s="44" t="str">
        <f t="shared" si="90"/>
        <v/>
      </c>
      <c r="W745" s="44" t="str">
        <f t="shared" si="91"/>
        <v/>
      </c>
      <c r="X745" s="44" t="str">
        <f t="shared" si="92"/>
        <v/>
      </c>
      <c r="Y745" s="44" t="str">
        <f t="shared" si="93"/>
        <v/>
      </c>
      <c r="Z745" s="44" t="str">
        <f t="shared" si="94"/>
        <v/>
      </c>
      <c r="AA745" s="50" t="str">
        <f t="shared" si="95"/>
        <v/>
      </c>
      <c r="AB745" s="50" t="str">
        <f>IF(OR(B745="",C745&lt;&gt;"Expense"),"",IF(E745&gt;IFERROR(AVERAGEIFS($E$8:$E$1007,$I$8:$I$1007,I745,$C$8:$C$1007,"Expense")*SETTINGS!$B$20,0),"Unusually High","Normal"))</f>
        <v/>
      </c>
      <c r="AC745" s="51"/>
      <c r="AD745" s="51"/>
      <c r="AE745" s="51"/>
      <c r="AF745" s="50" t="str">
        <f>IF(A745&lt;&gt;"Yes","No",IF(AND(AC745="Yes",SETTINGS!$B$16="No"),"No","Yes"))</f>
        <v>No</v>
      </c>
      <c r="AG745" s="50" t="str">
        <f>IF(A745&lt;&gt;"Yes","",IF(OR(B745="",D745="",E745&lt;=0,F745="",I745=""),"Check Required Fields",IF(AA745="Possible Duplicate","Possible Duplicate",IF(E745&gt;SETTINGS!$B$22,"Review Extreme Value","OK"))))</f>
        <v/>
      </c>
    </row>
    <row r="746" spans="1:33" ht="14.4">
      <c r="A746" s="9"/>
      <c r="B746" s="13"/>
      <c r="C746" s="9"/>
      <c r="D746" s="9"/>
      <c r="E746" s="11"/>
      <c r="F746" s="9"/>
      <c r="G746" s="9"/>
      <c r="H746" s="44" t="str">
        <f>IF(D746="","",IF(ISNUMBER(SEARCH(SETTINGS!$K$4,D746)),SETTINGS!$L$4,IF(ISNUMBER(SEARCH(SETTINGS!$K$5,D746)),SETTINGS!$L$5,IF(ISNUMBER(SEARCH(SETTINGS!$K$6,D746)),SETTINGS!$L$6,IF(ISNUMBER(SEARCH(SETTINGS!$K$7,D746)),SETTINGS!$L$7,IF(ISNUMBER(SEARCH(SETTINGS!$K$8,D746)),SETTINGS!$L$8,IF(ISNUMBER(SEARCH(SETTINGS!$K$9,D746)),SETTINGS!$L$9,IF(ISNUMBER(SEARCH(SETTINGS!$K$10,D746)),SETTINGS!$L$10,IF(ISNUMBER(SEARCH(SETTINGS!$K$11,D746)),SETTINGS!$L$11,IF(ISNUMBER(SEARCH(SETTINGS!$K$12,D746)),SETTINGS!$L$12,IF(ISNUMBER(SEARCH(SETTINGS!$K$13,D746)),SETTINGS!$L$13,IF(ISNUMBER(SEARCH(SETTINGS!$K$14,D746)),SETTINGS!$L$14,IF(ISNUMBER(SEARCH(SETTINGS!$K$15,D746)),SETTINGS!$L$15,IF(ISNUMBER(SEARCH(SETTINGS!$K$16,D746)),SETTINGS!$L$16,IF(ISNUMBER(SEARCH(SETTINGS!$K$17,D746)),SETTINGS!$L$17,IF(ISNUMBER(SEARCH(SETTINGS!$K$18,D746)),SETTINGS!$L$18,"Miscellaneous"))))))))))))))))</f>
        <v/>
      </c>
      <c r="I746" s="44" t="str">
        <f t="shared" si="88"/>
        <v/>
      </c>
      <c r="J746" s="9"/>
      <c r="K746" s="9"/>
      <c r="L746" s="9"/>
      <c r="M746" s="9"/>
      <c r="N746" s="9"/>
      <c r="O746" s="9"/>
      <c r="P746" s="13"/>
      <c r="Q746" s="9"/>
      <c r="R746" s="9"/>
      <c r="S746" s="9"/>
      <c r="T746" s="11"/>
      <c r="U746" s="44" t="str">
        <f t="shared" si="89"/>
        <v/>
      </c>
      <c r="V746" s="44" t="str">
        <f t="shared" si="90"/>
        <v/>
      </c>
      <c r="W746" s="44" t="str">
        <f t="shared" si="91"/>
        <v/>
      </c>
      <c r="X746" s="44" t="str">
        <f t="shared" si="92"/>
        <v/>
      </c>
      <c r="Y746" s="44" t="str">
        <f t="shared" si="93"/>
        <v/>
      </c>
      <c r="Z746" s="44" t="str">
        <f t="shared" si="94"/>
        <v/>
      </c>
      <c r="AA746" s="50" t="str">
        <f t="shared" si="95"/>
        <v/>
      </c>
      <c r="AB746" s="50" t="str">
        <f>IF(OR(B746="",C746&lt;&gt;"Expense"),"",IF(E746&gt;IFERROR(AVERAGEIFS($E$8:$E$1007,$I$8:$I$1007,I746,$C$8:$C$1007,"Expense")*SETTINGS!$B$20,0),"Unusually High","Normal"))</f>
        <v/>
      </c>
      <c r="AC746" s="51"/>
      <c r="AD746" s="51"/>
      <c r="AE746" s="51"/>
      <c r="AF746" s="50" t="str">
        <f>IF(A746&lt;&gt;"Yes","No",IF(AND(AC746="Yes",SETTINGS!$B$16="No"),"No","Yes"))</f>
        <v>No</v>
      </c>
      <c r="AG746" s="50" t="str">
        <f>IF(A746&lt;&gt;"Yes","",IF(OR(B746="",D746="",E746&lt;=0,F746="",I746=""),"Check Required Fields",IF(AA746="Possible Duplicate","Possible Duplicate",IF(E746&gt;SETTINGS!$B$22,"Review Extreme Value","OK"))))</f>
        <v/>
      </c>
    </row>
    <row r="747" spans="1:33" ht="14.4">
      <c r="A747" s="9"/>
      <c r="B747" s="13"/>
      <c r="C747" s="9"/>
      <c r="D747" s="9"/>
      <c r="E747" s="11"/>
      <c r="F747" s="9"/>
      <c r="G747" s="9"/>
      <c r="H747" s="44" t="str">
        <f>IF(D747="","",IF(ISNUMBER(SEARCH(SETTINGS!$K$4,D747)),SETTINGS!$L$4,IF(ISNUMBER(SEARCH(SETTINGS!$K$5,D747)),SETTINGS!$L$5,IF(ISNUMBER(SEARCH(SETTINGS!$K$6,D747)),SETTINGS!$L$6,IF(ISNUMBER(SEARCH(SETTINGS!$K$7,D747)),SETTINGS!$L$7,IF(ISNUMBER(SEARCH(SETTINGS!$K$8,D747)),SETTINGS!$L$8,IF(ISNUMBER(SEARCH(SETTINGS!$K$9,D747)),SETTINGS!$L$9,IF(ISNUMBER(SEARCH(SETTINGS!$K$10,D747)),SETTINGS!$L$10,IF(ISNUMBER(SEARCH(SETTINGS!$K$11,D747)),SETTINGS!$L$11,IF(ISNUMBER(SEARCH(SETTINGS!$K$12,D747)),SETTINGS!$L$12,IF(ISNUMBER(SEARCH(SETTINGS!$K$13,D747)),SETTINGS!$L$13,IF(ISNUMBER(SEARCH(SETTINGS!$K$14,D747)),SETTINGS!$L$14,IF(ISNUMBER(SEARCH(SETTINGS!$K$15,D747)),SETTINGS!$L$15,IF(ISNUMBER(SEARCH(SETTINGS!$K$16,D747)),SETTINGS!$L$16,IF(ISNUMBER(SEARCH(SETTINGS!$K$17,D747)),SETTINGS!$L$17,IF(ISNUMBER(SEARCH(SETTINGS!$K$18,D747)),SETTINGS!$L$18,"Miscellaneous"))))))))))))))))</f>
        <v/>
      </c>
      <c r="I747" s="44" t="str">
        <f t="shared" si="88"/>
        <v/>
      </c>
      <c r="J747" s="9"/>
      <c r="K747" s="9"/>
      <c r="L747" s="9"/>
      <c r="M747" s="9"/>
      <c r="N747" s="9"/>
      <c r="O747" s="9"/>
      <c r="P747" s="13"/>
      <c r="Q747" s="9"/>
      <c r="R747" s="9"/>
      <c r="S747" s="9"/>
      <c r="T747" s="11"/>
      <c r="U747" s="44" t="str">
        <f t="shared" si="89"/>
        <v/>
      </c>
      <c r="V747" s="44" t="str">
        <f t="shared" si="90"/>
        <v/>
      </c>
      <c r="W747" s="44" t="str">
        <f t="shared" si="91"/>
        <v/>
      </c>
      <c r="X747" s="44" t="str">
        <f t="shared" si="92"/>
        <v/>
      </c>
      <c r="Y747" s="44" t="str">
        <f t="shared" si="93"/>
        <v/>
      </c>
      <c r="Z747" s="44" t="str">
        <f t="shared" si="94"/>
        <v/>
      </c>
      <c r="AA747" s="50" t="str">
        <f t="shared" si="95"/>
        <v/>
      </c>
      <c r="AB747" s="50" t="str">
        <f>IF(OR(B747="",C747&lt;&gt;"Expense"),"",IF(E747&gt;IFERROR(AVERAGEIFS($E$8:$E$1007,$I$8:$I$1007,I747,$C$8:$C$1007,"Expense")*SETTINGS!$B$20,0),"Unusually High","Normal"))</f>
        <v/>
      </c>
      <c r="AC747" s="51"/>
      <c r="AD747" s="51"/>
      <c r="AE747" s="51"/>
      <c r="AF747" s="50" t="str">
        <f>IF(A747&lt;&gt;"Yes","No",IF(AND(AC747="Yes",SETTINGS!$B$16="No"),"No","Yes"))</f>
        <v>No</v>
      </c>
      <c r="AG747" s="50" t="str">
        <f>IF(A747&lt;&gt;"Yes","",IF(OR(B747="",D747="",E747&lt;=0,F747="",I747=""),"Check Required Fields",IF(AA747="Possible Duplicate","Possible Duplicate",IF(E747&gt;SETTINGS!$B$22,"Review Extreme Value","OK"))))</f>
        <v/>
      </c>
    </row>
    <row r="748" spans="1:33" ht="14.4">
      <c r="A748" s="9"/>
      <c r="B748" s="13"/>
      <c r="C748" s="9"/>
      <c r="D748" s="9"/>
      <c r="E748" s="11"/>
      <c r="F748" s="9"/>
      <c r="G748" s="9"/>
      <c r="H748" s="44" t="str">
        <f>IF(D748="","",IF(ISNUMBER(SEARCH(SETTINGS!$K$4,D748)),SETTINGS!$L$4,IF(ISNUMBER(SEARCH(SETTINGS!$K$5,D748)),SETTINGS!$L$5,IF(ISNUMBER(SEARCH(SETTINGS!$K$6,D748)),SETTINGS!$L$6,IF(ISNUMBER(SEARCH(SETTINGS!$K$7,D748)),SETTINGS!$L$7,IF(ISNUMBER(SEARCH(SETTINGS!$K$8,D748)),SETTINGS!$L$8,IF(ISNUMBER(SEARCH(SETTINGS!$K$9,D748)),SETTINGS!$L$9,IF(ISNUMBER(SEARCH(SETTINGS!$K$10,D748)),SETTINGS!$L$10,IF(ISNUMBER(SEARCH(SETTINGS!$K$11,D748)),SETTINGS!$L$11,IF(ISNUMBER(SEARCH(SETTINGS!$K$12,D748)),SETTINGS!$L$12,IF(ISNUMBER(SEARCH(SETTINGS!$K$13,D748)),SETTINGS!$L$13,IF(ISNUMBER(SEARCH(SETTINGS!$K$14,D748)),SETTINGS!$L$14,IF(ISNUMBER(SEARCH(SETTINGS!$K$15,D748)),SETTINGS!$L$15,IF(ISNUMBER(SEARCH(SETTINGS!$K$16,D748)),SETTINGS!$L$16,IF(ISNUMBER(SEARCH(SETTINGS!$K$17,D748)),SETTINGS!$L$17,IF(ISNUMBER(SEARCH(SETTINGS!$K$18,D748)),SETTINGS!$L$18,"Miscellaneous"))))))))))))))))</f>
        <v/>
      </c>
      <c r="I748" s="44" t="str">
        <f t="shared" si="88"/>
        <v/>
      </c>
      <c r="J748" s="9"/>
      <c r="K748" s="9"/>
      <c r="L748" s="9"/>
      <c r="M748" s="9"/>
      <c r="N748" s="9"/>
      <c r="O748" s="9"/>
      <c r="P748" s="13"/>
      <c r="Q748" s="9"/>
      <c r="R748" s="9"/>
      <c r="S748" s="9"/>
      <c r="T748" s="11"/>
      <c r="U748" s="44" t="str">
        <f t="shared" si="89"/>
        <v/>
      </c>
      <c r="V748" s="44" t="str">
        <f t="shared" si="90"/>
        <v/>
      </c>
      <c r="W748" s="44" t="str">
        <f t="shared" si="91"/>
        <v/>
      </c>
      <c r="X748" s="44" t="str">
        <f t="shared" si="92"/>
        <v/>
      </c>
      <c r="Y748" s="44" t="str">
        <f t="shared" si="93"/>
        <v/>
      </c>
      <c r="Z748" s="44" t="str">
        <f t="shared" si="94"/>
        <v/>
      </c>
      <c r="AA748" s="50" t="str">
        <f t="shared" si="95"/>
        <v/>
      </c>
      <c r="AB748" s="50" t="str">
        <f>IF(OR(B748="",C748&lt;&gt;"Expense"),"",IF(E748&gt;IFERROR(AVERAGEIFS($E$8:$E$1007,$I$8:$I$1007,I748,$C$8:$C$1007,"Expense")*SETTINGS!$B$20,0),"Unusually High","Normal"))</f>
        <v/>
      </c>
      <c r="AC748" s="51"/>
      <c r="AD748" s="51"/>
      <c r="AE748" s="51"/>
      <c r="AF748" s="50" t="str">
        <f>IF(A748&lt;&gt;"Yes","No",IF(AND(AC748="Yes",SETTINGS!$B$16="No"),"No","Yes"))</f>
        <v>No</v>
      </c>
      <c r="AG748" s="50" t="str">
        <f>IF(A748&lt;&gt;"Yes","",IF(OR(B748="",D748="",E748&lt;=0,F748="",I748=""),"Check Required Fields",IF(AA748="Possible Duplicate","Possible Duplicate",IF(E748&gt;SETTINGS!$B$22,"Review Extreme Value","OK"))))</f>
        <v/>
      </c>
    </row>
    <row r="749" spans="1:33" ht="14.4">
      <c r="A749" s="9"/>
      <c r="B749" s="13"/>
      <c r="C749" s="9"/>
      <c r="D749" s="9"/>
      <c r="E749" s="11"/>
      <c r="F749" s="9"/>
      <c r="G749" s="9"/>
      <c r="H749" s="44" t="str">
        <f>IF(D749="","",IF(ISNUMBER(SEARCH(SETTINGS!$K$4,D749)),SETTINGS!$L$4,IF(ISNUMBER(SEARCH(SETTINGS!$K$5,D749)),SETTINGS!$L$5,IF(ISNUMBER(SEARCH(SETTINGS!$K$6,D749)),SETTINGS!$L$6,IF(ISNUMBER(SEARCH(SETTINGS!$K$7,D749)),SETTINGS!$L$7,IF(ISNUMBER(SEARCH(SETTINGS!$K$8,D749)),SETTINGS!$L$8,IF(ISNUMBER(SEARCH(SETTINGS!$K$9,D749)),SETTINGS!$L$9,IF(ISNUMBER(SEARCH(SETTINGS!$K$10,D749)),SETTINGS!$L$10,IF(ISNUMBER(SEARCH(SETTINGS!$K$11,D749)),SETTINGS!$L$11,IF(ISNUMBER(SEARCH(SETTINGS!$K$12,D749)),SETTINGS!$L$12,IF(ISNUMBER(SEARCH(SETTINGS!$K$13,D749)),SETTINGS!$L$13,IF(ISNUMBER(SEARCH(SETTINGS!$K$14,D749)),SETTINGS!$L$14,IF(ISNUMBER(SEARCH(SETTINGS!$K$15,D749)),SETTINGS!$L$15,IF(ISNUMBER(SEARCH(SETTINGS!$K$16,D749)),SETTINGS!$L$16,IF(ISNUMBER(SEARCH(SETTINGS!$K$17,D749)),SETTINGS!$L$17,IF(ISNUMBER(SEARCH(SETTINGS!$K$18,D749)),SETTINGS!$L$18,"Miscellaneous"))))))))))))))))</f>
        <v/>
      </c>
      <c r="I749" s="44" t="str">
        <f t="shared" si="88"/>
        <v/>
      </c>
      <c r="J749" s="9"/>
      <c r="K749" s="9"/>
      <c r="L749" s="9"/>
      <c r="M749" s="9"/>
      <c r="N749" s="9"/>
      <c r="O749" s="9"/>
      <c r="P749" s="13"/>
      <c r="Q749" s="9"/>
      <c r="R749" s="9"/>
      <c r="S749" s="9"/>
      <c r="T749" s="11"/>
      <c r="U749" s="44" t="str">
        <f t="shared" si="89"/>
        <v/>
      </c>
      <c r="V749" s="44" t="str">
        <f t="shared" si="90"/>
        <v/>
      </c>
      <c r="W749" s="44" t="str">
        <f t="shared" si="91"/>
        <v/>
      </c>
      <c r="X749" s="44" t="str">
        <f t="shared" si="92"/>
        <v/>
      </c>
      <c r="Y749" s="44" t="str">
        <f t="shared" si="93"/>
        <v/>
      </c>
      <c r="Z749" s="44" t="str">
        <f t="shared" si="94"/>
        <v/>
      </c>
      <c r="AA749" s="50" t="str">
        <f t="shared" si="95"/>
        <v/>
      </c>
      <c r="AB749" s="50" t="str">
        <f>IF(OR(B749="",C749&lt;&gt;"Expense"),"",IF(E749&gt;IFERROR(AVERAGEIFS($E$8:$E$1007,$I$8:$I$1007,I749,$C$8:$C$1007,"Expense")*SETTINGS!$B$20,0),"Unusually High","Normal"))</f>
        <v/>
      </c>
      <c r="AC749" s="51"/>
      <c r="AD749" s="51"/>
      <c r="AE749" s="51"/>
      <c r="AF749" s="50" t="str">
        <f>IF(A749&lt;&gt;"Yes","No",IF(AND(AC749="Yes",SETTINGS!$B$16="No"),"No","Yes"))</f>
        <v>No</v>
      </c>
      <c r="AG749" s="50" t="str">
        <f>IF(A749&lt;&gt;"Yes","",IF(OR(B749="",D749="",E749&lt;=0,F749="",I749=""),"Check Required Fields",IF(AA749="Possible Duplicate","Possible Duplicate",IF(E749&gt;SETTINGS!$B$22,"Review Extreme Value","OK"))))</f>
        <v/>
      </c>
    </row>
    <row r="750" spans="1:33" ht="14.4">
      <c r="A750" s="9"/>
      <c r="B750" s="13"/>
      <c r="C750" s="9"/>
      <c r="D750" s="9"/>
      <c r="E750" s="11"/>
      <c r="F750" s="9"/>
      <c r="G750" s="9"/>
      <c r="H750" s="44" t="str">
        <f>IF(D750="","",IF(ISNUMBER(SEARCH(SETTINGS!$K$4,D750)),SETTINGS!$L$4,IF(ISNUMBER(SEARCH(SETTINGS!$K$5,D750)),SETTINGS!$L$5,IF(ISNUMBER(SEARCH(SETTINGS!$K$6,D750)),SETTINGS!$L$6,IF(ISNUMBER(SEARCH(SETTINGS!$K$7,D750)),SETTINGS!$L$7,IF(ISNUMBER(SEARCH(SETTINGS!$K$8,D750)),SETTINGS!$L$8,IF(ISNUMBER(SEARCH(SETTINGS!$K$9,D750)),SETTINGS!$L$9,IF(ISNUMBER(SEARCH(SETTINGS!$K$10,D750)),SETTINGS!$L$10,IF(ISNUMBER(SEARCH(SETTINGS!$K$11,D750)),SETTINGS!$L$11,IF(ISNUMBER(SEARCH(SETTINGS!$K$12,D750)),SETTINGS!$L$12,IF(ISNUMBER(SEARCH(SETTINGS!$K$13,D750)),SETTINGS!$L$13,IF(ISNUMBER(SEARCH(SETTINGS!$K$14,D750)),SETTINGS!$L$14,IF(ISNUMBER(SEARCH(SETTINGS!$K$15,D750)),SETTINGS!$L$15,IF(ISNUMBER(SEARCH(SETTINGS!$K$16,D750)),SETTINGS!$L$16,IF(ISNUMBER(SEARCH(SETTINGS!$K$17,D750)),SETTINGS!$L$17,IF(ISNUMBER(SEARCH(SETTINGS!$K$18,D750)),SETTINGS!$L$18,"Miscellaneous"))))))))))))))))</f>
        <v/>
      </c>
      <c r="I750" s="44" t="str">
        <f t="shared" si="88"/>
        <v/>
      </c>
      <c r="J750" s="9"/>
      <c r="K750" s="9"/>
      <c r="L750" s="9"/>
      <c r="M750" s="9"/>
      <c r="N750" s="9"/>
      <c r="O750" s="9"/>
      <c r="P750" s="13"/>
      <c r="Q750" s="9"/>
      <c r="R750" s="9"/>
      <c r="S750" s="9"/>
      <c r="T750" s="11"/>
      <c r="U750" s="44" t="str">
        <f t="shared" si="89"/>
        <v/>
      </c>
      <c r="V750" s="44" t="str">
        <f t="shared" si="90"/>
        <v/>
      </c>
      <c r="W750" s="44" t="str">
        <f t="shared" si="91"/>
        <v/>
      </c>
      <c r="X750" s="44" t="str">
        <f t="shared" si="92"/>
        <v/>
      </c>
      <c r="Y750" s="44" t="str">
        <f t="shared" si="93"/>
        <v/>
      </c>
      <c r="Z750" s="44" t="str">
        <f t="shared" si="94"/>
        <v/>
      </c>
      <c r="AA750" s="50" t="str">
        <f t="shared" si="95"/>
        <v/>
      </c>
      <c r="AB750" s="50" t="str">
        <f>IF(OR(B750="",C750&lt;&gt;"Expense"),"",IF(E750&gt;IFERROR(AVERAGEIFS($E$8:$E$1007,$I$8:$I$1007,I750,$C$8:$C$1007,"Expense")*SETTINGS!$B$20,0),"Unusually High","Normal"))</f>
        <v/>
      </c>
      <c r="AC750" s="51"/>
      <c r="AD750" s="51"/>
      <c r="AE750" s="51"/>
      <c r="AF750" s="50" t="str">
        <f>IF(A750&lt;&gt;"Yes","No",IF(AND(AC750="Yes",SETTINGS!$B$16="No"),"No","Yes"))</f>
        <v>No</v>
      </c>
      <c r="AG750" s="50" t="str">
        <f>IF(A750&lt;&gt;"Yes","",IF(OR(B750="",D750="",E750&lt;=0,F750="",I750=""),"Check Required Fields",IF(AA750="Possible Duplicate","Possible Duplicate",IF(E750&gt;SETTINGS!$B$22,"Review Extreme Value","OK"))))</f>
        <v/>
      </c>
    </row>
    <row r="751" spans="1:33" ht="14.4">
      <c r="A751" s="9"/>
      <c r="B751" s="13"/>
      <c r="C751" s="9"/>
      <c r="D751" s="9"/>
      <c r="E751" s="11"/>
      <c r="F751" s="9"/>
      <c r="G751" s="9"/>
      <c r="H751" s="44" t="str">
        <f>IF(D751="","",IF(ISNUMBER(SEARCH(SETTINGS!$K$4,D751)),SETTINGS!$L$4,IF(ISNUMBER(SEARCH(SETTINGS!$K$5,D751)),SETTINGS!$L$5,IF(ISNUMBER(SEARCH(SETTINGS!$K$6,D751)),SETTINGS!$L$6,IF(ISNUMBER(SEARCH(SETTINGS!$K$7,D751)),SETTINGS!$L$7,IF(ISNUMBER(SEARCH(SETTINGS!$K$8,D751)),SETTINGS!$L$8,IF(ISNUMBER(SEARCH(SETTINGS!$K$9,D751)),SETTINGS!$L$9,IF(ISNUMBER(SEARCH(SETTINGS!$K$10,D751)),SETTINGS!$L$10,IF(ISNUMBER(SEARCH(SETTINGS!$K$11,D751)),SETTINGS!$L$11,IF(ISNUMBER(SEARCH(SETTINGS!$K$12,D751)),SETTINGS!$L$12,IF(ISNUMBER(SEARCH(SETTINGS!$K$13,D751)),SETTINGS!$L$13,IF(ISNUMBER(SEARCH(SETTINGS!$K$14,D751)),SETTINGS!$L$14,IF(ISNUMBER(SEARCH(SETTINGS!$K$15,D751)),SETTINGS!$L$15,IF(ISNUMBER(SEARCH(SETTINGS!$K$16,D751)),SETTINGS!$L$16,IF(ISNUMBER(SEARCH(SETTINGS!$K$17,D751)),SETTINGS!$L$17,IF(ISNUMBER(SEARCH(SETTINGS!$K$18,D751)),SETTINGS!$L$18,"Miscellaneous"))))))))))))))))</f>
        <v/>
      </c>
      <c r="I751" s="44" t="str">
        <f t="shared" si="88"/>
        <v/>
      </c>
      <c r="J751" s="9"/>
      <c r="K751" s="9"/>
      <c r="L751" s="9"/>
      <c r="M751" s="9"/>
      <c r="N751" s="9"/>
      <c r="O751" s="9"/>
      <c r="P751" s="13"/>
      <c r="Q751" s="9"/>
      <c r="R751" s="9"/>
      <c r="S751" s="9"/>
      <c r="T751" s="11"/>
      <c r="U751" s="44" t="str">
        <f t="shared" si="89"/>
        <v/>
      </c>
      <c r="V751" s="44" t="str">
        <f t="shared" si="90"/>
        <v/>
      </c>
      <c r="W751" s="44" t="str">
        <f t="shared" si="91"/>
        <v/>
      </c>
      <c r="X751" s="44" t="str">
        <f t="shared" si="92"/>
        <v/>
      </c>
      <c r="Y751" s="44" t="str">
        <f t="shared" si="93"/>
        <v/>
      </c>
      <c r="Z751" s="44" t="str">
        <f t="shared" si="94"/>
        <v/>
      </c>
      <c r="AA751" s="50" t="str">
        <f t="shared" si="95"/>
        <v/>
      </c>
      <c r="AB751" s="50" t="str">
        <f>IF(OR(B751="",C751&lt;&gt;"Expense"),"",IF(E751&gt;IFERROR(AVERAGEIFS($E$8:$E$1007,$I$8:$I$1007,I751,$C$8:$C$1007,"Expense")*SETTINGS!$B$20,0),"Unusually High","Normal"))</f>
        <v/>
      </c>
      <c r="AC751" s="51"/>
      <c r="AD751" s="51"/>
      <c r="AE751" s="51"/>
      <c r="AF751" s="50" t="str">
        <f>IF(A751&lt;&gt;"Yes","No",IF(AND(AC751="Yes",SETTINGS!$B$16="No"),"No","Yes"))</f>
        <v>No</v>
      </c>
      <c r="AG751" s="50" t="str">
        <f>IF(A751&lt;&gt;"Yes","",IF(OR(B751="",D751="",E751&lt;=0,F751="",I751=""),"Check Required Fields",IF(AA751="Possible Duplicate","Possible Duplicate",IF(E751&gt;SETTINGS!$B$22,"Review Extreme Value","OK"))))</f>
        <v/>
      </c>
    </row>
    <row r="752" spans="1:33" ht="14.4">
      <c r="A752" s="9"/>
      <c r="B752" s="13"/>
      <c r="C752" s="9"/>
      <c r="D752" s="9"/>
      <c r="E752" s="11"/>
      <c r="F752" s="9"/>
      <c r="G752" s="9"/>
      <c r="H752" s="44" t="str">
        <f>IF(D752="","",IF(ISNUMBER(SEARCH(SETTINGS!$K$4,D752)),SETTINGS!$L$4,IF(ISNUMBER(SEARCH(SETTINGS!$K$5,D752)),SETTINGS!$L$5,IF(ISNUMBER(SEARCH(SETTINGS!$K$6,D752)),SETTINGS!$L$6,IF(ISNUMBER(SEARCH(SETTINGS!$K$7,D752)),SETTINGS!$L$7,IF(ISNUMBER(SEARCH(SETTINGS!$K$8,D752)),SETTINGS!$L$8,IF(ISNUMBER(SEARCH(SETTINGS!$K$9,D752)),SETTINGS!$L$9,IF(ISNUMBER(SEARCH(SETTINGS!$K$10,D752)),SETTINGS!$L$10,IF(ISNUMBER(SEARCH(SETTINGS!$K$11,D752)),SETTINGS!$L$11,IF(ISNUMBER(SEARCH(SETTINGS!$K$12,D752)),SETTINGS!$L$12,IF(ISNUMBER(SEARCH(SETTINGS!$K$13,D752)),SETTINGS!$L$13,IF(ISNUMBER(SEARCH(SETTINGS!$K$14,D752)),SETTINGS!$L$14,IF(ISNUMBER(SEARCH(SETTINGS!$K$15,D752)),SETTINGS!$L$15,IF(ISNUMBER(SEARCH(SETTINGS!$K$16,D752)),SETTINGS!$L$16,IF(ISNUMBER(SEARCH(SETTINGS!$K$17,D752)),SETTINGS!$L$17,IF(ISNUMBER(SEARCH(SETTINGS!$K$18,D752)),SETTINGS!$L$18,"Miscellaneous"))))))))))))))))</f>
        <v/>
      </c>
      <c r="I752" s="44" t="str">
        <f t="shared" si="88"/>
        <v/>
      </c>
      <c r="J752" s="9"/>
      <c r="K752" s="9"/>
      <c r="L752" s="9"/>
      <c r="M752" s="9"/>
      <c r="N752" s="9"/>
      <c r="O752" s="9"/>
      <c r="P752" s="13"/>
      <c r="Q752" s="9"/>
      <c r="R752" s="9"/>
      <c r="S752" s="9"/>
      <c r="T752" s="11"/>
      <c r="U752" s="44" t="str">
        <f t="shared" si="89"/>
        <v/>
      </c>
      <c r="V752" s="44" t="str">
        <f t="shared" si="90"/>
        <v/>
      </c>
      <c r="W752" s="44" t="str">
        <f t="shared" si="91"/>
        <v/>
      </c>
      <c r="X752" s="44" t="str">
        <f t="shared" si="92"/>
        <v/>
      </c>
      <c r="Y752" s="44" t="str">
        <f t="shared" si="93"/>
        <v/>
      </c>
      <c r="Z752" s="44" t="str">
        <f t="shared" si="94"/>
        <v/>
      </c>
      <c r="AA752" s="50" t="str">
        <f t="shared" si="95"/>
        <v/>
      </c>
      <c r="AB752" s="50" t="str">
        <f>IF(OR(B752="",C752&lt;&gt;"Expense"),"",IF(E752&gt;IFERROR(AVERAGEIFS($E$8:$E$1007,$I$8:$I$1007,I752,$C$8:$C$1007,"Expense")*SETTINGS!$B$20,0),"Unusually High","Normal"))</f>
        <v/>
      </c>
      <c r="AC752" s="51"/>
      <c r="AD752" s="51"/>
      <c r="AE752" s="51"/>
      <c r="AF752" s="50" t="str">
        <f>IF(A752&lt;&gt;"Yes","No",IF(AND(AC752="Yes",SETTINGS!$B$16="No"),"No","Yes"))</f>
        <v>No</v>
      </c>
      <c r="AG752" s="50" t="str">
        <f>IF(A752&lt;&gt;"Yes","",IF(OR(B752="",D752="",E752&lt;=0,F752="",I752=""),"Check Required Fields",IF(AA752="Possible Duplicate","Possible Duplicate",IF(E752&gt;SETTINGS!$B$22,"Review Extreme Value","OK"))))</f>
        <v/>
      </c>
    </row>
    <row r="753" spans="1:33" ht="14.4">
      <c r="A753" s="9"/>
      <c r="B753" s="13"/>
      <c r="C753" s="9"/>
      <c r="D753" s="9"/>
      <c r="E753" s="11"/>
      <c r="F753" s="9"/>
      <c r="G753" s="9"/>
      <c r="H753" s="44" t="str">
        <f>IF(D753="","",IF(ISNUMBER(SEARCH(SETTINGS!$K$4,D753)),SETTINGS!$L$4,IF(ISNUMBER(SEARCH(SETTINGS!$K$5,D753)),SETTINGS!$L$5,IF(ISNUMBER(SEARCH(SETTINGS!$K$6,D753)),SETTINGS!$L$6,IF(ISNUMBER(SEARCH(SETTINGS!$K$7,D753)),SETTINGS!$L$7,IF(ISNUMBER(SEARCH(SETTINGS!$K$8,D753)),SETTINGS!$L$8,IF(ISNUMBER(SEARCH(SETTINGS!$K$9,D753)),SETTINGS!$L$9,IF(ISNUMBER(SEARCH(SETTINGS!$K$10,D753)),SETTINGS!$L$10,IF(ISNUMBER(SEARCH(SETTINGS!$K$11,D753)),SETTINGS!$L$11,IF(ISNUMBER(SEARCH(SETTINGS!$K$12,D753)),SETTINGS!$L$12,IF(ISNUMBER(SEARCH(SETTINGS!$K$13,D753)),SETTINGS!$L$13,IF(ISNUMBER(SEARCH(SETTINGS!$K$14,D753)),SETTINGS!$L$14,IF(ISNUMBER(SEARCH(SETTINGS!$K$15,D753)),SETTINGS!$L$15,IF(ISNUMBER(SEARCH(SETTINGS!$K$16,D753)),SETTINGS!$L$16,IF(ISNUMBER(SEARCH(SETTINGS!$K$17,D753)),SETTINGS!$L$17,IF(ISNUMBER(SEARCH(SETTINGS!$K$18,D753)),SETTINGS!$L$18,"Miscellaneous"))))))))))))))))</f>
        <v/>
      </c>
      <c r="I753" s="44" t="str">
        <f t="shared" si="88"/>
        <v/>
      </c>
      <c r="J753" s="9"/>
      <c r="K753" s="9"/>
      <c r="L753" s="9"/>
      <c r="M753" s="9"/>
      <c r="N753" s="9"/>
      <c r="O753" s="9"/>
      <c r="P753" s="13"/>
      <c r="Q753" s="9"/>
      <c r="R753" s="9"/>
      <c r="S753" s="9"/>
      <c r="T753" s="11"/>
      <c r="U753" s="44" t="str">
        <f t="shared" si="89"/>
        <v/>
      </c>
      <c r="V753" s="44" t="str">
        <f t="shared" si="90"/>
        <v/>
      </c>
      <c r="W753" s="44" t="str">
        <f t="shared" si="91"/>
        <v/>
      </c>
      <c r="X753" s="44" t="str">
        <f t="shared" si="92"/>
        <v/>
      </c>
      <c r="Y753" s="44" t="str">
        <f t="shared" si="93"/>
        <v/>
      </c>
      <c r="Z753" s="44" t="str">
        <f t="shared" si="94"/>
        <v/>
      </c>
      <c r="AA753" s="50" t="str">
        <f t="shared" si="95"/>
        <v/>
      </c>
      <c r="AB753" s="50" t="str">
        <f>IF(OR(B753="",C753&lt;&gt;"Expense"),"",IF(E753&gt;IFERROR(AVERAGEIFS($E$8:$E$1007,$I$8:$I$1007,I753,$C$8:$C$1007,"Expense")*SETTINGS!$B$20,0),"Unusually High","Normal"))</f>
        <v/>
      </c>
      <c r="AC753" s="51"/>
      <c r="AD753" s="51"/>
      <c r="AE753" s="51"/>
      <c r="AF753" s="50" t="str">
        <f>IF(A753&lt;&gt;"Yes","No",IF(AND(AC753="Yes",SETTINGS!$B$16="No"),"No","Yes"))</f>
        <v>No</v>
      </c>
      <c r="AG753" s="50" t="str">
        <f>IF(A753&lt;&gt;"Yes","",IF(OR(B753="",D753="",E753&lt;=0,F753="",I753=""),"Check Required Fields",IF(AA753="Possible Duplicate","Possible Duplicate",IF(E753&gt;SETTINGS!$B$22,"Review Extreme Value","OK"))))</f>
        <v/>
      </c>
    </row>
    <row r="754" spans="1:33" ht="14.4">
      <c r="A754" s="9"/>
      <c r="B754" s="13"/>
      <c r="C754" s="9"/>
      <c r="D754" s="9"/>
      <c r="E754" s="11"/>
      <c r="F754" s="9"/>
      <c r="G754" s="9"/>
      <c r="H754" s="44" t="str">
        <f>IF(D754="","",IF(ISNUMBER(SEARCH(SETTINGS!$K$4,D754)),SETTINGS!$L$4,IF(ISNUMBER(SEARCH(SETTINGS!$K$5,D754)),SETTINGS!$L$5,IF(ISNUMBER(SEARCH(SETTINGS!$K$6,D754)),SETTINGS!$L$6,IF(ISNUMBER(SEARCH(SETTINGS!$K$7,D754)),SETTINGS!$L$7,IF(ISNUMBER(SEARCH(SETTINGS!$K$8,D754)),SETTINGS!$L$8,IF(ISNUMBER(SEARCH(SETTINGS!$K$9,D754)),SETTINGS!$L$9,IF(ISNUMBER(SEARCH(SETTINGS!$K$10,D754)),SETTINGS!$L$10,IF(ISNUMBER(SEARCH(SETTINGS!$K$11,D754)),SETTINGS!$L$11,IF(ISNUMBER(SEARCH(SETTINGS!$K$12,D754)),SETTINGS!$L$12,IF(ISNUMBER(SEARCH(SETTINGS!$K$13,D754)),SETTINGS!$L$13,IF(ISNUMBER(SEARCH(SETTINGS!$K$14,D754)),SETTINGS!$L$14,IF(ISNUMBER(SEARCH(SETTINGS!$K$15,D754)),SETTINGS!$L$15,IF(ISNUMBER(SEARCH(SETTINGS!$K$16,D754)),SETTINGS!$L$16,IF(ISNUMBER(SEARCH(SETTINGS!$K$17,D754)),SETTINGS!$L$17,IF(ISNUMBER(SEARCH(SETTINGS!$K$18,D754)),SETTINGS!$L$18,"Miscellaneous"))))))))))))))))</f>
        <v/>
      </c>
      <c r="I754" s="44" t="str">
        <f t="shared" si="88"/>
        <v/>
      </c>
      <c r="J754" s="9"/>
      <c r="K754" s="9"/>
      <c r="L754" s="9"/>
      <c r="M754" s="9"/>
      <c r="N754" s="9"/>
      <c r="O754" s="9"/>
      <c r="P754" s="13"/>
      <c r="Q754" s="9"/>
      <c r="R754" s="9"/>
      <c r="S754" s="9"/>
      <c r="T754" s="11"/>
      <c r="U754" s="44" t="str">
        <f t="shared" si="89"/>
        <v/>
      </c>
      <c r="V754" s="44" t="str">
        <f t="shared" si="90"/>
        <v/>
      </c>
      <c r="W754" s="44" t="str">
        <f t="shared" si="91"/>
        <v/>
      </c>
      <c r="X754" s="44" t="str">
        <f t="shared" si="92"/>
        <v/>
      </c>
      <c r="Y754" s="44" t="str">
        <f t="shared" si="93"/>
        <v/>
      </c>
      <c r="Z754" s="44" t="str">
        <f t="shared" si="94"/>
        <v/>
      </c>
      <c r="AA754" s="50" t="str">
        <f t="shared" si="95"/>
        <v/>
      </c>
      <c r="AB754" s="50" t="str">
        <f>IF(OR(B754="",C754&lt;&gt;"Expense"),"",IF(E754&gt;IFERROR(AVERAGEIFS($E$8:$E$1007,$I$8:$I$1007,I754,$C$8:$C$1007,"Expense")*SETTINGS!$B$20,0),"Unusually High","Normal"))</f>
        <v/>
      </c>
      <c r="AC754" s="51"/>
      <c r="AD754" s="51"/>
      <c r="AE754" s="51"/>
      <c r="AF754" s="50" t="str">
        <f>IF(A754&lt;&gt;"Yes","No",IF(AND(AC754="Yes",SETTINGS!$B$16="No"),"No","Yes"))</f>
        <v>No</v>
      </c>
      <c r="AG754" s="50" t="str">
        <f>IF(A754&lt;&gt;"Yes","",IF(OR(B754="",D754="",E754&lt;=0,F754="",I754=""),"Check Required Fields",IF(AA754="Possible Duplicate","Possible Duplicate",IF(E754&gt;SETTINGS!$B$22,"Review Extreme Value","OK"))))</f>
        <v/>
      </c>
    </row>
    <row r="755" spans="1:33" ht="14.4">
      <c r="A755" s="9"/>
      <c r="B755" s="13"/>
      <c r="C755" s="9"/>
      <c r="D755" s="9"/>
      <c r="E755" s="11"/>
      <c r="F755" s="9"/>
      <c r="G755" s="9"/>
      <c r="H755" s="44" t="str">
        <f>IF(D755="","",IF(ISNUMBER(SEARCH(SETTINGS!$K$4,D755)),SETTINGS!$L$4,IF(ISNUMBER(SEARCH(SETTINGS!$K$5,D755)),SETTINGS!$L$5,IF(ISNUMBER(SEARCH(SETTINGS!$K$6,D755)),SETTINGS!$L$6,IF(ISNUMBER(SEARCH(SETTINGS!$K$7,D755)),SETTINGS!$L$7,IF(ISNUMBER(SEARCH(SETTINGS!$K$8,D755)),SETTINGS!$L$8,IF(ISNUMBER(SEARCH(SETTINGS!$K$9,D755)),SETTINGS!$L$9,IF(ISNUMBER(SEARCH(SETTINGS!$K$10,D755)),SETTINGS!$L$10,IF(ISNUMBER(SEARCH(SETTINGS!$K$11,D755)),SETTINGS!$L$11,IF(ISNUMBER(SEARCH(SETTINGS!$K$12,D755)),SETTINGS!$L$12,IF(ISNUMBER(SEARCH(SETTINGS!$K$13,D755)),SETTINGS!$L$13,IF(ISNUMBER(SEARCH(SETTINGS!$K$14,D755)),SETTINGS!$L$14,IF(ISNUMBER(SEARCH(SETTINGS!$K$15,D755)),SETTINGS!$L$15,IF(ISNUMBER(SEARCH(SETTINGS!$K$16,D755)),SETTINGS!$L$16,IF(ISNUMBER(SEARCH(SETTINGS!$K$17,D755)),SETTINGS!$L$17,IF(ISNUMBER(SEARCH(SETTINGS!$K$18,D755)),SETTINGS!$L$18,"Miscellaneous"))))))))))))))))</f>
        <v/>
      </c>
      <c r="I755" s="44" t="str">
        <f t="shared" si="88"/>
        <v/>
      </c>
      <c r="J755" s="9"/>
      <c r="K755" s="9"/>
      <c r="L755" s="9"/>
      <c r="M755" s="9"/>
      <c r="N755" s="9"/>
      <c r="O755" s="9"/>
      <c r="P755" s="13"/>
      <c r="Q755" s="9"/>
      <c r="R755" s="9"/>
      <c r="S755" s="9"/>
      <c r="T755" s="11"/>
      <c r="U755" s="44" t="str">
        <f t="shared" si="89"/>
        <v/>
      </c>
      <c r="V755" s="44" t="str">
        <f t="shared" si="90"/>
        <v/>
      </c>
      <c r="W755" s="44" t="str">
        <f t="shared" si="91"/>
        <v/>
      </c>
      <c r="X755" s="44" t="str">
        <f t="shared" si="92"/>
        <v/>
      </c>
      <c r="Y755" s="44" t="str">
        <f t="shared" si="93"/>
        <v/>
      </c>
      <c r="Z755" s="44" t="str">
        <f t="shared" si="94"/>
        <v/>
      </c>
      <c r="AA755" s="50" t="str">
        <f t="shared" si="95"/>
        <v/>
      </c>
      <c r="AB755" s="50" t="str">
        <f>IF(OR(B755="",C755&lt;&gt;"Expense"),"",IF(E755&gt;IFERROR(AVERAGEIFS($E$8:$E$1007,$I$8:$I$1007,I755,$C$8:$C$1007,"Expense")*SETTINGS!$B$20,0),"Unusually High","Normal"))</f>
        <v/>
      </c>
      <c r="AC755" s="51"/>
      <c r="AD755" s="51"/>
      <c r="AE755" s="51"/>
      <c r="AF755" s="50" t="str">
        <f>IF(A755&lt;&gt;"Yes","No",IF(AND(AC755="Yes",SETTINGS!$B$16="No"),"No","Yes"))</f>
        <v>No</v>
      </c>
      <c r="AG755" s="50" t="str">
        <f>IF(A755&lt;&gt;"Yes","",IF(OR(B755="",D755="",E755&lt;=0,F755="",I755=""),"Check Required Fields",IF(AA755="Possible Duplicate","Possible Duplicate",IF(E755&gt;SETTINGS!$B$22,"Review Extreme Value","OK"))))</f>
        <v/>
      </c>
    </row>
    <row r="756" spans="1:33" ht="14.4">
      <c r="A756" s="9"/>
      <c r="B756" s="13"/>
      <c r="C756" s="9"/>
      <c r="D756" s="9"/>
      <c r="E756" s="11"/>
      <c r="F756" s="9"/>
      <c r="G756" s="9"/>
      <c r="H756" s="44" t="str">
        <f>IF(D756="","",IF(ISNUMBER(SEARCH(SETTINGS!$K$4,D756)),SETTINGS!$L$4,IF(ISNUMBER(SEARCH(SETTINGS!$K$5,D756)),SETTINGS!$L$5,IF(ISNUMBER(SEARCH(SETTINGS!$K$6,D756)),SETTINGS!$L$6,IF(ISNUMBER(SEARCH(SETTINGS!$K$7,D756)),SETTINGS!$L$7,IF(ISNUMBER(SEARCH(SETTINGS!$K$8,D756)),SETTINGS!$L$8,IF(ISNUMBER(SEARCH(SETTINGS!$K$9,D756)),SETTINGS!$L$9,IF(ISNUMBER(SEARCH(SETTINGS!$K$10,D756)),SETTINGS!$L$10,IF(ISNUMBER(SEARCH(SETTINGS!$K$11,D756)),SETTINGS!$L$11,IF(ISNUMBER(SEARCH(SETTINGS!$K$12,D756)),SETTINGS!$L$12,IF(ISNUMBER(SEARCH(SETTINGS!$K$13,D756)),SETTINGS!$L$13,IF(ISNUMBER(SEARCH(SETTINGS!$K$14,D756)),SETTINGS!$L$14,IF(ISNUMBER(SEARCH(SETTINGS!$K$15,D756)),SETTINGS!$L$15,IF(ISNUMBER(SEARCH(SETTINGS!$K$16,D756)),SETTINGS!$L$16,IF(ISNUMBER(SEARCH(SETTINGS!$K$17,D756)),SETTINGS!$L$17,IF(ISNUMBER(SEARCH(SETTINGS!$K$18,D756)),SETTINGS!$L$18,"Miscellaneous"))))))))))))))))</f>
        <v/>
      </c>
      <c r="I756" s="44" t="str">
        <f t="shared" si="88"/>
        <v/>
      </c>
      <c r="J756" s="9"/>
      <c r="K756" s="9"/>
      <c r="L756" s="9"/>
      <c r="M756" s="9"/>
      <c r="N756" s="9"/>
      <c r="O756" s="9"/>
      <c r="P756" s="13"/>
      <c r="Q756" s="9"/>
      <c r="R756" s="9"/>
      <c r="S756" s="9"/>
      <c r="T756" s="11"/>
      <c r="U756" s="44" t="str">
        <f t="shared" si="89"/>
        <v/>
      </c>
      <c r="V756" s="44" t="str">
        <f t="shared" si="90"/>
        <v/>
      </c>
      <c r="W756" s="44" t="str">
        <f t="shared" si="91"/>
        <v/>
      </c>
      <c r="X756" s="44" t="str">
        <f t="shared" si="92"/>
        <v/>
      </c>
      <c r="Y756" s="44" t="str">
        <f t="shared" si="93"/>
        <v/>
      </c>
      <c r="Z756" s="44" t="str">
        <f t="shared" si="94"/>
        <v/>
      </c>
      <c r="AA756" s="50" t="str">
        <f t="shared" si="95"/>
        <v/>
      </c>
      <c r="AB756" s="50" t="str">
        <f>IF(OR(B756="",C756&lt;&gt;"Expense"),"",IF(E756&gt;IFERROR(AVERAGEIFS($E$8:$E$1007,$I$8:$I$1007,I756,$C$8:$C$1007,"Expense")*SETTINGS!$B$20,0),"Unusually High","Normal"))</f>
        <v/>
      </c>
      <c r="AC756" s="51"/>
      <c r="AD756" s="51"/>
      <c r="AE756" s="51"/>
      <c r="AF756" s="50" t="str">
        <f>IF(A756&lt;&gt;"Yes","No",IF(AND(AC756="Yes",SETTINGS!$B$16="No"),"No","Yes"))</f>
        <v>No</v>
      </c>
      <c r="AG756" s="50" t="str">
        <f>IF(A756&lt;&gt;"Yes","",IF(OR(B756="",D756="",E756&lt;=0,F756="",I756=""),"Check Required Fields",IF(AA756="Possible Duplicate","Possible Duplicate",IF(E756&gt;SETTINGS!$B$22,"Review Extreme Value","OK"))))</f>
        <v/>
      </c>
    </row>
    <row r="757" spans="1:33" ht="14.4">
      <c r="A757" s="9"/>
      <c r="B757" s="13"/>
      <c r="C757" s="9"/>
      <c r="D757" s="9"/>
      <c r="E757" s="11"/>
      <c r="F757" s="9"/>
      <c r="G757" s="9"/>
      <c r="H757" s="44" t="str">
        <f>IF(D757="","",IF(ISNUMBER(SEARCH(SETTINGS!$K$4,D757)),SETTINGS!$L$4,IF(ISNUMBER(SEARCH(SETTINGS!$K$5,D757)),SETTINGS!$L$5,IF(ISNUMBER(SEARCH(SETTINGS!$K$6,D757)),SETTINGS!$L$6,IF(ISNUMBER(SEARCH(SETTINGS!$K$7,D757)),SETTINGS!$L$7,IF(ISNUMBER(SEARCH(SETTINGS!$K$8,D757)),SETTINGS!$L$8,IF(ISNUMBER(SEARCH(SETTINGS!$K$9,D757)),SETTINGS!$L$9,IF(ISNUMBER(SEARCH(SETTINGS!$K$10,D757)),SETTINGS!$L$10,IF(ISNUMBER(SEARCH(SETTINGS!$K$11,D757)),SETTINGS!$L$11,IF(ISNUMBER(SEARCH(SETTINGS!$K$12,D757)),SETTINGS!$L$12,IF(ISNUMBER(SEARCH(SETTINGS!$K$13,D757)),SETTINGS!$L$13,IF(ISNUMBER(SEARCH(SETTINGS!$K$14,D757)),SETTINGS!$L$14,IF(ISNUMBER(SEARCH(SETTINGS!$K$15,D757)),SETTINGS!$L$15,IF(ISNUMBER(SEARCH(SETTINGS!$K$16,D757)),SETTINGS!$L$16,IF(ISNUMBER(SEARCH(SETTINGS!$K$17,D757)),SETTINGS!$L$17,IF(ISNUMBER(SEARCH(SETTINGS!$K$18,D757)),SETTINGS!$L$18,"Miscellaneous"))))))))))))))))</f>
        <v/>
      </c>
      <c r="I757" s="44" t="str">
        <f t="shared" si="88"/>
        <v/>
      </c>
      <c r="J757" s="9"/>
      <c r="K757" s="9"/>
      <c r="L757" s="9"/>
      <c r="M757" s="9"/>
      <c r="N757" s="9"/>
      <c r="O757" s="9"/>
      <c r="P757" s="13"/>
      <c r="Q757" s="9"/>
      <c r="R757" s="9"/>
      <c r="S757" s="9"/>
      <c r="T757" s="11"/>
      <c r="U757" s="44" t="str">
        <f t="shared" si="89"/>
        <v/>
      </c>
      <c r="V757" s="44" t="str">
        <f t="shared" si="90"/>
        <v/>
      </c>
      <c r="W757" s="44" t="str">
        <f t="shared" si="91"/>
        <v/>
      </c>
      <c r="X757" s="44" t="str">
        <f t="shared" si="92"/>
        <v/>
      </c>
      <c r="Y757" s="44" t="str">
        <f t="shared" si="93"/>
        <v/>
      </c>
      <c r="Z757" s="44" t="str">
        <f t="shared" si="94"/>
        <v/>
      </c>
      <c r="AA757" s="50" t="str">
        <f t="shared" si="95"/>
        <v/>
      </c>
      <c r="AB757" s="50" t="str">
        <f>IF(OR(B757="",C757&lt;&gt;"Expense"),"",IF(E757&gt;IFERROR(AVERAGEIFS($E$8:$E$1007,$I$8:$I$1007,I757,$C$8:$C$1007,"Expense")*SETTINGS!$B$20,0),"Unusually High","Normal"))</f>
        <v/>
      </c>
      <c r="AC757" s="51"/>
      <c r="AD757" s="51"/>
      <c r="AE757" s="51"/>
      <c r="AF757" s="50" t="str">
        <f>IF(A757&lt;&gt;"Yes","No",IF(AND(AC757="Yes",SETTINGS!$B$16="No"),"No","Yes"))</f>
        <v>No</v>
      </c>
      <c r="AG757" s="50" t="str">
        <f>IF(A757&lt;&gt;"Yes","",IF(OR(B757="",D757="",E757&lt;=0,F757="",I757=""),"Check Required Fields",IF(AA757="Possible Duplicate","Possible Duplicate",IF(E757&gt;SETTINGS!$B$22,"Review Extreme Value","OK"))))</f>
        <v/>
      </c>
    </row>
    <row r="758" spans="1:33" ht="14.4">
      <c r="A758" s="9"/>
      <c r="B758" s="13"/>
      <c r="C758" s="9"/>
      <c r="D758" s="9"/>
      <c r="E758" s="11"/>
      <c r="F758" s="9"/>
      <c r="G758" s="9"/>
      <c r="H758" s="44" t="str">
        <f>IF(D758="","",IF(ISNUMBER(SEARCH(SETTINGS!$K$4,D758)),SETTINGS!$L$4,IF(ISNUMBER(SEARCH(SETTINGS!$K$5,D758)),SETTINGS!$L$5,IF(ISNUMBER(SEARCH(SETTINGS!$K$6,D758)),SETTINGS!$L$6,IF(ISNUMBER(SEARCH(SETTINGS!$K$7,D758)),SETTINGS!$L$7,IF(ISNUMBER(SEARCH(SETTINGS!$K$8,D758)),SETTINGS!$L$8,IF(ISNUMBER(SEARCH(SETTINGS!$K$9,D758)),SETTINGS!$L$9,IF(ISNUMBER(SEARCH(SETTINGS!$K$10,D758)),SETTINGS!$L$10,IF(ISNUMBER(SEARCH(SETTINGS!$K$11,D758)),SETTINGS!$L$11,IF(ISNUMBER(SEARCH(SETTINGS!$K$12,D758)),SETTINGS!$L$12,IF(ISNUMBER(SEARCH(SETTINGS!$K$13,D758)),SETTINGS!$L$13,IF(ISNUMBER(SEARCH(SETTINGS!$K$14,D758)),SETTINGS!$L$14,IF(ISNUMBER(SEARCH(SETTINGS!$K$15,D758)),SETTINGS!$L$15,IF(ISNUMBER(SEARCH(SETTINGS!$K$16,D758)),SETTINGS!$L$16,IF(ISNUMBER(SEARCH(SETTINGS!$K$17,D758)),SETTINGS!$L$17,IF(ISNUMBER(SEARCH(SETTINGS!$K$18,D758)),SETTINGS!$L$18,"Miscellaneous"))))))))))))))))</f>
        <v/>
      </c>
      <c r="I758" s="44" t="str">
        <f t="shared" si="88"/>
        <v/>
      </c>
      <c r="J758" s="9"/>
      <c r="K758" s="9"/>
      <c r="L758" s="9"/>
      <c r="M758" s="9"/>
      <c r="N758" s="9"/>
      <c r="O758" s="9"/>
      <c r="P758" s="13"/>
      <c r="Q758" s="9"/>
      <c r="R758" s="9"/>
      <c r="S758" s="9"/>
      <c r="T758" s="11"/>
      <c r="U758" s="44" t="str">
        <f t="shared" si="89"/>
        <v/>
      </c>
      <c r="V758" s="44" t="str">
        <f t="shared" si="90"/>
        <v/>
      </c>
      <c r="W758" s="44" t="str">
        <f t="shared" si="91"/>
        <v/>
      </c>
      <c r="X758" s="44" t="str">
        <f t="shared" si="92"/>
        <v/>
      </c>
      <c r="Y758" s="44" t="str">
        <f t="shared" si="93"/>
        <v/>
      </c>
      <c r="Z758" s="44" t="str">
        <f t="shared" si="94"/>
        <v/>
      </c>
      <c r="AA758" s="50" t="str">
        <f t="shared" si="95"/>
        <v/>
      </c>
      <c r="AB758" s="50" t="str">
        <f>IF(OR(B758="",C758&lt;&gt;"Expense"),"",IF(E758&gt;IFERROR(AVERAGEIFS($E$8:$E$1007,$I$8:$I$1007,I758,$C$8:$C$1007,"Expense")*SETTINGS!$B$20,0),"Unusually High","Normal"))</f>
        <v/>
      </c>
      <c r="AC758" s="51"/>
      <c r="AD758" s="51"/>
      <c r="AE758" s="51"/>
      <c r="AF758" s="50" t="str">
        <f>IF(A758&lt;&gt;"Yes","No",IF(AND(AC758="Yes",SETTINGS!$B$16="No"),"No","Yes"))</f>
        <v>No</v>
      </c>
      <c r="AG758" s="50" t="str">
        <f>IF(A758&lt;&gt;"Yes","",IF(OR(B758="",D758="",E758&lt;=0,F758="",I758=""),"Check Required Fields",IF(AA758="Possible Duplicate","Possible Duplicate",IF(E758&gt;SETTINGS!$B$22,"Review Extreme Value","OK"))))</f>
        <v/>
      </c>
    </row>
    <row r="759" spans="1:33" ht="14.4">
      <c r="A759" s="9"/>
      <c r="B759" s="13"/>
      <c r="C759" s="9"/>
      <c r="D759" s="9"/>
      <c r="E759" s="11"/>
      <c r="F759" s="9"/>
      <c r="G759" s="9"/>
      <c r="H759" s="44" t="str">
        <f>IF(D759="","",IF(ISNUMBER(SEARCH(SETTINGS!$K$4,D759)),SETTINGS!$L$4,IF(ISNUMBER(SEARCH(SETTINGS!$K$5,D759)),SETTINGS!$L$5,IF(ISNUMBER(SEARCH(SETTINGS!$K$6,D759)),SETTINGS!$L$6,IF(ISNUMBER(SEARCH(SETTINGS!$K$7,D759)),SETTINGS!$L$7,IF(ISNUMBER(SEARCH(SETTINGS!$K$8,D759)),SETTINGS!$L$8,IF(ISNUMBER(SEARCH(SETTINGS!$K$9,D759)),SETTINGS!$L$9,IF(ISNUMBER(SEARCH(SETTINGS!$K$10,D759)),SETTINGS!$L$10,IF(ISNUMBER(SEARCH(SETTINGS!$K$11,D759)),SETTINGS!$L$11,IF(ISNUMBER(SEARCH(SETTINGS!$K$12,D759)),SETTINGS!$L$12,IF(ISNUMBER(SEARCH(SETTINGS!$K$13,D759)),SETTINGS!$L$13,IF(ISNUMBER(SEARCH(SETTINGS!$K$14,D759)),SETTINGS!$L$14,IF(ISNUMBER(SEARCH(SETTINGS!$K$15,D759)),SETTINGS!$L$15,IF(ISNUMBER(SEARCH(SETTINGS!$K$16,D759)),SETTINGS!$L$16,IF(ISNUMBER(SEARCH(SETTINGS!$K$17,D759)),SETTINGS!$L$17,IF(ISNUMBER(SEARCH(SETTINGS!$K$18,D759)),SETTINGS!$L$18,"Miscellaneous"))))))))))))))))</f>
        <v/>
      </c>
      <c r="I759" s="44" t="str">
        <f t="shared" si="88"/>
        <v/>
      </c>
      <c r="J759" s="9"/>
      <c r="K759" s="9"/>
      <c r="L759" s="9"/>
      <c r="M759" s="9"/>
      <c r="N759" s="9"/>
      <c r="O759" s="9"/>
      <c r="P759" s="13"/>
      <c r="Q759" s="9"/>
      <c r="R759" s="9"/>
      <c r="S759" s="9"/>
      <c r="T759" s="11"/>
      <c r="U759" s="44" t="str">
        <f t="shared" si="89"/>
        <v/>
      </c>
      <c r="V759" s="44" t="str">
        <f t="shared" si="90"/>
        <v/>
      </c>
      <c r="W759" s="44" t="str">
        <f t="shared" si="91"/>
        <v/>
      </c>
      <c r="X759" s="44" t="str">
        <f t="shared" si="92"/>
        <v/>
      </c>
      <c r="Y759" s="44" t="str">
        <f t="shared" si="93"/>
        <v/>
      </c>
      <c r="Z759" s="44" t="str">
        <f t="shared" si="94"/>
        <v/>
      </c>
      <c r="AA759" s="50" t="str">
        <f t="shared" si="95"/>
        <v/>
      </c>
      <c r="AB759" s="50" t="str">
        <f>IF(OR(B759="",C759&lt;&gt;"Expense"),"",IF(E759&gt;IFERROR(AVERAGEIFS($E$8:$E$1007,$I$8:$I$1007,I759,$C$8:$C$1007,"Expense")*SETTINGS!$B$20,0),"Unusually High","Normal"))</f>
        <v/>
      </c>
      <c r="AC759" s="51"/>
      <c r="AD759" s="51"/>
      <c r="AE759" s="51"/>
      <c r="AF759" s="50" t="str">
        <f>IF(A759&lt;&gt;"Yes","No",IF(AND(AC759="Yes",SETTINGS!$B$16="No"),"No","Yes"))</f>
        <v>No</v>
      </c>
      <c r="AG759" s="50" t="str">
        <f>IF(A759&lt;&gt;"Yes","",IF(OR(B759="",D759="",E759&lt;=0,F759="",I759=""),"Check Required Fields",IF(AA759="Possible Duplicate","Possible Duplicate",IF(E759&gt;SETTINGS!$B$22,"Review Extreme Value","OK"))))</f>
        <v/>
      </c>
    </row>
    <row r="760" spans="1:33" ht="14.4">
      <c r="A760" s="9"/>
      <c r="B760" s="13"/>
      <c r="C760" s="9"/>
      <c r="D760" s="9"/>
      <c r="E760" s="11"/>
      <c r="F760" s="9"/>
      <c r="G760" s="9"/>
      <c r="H760" s="44" t="str">
        <f>IF(D760="","",IF(ISNUMBER(SEARCH(SETTINGS!$K$4,D760)),SETTINGS!$L$4,IF(ISNUMBER(SEARCH(SETTINGS!$K$5,D760)),SETTINGS!$L$5,IF(ISNUMBER(SEARCH(SETTINGS!$K$6,D760)),SETTINGS!$L$6,IF(ISNUMBER(SEARCH(SETTINGS!$K$7,D760)),SETTINGS!$L$7,IF(ISNUMBER(SEARCH(SETTINGS!$K$8,D760)),SETTINGS!$L$8,IF(ISNUMBER(SEARCH(SETTINGS!$K$9,D760)),SETTINGS!$L$9,IF(ISNUMBER(SEARCH(SETTINGS!$K$10,D760)),SETTINGS!$L$10,IF(ISNUMBER(SEARCH(SETTINGS!$K$11,D760)),SETTINGS!$L$11,IF(ISNUMBER(SEARCH(SETTINGS!$K$12,D760)),SETTINGS!$L$12,IF(ISNUMBER(SEARCH(SETTINGS!$K$13,D760)),SETTINGS!$L$13,IF(ISNUMBER(SEARCH(SETTINGS!$K$14,D760)),SETTINGS!$L$14,IF(ISNUMBER(SEARCH(SETTINGS!$K$15,D760)),SETTINGS!$L$15,IF(ISNUMBER(SEARCH(SETTINGS!$K$16,D760)),SETTINGS!$L$16,IF(ISNUMBER(SEARCH(SETTINGS!$K$17,D760)),SETTINGS!$L$17,IF(ISNUMBER(SEARCH(SETTINGS!$K$18,D760)),SETTINGS!$L$18,"Miscellaneous"))))))))))))))))</f>
        <v/>
      </c>
      <c r="I760" s="44" t="str">
        <f t="shared" si="88"/>
        <v/>
      </c>
      <c r="J760" s="9"/>
      <c r="K760" s="9"/>
      <c r="L760" s="9"/>
      <c r="M760" s="9"/>
      <c r="N760" s="9"/>
      <c r="O760" s="9"/>
      <c r="P760" s="13"/>
      <c r="Q760" s="9"/>
      <c r="R760" s="9"/>
      <c r="S760" s="9"/>
      <c r="T760" s="11"/>
      <c r="U760" s="44" t="str">
        <f t="shared" si="89"/>
        <v/>
      </c>
      <c r="V760" s="44" t="str">
        <f t="shared" si="90"/>
        <v/>
      </c>
      <c r="W760" s="44" t="str">
        <f t="shared" si="91"/>
        <v/>
      </c>
      <c r="X760" s="44" t="str">
        <f t="shared" si="92"/>
        <v/>
      </c>
      <c r="Y760" s="44" t="str">
        <f t="shared" si="93"/>
        <v/>
      </c>
      <c r="Z760" s="44" t="str">
        <f t="shared" si="94"/>
        <v/>
      </c>
      <c r="AA760" s="50" t="str">
        <f t="shared" si="95"/>
        <v/>
      </c>
      <c r="AB760" s="50" t="str">
        <f>IF(OR(B760="",C760&lt;&gt;"Expense"),"",IF(E760&gt;IFERROR(AVERAGEIFS($E$8:$E$1007,$I$8:$I$1007,I760,$C$8:$C$1007,"Expense")*SETTINGS!$B$20,0),"Unusually High","Normal"))</f>
        <v/>
      </c>
      <c r="AC760" s="51"/>
      <c r="AD760" s="51"/>
      <c r="AE760" s="51"/>
      <c r="AF760" s="50" t="str">
        <f>IF(A760&lt;&gt;"Yes","No",IF(AND(AC760="Yes",SETTINGS!$B$16="No"),"No","Yes"))</f>
        <v>No</v>
      </c>
      <c r="AG760" s="50" t="str">
        <f>IF(A760&lt;&gt;"Yes","",IF(OR(B760="",D760="",E760&lt;=0,F760="",I760=""),"Check Required Fields",IF(AA760="Possible Duplicate","Possible Duplicate",IF(E760&gt;SETTINGS!$B$22,"Review Extreme Value","OK"))))</f>
        <v/>
      </c>
    </row>
    <row r="761" spans="1:33" ht="14.4">
      <c r="A761" s="9"/>
      <c r="B761" s="13"/>
      <c r="C761" s="9"/>
      <c r="D761" s="9"/>
      <c r="E761" s="11"/>
      <c r="F761" s="9"/>
      <c r="G761" s="9"/>
      <c r="H761" s="44" t="str">
        <f>IF(D761="","",IF(ISNUMBER(SEARCH(SETTINGS!$K$4,D761)),SETTINGS!$L$4,IF(ISNUMBER(SEARCH(SETTINGS!$K$5,D761)),SETTINGS!$L$5,IF(ISNUMBER(SEARCH(SETTINGS!$K$6,D761)),SETTINGS!$L$6,IF(ISNUMBER(SEARCH(SETTINGS!$K$7,D761)),SETTINGS!$L$7,IF(ISNUMBER(SEARCH(SETTINGS!$K$8,D761)),SETTINGS!$L$8,IF(ISNUMBER(SEARCH(SETTINGS!$K$9,D761)),SETTINGS!$L$9,IF(ISNUMBER(SEARCH(SETTINGS!$K$10,D761)),SETTINGS!$L$10,IF(ISNUMBER(SEARCH(SETTINGS!$K$11,D761)),SETTINGS!$L$11,IF(ISNUMBER(SEARCH(SETTINGS!$K$12,D761)),SETTINGS!$L$12,IF(ISNUMBER(SEARCH(SETTINGS!$K$13,D761)),SETTINGS!$L$13,IF(ISNUMBER(SEARCH(SETTINGS!$K$14,D761)),SETTINGS!$L$14,IF(ISNUMBER(SEARCH(SETTINGS!$K$15,D761)),SETTINGS!$L$15,IF(ISNUMBER(SEARCH(SETTINGS!$K$16,D761)),SETTINGS!$L$16,IF(ISNUMBER(SEARCH(SETTINGS!$K$17,D761)),SETTINGS!$L$17,IF(ISNUMBER(SEARCH(SETTINGS!$K$18,D761)),SETTINGS!$L$18,"Miscellaneous"))))))))))))))))</f>
        <v/>
      </c>
      <c r="I761" s="44" t="str">
        <f t="shared" si="88"/>
        <v/>
      </c>
      <c r="J761" s="9"/>
      <c r="K761" s="9"/>
      <c r="L761" s="9"/>
      <c r="M761" s="9"/>
      <c r="N761" s="9"/>
      <c r="O761" s="9"/>
      <c r="P761" s="13"/>
      <c r="Q761" s="9"/>
      <c r="R761" s="9"/>
      <c r="S761" s="9"/>
      <c r="T761" s="11"/>
      <c r="U761" s="44" t="str">
        <f t="shared" si="89"/>
        <v/>
      </c>
      <c r="V761" s="44" t="str">
        <f t="shared" si="90"/>
        <v/>
      </c>
      <c r="W761" s="44" t="str">
        <f t="shared" si="91"/>
        <v/>
      </c>
      <c r="X761" s="44" t="str">
        <f t="shared" si="92"/>
        <v/>
      </c>
      <c r="Y761" s="44" t="str">
        <f t="shared" si="93"/>
        <v/>
      </c>
      <c r="Z761" s="44" t="str">
        <f t="shared" si="94"/>
        <v/>
      </c>
      <c r="AA761" s="50" t="str">
        <f t="shared" si="95"/>
        <v/>
      </c>
      <c r="AB761" s="50" t="str">
        <f>IF(OR(B761="",C761&lt;&gt;"Expense"),"",IF(E761&gt;IFERROR(AVERAGEIFS($E$8:$E$1007,$I$8:$I$1007,I761,$C$8:$C$1007,"Expense")*SETTINGS!$B$20,0),"Unusually High","Normal"))</f>
        <v/>
      </c>
      <c r="AC761" s="51"/>
      <c r="AD761" s="51"/>
      <c r="AE761" s="51"/>
      <c r="AF761" s="50" t="str">
        <f>IF(A761&lt;&gt;"Yes","No",IF(AND(AC761="Yes",SETTINGS!$B$16="No"),"No","Yes"))</f>
        <v>No</v>
      </c>
      <c r="AG761" s="50" t="str">
        <f>IF(A761&lt;&gt;"Yes","",IF(OR(B761="",D761="",E761&lt;=0,F761="",I761=""),"Check Required Fields",IF(AA761="Possible Duplicate","Possible Duplicate",IF(E761&gt;SETTINGS!$B$22,"Review Extreme Value","OK"))))</f>
        <v/>
      </c>
    </row>
    <row r="762" spans="1:33" ht="14.4">
      <c r="A762" s="9"/>
      <c r="B762" s="13"/>
      <c r="C762" s="9"/>
      <c r="D762" s="9"/>
      <c r="E762" s="11"/>
      <c r="F762" s="9"/>
      <c r="G762" s="9"/>
      <c r="H762" s="44" t="str">
        <f>IF(D762="","",IF(ISNUMBER(SEARCH(SETTINGS!$K$4,D762)),SETTINGS!$L$4,IF(ISNUMBER(SEARCH(SETTINGS!$K$5,D762)),SETTINGS!$L$5,IF(ISNUMBER(SEARCH(SETTINGS!$K$6,D762)),SETTINGS!$L$6,IF(ISNUMBER(SEARCH(SETTINGS!$K$7,D762)),SETTINGS!$L$7,IF(ISNUMBER(SEARCH(SETTINGS!$K$8,D762)),SETTINGS!$L$8,IF(ISNUMBER(SEARCH(SETTINGS!$K$9,D762)),SETTINGS!$L$9,IF(ISNUMBER(SEARCH(SETTINGS!$K$10,D762)),SETTINGS!$L$10,IF(ISNUMBER(SEARCH(SETTINGS!$K$11,D762)),SETTINGS!$L$11,IF(ISNUMBER(SEARCH(SETTINGS!$K$12,D762)),SETTINGS!$L$12,IF(ISNUMBER(SEARCH(SETTINGS!$K$13,D762)),SETTINGS!$L$13,IF(ISNUMBER(SEARCH(SETTINGS!$K$14,D762)),SETTINGS!$L$14,IF(ISNUMBER(SEARCH(SETTINGS!$K$15,D762)),SETTINGS!$L$15,IF(ISNUMBER(SEARCH(SETTINGS!$K$16,D762)),SETTINGS!$L$16,IF(ISNUMBER(SEARCH(SETTINGS!$K$17,D762)),SETTINGS!$L$17,IF(ISNUMBER(SEARCH(SETTINGS!$K$18,D762)),SETTINGS!$L$18,"Miscellaneous"))))))))))))))))</f>
        <v/>
      </c>
      <c r="I762" s="44" t="str">
        <f t="shared" si="88"/>
        <v/>
      </c>
      <c r="J762" s="9"/>
      <c r="K762" s="9"/>
      <c r="L762" s="9"/>
      <c r="M762" s="9"/>
      <c r="N762" s="9"/>
      <c r="O762" s="9"/>
      <c r="P762" s="13"/>
      <c r="Q762" s="9"/>
      <c r="R762" s="9"/>
      <c r="S762" s="9"/>
      <c r="T762" s="11"/>
      <c r="U762" s="44" t="str">
        <f t="shared" si="89"/>
        <v/>
      </c>
      <c r="V762" s="44" t="str">
        <f t="shared" si="90"/>
        <v/>
      </c>
      <c r="W762" s="44" t="str">
        <f t="shared" si="91"/>
        <v/>
      </c>
      <c r="X762" s="44" t="str">
        <f t="shared" si="92"/>
        <v/>
      </c>
      <c r="Y762" s="44" t="str">
        <f t="shared" si="93"/>
        <v/>
      </c>
      <c r="Z762" s="44" t="str">
        <f t="shared" si="94"/>
        <v/>
      </c>
      <c r="AA762" s="50" t="str">
        <f t="shared" si="95"/>
        <v/>
      </c>
      <c r="AB762" s="50" t="str">
        <f>IF(OR(B762="",C762&lt;&gt;"Expense"),"",IF(E762&gt;IFERROR(AVERAGEIFS($E$8:$E$1007,$I$8:$I$1007,I762,$C$8:$C$1007,"Expense")*SETTINGS!$B$20,0),"Unusually High","Normal"))</f>
        <v/>
      </c>
      <c r="AC762" s="51"/>
      <c r="AD762" s="51"/>
      <c r="AE762" s="51"/>
      <c r="AF762" s="50" t="str">
        <f>IF(A762&lt;&gt;"Yes","No",IF(AND(AC762="Yes",SETTINGS!$B$16="No"),"No","Yes"))</f>
        <v>No</v>
      </c>
      <c r="AG762" s="50" t="str">
        <f>IF(A762&lt;&gt;"Yes","",IF(OR(B762="",D762="",E762&lt;=0,F762="",I762=""),"Check Required Fields",IF(AA762="Possible Duplicate","Possible Duplicate",IF(E762&gt;SETTINGS!$B$22,"Review Extreme Value","OK"))))</f>
        <v/>
      </c>
    </row>
    <row r="763" spans="1:33" ht="14.4">
      <c r="A763" s="9"/>
      <c r="B763" s="13"/>
      <c r="C763" s="9"/>
      <c r="D763" s="9"/>
      <c r="E763" s="11"/>
      <c r="F763" s="9"/>
      <c r="G763" s="9"/>
      <c r="H763" s="44" t="str">
        <f>IF(D763="","",IF(ISNUMBER(SEARCH(SETTINGS!$K$4,D763)),SETTINGS!$L$4,IF(ISNUMBER(SEARCH(SETTINGS!$K$5,D763)),SETTINGS!$L$5,IF(ISNUMBER(SEARCH(SETTINGS!$K$6,D763)),SETTINGS!$L$6,IF(ISNUMBER(SEARCH(SETTINGS!$K$7,D763)),SETTINGS!$L$7,IF(ISNUMBER(SEARCH(SETTINGS!$K$8,D763)),SETTINGS!$L$8,IF(ISNUMBER(SEARCH(SETTINGS!$K$9,D763)),SETTINGS!$L$9,IF(ISNUMBER(SEARCH(SETTINGS!$K$10,D763)),SETTINGS!$L$10,IF(ISNUMBER(SEARCH(SETTINGS!$K$11,D763)),SETTINGS!$L$11,IF(ISNUMBER(SEARCH(SETTINGS!$K$12,D763)),SETTINGS!$L$12,IF(ISNUMBER(SEARCH(SETTINGS!$K$13,D763)),SETTINGS!$L$13,IF(ISNUMBER(SEARCH(SETTINGS!$K$14,D763)),SETTINGS!$L$14,IF(ISNUMBER(SEARCH(SETTINGS!$K$15,D763)),SETTINGS!$L$15,IF(ISNUMBER(SEARCH(SETTINGS!$K$16,D763)),SETTINGS!$L$16,IF(ISNUMBER(SEARCH(SETTINGS!$K$17,D763)),SETTINGS!$L$17,IF(ISNUMBER(SEARCH(SETTINGS!$K$18,D763)),SETTINGS!$L$18,"Miscellaneous"))))))))))))))))</f>
        <v/>
      </c>
      <c r="I763" s="44" t="str">
        <f t="shared" si="88"/>
        <v/>
      </c>
      <c r="J763" s="9"/>
      <c r="K763" s="9"/>
      <c r="L763" s="9"/>
      <c r="M763" s="9"/>
      <c r="N763" s="9"/>
      <c r="O763" s="9"/>
      <c r="P763" s="13"/>
      <c r="Q763" s="9"/>
      <c r="R763" s="9"/>
      <c r="S763" s="9"/>
      <c r="T763" s="11"/>
      <c r="U763" s="44" t="str">
        <f t="shared" si="89"/>
        <v/>
      </c>
      <c r="V763" s="44" t="str">
        <f t="shared" si="90"/>
        <v/>
      </c>
      <c r="W763" s="44" t="str">
        <f t="shared" si="91"/>
        <v/>
      </c>
      <c r="X763" s="44" t="str">
        <f t="shared" si="92"/>
        <v/>
      </c>
      <c r="Y763" s="44" t="str">
        <f t="shared" si="93"/>
        <v/>
      </c>
      <c r="Z763" s="44" t="str">
        <f t="shared" si="94"/>
        <v/>
      </c>
      <c r="AA763" s="50" t="str">
        <f t="shared" si="95"/>
        <v/>
      </c>
      <c r="AB763" s="50" t="str">
        <f>IF(OR(B763="",C763&lt;&gt;"Expense"),"",IF(E763&gt;IFERROR(AVERAGEIFS($E$8:$E$1007,$I$8:$I$1007,I763,$C$8:$C$1007,"Expense")*SETTINGS!$B$20,0),"Unusually High","Normal"))</f>
        <v/>
      </c>
      <c r="AC763" s="51"/>
      <c r="AD763" s="51"/>
      <c r="AE763" s="51"/>
      <c r="AF763" s="50" t="str">
        <f>IF(A763&lt;&gt;"Yes","No",IF(AND(AC763="Yes",SETTINGS!$B$16="No"),"No","Yes"))</f>
        <v>No</v>
      </c>
      <c r="AG763" s="50" t="str">
        <f>IF(A763&lt;&gt;"Yes","",IF(OR(B763="",D763="",E763&lt;=0,F763="",I763=""),"Check Required Fields",IF(AA763="Possible Duplicate","Possible Duplicate",IF(E763&gt;SETTINGS!$B$22,"Review Extreme Value","OK"))))</f>
        <v/>
      </c>
    </row>
    <row r="764" spans="1:33" ht="14.4">
      <c r="A764" s="9"/>
      <c r="B764" s="13"/>
      <c r="C764" s="9"/>
      <c r="D764" s="9"/>
      <c r="E764" s="11"/>
      <c r="F764" s="9"/>
      <c r="G764" s="9"/>
      <c r="H764" s="44" t="str">
        <f>IF(D764="","",IF(ISNUMBER(SEARCH(SETTINGS!$K$4,D764)),SETTINGS!$L$4,IF(ISNUMBER(SEARCH(SETTINGS!$K$5,D764)),SETTINGS!$L$5,IF(ISNUMBER(SEARCH(SETTINGS!$K$6,D764)),SETTINGS!$L$6,IF(ISNUMBER(SEARCH(SETTINGS!$K$7,D764)),SETTINGS!$L$7,IF(ISNUMBER(SEARCH(SETTINGS!$K$8,D764)),SETTINGS!$L$8,IF(ISNUMBER(SEARCH(SETTINGS!$K$9,D764)),SETTINGS!$L$9,IF(ISNUMBER(SEARCH(SETTINGS!$K$10,D764)),SETTINGS!$L$10,IF(ISNUMBER(SEARCH(SETTINGS!$K$11,D764)),SETTINGS!$L$11,IF(ISNUMBER(SEARCH(SETTINGS!$K$12,D764)),SETTINGS!$L$12,IF(ISNUMBER(SEARCH(SETTINGS!$K$13,D764)),SETTINGS!$L$13,IF(ISNUMBER(SEARCH(SETTINGS!$K$14,D764)),SETTINGS!$L$14,IF(ISNUMBER(SEARCH(SETTINGS!$K$15,D764)),SETTINGS!$L$15,IF(ISNUMBER(SEARCH(SETTINGS!$K$16,D764)),SETTINGS!$L$16,IF(ISNUMBER(SEARCH(SETTINGS!$K$17,D764)),SETTINGS!$L$17,IF(ISNUMBER(SEARCH(SETTINGS!$K$18,D764)),SETTINGS!$L$18,"Miscellaneous"))))))))))))))))</f>
        <v/>
      </c>
      <c r="I764" s="44" t="str">
        <f t="shared" si="88"/>
        <v/>
      </c>
      <c r="J764" s="9"/>
      <c r="K764" s="9"/>
      <c r="L764" s="9"/>
      <c r="M764" s="9"/>
      <c r="N764" s="9"/>
      <c r="O764" s="9"/>
      <c r="P764" s="13"/>
      <c r="Q764" s="9"/>
      <c r="R764" s="9"/>
      <c r="S764" s="9"/>
      <c r="T764" s="11"/>
      <c r="U764" s="44" t="str">
        <f t="shared" si="89"/>
        <v/>
      </c>
      <c r="V764" s="44" t="str">
        <f t="shared" si="90"/>
        <v/>
      </c>
      <c r="W764" s="44" t="str">
        <f t="shared" si="91"/>
        <v/>
      </c>
      <c r="X764" s="44" t="str">
        <f t="shared" si="92"/>
        <v/>
      </c>
      <c r="Y764" s="44" t="str">
        <f t="shared" si="93"/>
        <v/>
      </c>
      <c r="Z764" s="44" t="str">
        <f t="shared" si="94"/>
        <v/>
      </c>
      <c r="AA764" s="50" t="str">
        <f t="shared" si="95"/>
        <v/>
      </c>
      <c r="AB764" s="50" t="str">
        <f>IF(OR(B764="",C764&lt;&gt;"Expense"),"",IF(E764&gt;IFERROR(AVERAGEIFS($E$8:$E$1007,$I$8:$I$1007,I764,$C$8:$C$1007,"Expense")*SETTINGS!$B$20,0),"Unusually High","Normal"))</f>
        <v/>
      </c>
      <c r="AC764" s="51"/>
      <c r="AD764" s="51"/>
      <c r="AE764" s="51"/>
      <c r="AF764" s="50" t="str">
        <f>IF(A764&lt;&gt;"Yes","No",IF(AND(AC764="Yes",SETTINGS!$B$16="No"),"No","Yes"))</f>
        <v>No</v>
      </c>
      <c r="AG764" s="50" t="str">
        <f>IF(A764&lt;&gt;"Yes","",IF(OR(B764="",D764="",E764&lt;=0,F764="",I764=""),"Check Required Fields",IF(AA764="Possible Duplicate","Possible Duplicate",IF(E764&gt;SETTINGS!$B$22,"Review Extreme Value","OK"))))</f>
        <v/>
      </c>
    </row>
    <row r="765" spans="1:33" ht="14.4">
      <c r="A765" s="9"/>
      <c r="B765" s="13"/>
      <c r="C765" s="9"/>
      <c r="D765" s="9"/>
      <c r="E765" s="11"/>
      <c r="F765" s="9"/>
      <c r="G765" s="9"/>
      <c r="H765" s="44" t="str">
        <f>IF(D765="","",IF(ISNUMBER(SEARCH(SETTINGS!$K$4,D765)),SETTINGS!$L$4,IF(ISNUMBER(SEARCH(SETTINGS!$K$5,D765)),SETTINGS!$L$5,IF(ISNUMBER(SEARCH(SETTINGS!$K$6,D765)),SETTINGS!$L$6,IF(ISNUMBER(SEARCH(SETTINGS!$K$7,D765)),SETTINGS!$L$7,IF(ISNUMBER(SEARCH(SETTINGS!$K$8,D765)),SETTINGS!$L$8,IF(ISNUMBER(SEARCH(SETTINGS!$K$9,D765)),SETTINGS!$L$9,IF(ISNUMBER(SEARCH(SETTINGS!$K$10,D765)),SETTINGS!$L$10,IF(ISNUMBER(SEARCH(SETTINGS!$K$11,D765)),SETTINGS!$L$11,IF(ISNUMBER(SEARCH(SETTINGS!$K$12,D765)),SETTINGS!$L$12,IF(ISNUMBER(SEARCH(SETTINGS!$K$13,D765)),SETTINGS!$L$13,IF(ISNUMBER(SEARCH(SETTINGS!$K$14,D765)),SETTINGS!$L$14,IF(ISNUMBER(SEARCH(SETTINGS!$K$15,D765)),SETTINGS!$L$15,IF(ISNUMBER(SEARCH(SETTINGS!$K$16,D765)),SETTINGS!$L$16,IF(ISNUMBER(SEARCH(SETTINGS!$K$17,D765)),SETTINGS!$L$17,IF(ISNUMBER(SEARCH(SETTINGS!$K$18,D765)),SETTINGS!$L$18,"Miscellaneous"))))))))))))))))</f>
        <v/>
      </c>
      <c r="I765" s="44" t="str">
        <f t="shared" si="88"/>
        <v/>
      </c>
      <c r="J765" s="9"/>
      <c r="K765" s="9"/>
      <c r="L765" s="9"/>
      <c r="M765" s="9"/>
      <c r="N765" s="9"/>
      <c r="O765" s="9"/>
      <c r="P765" s="13"/>
      <c r="Q765" s="9"/>
      <c r="R765" s="9"/>
      <c r="S765" s="9"/>
      <c r="T765" s="11"/>
      <c r="U765" s="44" t="str">
        <f t="shared" si="89"/>
        <v/>
      </c>
      <c r="V765" s="44" t="str">
        <f t="shared" si="90"/>
        <v/>
      </c>
      <c r="W765" s="44" t="str">
        <f t="shared" si="91"/>
        <v/>
      </c>
      <c r="X765" s="44" t="str">
        <f t="shared" si="92"/>
        <v/>
      </c>
      <c r="Y765" s="44" t="str">
        <f t="shared" si="93"/>
        <v/>
      </c>
      <c r="Z765" s="44" t="str">
        <f t="shared" si="94"/>
        <v/>
      </c>
      <c r="AA765" s="50" t="str">
        <f t="shared" si="95"/>
        <v/>
      </c>
      <c r="AB765" s="50" t="str">
        <f>IF(OR(B765="",C765&lt;&gt;"Expense"),"",IF(E765&gt;IFERROR(AVERAGEIFS($E$8:$E$1007,$I$8:$I$1007,I765,$C$8:$C$1007,"Expense")*SETTINGS!$B$20,0),"Unusually High","Normal"))</f>
        <v/>
      </c>
      <c r="AC765" s="51"/>
      <c r="AD765" s="51"/>
      <c r="AE765" s="51"/>
      <c r="AF765" s="50" t="str">
        <f>IF(A765&lt;&gt;"Yes","No",IF(AND(AC765="Yes",SETTINGS!$B$16="No"),"No","Yes"))</f>
        <v>No</v>
      </c>
      <c r="AG765" s="50" t="str">
        <f>IF(A765&lt;&gt;"Yes","",IF(OR(B765="",D765="",E765&lt;=0,F765="",I765=""),"Check Required Fields",IF(AA765="Possible Duplicate","Possible Duplicate",IF(E765&gt;SETTINGS!$B$22,"Review Extreme Value","OK"))))</f>
        <v/>
      </c>
    </row>
    <row r="766" spans="1:33" ht="14.4">
      <c r="A766" s="9"/>
      <c r="B766" s="13"/>
      <c r="C766" s="9"/>
      <c r="D766" s="9"/>
      <c r="E766" s="11"/>
      <c r="F766" s="9"/>
      <c r="G766" s="9"/>
      <c r="H766" s="44" t="str">
        <f>IF(D766="","",IF(ISNUMBER(SEARCH(SETTINGS!$K$4,D766)),SETTINGS!$L$4,IF(ISNUMBER(SEARCH(SETTINGS!$K$5,D766)),SETTINGS!$L$5,IF(ISNUMBER(SEARCH(SETTINGS!$K$6,D766)),SETTINGS!$L$6,IF(ISNUMBER(SEARCH(SETTINGS!$K$7,D766)),SETTINGS!$L$7,IF(ISNUMBER(SEARCH(SETTINGS!$K$8,D766)),SETTINGS!$L$8,IF(ISNUMBER(SEARCH(SETTINGS!$K$9,D766)),SETTINGS!$L$9,IF(ISNUMBER(SEARCH(SETTINGS!$K$10,D766)),SETTINGS!$L$10,IF(ISNUMBER(SEARCH(SETTINGS!$K$11,D766)),SETTINGS!$L$11,IF(ISNUMBER(SEARCH(SETTINGS!$K$12,D766)),SETTINGS!$L$12,IF(ISNUMBER(SEARCH(SETTINGS!$K$13,D766)),SETTINGS!$L$13,IF(ISNUMBER(SEARCH(SETTINGS!$K$14,D766)),SETTINGS!$L$14,IF(ISNUMBER(SEARCH(SETTINGS!$K$15,D766)),SETTINGS!$L$15,IF(ISNUMBER(SEARCH(SETTINGS!$K$16,D766)),SETTINGS!$L$16,IF(ISNUMBER(SEARCH(SETTINGS!$K$17,D766)),SETTINGS!$L$17,IF(ISNUMBER(SEARCH(SETTINGS!$K$18,D766)),SETTINGS!$L$18,"Miscellaneous"))))))))))))))))</f>
        <v/>
      </c>
      <c r="I766" s="44" t="str">
        <f t="shared" si="88"/>
        <v/>
      </c>
      <c r="J766" s="9"/>
      <c r="K766" s="9"/>
      <c r="L766" s="9"/>
      <c r="M766" s="9"/>
      <c r="N766" s="9"/>
      <c r="O766" s="9"/>
      <c r="P766" s="13"/>
      <c r="Q766" s="9"/>
      <c r="R766" s="9"/>
      <c r="S766" s="9"/>
      <c r="T766" s="11"/>
      <c r="U766" s="44" t="str">
        <f t="shared" si="89"/>
        <v/>
      </c>
      <c r="V766" s="44" t="str">
        <f t="shared" si="90"/>
        <v/>
      </c>
      <c r="W766" s="44" t="str">
        <f t="shared" si="91"/>
        <v/>
      </c>
      <c r="X766" s="44" t="str">
        <f t="shared" si="92"/>
        <v/>
      </c>
      <c r="Y766" s="44" t="str">
        <f t="shared" si="93"/>
        <v/>
      </c>
      <c r="Z766" s="44" t="str">
        <f t="shared" si="94"/>
        <v/>
      </c>
      <c r="AA766" s="50" t="str">
        <f t="shared" si="95"/>
        <v/>
      </c>
      <c r="AB766" s="50" t="str">
        <f>IF(OR(B766="",C766&lt;&gt;"Expense"),"",IF(E766&gt;IFERROR(AVERAGEIFS($E$8:$E$1007,$I$8:$I$1007,I766,$C$8:$C$1007,"Expense")*SETTINGS!$B$20,0),"Unusually High","Normal"))</f>
        <v/>
      </c>
      <c r="AC766" s="51"/>
      <c r="AD766" s="51"/>
      <c r="AE766" s="51"/>
      <c r="AF766" s="50" t="str">
        <f>IF(A766&lt;&gt;"Yes","No",IF(AND(AC766="Yes",SETTINGS!$B$16="No"),"No","Yes"))</f>
        <v>No</v>
      </c>
      <c r="AG766" s="50" t="str">
        <f>IF(A766&lt;&gt;"Yes","",IF(OR(B766="",D766="",E766&lt;=0,F766="",I766=""),"Check Required Fields",IF(AA766="Possible Duplicate","Possible Duplicate",IF(E766&gt;SETTINGS!$B$22,"Review Extreme Value","OK"))))</f>
        <v/>
      </c>
    </row>
    <row r="767" spans="1:33" ht="14.4">
      <c r="A767" s="9"/>
      <c r="B767" s="13"/>
      <c r="C767" s="9"/>
      <c r="D767" s="9"/>
      <c r="E767" s="11"/>
      <c r="F767" s="9"/>
      <c r="G767" s="9"/>
      <c r="H767" s="44" t="str">
        <f>IF(D767="","",IF(ISNUMBER(SEARCH(SETTINGS!$K$4,D767)),SETTINGS!$L$4,IF(ISNUMBER(SEARCH(SETTINGS!$K$5,D767)),SETTINGS!$L$5,IF(ISNUMBER(SEARCH(SETTINGS!$K$6,D767)),SETTINGS!$L$6,IF(ISNUMBER(SEARCH(SETTINGS!$K$7,D767)),SETTINGS!$L$7,IF(ISNUMBER(SEARCH(SETTINGS!$K$8,D767)),SETTINGS!$L$8,IF(ISNUMBER(SEARCH(SETTINGS!$K$9,D767)),SETTINGS!$L$9,IF(ISNUMBER(SEARCH(SETTINGS!$K$10,D767)),SETTINGS!$L$10,IF(ISNUMBER(SEARCH(SETTINGS!$K$11,D767)),SETTINGS!$L$11,IF(ISNUMBER(SEARCH(SETTINGS!$K$12,D767)),SETTINGS!$L$12,IF(ISNUMBER(SEARCH(SETTINGS!$K$13,D767)),SETTINGS!$L$13,IF(ISNUMBER(SEARCH(SETTINGS!$K$14,D767)),SETTINGS!$L$14,IF(ISNUMBER(SEARCH(SETTINGS!$K$15,D767)),SETTINGS!$L$15,IF(ISNUMBER(SEARCH(SETTINGS!$K$16,D767)),SETTINGS!$L$16,IF(ISNUMBER(SEARCH(SETTINGS!$K$17,D767)),SETTINGS!$L$17,IF(ISNUMBER(SEARCH(SETTINGS!$K$18,D767)),SETTINGS!$L$18,"Miscellaneous"))))))))))))))))</f>
        <v/>
      </c>
      <c r="I767" s="44" t="str">
        <f t="shared" si="88"/>
        <v/>
      </c>
      <c r="J767" s="9"/>
      <c r="K767" s="9"/>
      <c r="L767" s="9"/>
      <c r="M767" s="9"/>
      <c r="N767" s="9"/>
      <c r="O767" s="9"/>
      <c r="P767" s="13"/>
      <c r="Q767" s="9"/>
      <c r="R767" s="9"/>
      <c r="S767" s="9"/>
      <c r="T767" s="11"/>
      <c r="U767" s="44" t="str">
        <f t="shared" si="89"/>
        <v/>
      </c>
      <c r="V767" s="44" t="str">
        <f t="shared" si="90"/>
        <v/>
      </c>
      <c r="W767" s="44" t="str">
        <f t="shared" si="91"/>
        <v/>
      </c>
      <c r="X767" s="44" t="str">
        <f t="shared" si="92"/>
        <v/>
      </c>
      <c r="Y767" s="44" t="str">
        <f t="shared" si="93"/>
        <v/>
      </c>
      <c r="Z767" s="44" t="str">
        <f t="shared" si="94"/>
        <v/>
      </c>
      <c r="AA767" s="50" t="str">
        <f t="shared" si="95"/>
        <v/>
      </c>
      <c r="AB767" s="50" t="str">
        <f>IF(OR(B767="",C767&lt;&gt;"Expense"),"",IF(E767&gt;IFERROR(AVERAGEIFS($E$8:$E$1007,$I$8:$I$1007,I767,$C$8:$C$1007,"Expense")*SETTINGS!$B$20,0),"Unusually High","Normal"))</f>
        <v/>
      </c>
      <c r="AC767" s="51"/>
      <c r="AD767" s="51"/>
      <c r="AE767" s="51"/>
      <c r="AF767" s="50" t="str">
        <f>IF(A767&lt;&gt;"Yes","No",IF(AND(AC767="Yes",SETTINGS!$B$16="No"),"No","Yes"))</f>
        <v>No</v>
      </c>
      <c r="AG767" s="50" t="str">
        <f>IF(A767&lt;&gt;"Yes","",IF(OR(B767="",D767="",E767&lt;=0,F767="",I767=""),"Check Required Fields",IF(AA767="Possible Duplicate","Possible Duplicate",IF(E767&gt;SETTINGS!$B$22,"Review Extreme Value","OK"))))</f>
        <v/>
      </c>
    </row>
    <row r="768" spans="1:33" ht="14.4">
      <c r="A768" s="9"/>
      <c r="B768" s="13"/>
      <c r="C768" s="9"/>
      <c r="D768" s="9"/>
      <c r="E768" s="11"/>
      <c r="F768" s="9"/>
      <c r="G768" s="9"/>
      <c r="H768" s="44" t="str">
        <f>IF(D768="","",IF(ISNUMBER(SEARCH(SETTINGS!$K$4,D768)),SETTINGS!$L$4,IF(ISNUMBER(SEARCH(SETTINGS!$K$5,D768)),SETTINGS!$L$5,IF(ISNUMBER(SEARCH(SETTINGS!$K$6,D768)),SETTINGS!$L$6,IF(ISNUMBER(SEARCH(SETTINGS!$K$7,D768)),SETTINGS!$L$7,IF(ISNUMBER(SEARCH(SETTINGS!$K$8,D768)),SETTINGS!$L$8,IF(ISNUMBER(SEARCH(SETTINGS!$K$9,D768)),SETTINGS!$L$9,IF(ISNUMBER(SEARCH(SETTINGS!$K$10,D768)),SETTINGS!$L$10,IF(ISNUMBER(SEARCH(SETTINGS!$K$11,D768)),SETTINGS!$L$11,IF(ISNUMBER(SEARCH(SETTINGS!$K$12,D768)),SETTINGS!$L$12,IF(ISNUMBER(SEARCH(SETTINGS!$K$13,D768)),SETTINGS!$L$13,IF(ISNUMBER(SEARCH(SETTINGS!$K$14,D768)),SETTINGS!$L$14,IF(ISNUMBER(SEARCH(SETTINGS!$K$15,D768)),SETTINGS!$L$15,IF(ISNUMBER(SEARCH(SETTINGS!$K$16,D768)),SETTINGS!$L$16,IF(ISNUMBER(SEARCH(SETTINGS!$K$17,D768)),SETTINGS!$L$17,IF(ISNUMBER(SEARCH(SETTINGS!$K$18,D768)),SETTINGS!$L$18,"Miscellaneous"))))))))))))))))</f>
        <v/>
      </c>
      <c r="I768" s="44" t="str">
        <f t="shared" si="88"/>
        <v/>
      </c>
      <c r="J768" s="9"/>
      <c r="K768" s="9"/>
      <c r="L768" s="9"/>
      <c r="M768" s="9"/>
      <c r="N768" s="9"/>
      <c r="O768" s="9"/>
      <c r="P768" s="13"/>
      <c r="Q768" s="9"/>
      <c r="R768" s="9"/>
      <c r="S768" s="9"/>
      <c r="T768" s="11"/>
      <c r="U768" s="44" t="str">
        <f t="shared" si="89"/>
        <v/>
      </c>
      <c r="V768" s="44" t="str">
        <f t="shared" si="90"/>
        <v/>
      </c>
      <c r="W768" s="44" t="str">
        <f t="shared" si="91"/>
        <v/>
      </c>
      <c r="X768" s="44" t="str">
        <f t="shared" si="92"/>
        <v/>
      </c>
      <c r="Y768" s="44" t="str">
        <f t="shared" si="93"/>
        <v/>
      </c>
      <c r="Z768" s="44" t="str">
        <f t="shared" si="94"/>
        <v/>
      </c>
      <c r="AA768" s="50" t="str">
        <f t="shared" si="95"/>
        <v/>
      </c>
      <c r="AB768" s="50" t="str">
        <f>IF(OR(B768="",C768&lt;&gt;"Expense"),"",IF(E768&gt;IFERROR(AVERAGEIFS($E$8:$E$1007,$I$8:$I$1007,I768,$C$8:$C$1007,"Expense")*SETTINGS!$B$20,0),"Unusually High","Normal"))</f>
        <v/>
      </c>
      <c r="AC768" s="51"/>
      <c r="AD768" s="51"/>
      <c r="AE768" s="51"/>
      <c r="AF768" s="50" t="str">
        <f>IF(A768&lt;&gt;"Yes","No",IF(AND(AC768="Yes",SETTINGS!$B$16="No"),"No","Yes"))</f>
        <v>No</v>
      </c>
      <c r="AG768" s="50" t="str">
        <f>IF(A768&lt;&gt;"Yes","",IF(OR(B768="",D768="",E768&lt;=0,F768="",I768=""),"Check Required Fields",IF(AA768="Possible Duplicate","Possible Duplicate",IF(E768&gt;SETTINGS!$B$22,"Review Extreme Value","OK"))))</f>
        <v/>
      </c>
    </row>
    <row r="769" spans="1:33" ht="14.4">
      <c r="A769" s="9"/>
      <c r="B769" s="13"/>
      <c r="C769" s="9"/>
      <c r="D769" s="9"/>
      <c r="E769" s="11"/>
      <c r="F769" s="9"/>
      <c r="G769" s="9"/>
      <c r="H769" s="44" t="str">
        <f>IF(D769="","",IF(ISNUMBER(SEARCH(SETTINGS!$K$4,D769)),SETTINGS!$L$4,IF(ISNUMBER(SEARCH(SETTINGS!$K$5,D769)),SETTINGS!$L$5,IF(ISNUMBER(SEARCH(SETTINGS!$K$6,D769)),SETTINGS!$L$6,IF(ISNUMBER(SEARCH(SETTINGS!$K$7,D769)),SETTINGS!$L$7,IF(ISNUMBER(SEARCH(SETTINGS!$K$8,D769)),SETTINGS!$L$8,IF(ISNUMBER(SEARCH(SETTINGS!$K$9,D769)),SETTINGS!$L$9,IF(ISNUMBER(SEARCH(SETTINGS!$K$10,D769)),SETTINGS!$L$10,IF(ISNUMBER(SEARCH(SETTINGS!$K$11,D769)),SETTINGS!$L$11,IF(ISNUMBER(SEARCH(SETTINGS!$K$12,D769)),SETTINGS!$L$12,IF(ISNUMBER(SEARCH(SETTINGS!$K$13,D769)),SETTINGS!$L$13,IF(ISNUMBER(SEARCH(SETTINGS!$K$14,D769)),SETTINGS!$L$14,IF(ISNUMBER(SEARCH(SETTINGS!$K$15,D769)),SETTINGS!$L$15,IF(ISNUMBER(SEARCH(SETTINGS!$K$16,D769)),SETTINGS!$L$16,IF(ISNUMBER(SEARCH(SETTINGS!$K$17,D769)),SETTINGS!$L$17,IF(ISNUMBER(SEARCH(SETTINGS!$K$18,D769)),SETTINGS!$L$18,"Miscellaneous"))))))))))))))))</f>
        <v/>
      </c>
      <c r="I769" s="44" t="str">
        <f t="shared" si="88"/>
        <v/>
      </c>
      <c r="J769" s="9"/>
      <c r="K769" s="9"/>
      <c r="L769" s="9"/>
      <c r="M769" s="9"/>
      <c r="N769" s="9"/>
      <c r="O769" s="9"/>
      <c r="P769" s="13"/>
      <c r="Q769" s="9"/>
      <c r="R769" s="9"/>
      <c r="S769" s="9"/>
      <c r="T769" s="11"/>
      <c r="U769" s="44" t="str">
        <f t="shared" si="89"/>
        <v/>
      </c>
      <c r="V769" s="44" t="str">
        <f t="shared" si="90"/>
        <v/>
      </c>
      <c r="W769" s="44" t="str">
        <f t="shared" si="91"/>
        <v/>
      </c>
      <c r="X769" s="44" t="str">
        <f t="shared" si="92"/>
        <v/>
      </c>
      <c r="Y769" s="44" t="str">
        <f t="shared" si="93"/>
        <v/>
      </c>
      <c r="Z769" s="44" t="str">
        <f t="shared" si="94"/>
        <v/>
      </c>
      <c r="AA769" s="50" t="str">
        <f t="shared" si="95"/>
        <v/>
      </c>
      <c r="AB769" s="50" t="str">
        <f>IF(OR(B769="",C769&lt;&gt;"Expense"),"",IF(E769&gt;IFERROR(AVERAGEIFS($E$8:$E$1007,$I$8:$I$1007,I769,$C$8:$C$1007,"Expense")*SETTINGS!$B$20,0),"Unusually High","Normal"))</f>
        <v/>
      </c>
      <c r="AC769" s="51"/>
      <c r="AD769" s="51"/>
      <c r="AE769" s="51"/>
      <c r="AF769" s="50" t="str">
        <f>IF(A769&lt;&gt;"Yes","No",IF(AND(AC769="Yes",SETTINGS!$B$16="No"),"No","Yes"))</f>
        <v>No</v>
      </c>
      <c r="AG769" s="50" t="str">
        <f>IF(A769&lt;&gt;"Yes","",IF(OR(B769="",D769="",E769&lt;=0,F769="",I769=""),"Check Required Fields",IF(AA769="Possible Duplicate","Possible Duplicate",IF(E769&gt;SETTINGS!$B$22,"Review Extreme Value","OK"))))</f>
        <v/>
      </c>
    </row>
    <row r="770" spans="1:33" ht="14.4">
      <c r="A770" s="9"/>
      <c r="B770" s="13"/>
      <c r="C770" s="9"/>
      <c r="D770" s="9"/>
      <c r="E770" s="11"/>
      <c r="F770" s="9"/>
      <c r="G770" s="9"/>
      <c r="H770" s="44" t="str">
        <f>IF(D770="","",IF(ISNUMBER(SEARCH(SETTINGS!$K$4,D770)),SETTINGS!$L$4,IF(ISNUMBER(SEARCH(SETTINGS!$K$5,D770)),SETTINGS!$L$5,IF(ISNUMBER(SEARCH(SETTINGS!$K$6,D770)),SETTINGS!$L$6,IF(ISNUMBER(SEARCH(SETTINGS!$K$7,D770)),SETTINGS!$L$7,IF(ISNUMBER(SEARCH(SETTINGS!$K$8,D770)),SETTINGS!$L$8,IF(ISNUMBER(SEARCH(SETTINGS!$K$9,D770)),SETTINGS!$L$9,IF(ISNUMBER(SEARCH(SETTINGS!$K$10,D770)),SETTINGS!$L$10,IF(ISNUMBER(SEARCH(SETTINGS!$K$11,D770)),SETTINGS!$L$11,IF(ISNUMBER(SEARCH(SETTINGS!$K$12,D770)),SETTINGS!$L$12,IF(ISNUMBER(SEARCH(SETTINGS!$K$13,D770)),SETTINGS!$L$13,IF(ISNUMBER(SEARCH(SETTINGS!$K$14,D770)),SETTINGS!$L$14,IF(ISNUMBER(SEARCH(SETTINGS!$K$15,D770)),SETTINGS!$L$15,IF(ISNUMBER(SEARCH(SETTINGS!$K$16,D770)),SETTINGS!$L$16,IF(ISNUMBER(SEARCH(SETTINGS!$K$17,D770)),SETTINGS!$L$17,IF(ISNUMBER(SEARCH(SETTINGS!$K$18,D770)),SETTINGS!$L$18,"Miscellaneous"))))))))))))))))</f>
        <v/>
      </c>
      <c r="I770" s="44" t="str">
        <f t="shared" si="88"/>
        <v/>
      </c>
      <c r="J770" s="9"/>
      <c r="K770" s="9"/>
      <c r="L770" s="9"/>
      <c r="M770" s="9"/>
      <c r="N770" s="9"/>
      <c r="O770" s="9"/>
      <c r="P770" s="13"/>
      <c r="Q770" s="9"/>
      <c r="R770" s="9"/>
      <c r="S770" s="9"/>
      <c r="T770" s="11"/>
      <c r="U770" s="44" t="str">
        <f t="shared" si="89"/>
        <v/>
      </c>
      <c r="V770" s="44" t="str">
        <f t="shared" si="90"/>
        <v/>
      </c>
      <c r="W770" s="44" t="str">
        <f t="shared" si="91"/>
        <v/>
      </c>
      <c r="X770" s="44" t="str">
        <f t="shared" si="92"/>
        <v/>
      </c>
      <c r="Y770" s="44" t="str">
        <f t="shared" si="93"/>
        <v/>
      </c>
      <c r="Z770" s="44" t="str">
        <f t="shared" si="94"/>
        <v/>
      </c>
      <c r="AA770" s="50" t="str">
        <f t="shared" si="95"/>
        <v/>
      </c>
      <c r="AB770" s="50" t="str">
        <f>IF(OR(B770="",C770&lt;&gt;"Expense"),"",IF(E770&gt;IFERROR(AVERAGEIFS($E$8:$E$1007,$I$8:$I$1007,I770,$C$8:$C$1007,"Expense")*SETTINGS!$B$20,0),"Unusually High","Normal"))</f>
        <v/>
      </c>
      <c r="AC770" s="51"/>
      <c r="AD770" s="51"/>
      <c r="AE770" s="51"/>
      <c r="AF770" s="50" t="str">
        <f>IF(A770&lt;&gt;"Yes","No",IF(AND(AC770="Yes",SETTINGS!$B$16="No"),"No","Yes"))</f>
        <v>No</v>
      </c>
      <c r="AG770" s="50" t="str">
        <f>IF(A770&lt;&gt;"Yes","",IF(OR(B770="",D770="",E770&lt;=0,F770="",I770=""),"Check Required Fields",IF(AA770="Possible Duplicate","Possible Duplicate",IF(E770&gt;SETTINGS!$B$22,"Review Extreme Value","OK"))))</f>
        <v/>
      </c>
    </row>
    <row r="771" spans="1:33" ht="14.4">
      <c r="A771" s="9"/>
      <c r="B771" s="13"/>
      <c r="C771" s="9"/>
      <c r="D771" s="9"/>
      <c r="E771" s="11"/>
      <c r="F771" s="9"/>
      <c r="G771" s="9"/>
      <c r="H771" s="44" t="str">
        <f>IF(D771="","",IF(ISNUMBER(SEARCH(SETTINGS!$K$4,D771)),SETTINGS!$L$4,IF(ISNUMBER(SEARCH(SETTINGS!$K$5,D771)),SETTINGS!$L$5,IF(ISNUMBER(SEARCH(SETTINGS!$K$6,D771)),SETTINGS!$L$6,IF(ISNUMBER(SEARCH(SETTINGS!$K$7,D771)),SETTINGS!$L$7,IF(ISNUMBER(SEARCH(SETTINGS!$K$8,D771)),SETTINGS!$L$8,IF(ISNUMBER(SEARCH(SETTINGS!$K$9,D771)),SETTINGS!$L$9,IF(ISNUMBER(SEARCH(SETTINGS!$K$10,D771)),SETTINGS!$L$10,IF(ISNUMBER(SEARCH(SETTINGS!$K$11,D771)),SETTINGS!$L$11,IF(ISNUMBER(SEARCH(SETTINGS!$K$12,D771)),SETTINGS!$L$12,IF(ISNUMBER(SEARCH(SETTINGS!$K$13,D771)),SETTINGS!$L$13,IF(ISNUMBER(SEARCH(SETTINGS!$K$14,D771)),SETTINGS!$L$14,IF(ISNUMBER(SEARCH(SETTINGS!$K$15,D771)),SETTINGS!$L$15,IF(ISNUMBER(SEARCH(SETTINGS!$K$16,D771)),SETTINGS!$L$16,IF(ISNUMBER(SEARCH(SETTINGS!$K$17,D771)),SETTINGS!$L$17,IF(ISNUMBER(SEARCH(SETTINGS!$K$18,D771)),SETTINGS!$L$18,"Miscellaneous"))))))))))))))))</f>
        <v/>
      </c>
      <c r="I771" s="44" t="str">
        <f t="shared" si="88"/>
        <v/>
      </c>
      <c r="J771" s="9"/>
      <c r="K771" s="9"/>
      <c r="L771" s="9"/>
      <c r="M771" s="9"/>
      <c r="N771" s="9"/>
      <c r="O771" s="9"/>
      <c r="P771" s="13"/>
      <c r="Q771" s="9"/>
      <c r="R771" s="9"/>
      <c r="S771" s="9"/>
      <c r="T771" s="11"/>
      <c r="U771" s="44" t="str">
        <f t="shared" si="89"/>
        <v/>
      </c>
      <c r="V771" s="44" t="str">
        <f t="shared" si="90"/>
        <v/>
      </c>
      <c r="W771" s="44" t="str">
        <f t="shared" si="91"/>
        <v/>
      </c>
      <c r="X771" s="44" t="str">
        <f t="shared" si="92"/>
        <v/>
      </c>
      <c r="Y771" s="44" t="str">
        <f t="shared" si="93"/>
        <v/>
      </c>
      <c r="Z771" s="44" t="str">
        <f t="shared" si="94"/>
        <v/>
      </c>
      <c r="AA771" s="50" t="str">
        <f t="shared" si="95"/>
        <v/>
      </c>
      <c r="AB771" s="50" t="str">
        <f>IF(OR(B771="",C771&lt;&gt;"Expense"),"",IF(E771&gt;IFERROR(AVERAGEIFS($E$8:$E$1007,$I$8:$I$1007,I771,$C$8:$C$1007,"Expense")*SETTINGS!$B$20,0),"Unusually High","Normal"))</f>
        <v/>
      </c>
      <c r="AC771" s="51"/>
      <c r="AD771" s="51"/>
      <c r="AE771" s="51"/>
      <c r="AF771" s="50" t="str">
        <f>IF(A771&lt;&gt;"Yes","No",IF(AND(AC771="Yes",SETTINGS!$B$16="No"),"No","Yes"))</f>
        <v>No</v>
      </c>
      <c r="AG771" s="50" t="str">
        <f>IF(A771&lt;&gt;"Yes","",IF(OR(B771="",D771="",E771&lt;=0,F771="",I771=""),"Check Required Fields",IF(AA771="Possible Duplicate","Possible Duplicate",IF(E771&gt;SETTINGS!$B$22,"Review Extreme Value","OK"))))</f>
        <v/>
      </c>
    </row>
    <row r="772" spans="1:33" ht="14.4">
      <c r="A772" s="9"/>
      <c r="B772" s="13"/>
      <c r="C772" s="9"/>
      <c r="D772" s="9"/>
      <c r="E772" s="11"/>
      <c r="F772" s="9"/>
      <c r="G772" s="9"/>
      <c r="H772" s="44" t="str">
        <f>IF(D772="","",IF(ISNUMBER(SEARCH(SETTINGS!$K$4,D772)),SETTINGS!$L$4,IF(ISNUMBER(SEARCH(SETTINGS!$K$5,D772)),SETTINGS!$L$5,IF(ISNUMBER(SEARCH(SETTINGS!$K$6,D772)),SETTINGS!$L$6,IF(ISNUMBER(SEARCH(SETTINGS!$K$7,D772)),SETTINGS!$L$7,IF(ISNUMBER(SEARCH(SETTINGS!$K$8,D772)),SETTINGS!$L$8,IF(ISNUMBER(SEARCH(SETTINGS!$K$9,D772)),SETTINGS!$L$9,IF(ISNUMBER(SEARCH(SETTINGS!$K$10,D772)),SETTINGS!$L$10,IF(ISNUMBER(SEARCH(SETTINGS!$K$11,D772)),SETTINGS!$L$11,IF(ISNUMBER(SEARCH(SETTINGS!$K$12,D772)),SETTINGS!$L$12,IF(ISNUMBER(SEARCH(SETTINGS!$K$13,D772)),SETTINGS!$L$13,IF(ISNUMBER(SEARCH(SETTINGS!$K$14,D772)),SETTINGS!$L$14,IF(ISNUMBER(SEARCH(SETTINGS!$K$15,D772)),SETTINGS!$L$15,IF(ISNUMBER(SEARCH(SETTINGS!$K$16,D772)),SETTINGS!$L$16,IF(ISNUMBER(SEARCH(SETTINGS!$K$17,D772)),SETTINGS!$L$17,IF(ISNUMBER(SEARCH(SETTINGS!$K$18,D772)),SETTINGS!$L$18,"Miscellaneous"))))))))))))))))</f>
        <v/>
      </c>
      <c r="I772" s="44" t="str">
        <f t="shared" si="88"/>
        <v/>
      </c>
      <c r="J772" s="9"/>
      <c r="K772" s="9"/>
      <c r="L772" s="9"/>
      <c r="M772" s="9"/>
      <c r="N772" s="9"/>
      <c r="O772" s="9"/>
      <c r="P772" s="13"/>
      <c r="Q772" s="9"/>
      <c r="R772" s="9"/>
      <c r="S772" s="9"/>
      <c r="T772" s="11"/>
      <c r="U772" s="44" t="str">
        <f t="shared" si="89"/>
        <v/>
      </c>
      <c r="V772" s="44" t="str">
        <f t="shared" si="90"/>
        <v/>
      </c>
      <c r="W772" s="44" t="str">
        <f t="shared" si="91"/>
        <v/>
      </c>
      <c r="X772" s="44" t="str">
        <f t="shared" si="92"/>
        <v/>
      </c>
      <c r="Y772" s="44" t="str">
        <f t="shared" si="93"/>
        <v/>
      </c>
      <c r="Z772" s="44" t="str">
        <f t="shared" si="94"/>
        <v/>
      </c>
      <c r="AA772" s="50" t="str">
        <f t="shared" si="95"/>
        <v/>
      </c>
      <c r="AB772" s="50" t="str">
        <f>IF(OR(B772="",C772&lt;&gt;"Expense"),"",IF(E772&gt;IFERROR(AVERAGEIFS($E$8:$E$1007,$I$8:$I$1007,I772,$C$8:$C$1007,"Expense")*SETTINGS!$B$20,0),"Unusually High","Normal"))</f>
        <v/>
      </c>
      <c r="AC772" s="51"/>
      <c r="AD772" s="51"/>
      <c r="AE772" s="51"/>
      <c r="AF772" s="50" t="str">
        <f>IF(A772&lt;&gt;"Yes","No",IF(AND(AC772="Yes",SETTINGS!$B$16="No"),"No","Yes"))</f>
        <v>No</v>
      </c>
      <c r="AG772" s="50" t="str">
        <f>IF(A772&lt;&gt;"Yes","",IF(OR(B772="",D772="",E772&lt;=0,F772="",I772=""),"Check Required Fields",IF(AA772="Possible Duplicate","Possible Duplicate",IF(E772&gt;SETTINGS!$B$22,"Review Extreme Value","OK"))))</f>
        <v/>
      </c>
    </row>
    <row r="773" spans="1:33" ht="14.4">
      <c r="A773" s="9"/>
      <c r="B773" s="13"/>
      <c r="C773" s="9"/>
      <c r="D773" s="9"/>
      <c r="E773" s="11"/>
      <c r="F773" s="9"/>
      <c r="G773" s="9"/>
      <c r="H773" s="44" t="str">
        <f>IF(D773="","",IF(ISNUMBER(SEARCH(SETTINGS!$K$4,D773)),SETTINGS!$L$4,IF(ISNUMBER(SEARCH(SETTINGS!$K$5,D773)),SETTINGS!$L$5,IF(ISNUMBER(SEARCH(SETTINGS!$K$6,D773)),SETTINGS!$L$6,IF(ISNUMBER(SEARCH(SETTINGS!$K$7,D773)),SETTINGS!$L$7,IF(ISNUMBER(SEARCH(SETTINGS!$K$8,D773)),SETTINGS!$L$8,IF(ISNUMBER(SEARCH(SETTINGS!$K$9,D773)),SETTINGS!$L$9,IF(ISNUMBER(SEARCH(SETTINGS!$K$10,D773)),SETTINGS!$L$10,IF(ISNUMBER(SEARCH(SETTINGS!$K$11,D773)),SETTINGS!$L$11,IF(ISNUMBER(SEARCH(SETTINGS!$K$12,D773)),SETTINGS!$L$12,IF(ISNUMBER(SEARCH(SETTINGS!$K$13,D773)),SETTINGS!$L$13,IF(ISNUMBER(SEARCH(SETTINGS!$K$14,D773)),SETTINGS!$L$14,IF(ISNUMBER(SEARCH(SETTINGS!$K$15,D773)),SETTINGS!$L$15,IF(ISNUMBER(SEARCH(SETTINGS!$K$16,D773)),SETTINGS!$L$16,IF(ISNUMBER(SEARCH(SETTINGS!$K$17,D773)),SETTINGS!$L$17,IF(ISNUMBER(SEARCH(SETTINGS!$K$18,D773)),SETTINGS!$L$18,"Miscellaneous"))))))))))))))))</f>
        <v/>
      </c>
      <c r="I773" s="44" t="str">
        <f t="shared" si="88"/>
        <v/>
      </c>
      <c r="J773" s="9"/>
      <c r="K773" s="9"/>
      <c r="L773" s="9"/>
      <c r="M773" s="9"/>
      <c r="N773" s="9"/>
      <c r="O773" s="9"/>
      <c r="P773" s="13"/>
      <c r="Q773" s="9"/>
      <c r="R773" s="9"/>
      <c r="S773" s="9"/>
      <c r="T773" s="11"/>
      <c r="U773" s="44" t="str">
        <f t="shared" si="89"/>
        <v/>
      </c>
      <c r="V773" s="44" t="str">
        <f t="shared" si="90"/>
        <v/>
      </c>
      <c r="W773" s="44" t="str">
        <f t="shared" si="91"/>
        <v/>
      </c>
      <c r="X773" s="44" t="str">
        <f t="shared" si="92"/>
        <v/>
      </c>
      <c r="Y773" s="44" t="str">
        <f t="shared" si="93"/>
        <v/>
      </c>
      <c r="Z773" s="44" t="str">
        <f t="shared" si="94"/>
        <v/>
      </c>
      <c r="AA773" s="50" t="str">
        <f t="shared" si="95"/>
        <v/>
      </c>
      <c r="AB773" s="50" t="str">
        <f>IF(OR(B773="",C773&lt;&gt;"Expense"),"",IF(E773&gt;IFERROR(AVERAGEIFS($E$8:$E$1007,$I$8:$I$1007,I773,$C$8:$C$1007,"Expense")*SETTINGS!$B$20,0),"Unusually High","Normal"))</f>
        <v/>
      </c>
      <c r="AC773" s="51"/>
      <c r="AD773" s="51"/>
      <c r="AE773" s="51"/>
      <c r="AF773" s="50" t="str">
        <f>IF(A773&lt;&gt;"Yes","No",IF(AND(AC773="Yes",SETTINGS!$B$16="No"),"No","Yes"))</f>
        <v>No</v>
      </c>
      <c r="AG773" s="50" t="str">
        <f>IF(A773&lt;&gt;"Yes","",IF(OR(B773="",D773="",E773&lt;=0,F773="",I773=""),"Check Required Fields",IF(AA773="Possible Duplicate","Possible Duplicate",IF(E773&gt;SETTINGS!$B$22,"Review Extreme Value","OK"))))</f>
        <v/>
      </c>
    </row>
    <row r="774" spans="1:33" ht="14.4">
      <c r="A774" s="9"/>
      <c r="B774" s="13"/>
      <c r="C774" s="9"/>
      <c r="D774" s="9"/>
      <c r="E774" s="11"/>
      <c r="F774" s="9"/>
      <c r="G774" s="9"/>
      <c r="H774" s="44" t="str">
        <f>IF(D774="","",IF(ISNUMBER(SEARCH(SETTINGS!$K$4,D774)),SETTINGS!$L$4,IF(ISNUMBER(SEARCH(SETTINGS!$K$5,D774)),SETTINGS!$L$5,IF(ISNUMBER(SEARCH(SETTINGS!$K$6,D774)),SETTINGS!$L$6,IF(ISNUMBER(SEARCH(SETTINGS!$K$7,D774)),SETTINGS!$L$7,IF(ISNUMBER(SEARCH(SETTINGS!$K$8,D774)),SETTINGS!$L$8,IF(ISNUMBER(SEARCH(SETTINGS!$K$9,D774)),SETTINGS!$L$9,IF(ISNUMBER(SEARCH(SETTINGS!$K$10,D774)),SETTINGS!$L$10,IF(ISNUMBER(SEARCH(SETTINGS!$K$11,D774)),SETTINGS!$L$11,IF(ISNUMBER(SEARCH(SETTINGS!$K$12,D774)),SETTINGS!$L$12,IF(ISNUMBER(SEARCH(SETTINGS!$K$13,D774)),SETTINGS!$L$13,IF(ISNUMBER(SEARCH(SETTINGS!$K$14,D774)),SETTINGS!$L$14,IF(ISNUMBER(SEARCH(SETTINGS!$K$15,D774)),SETTINGS!$L$15,IF(ISNUMBER(SEARCH(SETTINGS!$K$16,D774)),SETTINGS!$L$16,IF(ISNUMBER(SEARCH(SETTINGS!$K$17,D774)),SETTINGS!$L$17,IF(ISNUMBER(SEARCH(SETTINGS!$K$18,D774)),SETTINGS!$L$18,"Miscellaneous"))))))))))))))))</f>
        <v/>
      </c>
      <c r="I774" s="44" t="str">
        <f t="shared" si="88"/>
        <v/>
      </c>
      <c r="J774" s="9"/>
      <c r="K774" s="9"/>
      <c r="L774" s="9"/>
      <c r="M774" s="9"/>
      <c r="N774" s="9"/>
      <c r="O774" s="9"/>
      <c r="P774" s="13"/>
      <c r="Q774" s="9"/>
      <c r="R774" s="9"/>
      <c r="S774" s="9"/>
      <c r="T774" s="11"/>
      <c r="U774" s="44" t="str">
        <f t="shared" si="89"/>
        <v/>
      </c>
      <c r="V774" s="44" t="str">
        <f t="shared" si="90"/>
        <v/>
      </c>
      <c r="W774" s="44" t="str">
        <f t="shared" si="91"/>
        <v/>
      </c>
      <c r="X774" s="44" t="str">
        <f t="shared" si="92"/>
        <v/>
      </c>
      <c r="Y774" s="44" t="str">
        <f t="shared" si="93"/>
        <v/>
      </c>
      <c r="Z774" s="44" t="str">
        <f t="shared" si="94"/>
        <v/>
      </c>
      <c r="AA774" s="50" t="str">
        <f t="shared" si="95"/>
        <v/>
      </c>
      <c r="AB774" s="50" t="str">
        <f>IF(OR(B774="",C774&lt;&gt;"Expense"),"",IF(E774&gt;IFERROR(AVERAGEIFS($E$8:$E$1007,$I$8:$I$1007,I774,$C$8:$C$1007,"Expense")*SETTINGS!$B$20,0),"Unusually High","Normal"))</f>
        <v/>
      </c>
      <c r="AC774" s="51"/>
      <c r="AD774" s="51"/>
      <c r="AE774" s="51"/>
      <c r="AF774" s="50" t="str">
        <f>IF(A774&lt;&gt;"Yes","No",IF(AND(AC774="Yes",SETTINGS!$B$16="No"),"No","Yes"))</f>
        <v>No</v>
      </c>
      <c r="AG774" s="50" t="str">
        <f>IF(A774&lt;&gt;"Yes","",IF(OR(B774="",D774="",E774&lt;=0,F774="",I774=""),"Check Required Fields",IF(AA774="Possible Duplicate","Possible Duplicate",IF(E774&gt;SETTINGS!$B$22,"Review Extreme Value","OK"))))</f>
        <v/>
      </c>
    </row>
    <row r="775" spans="1:33" ht="14.4">
      <c r="A775" s="9"/>
      <c r="B775" s="13"/>
      <c r="C775" s="9"/>
      <c r="D775" s="9"/>
      <c r="E775" s="11"/>
      <c r="F775" s="9"/>
      <c r="G775" s="9"/>
      <c r="H775" s="44" t="str">
        <f>IF(D775="","",IF(ISNUMBER(SEARCH(SETTINGS!$K$4,D775)),SETTINGS!$L$4,IF(ISNUMBER(SEARCH(SETTINGS!$K$5,D775)),SETTINGS!$L$5,IF(ISNUMBER(SEARCH(SETTINGS!$K$6,D775)),SETTINGS!$L$6,IF(ISNUMBER(SEARCH(SETTINGS!$K$7,D775)),SETTINGS!$L$7,IF(ISNUMBER(SEARCH(SETTINGS!$K$8,D775)),SETTINGS!$L$8,IF(ISNUMBER(SEARCH(SETTINGS!$K$9,D775)),SETTINGS!$L$9,IF(ISNUMBER(SEARCH(SETTINGS!$K$10,D775)),SETTINGS!$L$10,IF(ISNUMBER(SEARCH(SETTINGS!$K$11,D775)),SETTINGS!$L$11,IF(ISNUMBER(SEARCH(SETTINGS!$K$12,D775)),SETTINGS!$L$12,IF(ISNUMBER(SEARCH(SETTINGS!$K$13,D775)),SETTINGS!$L$13,IF(ISNUMBER(SEARCH(SETTINGS!$K$14,D775)),SETTINGS!$L$14,IF(ISNUMBER(SEARCH(SETTINGS!$K$15,D775)),SETTINGS!$L$15,IF(ISNUMBER(SEARCH(SETTINGS!$K$16,D775)),SETTINGS!$L$16,IF(ISNUMBER(SEARCH(SETTINGS!$K$17,D775)),SETTINGS!$L$17,IF(ISNUMBER(SEARCH(SETTINGS!$K$18,D775)),SETTINGS!$L$18,"Miscellaneous"))))))))))))))))</f>
        <v/>
      </c>
      <c r="I775" s="44" t="str">
        <f t="shared" si="88"/>
        <v/>
      </c>
      <c r="J775" s="9"/>
      <c r="K775" s="9"/>
      <c r="L775" s="9"/>
      <c r="M775" s="9"/>
      <c r="N775" s="9"/>
      <c r="O775" s="9"/>
      <c r="P775" s="13"/>
      <c r="Q775" s="9"/>
      <c r="R775" s="9"/>
      <c r="S775" s="9"/>
      <c r="T775" s="11"/>
      <c r="U775" s="44" t="str">
        <f t="shared" si="89"/>
        <v/>
      </c>
      <c r="V775" s="44" t="str">
        <f t="shared" si="90"/>
        <v/>
      </c>
      <c r="W775" s="44" t="str">
        <f t="shared" si="91"/>
        <v/>
      </c>
      <c r="X775" s="44" t="str">
        <f t="shared" si="92"/>
        <v/>
      </c>
      <c r="Y775" s="44" t="str">
        <f t="shared" si="93"/>
        <v/>
      </c>
      <c r="Z775" s="44" t="str">
        <f t="shared" si="94"/>
        <v/>
      </c>
      <c r="AA775" s="50" t="str">
        <f t="shared" si="95"/>
        <v/>
      </c>
      <c r="AB775" s="50" t="str">
        <f>IF(OR(B775="",C775&lt;&gt;"Expense"),"",IF(E775&gt;IFERROR(AVERAGEIFS($E$8:$E$1007,$I$8:$I$1007,I775,$C$8:$C$1007,"Expense")*SETTINGS!$B$20,0),"Unusually High","Normal"))</f>
        <v/>
      </c>
      <c r="AC775" s="51"/>
      <c r="AD775" s="51"/>
      <c r="AE775" s="51"/>
      <c r="AF775" s="50" t="str">
        <f>IF(A775&lt;&gt;"Yes","No",IF(AND(AC775="Yes",SETTINGS!$B$16="No"),"No","Yes"))</f>
        <v>No</v>
      </c>
      <c r="AG775" s="50" t="str">
        <f>IF(A775&lt;&gt;"Yes","",IF(OR(B775="",D775="",E775&lt;=0,F775="",I775=""),"Check Required Fields",IF(AA775="Possible Duplicate","Possible Duplicate",IF(E775&gt;SETTINGS!$B$22,"Review Extreme Value","OK"))))</f>
        <v/>
      </c>
    </row>
    <row r="776" spans="1:33" ht="14.4">
      <c r="A776" s="9"/>
      <c r="B776" s="13"/>
      <c r="C776" s="9"/>
      <c r="D776" s="9"/>
      <c r="E776" s="11"/>
      <c r="F776" s="9"/>
      <c r="G776" s="9"/>
      <c r="H776" s="44" t="str">
        <f>IF(D776="","",IF(ISNUMBER(SEARCH(SETTINGS!$K$4,D776)),SETTINGS!$L$4,IF(ISNUMBER(SEARCH(SETTINGS!$K$5,D776)),SETTINGS!$L$5,IF(ISNUMBER(SEARCH(SETTINGS!$K$6,D776)),SETTINGS!$L$6,IF(ISNUMBER(SEARCH(SETTINGS!$K$7,D776)),SETTINGS!$L$7,IF(ISNUMBER(SEARCH(SETTINGS!$K$8,D776)),SETTINGS!$L$8,IF(ISNUMBER(SEARCH(SETTINGS!$K$9,D776)),SETTINGS!$L$9,IF(ISNUMBER(SEARCH(SETTINGS!$K$10,D776)),SETTINGS!$L$10,IF(ISNUMBER(SEARCH(SETTINGS!$K$11,D776)),SETTINGS!$L$11,IF(ISNUMBER(SEARCH(SETTINGS!$K$12,D776)),SETTINGS!$L$12,IF(ISNUMBER(SEARCH(SETTINGS!$K$13,D776)),SETTINGS!$L$13,IF(ISNUMBER(SEARCH(SETTINGS!$K$14,D776)),SETTINGS!$L$14,IF(ISNUMBER(SEARCH(SETTINGS!$K$15,D776)),SETTINGS!$L$15,IF(ISNUMBER(SEARCH(SETTINGS!$K$16,D776)),SETTINGS!$L$16,IF(ISNUMBER(SEARCH(SETTINGS!$K$17,D776)),SETTINGS!$L$17,IF(ISNUMBER(SEARCH(SETTINGS!$K$18,D776)),SETTINGS!$L$18,"Miscellaneous"))))))))))))))))</f>
        <v/>
      </c>
      <c r="I776" s="44" t="str">
        <f t="shared" ref="I776:I839" si="96">IF(B776="","",IF(G776&lt;&gt;"",G776,H776))</f>
        <v/>
      </c>
      <c r="J776" s="9"/>
      <c r="K776" s="9"/>
      <c r="L776" s="9"/>
      <c r="M776" s="9"/>
      <c r="N776" s="9"/>
      <c r="O776" s="9"/>
      <c r="P776" s="13"/>
      <c r="Q776" s="9"/>
      <c r="R776" s="9"/>
      <c r="S776" s="9"/>
      <c r="T776" s="11"/>
      <c r="U776" s="44" t="str">
        <f t="shared" ref="U776:U839" si="97">IF(B776="","",IF(C776="Income","INC-",IF(C776="Expense","EXP-","TRX-"))&amp;TEXT(YEAR(B776),"0000")&amp;"-"&amp;TEXT(ROW()-7,"0000"))</f>
        <v/>
      </c>
      <c r="V776" s="44" t="str">
        <f t="shared" ref="V776:V839" si="98">IF(B776="","",TEXT(B776,"mmmm"))</f>
        <v/>
      </c>
      <c r="W776" s="44" t="str">
        <f t="shared" ref="W776:W839" si="99">IF(B776="","",MONTH(B776))</f>
        <v/>
      </c>
      <c r="X776" s="44" t="str">
        <f t="shared" ref="X776:X839" si="100">IF(B776="","",YEAR(B776))</f>
        <v/>
      </c>
      <c r="Y776" s="44" t="str">
        <f t="shared" ref="Y776:Y839" si="101">IF(B776="","",DAY(B776))</f>
        <v/>
      </c>
      <c r="Z776" s="44" t="str">
        <f t="shared" ref="Z776:Z839" si="102">IF(B776="","",IF(WEEKDAY(B776,2)&gt;5,"Weekend","Weekday"))</f>
        <v/>
      </c>
      <c r="AA776" s="50" t="str">
        <f t="shared" ref="AA776:AA839" si="103">IF(B776="","",IF(COUNTIFS($B$8:$B$1007,B776,$E$8:$E$1007,E776,$D$8:$D$1007,D776,$I$8:$I$1007,I776)&gt;1,"Possible Duplicate","OK"))</f>
        <v/>
      </c>
      <c r="AB776" s="50" t="str">
        <f>IF(OR(B776="",C776&lt;&gt;"Expense"),"",IF(E776&gt;IFERROR(AVERAGEIFS($E$8:$E$1007,$I$8:$I$1007,I776,$C$8:$C$1007,"Expense")*SETTINGS!$B$20,0),"Unusually High","Normal"))</f>
        <v/>
      </c>
      <c r="AC776" s="51"/>
      <c r="AD776" s="51"/>
      <c r="AE776" s="51"/>
      <c r="AF776" s="50" t="str">
        <f>IF(A776&lt;&gt;"Yes","No",IF(AND(AC776="Yes",SETTINGS!$B$16="No"),"No","Yes"))</f>
        <v>No</v>
      </c>
      <c r="AG776" s="50" t="str">
        <f>IF(A776&lt;&gt;"Yes","",IF(OR(B776="",D776="",E776&lt;=0,F776="",I776=""),"Check Required Fields",IF(AA776="Possible Duplicate","Possible Duplicate",IF(E776&gt;SETTINGS!$B$22,"Review Extreme Value","OK"))))</f>
        <v/>
      </c>
    </row>
    <row r="777" spans="1:33" ht="14.4">
      <c r="A777" s="9"/>
      <c r="B777" s="13"/>
      <c r="C777" s="9"/>
      <c r="D777" s="9"/>
      <c r="E777" s="11"/>
      <c r="F777" s="9"/>
      <c r="G777" s="9"/>
      <c r="H777" s="44" t="str">
        <f>IF(D777="","",IF(ISNUMBER(SEARCH(SETTINGS!$K$4,D777)),SETTINGS!$L$4,IF(ISNUMBER(SEARCH(SETTINGS!$K$5,D777)),SETTINGS!$L$5,IF(ISNUMBER(SEARCH(SETTINGS!$K$6,D777)),SETTINGS!$L$6,IF(ISNUMBER(SEARCH(SETTINGS!$K$7,D777)),SETTINGS!$L$7,IF(ISNUMBER(SEARCH(SETTINGS!$K$8,D777)),SETTINGS!$L$8,IF(ISNUMBER(SEARCH(SETTINGS!$K$9,D777)),SETTINGS!$L$9,IF(ISNUMBER(SEARCH(SETTINGS!$K$10,D777)),SETTINGS!$L$10,IF(ISNUMBER(SEARCH(SETTINGS!$K$11,D777)),SETTINGS!$L$11,IF(ISNUMBER(SEARCH(SETTINGS!$K$12,D777)),SETTINGS!$L$12,IF(ISNUMBER(SEARCH(SETTINGS!$K$13,D777)),SETTINGS!$L$13,IF(ISNUMBER(SEARCH(SETTINGS!$K$14,D777)),SETTINGS!$L$14,IF(ISNUMBER(SEARCH(SETTINGS!$K$15,D777)),SETTINGS!$L$15,IF(ISNUMBER(SEARCH(SETTINGS!$K$16,D777)),SETTINGS!$L$16,IF(ISNUMBER(SEARCH(SETTINGS!$K$17,D777)),SETTINGS!$L$17,IF(ISNUMBER(SEARCH(SETTINGS!$K$18,D777)),SETTINGS!$L$18,"Miscellaneous"))))))))))))))))</f>
        <v/>
      </c>
      <c r="I777" s="44" t="str">
        <f t="shared" si="96"/>
        <v/>
      </c>
      <c r="J777" s="9"/>
      <c r="K777" s="9"/>
      <c r="L777" s="9"/>
      <c r="M777" s="9"/>
      <c r="N777" s="9"/>
      <c r="O777" s="9"/>
      <c r="P777" s="13"/>
      <c r="Q777" s="9"/>
      <c r="R777" s="9"/>
      <c r="S777" s="9"/>
      <c r="T777" s="11"/>
      <c r="U777" s="44" t="str">
        <f t="shared" si="97"/>
        <v/>
      </c>
      <c r="V777" s="44" t="str">
        <f t="shared" si="98"/>
        <v/>
      </c>
      <c r="W777" s="44" t="str">
        <f t="shared" si="99"/>
        <v/>
      </c>
      <c r="X777" s="44" t="str">
        <f t="shared" si="100"/>
        <v/>
      </c>
      <c r="Y777" s="44" t="str">
        <f t="shared" si="101"/>
        <v/>
      </c>
      <c r="Z777" s="44" t="str">
        <f t="shared" si="102"/>
        <v/>
      </c>
      <c r="AA777" s="50" t="str">
        <f t="shared" si="103"/>
        <v/>
      </c>
      <c r="AB777" s="50" t="str">
        <f>IF(OR(B777="",C777&lt;&gt;"Expense"),"",IF(E777&gt;IFERROR(AVERAGEIFS($E$8:$E$1007,$I$8:$I$1007,I777,$C$8:$C$1007,"Expense")*SETTINGS!$B$20,0),"Unusually High","Normal"))</f>
        <v/>
      </c>
      <c r="AC777" s="51"/>
      <c r="AD777" s="51"/>
      <c r="AE777" s="51"/>
      <c r="AF777" s="50" t="str">
        <f>IF(A777&lt;&gt;"Yes","No",IF(AND(AC777="Yes",SETTINGS!$B$16="No"),"No","Yes"))</f>
        <v>No</v>
      </c>
      <c r="AG777" s="50" t="str">
        <f>IF(A777&lt;&gt;"Yes","",IF(OR(B777="",D777="",E777&lt;=0,F777="",I777=""),"Check Required Fields",IF(AA777="Possible Duplicate","Possible Duplicate",IF(E777&gt;SETTINGS!$B$22,"Review Extreme Value","OK"))))</f>
        <v/>
      </c>
    </row>
    <row r="778" spans="1:33" ht="14.4">
      <c r="A778" s="9"/>
      <c r="B778" s="13"/>
      <c r="C778" s="9"/>
      <c r="D778" s="9"/>
      <c r="E778" s="11"/>
      <c r="F778" s="9"/>
      <c r="G778" s="9"/>
      <c r="H778" s="44" t="str">
        <f>IF(D778="","",IF(ISNUMBER(SEARCH(SETTINGS!$K$4,D778)),SETTINGS!$L$4,IF(ISNUMBER(SEARCH(SETTINGS!$K$5,D778)),SETTINGS!$L$5,IF(ISNUMBER(SEARCH(SETTINGS!$K$6,D778)),SETTINGS!$L$6,IF(ISNUMBER(SEARCH(SETTINGS!$K$7,D778)),SETTINGS!$L$7,IF(ISNUMBER(SEARCH(SETTINGS!$K$8,D778)),SETTINGS!$L$8,IF(ISNUMBER(SEARCH(SETTINGS!$K$9,D778)),SETTINGS!$L$9,IF(ISNUMBER(SEARCH(SETTINGS!$K$10,D778)),SETTINGS!$L$10,IF(ISNUMBER(SEARCH(SETTINGS!$K$11,D778)),SETTINGS!$L$11,IF(ISNUMBER(SEARCH(SETTINGS!$K$12,D778)),SETTINGS!$L$12,IF(ISNUMBER(SEARCH(SETTINGS!$K$13,D778)),SETTINGS!$L$13,IF(ISNUMBER(SEARCH(SETTINGS!$K$14,D778)),SETTINGS!$L$14,IF(ISNUMBER(SEARCH(SETTINGS!$K$15,D778)),SETTINGS!$L$15,IF(ISNUMBER(SEARCH(SETTINGS!$K$16,D778)),SETTINGS!$L$16,IF(ISNUMBER(SEARCH(SETTINGS!$K$17,D778)),SETTINGS!$L$17,IF(ISNUMBER(SEARCH(SETTINGS!$K$18,D778)),SETTINGS!$L$18,"Miscellaneous"))))))))))))))))</f>
        <v/>
      </c>
      <c r="I778" s="44" t="str">
        <f t="shared" si="96"/>
        <v/>
      </c>
      <c r="J778" s="9"/>
      <c r="K778" s="9"/>
      <c r="L778" s="9"/>
      <c r="M778" s="9"/>
      <c r="N778" s="9"/>
      <c r="O778" s="9"/>
      <c r="P778" s="13"/>
      <c r="Q778" s="9"/>
      <c r="R778" s="9"/>
      <c r="S778" s="9"/>
      <c r="T778" s="11"/>
      <c r="U778" s="44" t="str">
        <f t="shared" si="97"/>
        <v/>
      </c>
      <c r="V778" s="44" t="str">
        <f t="shared" si="98"/>
        <v/>
      </c>
      <c r="W778" s="44" t="str">
        <f t="shared" si="99"/>
        <v/>
      </c>
      <c r="X778" s="44" t="str">
        <f t="shared" si="100"/>
        <v/>
      </c>
      <c r="Y778" s="44" t="str">
        <f t="shared" si="101"/>
        <v/>
      </c>
      <c r="Z778" s="44" t="str">
        <f t="shared" si="102"/>
        <v/>
      </c>
      <c r="AA778" s="50" t="str">
        <f t="shared" si="103"/>
        <v/>
      </c>
      <c r="AB778" s="50" t="str">
        <f>IF(OR(B778="",C778&lt;&gt;"Expense"),"",IF(E778&gt;IFERROR(AVERAGEIFS($E$8:$E$1007,$I$8:$I$1007,I778,$C$8:$C$1007,"Expense")*SETTINGS!$B$20,0),"Unusually High","Normal"))</f>
        <v/>
      </c>
      <c r="AC778" s="51"/>
      <c r="AD778" s="51"/>
      <c r="AE778" s="51"/>
      <c r="AF778" s="50" t="str">
        <f>IF(A778&lt;&gt;"Yes","No",IF(AND(AC778="Yes",SETTINGS!$B$16="No"),"No","Yes"))</f>
        <v>No</v>
      </c>
      <c r="AG778" s="50" t="str">
        <f>IF(A778&lt;&gt;"Yes","",IF(OR(B778="",D778="",E778&lt;=0,F778="",I778=""),"Check Required Fields",IF(AA778="Possible Duplicate","Possible Duplicate",IF(E778&gt;SETTINGS!$B$22,"Review Extreme Value","OK"))))</f>
        <v/>
      </c>
    </row>
    <row r="779" spans="1:33" ht="14.4">
      <c r="A779" s="9"/>
      <c r="B779" s="13"/>
      <c r="C779" s="9"/>
      <c r="D779" s="9"/>
      <c r="E779" s="11"/>
      <c r="F779" s="9"/>
      <c r="G779" s="9"/>
      <c r="H779" s="44" t="str">
        <f>IF(D779="","",IF(ISNUMBER(SEARCH(SETTINGS!$K$4,D779)),SETTINGS!$L$4,IF(ISNUMBER(SEARCH(SETTINGS!$K$5,D779)),SETTINGS!$L$5,IF(ISNUMBER(SEARCH(SETTINGS!$K$6,D779)),SETTINGS!$L$6,IF(ISNUMBER(SEARCH(SETTINGS!$K$7,D779)),SETTINGS!$L$7,IF(ISNUMBER(SEARCH(SETTINGS!$K$8,D779)),SETTINGS!$L$8,IF(ISNUMBER(SEARCH(SETTINGS!$K$9,D779)),SETTINGS!$L$9,IF(ISNUMBER(SEARCH(SETTINGS!$K$10,D779)),SETTINGS!$L$10,IF(ISNUMBER(SEARCH(SETTINGS!$K$11,D779)),SETTINGS!$L$11,IF(ISNUMBER(SEARCH(SETTINGS!$K$12,D779)),SETTINGS!$L$12,IF(ISNUMBER(SEARCH(SETTINGS!$K$13,D779)),SETTINGS!$L$13,IF(ISNUMBER(SEARCH(SETTINGS!$K$14,D779)),SETTINGS!$L$14,IF(ISNUMBER(SEARCH(SETTINGS!$K$15,D779)),SETTINGS!$L$15,IF(ISNUMBER(SEARCH(SETTINGS!$K$16,D779)),SETTINGS!$L$16,IF(ISNUMBER(SEARCH(SETTINGS!$K$17,D779)),SETTINGS!$L$17,IF(ISNUMBER(SEARCH(SETTINGS!$K$18,D779)),SETTINGS!$L$18,"Miscellaneous"))))))))))))))))</f>
        <v/>
      </c>
      <c r="I779" s="44" t="str">
        <f t="shared" si="96"/>
        <v/>
      </c>
      <c r="J779" s="9"/>
      <c r="K779" s="9"/>
      <c r="L779" s="9"/>
      <c r="M779" s="9"/>
      <c r="N779" s="9"/>
      <c r="O779" s="9"/>
      <c r="P779" s="13"/>
      <c r="Q779" s="9"/>
      <c r="R779" s="9"/>
      <c r="S779" s="9"/>
      <c r="T779" s="11"/>
      <c r="U779" s="44" t="str">
        <f t="shared" si="97"/>
        <v/>
      </c>
      <c r="V779" s="44" t="str">
        <f t="shared" si="98"/>
        <v/>
      </c>
      <c r="W779" s="44" t="str">
        <f t="shared" si="99"/>
        <v/>
      </c>
      <c r="X779" s="44" t="str">
        <f t="shared" si="100"/>
        <v/>
      </c>
      <c r="Y779" s="44" t="str">
        <f t="shared" si="101"/>
        <v/>
      </c>
      <c r="Z779" s="44" t="str">
        <f t="shared" si="102"/>
        <v/>
      </c>
      <c r="AA779" s="50" t="str">
        <f t="shared" si="103"/>
        <v/>
      </c>
      <c r="AB779" s="50" t="str">
        <f>IF(OR(B779="",C779&lt;&gt;"Expense"),"",IF(E779&gt;IFERROR(AVERAGEIFS($E$8:$E$1007,$I$8:$I$1007,I779,$C$8:$C$1007,"Expense")*SETTINGS!$B$20,0),"Unusually High","Normal"))</f>
        <v/>
      </c>
      <c r="AC779" s="51"/>
      <c r="AD779" s="51"/>
      <c r="AE779" s="51"/>
      <c r="AF779" s="50" t="str">
        <f>IF(A779&lt;&gt;"Yes","No",IF(AND(AC779="Yes",SETTINGS!$B$16="No"),"No","Yes"))</f>
        <v>No</v>
      </c>
      <c r="AG779" s="50" t="str">
        <f>IF(A779&lt;&gt;"Yes","",IF(OR(B779="",D779="",E779&lt;=0,F779="",I779=""),"Check Required Fields",IF(AA779="Possible Duplicate","Possible Duplicate",IF(E779&gt;SETTINGS!$B$22,"Review Extreme Value","OK"))))</f>
        <v/>
      </c>
    </row>
    <row r="780" spans="1:33" ht="14.4">
      <c r="A780" s="9"/>
      <c r="B780" s="13"/>
      <c r="C780" s="9"/>
      <c r="D780" s="9"/>
      <c r="E780" s="11"/>
      <c r="F780" s="9"/>
      <c r="G780" s="9"/>
      <c r="H780" s="44" t="str">
        <f>IF(D780="","",IF(ISNUMBER(SEARCH(SETTINGS!$K$4,D780)),SETTINGS!$L$4,IF(ISNUMBER(SEARCH(SETTINGS!$K$5,D780)),SETTINGS!$L$5,IF(ISNUMBER(SEARCH(SETTINGS!$K$6,D780)),SETTINGS!$L$6,IF(ISNUMBER(SEARCH(SETTINGS!$K$7,D780)),SETTINGS!$L$7,IF(ISNUMBER(SEARCH(SETTINGS!$K$8,D780)),SETTINGS!$L$8,IF(ISNUMBER(SEARCH(SETTINGS!$K$9,D780)),SETTINGS!$L$9,IF(ISNUMBER(SEARCH(SETTINGS!$K$10,D780)),SETTINGS!$L$10,IF(ISNUMBER(SEARCH(SETTINGS!$K$11,D780)),SETTINGS!$L$11,IF(ISNUMBER(SEARCH(SETTINGS!$K$12,D780)),SETTINGS!$L$12,IF(ISNUMBER(SEARCH(SETTINGS!$K$13,D780)),SETTINGS!$L$13,IF(ISNUMBER(SEARCH(SETTINGS!$K$14,D780)),SETTINGS!$L$14,IF(ISNUMBER(SEARCH(SETTINGS!$K$15,D780)),SETTINGS!$L$15,IF(ISNUMBER(SEARCH(SETTINGS!$K$16,D780)),SETTINGS!$L$16,IF(ISNUMBER(SEARCH(SETTINGS!$K$17,D780)),SETTINGS!$L$17,IF(ISNUMBER(SEARCH(SETTINGS!$K$18,D780)),SETTINGS!$L$18,"Miscellaneous"))))))))))))))))</f>
        <v/>
      </c>
      <c r="I780" s="44" t="str">
        <f t="shared" si="96"/>
        <v/>
      </c>
      <c r="J780" s="9"/>
      <c r="K780" s="9"/>
      <c r="L780" s="9"/>
      <c r="M780" s="9"/>
      <c r="N780" s="9"/>
      <c r="O780" s="9"/>
      <c r="P780" s="13"/>
      <c r="Q780" s="9"/>
      <c r="R780" s="9"/>
      <c r="S780" s="9"/>
      <c r="T780" s="11"/>
      <c r="U780" s="44" t="str">
        <f t="shared" si="97"/>
        <v/>
      </c>
      <c r="V780" s="44" t="str">
        <f t="shared" si="98"/>
        <v/>
      </c>
      <c r="W780" s="44" t="str">
        <f t="shared" si="99"/>
        <v/>
      </c>
      <c r="X780" s="44" t="str">
        <f t="shared" si="100"/>
        <v/>
      </c>
      <c r="Y780" s="44" t="str">
        <f t="shared" si="101"/>
        <v/>
      </c>
      <c r="Z780" s="44" t="str">
        <f t="shared" si="102"/>
        <v/>
      </c>
      <c r="AA780" s="50" t="str">
        <f t="shared" si="103"/>
        <v/>
      </c>
      <c r="AB780" s="50" t="str">
        <f>IF(OR(B780="",C780&lt;&gt;"Expense"),"",IF(E780&gt;IFERROR(AVERAGEIFS($E$8:$E$1007,$I$8:$I$1007,I780,$C$8:$C$1007,"Expense")*SETTINGS!$B$20,0),"Unusually High","Normal"))</f>
        <v/>
      </c>
      <c r="AC780" s="51"/>
      <c r="AD780" s="51"/>
      <c r="AE780" s="51"/>
      <c r="AF780" s="50" t="str">
        <f>IF(A780&lt;&gt;"Yes","No",IF(AND(AC780="Yes",SETTINGS!$B$16="No"),"No","Yes"))</f>
        <v>No</v>
      </c>
      <c r="AG780" s="50" t="str">
        <f>IF(A780&lt;&gt;"Yes","",IF(OR(B780="",D780="",E780&lt;=0,F780="",I780=""),"Check Required Fields",IF(AA780="Possible Duplicate","Possible Duplicate",IF(E780&gt;SETTINGS!$B$22,"Review Extreme Value","OK"))))</f>
        <v/>
      </c>
    </row>
    <row r="781" spans="1:33" ht="14.4">
      <c r="A781" s="9"/>
      <c r="B781" s="13"/>
      <c r="C781" s="9"/>
      <c r="D781" s="9"/>
      <c r="E781" s="11"/>
      <c r="F781" s="9"/>
      <c r="G781" s="9"/>
      <c r="H781" s="44" t="str">
        <f>IF(D781="","",IF(ISNUMBER(SEARCH(SETTINGS!$K$4,D781)),SETTINGS!$L$4,IF(ISNUMBER(SEARCH(SETTINGS!$K$5,D781)),SETTINGS!$L$5,IF(ISNUMBER(SEARCH(SETTINGS!$K$6,D781)),SETTINGS!$L$6,IF(ISNUMBER(SEARCH(SETTINGS!$K$7,D781)),SETTINGS!$L$7,IF(ISNUMBER(SEARCH(SETTINGS!$K$8,D781)),SETTINGS!$L$8,IF(ISNUMBER(SEARCH(SETTINGS!$K$9,D781)),SETTINGS!$L$9,IF(ISNUMBER(SEARCH(SETTINGS!$K$10,D781)),SETTINGS!$L$10,IF(ISNUMBER(SEARCH(SETTINGS!$K$11,D781)),SETTINGS!$L$11,IF(ISNUMBER(SEARCH(SETTINGS!$K$12,D781)),SETTINGS!$L$12,IF(ISNUMBER(SEARCH(SETTINGS!$K$13,D781)),SETTINGS!$L$13,IF(ISNUMBER(SEARCH(SETTINGS!$K$14,D781)),SETTINGS!$L$14,IF(ISNUMBER(SEARCH(SETTINGS!$K$15,D781)),SETTINGS!$L$15,IF(ISNUMBER(SEARCH(SETTINGS!$K$16,D781)),SETTINGS!$L$16,IF(ISNUMBER(SEARCH(SETTINGS!$K$17,D781)),SETTINGS!$L$17,IF(ISNUMBER(SEARCH(SETTINGS!$K$18,D781)),SETTINGS!$L$18,"Miscellaneous"))))))))))))))))</f>
        <v/>
      </c>
      <c r="I781" s="44" t="str">
        <f t="shared" si="96"/>
        <v/>
      </c>
      <c r="J781" s="9"/>
      <c r="K781" s="9"/>
      <c r="L781" s="9"/>
      <c r="M781" s="9"/>
      <c r="N781" s="9"/>
      <c r="O781" s="9"/>
      <c r="P781" s="13"/>
      <c r="Q781" s="9"/>
      <c r="R781" s="9"/>
      <c r="S781" s="9"/>
      <c r="T781" s="11"/>
      <c r="U781" s="44" t="str">
        <f t="shared" si="97"/>
        <v/>
      </c>
      <c r="V781" s="44" t="str">
        <f t="shared" si="98"/>
        <v/>
      </c>
      <c r="W781" s="44" t="str">
        <f t="shared" si="99"/>
        <v/>
      </c>
      <c r="X781" s="44" t="str">
        <f t="shared" si="100"/>
        <v/>
      </c>
      <c r="Y781" s="44" t="str">
        <f t="shared" si="101"/>
        <v/>
      </c>
      <c r="Z781" s="44" t="str">
        <f t="shared" si="102"/>
        <v/>
      </c>
      <c r="AA781" s="50" t="str">
        <f t="shared" si="103"/>
        <v/>
      </c>
      <c r="AB781" s="50" t="str">
        <f>IF(OR(B781="",C781&lt;&gt;"Expense"),"",IF(E781&gt;IFERROR(AVERAGEIFS($E$8:$E$1007,$I$8:$I$1007,I781,$C$8:$C$1007,"Expense")*SETTINGS!$B$20,0),"Unusually High","Normal"))</f>
        <v/>
      </c>
      <c r="AC781" s="51"/>
      <c r="AD781" s="51"/>
      <c r="AE781" s="51"/>
      <c r="AF781" s="50" t="str">
        <f>IF(A781&lt;&gt;"Yes","No",IF(AND(AC781="Yes",SETTINGS!$B$16="No"),"No","Yes"))</f>
        <v>No</v>
      </c>
      <c r="AG781" s="50" t="str">
        <f>IF(A781&lt;&gt;"Yes","",IF(OR(B781="",D781="",E781&lt;=0,F781="",I781=""),"Check Required Fields",IF(AA781="Possible Duplicate","Possible Duplicate",IF(E781&gt;SETTINGS!$B$22,"Review Extreme Value","OK"))))</f>
        <v/>
      </c>
    </row>
    <row r="782" spans="1:33" ht="14.4">
      <c r="A782" s="9"/>
      <c r="B782" s="13"/>
      <c r="C782" s="9"/>
      <c r="D782" s="9"/>
      <c r="E782" s="11"/>
      <c r="F782" s="9"/>
      <c r="G782" s="9"/>
      <c r="H782" s="44" t="str">
        <f>IF(D782="","",IF(ISNUMBER(SEARCH(SETTINGS!$K$4,D782)),SETTINGS!$L$4,IF(ISNUMBER(SEARCH(SETTINGS!$K$5,D782)),SETTINGS!$L$5,IF(ISNUMBER(SEARCH(SETTINGS!$K$6,D782)),SETTINGS!$L$6,IF(ISNUMBER(SEARCH(SETTINGS!$K$7,D782)),SETTINGS!$L$7,IF(ISNUMBER(SEARCH(SETTINGS!$K$8,D782)),SETTINGS!$L$8,IF(ISNUMBER(SEARCH(SETTINGS!$K$9,D782)),SETTINGS!$L$9,IF(ISNUMBER(SEARCH(SETTINGS!$K$10,D782)),SETTINGS!$L$10,IF(ISNUMBER(SEARCH(SETTINGS!$K$11,D782)),SETTINGS!$L$11,IF(ISNUMBER(SEARCH(SETTINGS!$K$12,D782)),SETTINGS!$L$12,IF(ISNUMBER(SEARCH(SETTINGS!$K$13,D782)),SETTINGS!$L$13,IF(ISNUMBER(SEARCH(SETTINGS!$K$14,D782)),SETTINGS!$L$14,IF(ISNUMBER(SEARCH(SETTINGS!$K$15,D782)),SETTINGS!$L$15,IF(ISNUMBER(SEARCH(SETTINGS!$K$16,D782)),SETTINGS!$L$16,IF(ISNUMBER(SEARCH(SETTINGS!$K$17,D782)),SETTINGS!$L$17,IF(ISNUMBER(SEARCH(SETTINGS!$K$18,D782)),SETTINGS!$L$18,"Miscellaneous"))))))))))))))))</f>
        <v/>
      </c>
      <c r="I782" s="44" t="str">
        <f t="shared" si="96"/>
        <v/>
      </c>
      <c r="J782" s="9"/>
      <c r="K782" s="9"/>
      <c r="L782" s="9"/>
      <c r="M782" s="9"/>
      <c r="N782" s="9"/>
      <c r="O782" s="9"/>
      <c r="P782" s="13"/>
      <c r="Q782" s="9"/>
      <c r="R782" s="9"/>
      <c r="S782" s="9"/>
      <c r="T782" s="11"/>
      <c r="U782" s="44" t="str">
        <f t="shared" si="97"/>
        <v/>
      </c>
      <c r="V782" s="44" t="str">
        <f t="shared" si="98"/>
        <v/>
      </c>
      <c r="W782" s="44" t="str">
        <f t="shared" si="99"/>
        <v/>
      </c>
      <c r="X782" s="44" t="str">
        <f t="shared" si="100"/>
        <v/>
      </c>
      <c r="Y782" s="44" t="str">
        <f t="shared" si="101"/>
        <v/>
      </c>
      <c r="Z782" s="44" t="str">
        <f t="shared" si="102"/>
        <v/>
      </c>
      <c r="AA782" s="50" t="str">
        <f t="shared" si="103"/>
        <v/>
      </c>
      <c r="AB782" s="50" t="str">
        <f>IF(OR(B782="",C782&lt;&gt;"Expense"),"",IF(E782&gt;IFERROR(AVERAGEIFS($E$8:$E$1007,$I$8:$I$1007,I782,$C$8:$C$1007,"Expense")*SETTINGS!$B$20,0),"Unusually High","Normal"))</f>
        <v/>
      </c>
      <c r="AC782" s="51"/>
      <c r="AD782" s="51"/>
      <c r="AE782" s="51"/>
      <c r="AF782" s="50" t="str">
        <f>IF(A782&lt;&gt;"Yes","No",IF(AND(AC782="Yes",SETTINGS!$B$16="No"),"No","Yes"))</f>
        <v>No</v>
      </c>
      <c r="AG782" s="50" t="str">
        <f>IF(A782&lt;&gt;"Yes","",IF(OR(B782="",D782="",E782&lt;=0,F782="",I782=""),"Check Required Fields",IF(AA782="Possible Duplicate","Possible Duplicate",IF(E782&gt;SETTINGS!$B$22,"Review Extreme Value","OK"))))</f>
        <v/>
      </c>
    </row>
    <row r="783" spans="1:33" ht="14.4">
      <c r="A783" s="9"/>
      <c r="B783" s="13"/>
      <c r="C783" s="9"/>
      <c r="D783" s="9"/>
      <c r="E783" s="11"/>
      <c r="F783" s="9"/>
      <c r="G783" s="9"/>
      <c r="H783" s="44" t="str">
        <f>IF(D783="","",IF(ISNUMBER(SEARCH(SETTINGS!$K$4,D783)),SETTINGS!$L$4,IF(ISNUMBER(SEARCH(SETTINGS!$K$5,D783)),SETTINGS!$L$5,IF(ISNUMBER(SEARCH(SETTINGS!$K$6,D783)),SETTINGS!$L$6,IF(ISNUMBER(SEARCH(SETTINGS!$K$7,D783)),SETTINGS!$L$7,IF(ISNUMBER(SEARCH(SETTINGS!$K$8,D783)),SETTINGS!$L$8,IF(ISNUMBER(SEARCH(SETTINGS!$K$9,D783)),SETTINGS!$L$9,IF(ISNUMBER(SEARCH(SETTINGS!$K$10,D783)),SETTINGS!$L$10,IF(ISNUMBER(SEARCH(SETTINGS!$K$11,D783)),SETTINGS!$L$11,IF(ISNUMBER(SEARCH(SETTINGS!$K$12,D783)),SETTINGS!$L$12,IF(ISNUMBER(SEARCH(SETTINGS!$K$13,D783)),SETTINGS!$L$13,IF(ISNUMBER(SEARCH(SETTINGS!$K$14,D783)),SETTINGS!$L$14,IF(ISNUMBER(SEARCH(SETTINGS!$K$15,D783)),SETTINGS!$L$15,IF(ISNUMBER(SEARCH(SETTINGS!$K$16,D783)),SETTINGS!$L$16,IF(ISNUMBER(SEARCH(SETTINGS!$K$17,D783)),SETTINGS!$L$17,IF(ISNUMBER(SEARCH(SETTINGS!$K$18,D783)),SETTINGS!$L$18,"Miscellaneous"))))))))))))))))</f>
        <v/>
      </c>
      <c r="I783" s="44" t="str">
        <f t="shared" si="96"/>
        <v/>
      </c>
      <c r="J783" s="9"/>
      <c r="K783" s="9"/>
      <c r="L783" s="9"/>
      <c r="M783" s="9"/>
      <c r="N783" s="9"/>
      <c r="O783" s="9"/>
      <c r="P783" s="13"/>
      <c r="Q783" s="9"/>
      <c r="R783" s="9"/>
      <c r="S783" s="9"/>
      <c r="T783" s="11"/>
      <c r="U783" s="44" t="str">
        <f t="shared" si="97"/>
        <v/>
      </c>
      <c r="V783" s="44" t="str">
        <f t="shared" si="98"/>
        <v/>
      </c>
      <c r="W783" s="44" t="str">
        <f t="shared" si="99"/>
        <v/>
      </c>
      <c r="X783" s="44" t="str">
        <f t="shared" si="100"/>
        <v/>
      </c>
      <c r="Y783" s="44" t="str">
        <f t="shared" si="101"/>
        <v/>
      </c>
      <c r="Z783" s="44" t="str">
        <f t="shared" si="102"/>
        <v/>
      </c>
      <c r="AA783" s="50" t="str">
        <f t="shared" si="103"/>
        <v/>
      </c>
      <c r="AB783" s="50" t="str">
        <f>IF(OR(B783="",C783&lt;&gt;"Expense"),"",IF(E783&gt;IFERROR(AVERAGEIFS($E$8:$E$1007,$I$8:$I$1007,I783,$C$8:$C$1007,"Expense")*SETTINGS!$B$20,0),"Unusually High","Normal"))</f>
        <v/>
      </c>
      <c r="AC783" s="51"/>
      <c r="AD783" s="51"/>
      <c r="AE783" s="51"/>
      <c r="AF783" s="50" t="str">
        <f>IF(A783&lt;&gt;"Yes","No",IF(AND(AC783="Yes",SETTINGS!$B$16="No"),"No","Yes"))</f>
        <v>No</v>
      </c>
      <c r="AG783" s="50" t="str">
        <f>IF(A783&lt;&gt;"Yes","",IF(OR(B783="",D783="",E783&lt;=0,F783="",I783=""),"Check Required Fields",IF(AA783="Possible Duplicate","Possible Duplicate",IF(E783&gt;SETTINGS!$B$22,"Review Extreme Value","OK"))))</f>
        <v/>
      </c>
    </row>
    <row r="784" spans="1:33" ht="14.4">
      <c r="A784" s="9"/>
      <c r="B784" s="13"/>
      <c r="C784" s="9"/>
      <c r="D784" s="9"/>
      <c r="E784" s="11"/>
      <c r="F784" s="9"/>
      <c r="G784" s="9"/>
      <c r="H784" s="44" t="str">
        <f>IF(D784="","",IF(ISNUMBER(SEARCH(SETTINGS!$K$4,D784)),SETTINGS!$L$4,IF(ISNUMBER(SEARCH(SETTINGS!$K$5,D784)),SETTINGS!$L$5,IF(ISNUMBER(SEARCH(SETTINGS!$K$6,D784)),SETTINGS!$L$6,IF(ISNUMBER(SEARCH(SETTINGS!$K$7,D784)),SETTINGS!$L$7,IF(ISNUMBER(SEARCH(SETTINGS!$K$8,D784)),SETTINGS!$L$8,IF(ISNUMBER(SEARCH(SETTINGS!$K$9,D784)),SETTINGS!$L$9,IF(ISNUMBER(SEARCH(SETTINGS!$K$10,D784)),SETTINGS!$L$10,IF(ISNUMBER(SEARCH(SETTINGS!$K$11,D784)),SETTINGS!$L$11,IF(ISNUMBER(SEARCH(SETTINGS!$K$12,D784)),SETTINGS!$L$12,IF(ISNUMBER(SEARCH(SETTINGS!$K$13,D784)),SETTINGS!$L$13,IF(ISNUMBER(SEARCH(SETTINGS!$K$14,D784)),SETTINGS!$L$14,IF(ISNUMBER(SEARCH(SETTINGS!$K$15,D784)),SETTINGS!$L$15,IF(ISNUMBER(SEARCH(SETTINGS!$K$16,D784)),SETTINGS!$L$16,IF(ISNUMBER(SEARCH(SETTINGS!$K$17,D784)),SETTINGS!$L$17,IF(ISNUMBER(SEARCH(SETTINGS!$K$18,D784)),SETTINGS!$L$18,"Miscellaneous"))))))))))))))))</f>
        <v/>
      </c>
      <c r="I784" s="44" t="str">
        <f t="shared" si="96"/>
        <v/>
      </c>
      <c r="J784" s="9"/>
      <c r="K784" s="9"/>
      <c r="L784" s="9"/>
      <c r="M784" s="9"/>
      <c r="N784" s="9"/>
      <c r="O784" s="9"/>
      <c r="P784" s="13"/>
      <c r="Q784" s="9"/>
      <c r="R784" s="9"/>
      <c r="S784" s="9"/>
      <c r="T784" s="11"/>
      <c r="U784" s="44" t="str">
        <f t="shared" si="97"/>
        <v/>
      </c>
      <c r="V784" s="44" t="str">
        <f t="shared" si="98"/>
        <v/>
      </c>
      <c r="W784" s="44" t="str">
        <f t="shared" si="99"/>
        <v/>
      </c>
      <c r="X784" s="44" t="str">
        <f t="shared" si="100"/>
        <v/>
      </c>
      <c r="Y784" s="44" t="str">
        <f t="shared" si="101"/>
        <v/>
      </c>
      <c r="Z784" s="44" t="str">
        <f t="shared" si="102"/>
        <v/>
      </c>
      <c r="AA784" s="50" t="str">
        <f t="shared" si="103"/>
        <v/>
      </c>
      <c r="AB784" s="50" t="str">
        <f>IF(OR(B784="",C784&lt;&gt;"Expense"),"",IF(E784&gt;IFERROR(AVERAGEIFS($E$8:$E$1007,$I$8:$I$1007,I784,$C$8:$C$1007,"Expense")*SETTINGS!$B$20,0),"Unusually High","Normal"))</f>
        <v/>
      </c>
      <c r="AC784" s="51"/>
      <c r="AD784" s="51"/>
      <c r="AE784" s="51"/>
      <c r="AF784" s="50" t="str">
        <f>IF(A784&lt;&gt;"Yes","No",IF(AND(AC784="Yes",SETTINGS!$B$16="No"),"No","Yes"))</f>
        <v>No</v>
      </c>
      <c r="AG784" s="50" t="str">
        <f>IF(A784&lt;&gt;"Yes","",IF(OR(B784="",D784="",E784&lt;=0,F784="",I784=""),"Check Required Fields",IF(AA784="Possible Duplicate","Possible Duplicate",IF(E784&gt;SETTINGS!$B$22,"Review Extreme Value","OK"))))</f>
        <v/>
      </c>
    </row>
    <row r="785" spans="1:33" ht="14.4">
      <c r="A785" s="9"/>
      <c r="B785" s="13"/>
      <c r="C785" s="9"/>
      <c r="D785" s="9"/>
      <c r="E785" s="11"/>
      <c r="F785" s="9"/>
      <c r="G785" s="9"/>
      <c r="H785" s="44" t="str">
        <f>IF(D785="","",IF(ISNUMBER(SEARCH(SETTINGS!$K$4,D785)),SETTINGS!$L$4,IF(ISNUMBER(SEARCH(SETTINGS!$K$5,D785)),SETTINGS!$L$5,IF(ISNUMBER(SEARCH(SETTINGS!$K$6,D785)),SETTINGS!$L$6,IF(ISNUMBER(SEARCH(SETTINGS!$K$7,D785)),SETTINGS!$L$7,IF(ISNUMBER(SEARCH(SETTINGS!$K$8,D785)),SETTINGS!$L$8,IF(ISNUMBER(SEARCH(SETTINGS!$K$9,D785)),SETTINGS!$L$9,IF(ISNUMBER(SEARCH(SETTINGS!$K$10,D785)),SETTINGS!$L$10,IF(ISNUMBER(SEARCH(SETTINGS!$K$11,D785)),SETTINGS!$L$11,IF(ISNUMBER(SEARCH(SETTINGS!$K$12,D785)),SETTINGS!$L$12,IF(ISNUMBER(SEARCH(SETTINGS!$K$13,D785)),SETTINGS!$L$13,IF(ISNUMBER(SEARCH(SETTINGS!$K$14,D785)),SETTINGS!$L$14,IF(ISNUMBER(SEARCH(SETTINGS!$K$15,D785)),SETTINGS!$L$15,IF(ISNUMBER(SEARCH(SETTINGS!$K$16,D785)),SETTINGS!$L$16,IF(ISNUMBER(SEARCH(SETTINGS!$K$17,D785)),SETTINGS!$L$17,IF(ISNUMBER(SEARCH(SETTINGS!$K$18,D785)),SETTINGS!$L$18,"Miscellaneous"))))))))))))))))</f>
        <v/>
      </c>
      <c r="I785" s="44" t="str">
        <f t="shared" si="96"/>
        <v/>
      </c>
      <c r="J785" s="9"/>
      <c r="K785" s="9"/>
      <c r="L785" s="9"/>
      <c r="M785" s="9"/>
      <c r="N785" s="9"/>
      <c r="O785" s="9"/>
      <c r="P785" s="13"/>
      <c r="Q785" s="9"/>
      <c r="R785" s="9"/>
      <c r="S785" s="9"/>
      <c r="T785" s="11"/>
      <c r="U785" s="44" t="str">
        <f t="shared" si="97"/>
        <v/>
      </c>
      <c r="V785" s="44" t="str">
        <f t="shared" si="98"/>
        <v/>
      </c>
      <c r="W785" s="44" t="str">
        <f t="shared" si="99"/>
        <v/>
      </c>
      <c r="X785" s="44" t="str">
        <f t="shared" si="100"/>
        <v/>
      </c>
      <c r="Y785" s="44" t="str">
        <f t="shared" si="101"/>
        <v/>
      </c>
      <c r="Z785" s="44" t="str">
        <f t="shared" si="102"/>
        <v/>
      </c>
      <c r="AA785" s="50" t="str">
        <f t="shared" si="103"/>
        <v/>
      </c>
      <c r="AB785" s="50" t="str">
        <f>IF(OR(B785="",C785&lt;&gt;"Expense"),"",IF(E785&gt;IFERROR(AVERAGEIFS($E$8:$E$1007,$I$8:$I$1007,I785,$C$8:$C$1007,"Expense")*SETTINGS!$B$20,0),"Unusually High","Normal"))</f>
        <v/>
      </c>
      <c r="AC785" s="51"/>
      <c r="AD785" s="51"/>
      <c r="AE785" s="51"/>
      <c r="AF785" s="50" t="str">
        <f>IF(A785&lt;&gt;"Yes","No",IF(AND(AC785="Yes",SETTINGS!$B$16="No"),"No","Yes"))</f>
        <v>No</v>
      </c>
      <c r="AG785" s="50" t="str">
        <f>IF(A785&lt;&gt;"Yes","",IF(OR(B785="",D785="",E785&lt;=0,F785="",I785=""),"Check Required Fields",IF(AA785="Possible Duplicate","Possible Duplicate",IF(E785&gt;SETTINGS!$B$22,"Review Extreme Value","OK"))))</f>
        <v/>
      </c>
    </row>
    <row r="786" spans="1:33" ht="14.4">
      <c r="A786" s="9"/>
      <c r="B786" s="13"/>
      <c r="C786" s="9"/>
      <c r="D786" s="9"/>
      <c r="E786" s="11"/>
      <c r="F786" s="9"/>
      <c r="G786" s="9"/>
      <c r="H786" s="44" t="str">
        <f>IF(D786="","",IF(ISNUMBER(SEARCH(SETTINGS!$K$4,D786)),SETTINGS!$L$4,IF(ISNUMBER(SEARCH(SETTINGS!$K$5,D786)),SETTINGS!$L$5,IF(ISNUMBER(SEARCH(SETTINGS!$K$6,D786)),SETTINGS!$L$6,IF(ISNUMBER(SEARCH(SETTINGS!$K$7,D786)),SETTINGS!$L$7,IF(ISNUMBER(SEARCH(SETTINGS!$K$8,D786)),SETTINGS!$L$8,IF(ISNUMBER(SEARCH(SETTINGS!$K$9,D786)),SETTINGS!$L$9,IF(ISNUMBER(SEARCH(SETTINGS!$K$10,D786)),SETTINGS!$L$10,IF(ISNUMBER(SEARCH(SETTINGS!$K$11,D786)),SETTINGS!$L$11,IF(ISNUMBER(SEARCH(SETTINGS!$K$12,D786)),SETTINGS!$L$12,IF(ISNUMBER(SEARCH(SETTINGS!$K$13,D786)),SETTINGS!$L$13,IF(ISNUMBER(SEARCH(SETTINGS!$K$14,D786)),SETTINGS!$L$14,IF(ISNUMBER(SEARCH(SETTINGS!$K$15,D786)),SETTINGS!$L$15,IF(ISNUMBER(SEARCH(SETTINGS!$K$16,D786)),SETTINGS!$L$16,IF(ISNUMBER(SEARCH(SETTINGS!$K$17,D786)),SETTINGS!$L$17,IF(ISNUMBER(SEARCH(SETTINGS!$K$18,D786)),SETTINGS!$L$18,"Miscellaneous"))))))))))))))))</f>
        <v/>
      </c>
      <c r="I786" s="44" t="str">
        <f t="shared" si="96"/>
        <v/>
      </c>
      <c r="J786" s="9"/>
      <c r="K786" s="9"/>
      <c r="L786" s="9"/>
      <c r="M786" s="9"/>
      <c r="N786" s="9"/>
      <c r="O786" s="9"/>
      <c r="P786" s="13"/>
      <c r="Q786" s="9"/>
      <c r="R786" s="9"/>
      <c r="S786" s="9"/>
      <c r="T786" s="11"/>
      <c r="U786" s="44" t="str">
        <f t="shared" si="97"/>
        <v/>
      </c>
      <c r="V786" s="44" t="str">
        <f t="shared" si="98"/>
        <v/>
      </c>
      <c r="W786" s="44" t="str">
        <f t="shared" si="99"/>
        <v/>
      </c>
      <c r="X786" s="44" t="str">
        <f t="shared" si="100"/>
        <v/>
      </c>
      <c r="Y786" s="44" t="str">
        <f t="shared" si="101"/>
        <v/>
      </c>
      <c r="Z786" s="44" t="str">
        <f t="shared" si="102"/>
        <v/>
      </c>
      <c r="AA786" s="50" t="str">
        <f t="shared" si="103"/>
        <v/>
      </c>
      <c r="AB786" s="50" t="str">
        <f>IF(OR(B786="",C786&lt;&gt;"Expense"),"",IF(E786&gt;IFERROR(AVERAGEIFS($E$8:$E$1007,$I$8:$I$1007,I786,$C$8:$C$1007,"Expense")*SETTINGS!$B$20,0),"Unusually High","Normal"))</f>
        <v/>
      </c>
      <c r="AC786" s="51"/>
      <c r="AD786" s="51"/>
      <c r="AE786" s="51"/>
      <c r="AF786" s="50" t="str">
        <f>IF(A786&lt;&gt;"Yes","No",IF(AND(AC786="Yes",SETTINGS!$B$16="No"),"No","Yes"))</f>
        <v>No</v>
      </c>
      <c r="AG786" s="50" t="str">
        <f>IF(A786&lt;&gt;"Yes","",IF(OR(B786="",D786="",E786&lt;=0,F786="",I786=""),"Check Required Fields",IF(AA786="Possible Duplicate","Possible Duplicate",IF(E786&gt;SETTINGS!$B$22,"Review Extreme Value","OK"))))</f>
        <v/>
      </c>
    </row>
    <row r="787" spans="1:33" ht="14.4">
      <c r="A787" s="9"/>
      <c r="B787" s="13"/>
      <c r="C787" s="9"/>
      <c r="D787" s="9"/>
      <c r="E787" s="11"/>
      <c r="F787" s="9"/>
      <c r="G787" s="9"/>
      <c r="H787" s="44" t="str">
        <f>IF(D787="","",IF(ISNUMBER(SEARCH(SETTINGS!$K$4,D787)),SETTINGS!$L$4,IF(ISNUMBER(SEARCH(SETTINGS!$K$5,D787)),SETTINGS!$L$5,IF(ISNUMBER(SEARCH(SETTINGS!$K$6,D787)),SETTINGS!$L$6,IF(ISNUMBER(SEARCH(SETTINGS!$K$7,D787)),SETTINGS!$L$7,IF(ISNUMBER(SEARCH(SETTINGS!$K$8,D787)),SETTINGS!$L$8,IF(ISNUMBER(SEARCH(SETTINGS!$K$9,D787)),SETTINGS!$L$9,IF(ISNUMBER(SEARCH(SETTINGS!$K$10,D787)),SETTINGS!$L$10,IF(ISNUMBER(SEARCH(SETTINGS!$K$11,D787)),SETTINGS!$L$11,IF(ISNUMBER(SEARCH(SETTINGS!$K$12,D787)),SETTINGS!$L$12,IF(ISNUMBER(SEARCH(SETTINGS!$K$13,D787)),SETTINGS!$L$13,IF(ISNUMBER(SEARCH(SETTINGS!$K$14,D787)),SETTINGS!$L$14,IF(ISNUMBER(SEARCH(SETTINGS!$K$15,D787)),SETTINGS!$L$15,IF(ISNUMBER(SEARCH(SETTINGS!$K$16,D787)),SETTINGS!$L$16,IF(ISNUMBER(SEARCH(SETTINGS!$K$17,D787)),SETTINGS!$L$17,IF(ISNUMBER(SEARCH(SETTINGS!$K$18,D787)),SETTINGS!$L$18,"Miscellaneous"))))))))))))))))</f>
        <v/>
      </c>
      <c r="I787" s="44" t="str">
        <f t="shared" si="96"/>
        <v/>
      </c>
      <c r="J787" s="9"/>
      <c r="K787" s="9"/>
      <c r="L787" s="9"/>
      <c r="M787" s="9"/>
      <c r="N787" s="9"/>
      <c r="O787" s="9"/>
      <c r="P787" s="13"/>
      <c r="Q787" s="9"/>
      <c r="R787" s="9"/>
      <c r="S787" s="9"/>
      <c r="T787" s="11"/>
      <c r="U787" s="44" t="str">
        <f t="shared" si="97"/>
        <v/>
      </c>
      <c r="V787" s="44" t="str">
        <f t="shared" si="98"/>
        <v/>
      </c>
      <c r="W787" s="44" t="str">
        <f t="shared" si="99"/>
        <v/>
      </c>
      <c r="X787" s="44" t="str">
        <f t="shared" si="100"/>
        <v/>
      </c>
      <c r="Y787" s="44" t="str">
        <f t="shared" si="101"/>
        <v/>
      </c>
      <c r="Z787" s="44" t="str">
        <f t="shared" si="102"/>
        <v/>
      </c>
      <c r="AA787" s="50" t="str">
        <f t="shared" si="103"/>
        <v/>
      </c>
      <c r="AB787" s="50" t="str">
        <f>IF(OR(B787="",C787&lt;&gt;"Expense"),"",IF(E787&gt;IFERROR(AVERAGEIFS($E$8:$E$1007,$I$8:$I$1007,I787,$C$8:$C$1007,"Expense")*SETTINGS!$B$20,0),"Unusually High","Normal"))</f>
        <v/>
      </c>
      <c r="AC787" s="51"/>
      <c r="AD787" s="51"/>
      <c r="AE787" s="51"/>
      <c r="AF787" s="50" t="str">
        <f>IF(A787&lt;&gt;"Yes","No",IF(AND(AC787="Yes",SETTINGS!$B$16="No"),"No","Yes"))</f>
        <v>No</v>
      </c>
      <c r="AG787" s="50" t="str">
        <f>IF(A787&lt;&gt;"Yes","",IF(OR(B787="",D787="",E787&lt;=0,F787="",I787=""),"Check Required Fields",IF(AA787="Possible Duplicate","Possible Duplicate",IF(E787&gt;SETTINGS!$B$22,"Review Extreme Value","OK"))))</f>
        <v/>
      </c>
    </row>
    <row r="788" spans="1:33" ht="14.4">
      <c r="A788" s="9"/>
      <c r="B788" s="13"/>
      <c r="C788" s="9"/>
      <c r="D788" s="9"/>
      <c r="E788" s="11"/>
      <c r="F788" s="9"/>
      <c r="G788" s="9"/>
      <c r="H788" s="44" t="str">
        <f>IF(D788="","",IF(ISNUMBER(SEARCH(SETTINGS!$K$4,D788)),SETTINGS!$L$4,IF(ISNUMBER(SEARCH(SETTINGS!$K$5,D788)),SETTINGS!$L$5,IF(ISNUMBER(SEARCH(SETTINGS!$K$6,D788)),SETTINGS!$L$6,IF(ISNUMBER(SEARCH(SETTINGS!$K$7,D788)),SETTINGS!$L$7,IF(ISNUMBER(SEARCH(SETTINGS!$K$8,D788)),SETTINGS!$L$8,IF(ISNUMBER(SEARCH(SETTINGS!$K$9,D788)),SETTINGS!$L$9,IF(ISNUMBER(SEARCH(SETTINGS!$K$10,D788)),SETTINGS!$L$10,IF(ISNUMBER(SEARCH(SETTINGS!$K$11,D788)),SETTINGS!$L$11,IF(ISNUMBER(SEARCH(SETTINGS!$K$12,D788)),SETTINGS!$L$12,IF(ISNUMBER(SEARCH(SETTINGS!$K$13,D788)),SETTINGS!$L$13,IF(ISNUMBER(SEARCH(SETTINGS!$K$14,D788)),SETTINGS!$L$14,IF(ISNUMBER(SEARCH(SETTINGS!$K$15,D788)),SETTINGS!$L$15,IF(ISNUMBER(SEARCH(SETTINGS!$K$16,D788)),SETTINGS!$L$16,IF(ISNUMBER(SEARCH(SETTINGS!$K$17,D788)),SETTINGS!$L$17,IF(ISNUMBER(SEARCH(SETTINGS!$K$18,D788)),SETTINGS!$L$18,"Miscellaneous"))))))))))))))))</f>
        <v/>
      </c>
      <c r="I788" s="44" t="str">
        <f t="shared" si="96"/>
        <v/>
      </c>
      <c r="J788" s="9"/>
      <c r="K788" s="9"/>
      <c r="L788" s="9"/>
      <c r="M788" s="9"/>
      <c r="N788" s="9"/>
      <c r="O788" s="9"/>
      <c r="P788" s="13"/>
      <c r="Q788" s="9"/>
      <c r="R788" s="9"/>
      <c r="S788" s="9"/>
      <c r="T788" s="11"/>
      <c r="U788" s="44" t="str">
        <f t="shared" si="97"/>
        <v/>
      </c>
      <c r="V788" s="44" t="str">
        <f t="shared" si="98"/>
        <v/>
      </c>
      <c r="W788" s="44" t="str">
        <f t="shared" si="99"/>
        <v/>
      </c>
      <c r="X788" s="44" t="str">
        <f t="shared" si="100"/>
        <v/>
      </c>
      <c r="Y788" s="44" t="str">
        <f t="shared" si="101"/>
        <v/>
      </c>
      <c r="Z788" s="44" t="str">
        <f t="shared" si="102"/>
        <v/>
      </c>
      <c r="AA788" s="50" t="str">
        <f t="shared" si="103"/>
        <v/>
      </c>
      <c r="AB788" s="50" t="str">
        <f>IF(OR(B788="",C788&lt;&gt;"Expense"),"",IF(E788&gt;IFERROR(AVERAGEIFS($E$8:$E$1007,$I$8:$I$1007,I788,$C$8:$C$1007,"Expense")*SETTINGS!$B$20,0),"Unusually High","Normal"))</f>
        <v/>
      </c>
      <c r="AC788" s="51"/>
      <c r="AD788" s="51"/>
      <c r="AE788" s="51"/>
      <c r="AF788" s="50" t="str">
        <f>IF(A788&lt;&gt;"Yes","No",IF(AND(AC788="Yes",SETTINGS!$B$16="No"),"No","Yes"))</f>
        <v>No</v>
      </c>
      <c r="AG788" s="50" t="str">
        <f>IF(A788&lt;&gt;"Yes","",IF(OR(B788="",D788="",E788&lt;=0,F788="",I788=""),"Check Required Fields",IF(AA788="Possible Duplicate","Possible Duplicate",IF(E788&gt;SETTINGS!$B$22,"Review Extreme Value","OK"))))</f>
        <v/>
      </c>
    </row>
    <row r="789" spans="1:33" ht="14.4">
      <c r="A789" s="9"/>
      <c r="B789" s="13"/>
      <c r="C789" s="9"/>
      <c r="D789" s="9"/>
      <c r="E789" s="11"/>
      <c r="F789" s="9"/>
      <c r="G789" s="9"/>
      <c r="H789" s="44" t="str">
        <f>IF(D789="","",IF(ISNUMBER(SEARCH(SETTINGS!$K$4,D789)),SETTINGS!$L$4,IF(ISNUMBER(SEARCH(SETTINGS!$K$5,D789)),SETTINGS!$L$5,IF(ISNUMBER(SEARCH(SETTINGS!$K$6,D789)),SETTINGS!$L$6,IF(ISNUMBER(SEARCH(SETTINGS!$K$7,D789)),SETTINGS!$L$7,IF(ISNUMBER(SEARCH(SETTINGS!$K$8,D789)),SETTINGS!$L$8,IF(ISNUMBER(SEARCH(SETTINGS!$K$9,D789)),SETTINGS!$L$9,IF(ISNUMBER(SEARCH(SETTINGS!$K$10,D789)),SETTINGS!$L$10,IF(ISNUMBER(SEARCH(SETTINGS!$K$11,D789)),SETTINGS!$L$11,IF(ISNUMBER(SEARCH(SETTINGS!$K$12,D789)),SETTINGS!$L$12,IF(ISNUMBER(SEARCH(SETTINGS!$K$13,D789)),SETTINGS!$L$13,IF(ISNUMBER(SEARCH(SETTINGS!$K$14,D789)),SETTINGS!$L$14,IF(ISNUMBER(SEARCH(SETTINGS!$K$15,D789)),SETTINGS!$L$15,IF(ISNUMBER(SEARCH(SETTINGS!$K$16,D789)),SETTINGS!$L$16,IF(ISNUMBER(SEARCH(SETTINGS!$K$17,D789)),SETTINGS!$L$17,IF(ISNUMBER(SEARCH(SETTINGS!$K$18,D789)),SETTINGS!$L$18,"Miscellaneous"))))))))))))))))</f>
        <v/>
      </c>
      <c r="I789" s="44" t="str">
        <f t="shared" si="96"/>
        <v/>
      </c>
      <c r="J789" s="9"/>
      <c r="K789" s="9"/>
      <c r="L789" s="9"/>
      <c r="M789" s="9"/>
      <c r="N789" s="9"/>
      <c r="O789" s="9"/>
      <c r="P789" s="13"/>
      <c r="Q789" s="9"/>
      <c r="R789" s="9"/>
      <c r="S789" s="9"/>
      <c r="T789" s="11"/>
      <c r="U789" s="44" t="str">
        <f t="shared" si="97"/>
        <v/>
      </c>
      <c r="V789" s="44" t="str">
        <f t="shared" si="98"/>
        <v/>
      </c>
      <c r="W789" s="44" t="str">
        <f t="shared" si="99"/>
        <v/>
      </c>
      <c r="X789" s="44" t="str">
        <f t="shared" si="100"/>
        <v/>
      </c>
      <c r="Y789" s="44" t="str">
        <f t="shared" si="101"/>
        <v/>
      </c>
      <c r="Z789" s="44" t="str">
        <f t="shared" si="102"/>
        <v/>
      </c>
      <c r="AA789" s="50" t="str">
        <f t="shared" si="103"/>
        <v/>
      </c>
      <c r="AB789" s="50" t="str">
        <f>IF(OR(B789="",C789&lt;&gt;"Expense"),"",IF(E789&gt;IFERROR(AVERAGEIFS($E$8:$E$1007,$I$8:$I$1007,I789,$C$8:$C$1007,"Expense")*SETTINGS!$B$20,0),"Unusually High","Normal"))</f>
        <v/>
      </c>
      <c r="AC789" s="51"/>
      <c r="AD789" s="51"/>
      <c r="AE789" s="51"/>
      <c r="AF789" s="50" t="str">
        <f>IF(A789&lt;&gt;"Yes","No",IF(AND(AC789="Yes",SETTINGS!$B$16="No"),"No","Yes"))</f>
        <v>No</v>
      </c>
      <c r="AG789" s="50" t="str">
        <f>IF(A789&lt;&gt;"Yes","",IF(OR(B789="",D789="",E789&lt;=0,F789="",I789=""),"Check Required Fields",IF(AA789="Possible Duplicate","Possible Duplicate",IF(E789&gt;SETTINGS!$B$22,"Review Extreme Value","OK"))))</f>
        <v/>
      </c>
    </row>
    <row r="790" spans="1:33" ht="14.4">
      <c r="A790" s="9"/>
      <c r="B790" s="13"/>
      <c r="C790" s="9"/>
      <c r="D790" s="9"/>
      <c r="E790" s="11"/>
      <c r="F790" s="9"/>
      <c r="G790" s="9"/>
      <c r="H790" s="44" t="str">
        <f>IF(D790="","",IF(ISNUMBER(SEARCH(SETTINGS!$K$4,D790)),SETTINGS!$L$4,IF(ISNUMBER(SEARCH(SETTINGS!$K$5,D790)),SETTINGS!$L$5,IF(ISNUMBER(SEARCH(SETTINGS!$K$6,D790)),SETTINGS!$L$6,IF(ISNUMBER(SEARCH(SETTINGS!$K$7,D790)),SETTINGS!$L$7,IF(ISNUMBER(SEARCH(SETTINGS!$K$8,D790)),SETTINGS!$L$8,IF(ISNUMBER(SEARCH(SETTINGS!$K$9,D790)),SETTINGS!$L$9,IF(ISNUMBER(SEARCH(SETTINGS!$K$10,D790)),SETTINGS!$L$10,IF(ISNUMBER(SEARCH(SETTINGS!$K$11,D790)),SETTINGS!$L$11,IF(ISNUMBER(SEARCH(SETTINGS!$K$12,D790)),SETTINGS!$L$12,IF(ISNUMBER(SEARCH(SETTINGS!$K$13,D790)),SETTINGS!$L$13,IF(ISNUMBER(SEARCH(SETTINGS!$K$14,D790)),SETTINGS!$L$14,IF(ISNUMBER(SEARCH(SETTINGS!$K$15,D790)),SETTINGS!$L$15,IF(ISNUMBER(SEARCH(SETTINGS!$K$16,D790)),SETTINGS!$L$16,IF(ISNUMBER(SEARCH(SETTINGS!$K$17,D790)),SETTINGS!$L$17,IF(ISNUMBER(SEARCH(SETTINGS!$K$18,D790)),SETTINGS!$L$18,"Miscellaneous"))))))))))))))))</f>
        <v/>
      </c>
      <c r="I790" s="44" t="str">
        <f t="shared" si="96"/>
        <v/>
      </c>
      <c r="J790" s="9"/>
      <c r="K790" s="9"/>
      <c r="L790" s="9"/>
      <c r="M790" s="9"/>
      <c r="N790" s="9"/>
      <c r="O790" s="9"/>
      <c r="P790" s="13"/>
      <c r="Q790" s="9"/>
      <c r="R790" s="9"/>
      <c r="S790" s="9"/>
      <c r="T790" s="11"/>
      <c r="U790" s="44" t="str">
        <f t="shared" si="97"/>
        <v/>
      </c>
      <c r="V790" s="44" t="str">
        <f t="shared" si="98"/>
        <v/>
      </c>
      <c r="W790" s="44" t="str">
        <f t="shared" si="99"/>
        <v/>
      </c>
      <c r="X790" s="44" t="str">
        <f t="shared" si="100"/>
        <v/>
      </c>
      <c r="Y790" s="44" t="str">
        <f t="shared" si="101"/>
        <v/>
      </c>
      <c r="Z790" s="44" t="str">
        <f t="shared" si="102"/>
        <v/>
      </c>
      <c r="AA790" s="50" t="str">
        <f t="shared" si="103"/>
        <v/>
      </c>
      <c r="AB790" s="50" t="str">
        <f>IF(OR(B790="",C790&lt;&gt;"Expense"),"",IF(E790&gt;IFERROR(AVERAGEIFS($E$8:$E$1007,$I$8:$I$1007,I790,$C$8:$C$1007,"Expense")*SETTINGS!$B$20,0),"Unusually High","Normal"))</f>
        <v/>
      </c>
      <c r="AC790" s="51"/>
      <c r="AD790" s="51"/>
      <c r="AE790" s="51"/>
      <c r="AF790" s="50" t="str">
        <f>IF(A790&lt;&gt;"Yes","No",IF(AND(AC790="Yes",SETTINGS!$B$16="No"),"No","Yes"))</f>
        <v>No</v>
      </c>
      <c r="AG790" s="50" t="str">
        <f>IF(A790&lt;&gt;"Yes","",IF(OR(B790="",D790="",E790&lt;=0,F790="",I790=""),"Check Required Fields",IF(AA790="Possible Duplicate","Possible Duplicate",IF(E790&gt;SETTINGS!$B$22,"Review Extreme Value","OK"))))</f>
        <v/>
      </c>
    </row>
    <row r="791" spans="1:33" ht="14.4">
      <c r="A791" s="9"/>
      <c r="B791" s="13"/>
      <c r="C791" s="9"/>
      <c r="D791" s="9"/>
      <c r="E791" s="11"/>
      <c r="F791" s="9"/>
      <c r="G791" s="9"/>
      <c r="H791" s="44" t="str">
        <f>IF(D791="","",IF(ISNUMBER(SEARCH(SETTINGS!$K$4,D791)),SETTINGS!$L$4,IF(ISNUMBER(SEARCH(SETTINGS!$K$5,D791)),SETTINGS!$L$5,IF(ISNUMBER(SEARCH(SETTINGS!$K$6,D791)),SETTINGS!$L$6,IF(ISNUMBER(SEARCH(SETTINGS!$K$7,D791)),SETTINGS!$L$7,IF(ISNUMBER(SEARCH(SETTINGS!$K$8,D791)),SETTINGS!$L$8,IF(ISNUMBER(SEARCH(SETTINGS!$K$9,D791)),SETTINGS!$L$9,IF(ISNUMBER(SEARCH(SETTINGS!$K$10,D791)),SETTINGS!$L$10,IF(ISNUMBER(SEARCH(SETTINGS!$K$11,D791)),SETTINGS!$L$11,IF(ISNUMBER(SEARCH(SETTINGS!$K$12,D791)),SETTINGS!$L$12,IF(ISNUMBER(SEARCH(SETTINGS!$K$13,D791)),SETTINGS!$L$13,IF(ISNUMBER(SEARCH(SETTINGS!$K$14,D791)),SETTINGS!$L$14,IF(ISNUMBER(SEARCH(SETTINGS!$K$15,D791)),SETTINGS!$L$15,IF(ISNUMBER(SEARCH(SETTINGS!$K$16,D791)),SETTINGS!$L$16,IF(ISNUMBER(SEARCH(SETTINGS!$K$17,D791)),SETTINGS!$L$17,IF(ISNUMBER(SEARCH(SETTINGS!$K$18,D791)),SETTINGS!$L$18,"Miscellaneous"))))))))))))))))</f>
        <v/>
      </c>
      <c r="I791" s="44" t="str">
        <f t="shared" si="96"/>
        <v/>
      </c>
      <c r="J791" s="9"/>
      <c r="K791" s="9"/>
      <c r="L791" s="9"/>
      <c r="M791" s="9"/>
      <c r="N791" s="9"/>
      <c r="O791" s="9"/>
      <c r="P791" s="13"/>
      <c r="Q791" s="9"/>
      <c r="R791" s="9"/>
      <c r="S791" s="9"/>
      <c r="T791" s="11"/>
      <c r="U791" s="44" t="str">
        <f t="shared" si="97"/>
        <v/>
      </c>
      <c r="V791" s="44" t="str">
        <f t="shared" si="98"/>
        <v/>
      </c>
      <c r="W791" s="44" t="str">
        <f t="shared" si="99"/>
        <v/>
      </c>
      <c r="X791" s="44" t="str">
        <f t="shared" si="100"/>
        <v/>
      </c>
      <c r="Y791" s="44" t="str">
        <f t="shared" si="101"/>
        <v/>
      </c>
      <c r="Z791" s="44" t="str">
        <f t="shared" si="102"/>
        <v/>
      </c>
      <c r="AA791" s="50" t="str">
        <f t="shared" si="103"/>
        <v/>
      </c>
      <c r="AB791" s="50" t="str">
        <f>IF(OR(B791="",C791&lt;&gt;"Expense"),"",IF(E791&gt;IFERROR(AVERAGEIFS($E$8:$E$1007,$I$8:$I$1007,I791,$C$8:$C$1007,"Expense")*SETTINGS!$B$20,0),"Unusually High","Normal"))</f>
        <v/>
      </c>
      <c r="AC791" s="51"/>
      <c r="AD791" s="51"/>
      <c r="AE791" s="51"/>
      <c r="AF791" s="50" t="str">
        <f>IF(A791&lt;&gt;"Yes","No",IF(AND(AC791="Yes",SETTINGS!$B$16="No"),"No","Yes"))</f>
        <v>No</v>
      </c>
      <c r="AG791" s="50" t="str">
        <f>IF(A791&lt;&gt;"Yes","",IF(OR(B791="",D791="",E791&lt;=0,F791="",I791=""),"Check Required Fields",IF(AA791="Possible Duplicate","Possible Duplicate",IF(E791&gt;SETTINGS!$B$22,"Review Extreme Value","OK"))))</f>
        <v/>
      </c>
    </row>
    <row r="792" spans="1:33" ht="14.4">
      <c r="A792" s="9"/>
      <c r="B792" s="13"/>
      <c r="C792" s="9"/>
      <c r="D792" s="9"/>
      <c r="E792" s="11"/>
      <c r="F792" s="9"/>
      <c r="G792" s="9"/>
      <c r="H792" s="44" t="str">
        <f>IF(D792="","",IF(ISNUMBER(SEARCH(SETTINGS!$K$4,D792)),SETTINGS!$L$4,IF(ISNUMBER(SEARCH(SETTINGS!$K$5,D792)),SETTINGS!$L$5,IF(ISNUMBER(SEARCH(SETTINGS!$K$6,D792)),SETTINGS!$L$6,IF(ISNUMBER(SEARCH(SETTINGS!$K$7,D792)),SETTINGS!$L$7,IF(ISNUMBER(SEARCH(SETTINGS!$K$8,D792)),SETTINGS!$L$8,IF(ISNUMBER(SEARCH(SETTINGS!$K$9,D792)),SETTINGS!$L$9,IF(ISNUMBER(SEARCH(SETTINGS!$K$10,D792)),SETTINGS!$L$10,IF(ISNUMBER(SEARCH(SETTINGS!$K$11,D792)),SETTINGS!$L$11,IF(ISNUMBER(SEARCH(SETTINGS!$K$12,D792)),SETTINGS!$L$12,IF(ISNUMBER(SEARCH(SETTINGS!$K$13,D792)),SETTINGS!$L$13,IF(ISNUMBER(SEARCH(SETTINGS!$K$14,D792)),SETTINGS!$L$14,IF(ISNUMBER(SEARCH(SETTINGS!$K$15,D792)),SETTINGS!$L$15,IF(ISNUMBER(SEARCH(SETTINGS!$K$16,D792)),SETTINGS!$L$16,IF(ISNUMBER(SEARCH(SETTINGS!$K$17,D792)),SETTINGS!$L$17,IF(ISNUMBER(SEARCH(SETTINGS!$K$18,D792)),SETTINGS!$L$18,"Miscellaneous"))))))))))))))))</f>
        <v/>
      </c>
      <c r="I792" s="44" t="str">
        <f t="shared" si="96"/>
        <v/>
      </c>
      <c r="J792" s="9"/>
      <c r="K792" s="9"/>
      <c r="L792" s="9"/>
      <c r="M792" s="9"/>
      <c r="N792" s="9"/>
      <c r="O792" s="9"/>
      <c r="P792" s="13"/>
      <c r="Q792" s="9"/>
      <c r="R792" s="9"/>
      <c r="S792" s="9"/>
      <c r="T792" s="11"/>
      <c r="U792" s="44" t="str">
        <f t="shared" si="97"/>
        <v/>
      </c>
      <c r="V792" s="44" t="str">
        <f t="shared" si="98"/>
        <v/>
      </c>
      <c r="W792" s="44" t="str">
        <f t="shared" si="99"/>
        <v/>
      </c>
      <c r="X792" s="44" t="str">
        <f t="shared" si="100"/>
        <v/>
      </c>
      <c r="Y792" s="44" t="str">
        <f t="shared" si="101"/>
        <v/>
      </c>
      <c r="Z792" s="44" t="str">
        <f t="shared" si="102"/>
        <v/>
      </c>
      <c r="AA792" s="50" t="str">
        <f t="shared" si="103"/>
        <v/>
      </c>
      <c r="AB792" s="50" t="str">
        <f>IF(OR(B792="",C792&lt;&gt;"Expense"),"",IF(E792&gt;IFERROR(AVERAGEIFS($E$8:$E$1007,$I$8:$I$1007,I792,$C$8:$C$1007,"Expense")*SETTINGS!$B$20,0),"Unusually High","Normal"))</f>
        <v/>
      </c>
      <c r="AC792" s="51"/>
      <c r="AD792" s="51"/>
      <c r="AE792" s="51"/>
      <c r="AF792" s="50" t="str">
        <f>IF(A792&lt;&gt;"Yes","No",IF(AND(AC792="Yes",SETTINGS!$B$16="No"),"No","Yes"))</f>
        <v>No</v>
      </c>
      <c r="AG792" s="50" t="str">
        <f>IF(A792&lt;&gt;"Yes","",IF(OR(B792="",D792="",E792&lt;=0,F792="",I792=""),"Check Required Fields",IF(AA792="Possible Duplicate","Possible Duplicate",IF(E792&gt;SETTINGS!$B$22,"Review Extreme Value","OK"))))</f>
        <v/>
      </c>
    </row>
    <row r="793" spans="1:33" ht="14.4">
      <c r="A793" s="9"/>
      <c r="B793" s="13"/>
      <c r="C793" s="9"/>
      <c r="D793" s="9"/>
      <c r="E793" s="11"/>
      <c r="F793" s="9"/>
      <c r="G793" s="9"/>
      <c r="H793" s="44" t="str">
        <f>IF(D793="","",IF(ISNUMBER(SEARCH(SETTINGS!$K$4,D793)),SETTINGS!$L$4,IF(ISNUMBER(SEARCH(SETTINGS!$K$5,D793)),SETTINGS!$L$5,IF(ISNUMBER(SEARCH(SETTINGS!$K$6,D793)),SETTINGS!$L$6,IF(ISNUMBER(SEARCH(SETTINGS!$K$7,D793)),SETTINGS!$L$7,IF(ISNUMBER(SEARCH(SETTINGS!$K$8,D793)),SETTINGS!$L$8,IF(ISNUMBER(SEARCH(SETTINGS!$K$9,D793)),SETTINGS!$L$9,IF(ISNUMBER(SEARCH(SETTINGS!$K$10,D793)),SETTINGS!$L$10,IF(ISNUMBER(SEARCH(SETTINGS!$K$11,D793)),SETTINGS!$L$11,IF(ISNUMBER(SEARCH(SETTINGS!$K$12,D793)),SETTINGS!$L$12,IF(ISNUMBER(SEARCH(SETTINGS!$K$13,D793)),SETTINGS!$L$13,IF(ISNUMBER(SEARCH(SETTINGS!$K$14,D793)),SETTINGS!$L$14,IF(ISNUMBER(SEARCH(SETTINGS!$K$15,D793)),SETTINGS!$L$15,IF(ISNUMBER(SEARCH(SETTINGS!$K$16,D793)),SETTINGS!$L$16,IF(ISNUMBER(SEARCH(SETTINGS!$K$17,D793)),SETTINGS!$L$17,IF(ISNUMBER(SEARCH(SETTINGS!$K$18,D793)),SETTINGS!$L$18,"Miscellaneous"))))))))))))))))</f>
        <v/>
      </c>
      <c r="I793" s="44" t="str">
        <f t="shared" si="96"/>
        <v/>
      </c>
      <c r="J793" s="9"/>
      <c r="K793" s="9"/>
      <c r="L793" s="9"/>
      <c r="M793" s="9"/>
      <c r="N793" s="9"/>
      <c r="O793" s="9"/>
      <c r="P793" s="13"/>
      <c r="Q793" s="9"/>
      <c r="R793" s="9"/>
      <c r="S793" s="9"/>
      <c r="T793" s="11"/>
      <c r="U793" s="44" t="str">
        <f t="shared" si="97"/>
        <v/>
      </c>
      <c r="V793" s="44" t="str">
        <f t="shared" si="98"/>
        <v/>
      </c>
      <c r="W793" s="44" t="str">
        <f t="shared" si="99"/>
        <v/>
      </c>
      <c r="X793" s="44" t="str">
        <f t="shared" si="100"/>
        <v/>
      </c>
      <c r="Y793" s="44" t="str">
        <f t="shared" si="101"/>
        <v/>
      </c>
      <c r="Z793" s="44" t="str">
        <f t="shared" si="102"/>
        <v/>
      </c>
      <c r="AA793" s="50" t="str">
        <f t="shared" si="103"/>
        <v/>
      </c>
      <c r="AB793" s="50" t="str">
        <f>IF(OR(B793="",C793&lt;&gt;"Expense"),"",IF(E793&gt;IFERROR(AVERAGEIFS($E$8:$E$1007,$I$8:$I$1007,I793,$C$8:$C$1007,"Expense")*SETTINGS!$B$20,0),"Unusually High","Normal"))</f>
        <v/>
      </c>
      <c r="AC793" s="51"/>
      <c r="AD793" s="51"/>
      <c r="AE793" s="51"/>
      <c r="AF793" s="50" t="str">
        <f>IF(A793&lt;&gt;"Yes","No",IF(AND(AC793="Yes",SETTINGS!$B$16="No"),"No","Yes"))</f>
        <v>No</v>
      </c>
      <c r="AG793" s="50" t="str">
        <f>IF(A793&lt;&gt;"Yes","",IF(OR(B793="",D793="",E793&lt;=0,F793="",I793=""),"Check Required Fields",IF(AA793="Possible Duplicate","Possible Duplicate",IF(E793&gt;SETTINGS!$B$22,"Review Extreme Value","OK"))))</f>
        <v/>
      </c>
    </row>
    <row r="794" spans="1:33" ht="14.4">
      <c r="A794" s="9"/>
      <c r="B794" s="13"/>
      <c r="C794" s="9"/>
      <c r="D794" s="9"/>
      <c r="E794" s="11"/>
      <c r="F794" s="9"/>
      <c r="G794" s="9"/>
      <c r="H794" s="44" t="str">
        <f>IF(D794="","",IF(ISNUMBER(SEARCH(SETTINGS!$K$4,D794)),SETTINGS!$L$4,IF(ISNUMBER(SEARCH(SETTINGS!$K$5,D794)),SETTINGS!$L$5,IF(ISNUMBER(SEARCH(SETTINGS!$K$6,D794)),SETTINGS!$L$6,IF(ISNUMBER(SEARCH(SETTINGS!$K$7,D794)),SETTINGS!$L$7,IF(ISNUMBER(SEARCH(SETTINGS!$K$8,D794)),SETTINGS!$L$8,IF(ISNUMBER(SEARCH(SETTINGS!$K$9,D794)),SETTINGS!$L$9,IF(ISNUMBER(SEARCH(SETTINGS!$K$10,D794)),SETTINGS!$L$10,IF(ISNUMBER(SEARCH(SETTINGS!$K$11,D794)),SETTINGS!$L$11,IF(ISNUMBER(SEARCH(SETTINGS!$K$12,D794)),SETTINGS!$L$12,IF(ISNUMBER(SEARCH(SETTINGS!$K$13,D794)),SETTINGS!$L$13,IF(ISNUMBER(SEARCH(SETTINGS!$K$14,D794)),SETTINGS!$L$14,IF(ISNUMBER(SEARCH(SETTINGS!$K$15,D794)),SETTINGS!$L$15,IF(ISNUMBER(SEARCH(SETTINGS!$K$16,D794)),SETTINGS!$L$16,IF(ISNUMBER(SEARCH(SETTINGS!$K$17,D794)),SETTINGS!$L$17,IF(ISNUMBER(SEARCH(SETTINGS!$K$18,D794)),SETTINGS!$L$18,"Miscellaneous"))))))))))))))))</f>
        <v/>
      </c>
      <c r="I794" s="44" t="str">
        <f t="shared" si="96"/>
        <v/>
      </c>
      <c r="J794" s="9"/>
      <c r="K794" s="9"/>
      <c r="L794" s="9"/>
      <c r="M794" s="9"/>
      <c r="N794" s="9"/>
      <c r="O794" s="9"/>
      <c r="P794" s="13"/>
      <c r="Q794" s="9"/>
      <c r="R794" s="9"/>
      <c r="S794" s="9"/>
      <c r="T794" s="11"/>
      <c r="U794" s="44" t="str">
        <f t="shared" si="97"/>
        <v/>
      </c>
      <c r="V794" s="44" t="str">
        <f t="shared" si="98"/>
        <v/>
      </c>
      <c r="W794" s="44" t="str">
        <f t="shared" si="99"/>
        <v/>
      </c>
      <c r="X794" s="44" t="str">
        <f t="shared" si="100"/>
        <v/>
      </c>
      <c r="Y794" s="44" t="str">
        <f t="shared" si="101"/>
        <v/>
      </c>
      <c r="Z794" s="44" t="str">
        <f t="shared" si="102"/>
        <v/>
      </c>
      <c r="AA794" s="50" t="str">
        <f t="shared" si="103"/>
        <v/>
      </c>
      <c r="AB794" s="50" t="str">
        <f>IF(OR(B794="",C794&lt;&gt;"Expense"),"",IF(E794&gt;IFERROR(AVERAGEIFS($E$8:$E$1007,$I$8:$I$1007,I794,$C$8:$C$1007,"Expense")*SETTINGS!$B$20,0),"Unusually High","Normal"))</f>
        <v/>
      </c>
      <c r="AC794" s="51"/>
      <c r="AD794" s="51"/>
      <c r="AE794" s="51"/>
      <c r="AF794" s="50" t="str">
        <f>IF(A794&lt;&gt;"Yes","No",IF(AND(AC794="Yes",SETTINGS!$B$16="No"),"No","Yes"))</f>
        <v>No</v>
      </c>
      <c r="AG794" s="50" t="str">
        <f>IF(A794&lt;&gt;"Yes","",IF(OR(B794="",D794="",E794&lt;=0,F794="",I794=""),"Check Required Fields",IF(AA794="Possible Duplicate","Possible Duplicate",IF(E794&gt;SETTINGS!$B$22,"Review Extreme Value","OK"))))</f>
        <v/>
      </c>
    </row>
    <row r="795" spans="1:33" ht="14.4">
      <c r="A795" s="9"/>
      <c r="B795" s="13"/>
      <c r="C795" s="9"/>
      <c r="D795" s="9"/>
      <c r="E795" s="11"/>
      <c r="F795" s="9"/>
      <c r="G795" s="9"/>
      <c r="H795" s="44" t="str">
        <f>IF(D795="","",IF(ISNUMBER(SEARCH(SETTINGS!$K$4,D795)),SETTINGS!$L$4,IF(ISNUMBER(SEARCH(SETTINGS!$K$5,D795)),SETTINGS!$L$5,IF(ISNUMBER(SEARCH(SETTINGS!$K$6,D795)),SETTINGS!$L$6,IF(ISNUMBER(SEARCH(SETTINGS!$K$7,D795)),SETTINGS!$L$7,IF(ISNUMBER(SEARCH(SETTINGS!$K$8,D795)),SETTINGS!$L$8,IF(ISNUMBER(SEARCH(SETTINGS!$K$9,D795)),SETTINGS!$L$9,IF(ISNUMBER(SEARCH(SETTINGS!$K$10,D795)),SETTINGS!$L$10,IF(ISNUMBER(SEARCH(SETTINGS!$K$11,D795)),SETTINGS!$L$11,IF(ISNUMBER(SEARCH(SETTINGS!$K$12,D795)),SETTINGS!$L$12,IF(ISNUMBER(SEARCH(SETTINGS!$K$13,D795)),SETTINGS!$L$13,IF(ISNUMBER(SEARCH(SETTINGS!$K$14,D795)),SETTINGS!$L$14,IF(ISNUMBER(SEARCH(SETTINGS!$K$15,D795)),SETTINGS!$L$15,IF(ISNUMBER(SEARCH(SETTINGS!$K$16,D795)),SETTINGS!$L$16,IF(ISNUMBER(SEARCH(SETTINGS!$K$17,D795)),SETTINGS!$L$17,IF(ISNUMBER(SEARCH(SETTINGS!$K$18,D795)),SETTINGS!$L$18,"Miscellaneous"))))))))))))))))</f>
        <v/>
      </c>
      <c r="I795" s="44" t="str">
        <f t="shared" si="96"/>
        <v/>
      </c>
      <c r="J795" s="9"/>
      <c r="K795" s="9"/>
      <c r="L795" s="9"/>
      <c r="M795" s="9"/>
      <c r="N795" s="9"/>
      <c r="O795" s="9"/>
      <c r="P795" s="13"/>
      <c r="Q795" s="9"/>
      <c r="R795" s="9"/>
      <c r="S795" s="9"/>
      <c r="T795" s="11"/>
      <c r="U795" s="44" t="str">
        <f t="shared" si="97"/>
        <v/>
      </c>
      <c r="V795" s="44" t="str">
        <f t="shared" si="98"/>
        <v/>
      </c>
      <c r="W795" s="44" t="str">
        <f t="shared" si="99"/>
        <v/>
      </c>
      <c r="X795" s="44" t="str">
        <f t="shared" si="100"/>
        <v/>
      </c>
      <c r="Y795" s="44" t="str">
        <f t="shared" si="101"/>
        <v/>
      </c>
      <c r="Z795" s="44" t="str">
        <f t="shared" si="102"/>
        <v/>
      </c>
      <c r="AA795" s="50" t="str">
        <f t="shared" si="103"/>
        <v/>
      </c>
      <c r="AB795" s="50" t="str">
        <f>IF(OR(B795="",C795&lt;&gt;"Expense"),"",IF(E795&gt;IFERROR(AVERAGEIFS($E$8:$E$1007,$I$8:$I$1007,I795,$C$8:$C$1007,"Expense")*SETTINGS!$B$20,0),"Unusually High","Normal"))</f>
        <v/>
      </c>
      <c r="AC795" s="51"/>
      <c r="AD795" s="51"/>
      <c r="AE795" s="51"/>
      <c r="AF795" s="50" t="str">
        <f>IF(A795&lt;&gt;"Yes","No",IF(AND(AC795="Yes",SETTINGS!$B$16="No"),"No","Yes"))</f>
        <v>No</v>
      </c>
      <c r="AG795" s="50" t="str">
        <f>IF(A795&lt;&gt;"Yes","",IF(OR(B795="",D795="",E795&lt;=0,F795="",I795=""),"Check Required Fields",IF(AA795="Possible Duplicate","Possible Duplicate",IF(E795&gt;SETTINGS!$B$22,"Review Extreme Value","OK"))))</f>
        <v/>
      </c>
    </row>
    <row r="796" spans="1:33" ht="14.4">
      <c r="A796" s="9"/>
      <c r="B796" s="13"/>
      <c r="C796" s="9"/>
      <c r="D796" s="9"/>
      <c r="E796" s="11"/>
      <c r="F796" s="9"/>
      <c r="G796" s="9"/>
      <c r="H796" s="44" t="str">
        <f>IF(D796="","",IF(ISNUMBER(SEARCH(SETTINGS!$K$4,D796)),SETTINGS!$L$4,IF(ISNUMBER(SEARCH(SETTINGS!$K$5,D796)),SETTINGS!$L$5,IF(ISNUMBER(SEARCH(SETTINGS!$K$6,D796)),SETTINGS!$L$6,IF(ISNUMBER(SEARCH(SETTINGS!$K$7,D796)),SETTINGS!$L$7,IF(ISNUMBER(SEARCH(SETTINGS!$K$8,D796)),SETTINGS!$L$8,IF(ISNUMBER(SEARCH(SETTINGS!$K$9,D796)),SETTINGS!$L$9,IF(ISNUMBER(SEARCH(SETTINGS!$K$10,D796)),SETTINGS!$L$10,IF(ISNUMBER(SEARCH(SETTINGS!$K$11,D796)),SETTINGS!$L$11,IF(ISNUMBER(SEARCH(SETTINGS!$K$12,D796)),SETTINGS!$L$12,IF(ISNUMBER(SEARCH(SETTINGS!$K$13,D796)),SETTINGS!$L$13,IF(ISNUMBER(SEARCH(SETTINGS!$K$14,D796)),SETTINGS!$L$14,IF(ISNUMBER(SEARCH(SETTINGS!$K$15,D796)),SETTINGS!$L$15,IF(ISNUMBER(SEARCH(SETTINGS!$K$16,D796)),SETTINGS!$L$16,IF(ISNUMBER(SEARCH(SETTINGS!$K$17,D796)),SETTINGS!$L$17,IF(ISNUMBER(SEARCH(SETTINGS!$K$18,D796)),SETTINGS!$L$18,"Miscellaneous"))))))))))))))))</f>
        <v/>
      </c>
      <c r="I796" s="44" t="str">
        <f t="shared" si="96"/>
        <v/>
      </c>
      <c r="J796" s="9"/>
      <c r="K796" s="9"/>
      <c r="L796" s="9"/>
      <c r="M796" s="9"/>
      <c r="N796" s="9"/>
      <c r="O796" s="9"/>
      <c r="P796" s="13"/>
      <c r="Q796" s="9"/>
      <c r="R796" s="9"/>
      <c r="S796" s="9"/>
      <c r="T796" s="11"/>
      <c r="U796" s="44" t="str">
        <f t="shared" si="97"/>
        <v/>
      </c>
      <c r="V796" s="44" t="str">
        <f t="shared" si="98"/>
        <v/>
      </c>
      <c r="W796" s="44" t="str">
        <f t="shared" si="99"/>
        <v/>
      </c>
      <c r="X796" s="44" t="str">
        <f t="shared" si="100"/>
        <v/>
      </c>
      <c r="Y796" s="44" t="str">
        <f t="shared" si="101"/>
        <v/>
      </c>
      <c r="Z796" s="44" t="str">
        <f t="shared" si="102"/>
        <v/>
      </c>
      <c r="AA796" s="50" t="str">
        <f t="shared" si="103"/>
        <v/>
      </c>
      <c r="AB796" s="50" t="str">
        <f>IF(OR(B796="",C796&lt;&gt;"Expense"),"",IF(E796&gt;IFERROR(AVERAGEIFS($E$8:$E$1007,$I$8:$I$1007,I796,$C$8:$C$1007,"Expense")*SETTINGS!$B$20,0),"Unusually High","Normal"))</f>
        <v/>
      </c>
      <c r="AC796" s="51"/>
      <c r="AD796" s="51"/>
      <c r="AE796" s="51"/>
      <c r="AF796" s="50" t="str">
        <f>IF(A796&lt;&gt;"Yes","No",IF(AND(AC796="Yes",SETTINGS!$B$16="No"),"No","Yes"))</f>
        <v>No</v>
      </c>
      <c r="AG796" s="50" t="str">
        <f>IF(A796&lt;&gt;"Yes","",IF(OR(B796="",D796="",E796&lt;=0,F796="",I796=""),"Check Required Fields",IF(AA796="Possible Duplicate","Possible Duplicate",IF(E796&gt;SETTINGS!$B$22,"Review Extreme Value","OK"))))</f>
        <v/>
      </c>
    </row>
    <row r="797" spans="1:33" ht="14.4">
      <c r="A797" s="9"/>
      <c r="B797" s="13"/>
      <c r="C797" s="9"/>
      <c r="D797" s="9"/>
      <c r="E797" s="11"/>
      <c r="F797" s="9"/>
      <c r="G797" s="9"/>
      <c r="H797" s="44" t="str">
        <f>IF(D797="","",IF(ISNUMBER(SEARCH(SETTINGS!$K$4,D797)),SETTINGS!$L$4,IF(ISNUMBER(SEARCH(SETTINGS!$K$5,D797)),SETTINGS!$L$5,IF(ISNUMBER(SEARCH(SETTINGS!$K$6,D797)),SETTINGS!$L$6,IF(ISNUMBER(SEARCH(SETTINGS!$K$7,D797)),SETTINGS!$L$7,IF(ISNUMBER(SEARCH(SETTINGS!$K$8,D797)),SETTINGS!$L$8,IF(ISNUMBER(SEARCH(SETTINGS!$K$9,D797)),SETTINGS!$L$9,IF(ISNUMBER(SEARCH(SETTINGS!$K$10,D797)),SETTINGS!$L$10,IF(ISNUMBER(SEARCH(SETTINGS!$K$11,D797)),SETTINGS!$L$11,IF(ISNUMBER(SEARCH(SETTINGS!$K$12,D797)),SETTINGS!$L$12,IF(ISNUMBER(SEARCH(SETTINGS!$K$13,D797)),SETTINGS!$L$13,IF(ISNUMBER(SEARCH(SETTINGS!$K$14,D797)),SETTINGS!$L$14,IF(ISNUMBER(SEARCH(SETTINGS!$K$15,D797)),SETTINGS!$L$15,IF(ISNUMBER(SEARCH(SETTINGS!$K$16,D797)),SETTINGS!$L$16,IF(ISNUMBER(SEARCH(SETTINGS!$K$17,D797)),SETTINGS!$L$17,IF(ISNUMBER(SEARCH(SETTINGS!$K$18,D797)),SETTINGS!$L$18,"Miscellaneous"))))))))))))))))</f>
        <v/>
      </c>
      <c r="I797" s="44" t="str">
        <f t="shared" si="96"/>
        <v/>
      </c>
      <c r="J797" s="9"/>
      <c r="K797" s="9"/>
      <c r="L797" s="9"/>
      <c r="M797" s="9"/>
      <c r="N797" s="9"/>
      <c r="O797" s="9"/>
      <c r="P797" s="13"/>
      <c r="Q797" s="9"/>
      <c r="R797" s="9"/>
      <c r="S797" s="9"/>
      <c r="T797" s="11"/>
      <c r="U797" s="44" t="str">
        <f t="shared" si="97"/>
        <v/>
      </c>
      <c r="V797" s="44" t="str">
        <f t="shared" si="98"/>
        <v/>
      </c>
      <c r="W797" s="44" t="str">
        <f t="shared" si="99"/>
        <v/>
      </c>
      <c r="X797" s="44" t="str">
        <f t="shared" si="100"/>
        <v/>
      </c>
      <c r="Y797" s="44" t="str">
        <f t="shared" si="101"/>
        <v/>
      </c>
      <c r="Z797" s="44" t="str">
        <f t="shared" si="102"/>
        <v/>
      </c>
      <c r="AA797" s="50" t="str">
        <f t="shared" si="103"/>
        <v/>
      </c>
      <c r="AB797" s="50" t="str">
        <f>IF(OR(B797="",C797&lt;&gt;"Expense"),"",IF(E797&gt;IFERROR(AVERAGEIFS($E$8:$E$1007,$I$8:$I$1007,I797,$C$8:$C$1007,"Expense")*SETTINGS!$B$20,0),"Unusually High","Normal"))</f>
        <v/>
      </c>
      <c r="AC797" s="51"/>
      <c r="AD797" s="51"/>
      <c r="AE797" s="51"/>
      <c r="AF797" s="50" t="str">
        <f>IF(A797&lt;&gt;"Yes","No",IF(AND(AC797="Yes",SETTINGS!$B$16="No"),"No","Yes"))</f>
        <v>No</v>
      </c>
      <c r="AG797" s="50" t="str">
        <f>IF(A797&lt;&gt;"Yes","",IF(OR(B797="",D797="",E797&lt;=0,F797="",I797=""),"Check Required Fields",IF(AA797="Possible Duplicate","Possible Duplicate",IF(E797&gt;SETTINGS!$B$22,"Review Extreme Value","OK"))))</f>
        <v/>
      </c>
    </row>
    <row r="798" spans="1:33" ht="14.4">
      <c r="A798" s="9"/>
      <c r="B798" s="13"/>
      <c r="C798" s="9"/>
      <c r="D798" s="9"/>
      <c r="E798" s="11"/>
      <c r="F798" s="9"/>
      <c r="G798" s="9"/>
      <c r="H798" s="44" t="str">
        <f>IF(D798="","",IF(ISNUMBER(SEARCH(SETTINGS!$K$4,D798)),SETTINGS!$L$4,IF(ISNUMBER(SEARCH(SETTINGS!$K$5,D798)),SETTINGS!$L$5,IF(ISNUMBER(SEARCH(SETTINGS!$K$6,D798)),SETTINGS!$L$6,IF(ISNUMBER(SEARCH(SETTINGS!$K$7,D798)),SETTINGS!$L$7,IF(ISNUMBER(SEARCH(SETTINGS!$K$8,D798)),SETTINGS!$L$8,IF(ISNUMBER(SEARCH(SETTINGS!$K$9,D798)),SETTINGS!$L$9,IF(ISNUMBER(SEARCH(SETTINGS!$K$10,D798)),SETTINGS!$L$10,IF(ISNUMBER(SEARCH(SETTINGS!$K$11,D798)),SETTINGS!$L$11,IF(ISNUMBER(SEARCH(SETTINGS!$K$12,D798)),SETTINGS!$L$12,IF(ISNUMBER(SEARCH(SETTINGS!$K$13,D798)),SETTINGS!$L$13,IF(ISNUMBER(SEARCH(SETTINGS!$K$14,D798)),SETTINGS!$L$14,IF(ISNUMBER(SEARCH(SETTINGS!$K$15,D798)),SETTINGS!$L$15,IF(ISNUMBER(SEARCH(SETTINGS!$K$16,D798)),SETTINGS!$L$16,IF(ISNUMBER(SEARCH(SETTINGS!$K$17,D798)),SETTINGS!$L$17,IF(ISNUMBER(SEARCH(SETTINGS!$K$18,D798)),SETTINGS!$L$18,"Miscellaneous"))))))))))))))))</f>
        <v/>
      </c>
      <c r="I798" s="44" t="str">
        <f t="shared" si="96"/>
        <v/>
      </c>
      <c r="J798" s="9"/>
      <c r="K798" s="9"/>
      <c r="L798" s="9"/>
      <c r="M798" s="9"/>
      <c r="N798" s="9"/>
      <c r="O798" s="9"/>
      <c r="P798" s="13"/>
      <c r="Q798" s="9"/>
      <c r="R798" s="9"/>
      <c r="S798" s="9"/>
      <c r="T798" s="11"/>
      <c r="U798" s="44" t="str">
        <f t="shared" si="97"/>
        <v/>
      </c>
      <c r="V798" s="44" t="str">
        <f t="shared" si="98"/>
        <v/>
      </c>
      <c r="W798" s="44" t="str">
        <f t="shared" si="99"/>
        <v/>
      </c>
      <c r="X798" s="44" t="str">
        <f t="shared" si="100"/>
        <v/>
      </c>
      <c r="Y798" s="44" t="str">
        <f t="shared" si="101"/>
        <v/>
      </c>
      <c r="Z798" s="44" t="str">
        <f t="shared" si="102"/>
        <v/>
      </c>
      <c r="AA798" s="50" t="str">
        <f t="shared" si="103"/>
        <v/>
      </c>
      <c r="AB798" s="50" t="str">
        <f>IF(OR(B798="",C798&lt;&gt;"Expense"),"",IF(E798&gt;IFERROR(AVERAGEIFS($E$8:$E$1007,$I$8:$I$1007,I798,$C$8:$C$1007,"Expense")*SETTINGS!$B$20,0),"Unusually High","Normal"))</f>
        <v/>
      </c>
      <c r="AC798" s="51"/>
      <c r="AD798" s="51"/>
      <c r="AE798" s="51"/>
      <c r="AF798" s="50" t="str">
        <f>IF(A798&lt;&gt;"Yes","No",IF(AND(AC798="Yes",SETTINGS!$B$16="No"),"No","Yes"))</f>
        <v>No</v>
      </c>
      <c r="AG798" s="50" t="str">
        <f>IF(A798&lt;&gt;"Yes","",IF(OR(B798="",D798="",E798&lt;=0,F798="",I798=""),"Check Required Fields",IF(AA798="Possible Duplicate","Possible Duplicate",IF(E798&gt;SETTINGS!$B$22,"Review Extreme Value","OK"))))</f>
        <v/>
      </c>
    </row>
    <row r="799" spans="1:33" ht="14.4">
      <c r="A799" s="9"/>
      <c r="B799" s="13"/>
      <c r="C799" s="9"/>
      <c r="D799" s="9"/>
      <c r="E799" s="11"/>
      <c r="F799" s="9"/>
      <c r="G799" s="9"/>
      <c r="H799" s="44" t="str">
        <f>IF(D799="","",IF(ISNUMBER(SEARCH(SETTINGS!$K$4,D799)),SETTINGS!$L$4,IF(ISNUMBER(SEARCH(SETTINGS!$K$5,D799)),SETTINGS!$L$5,IF(ISNUMBER(SEARCH(SETTINGS!$K$6,D799)),SETTINGS!$L$6,IF(ISNUMBER(SEARCH(SETTINGS!$K$7,D799)),SETTINGS!$L$7,IF(ISNUMBER(SEARCH(SETTINGS!$K$8,D799)),SETTINGS!$L$8,IF(ISNUMBER(SEARCH(SETTINGS!$K$9,D799)),SETTINGS!$L$9,IF(ISNUMBER(SEARCH(SETTINGS!$K$10,D799)),SETTINGS!$L$10,IF(ISNUMBER(SEARCH(SETTINGS!$K$11,D799)),SETTINGS!$L$11,IF(ISNUMBER(SEARCH(SETTINGS!$K$12,D799)),SETTINGS!$L$12,IF(ISNUMBER(SEARCH(SETTINGS!$K$13,D799)),SETTINGS!$L$13,IF(ISNUMBER(SEARCH(SETTINGS!$K$14,D799)),SETTINGS!$L$14,IF(ISNUMBER(SEARCH(SETTINGS!$K$15,D799)),SETTINGS!$L$15,IF(ISNUMBER(SEARCH(SETTINGS!$K$16,D799)),SETTINGS!$L$16,IF(ISNUMBER(SEARCH(SETTINGS!$K$17,D799)),SETTINGS!$L$17,IF(ISNUMBER(SEARCH(SETTINGS!$K$18,D799)),SETTINGS!$L$18,"Miscellaneous"))))))))))))))))</f>
        <v/>
      </c>
      <c r="I799" s="44" t="str">
        <f t="shared" si="96"/>
        <v/>
      </c>
      <c r="J799" s="9"/>
      <c r="K799" s="9"/>
      <c r="L799" s="9"/>
      <c r="M799" s="9"/>
      <c r="N799" s="9"/>
      <c r="O799" s="9"/>
      <c r="P799" s="13"/>
      <c r="Q799" s="9"/>
      <c r="R799" s="9"/>
      <c r="S799" s="9"/>
      <c r="T799" s="11"/>
      <c r="U799" s="44" t="str">
        <f t="shared" si="97"/>
        <v/>
      </c>
      <c r="V799" s="44" t="str">
        <f t="shared" si="98"/>
        <v/>
      </c>
      <c r="W799" s="44" t="str">
        <f t="shared" si="99"/>
        <v/>
      </c>
      <c r="X799" s="44" t="str">
        <f t="shared" si="100"/>
        <v/>
      </c>
      <c r="Y799" s="44" t="str">
        <f t="shared" si="101"/>
        <v/>
      </c>
      <c r="Z799" s="44" t="str">
        <f t="shared" si="102"/>
        <v/>
      </c>
      <c r="AA799" s="50" t="str">
        <f t="shared" si="103"/>
        <v/>
      </c>
      <c r="AB799" s="50" t="str">
        <f>IF(OR(B799="",C799&lt;&gt;"Expense"),"",IF(E799&gt;IFERROR(AVERAGEIFS($E$8:$E$1007,$I$8:$I$1007,I799,$C$8:$C$1007,"Expense")*SETTINGS!$B$20,0),"Unusually High","Normal"))</f>
        <v/>
      </c>
      <c r="AC799" s="51"/>
      <c r="AD799" s="51"/>
      <c r="AE799" s="51"/>
      <c r="AF799" s="50" t="str">
        <f>IF(A799&lt;&gt;"Yes","No",IF(AND(AC799="Yes",SETTINGS!$B$16="No"),"No","Yes"))</f>
        <v>No</v>
      </c>
      <c r="AG799" s="50" t="str">
        <f>IF(A799&lt;&gt;"Yes","",IF(OR(B799="",D799="",E799&lt;=0,F799="",I799=""),"Check Required Fields",IF(AA799="Possible Duplicate","Possible Duplicate",IF(E799&gt;SETTINGS!$B$22,"Review Extreme Value","OK"))))</f>
        <v/>
      </c>
    </row>
    <row r="800" spans="1:33" ht="14.4">
      <c r="A800" s="9"/>
      <c r="B800" s="13"/>
      <c r="C800" s="9"/>
      <c r="D800" s="9"/>
      <c r="E800" s="11"/>
      <c r="F800" s="9"/>
      <c r="G800" s="9"/>
      <c r="H800" s="44" t="str">
        <f>IF(D800="","",IF(ISNUMBER(SEARCH(SETTINGS!$K$4,D800)),SETTINGS!$L$4,IF(ISNUMBER(SEARCH(SETTINGS!$K$5,D800)),SETTINGS!$L$5,IF(ISNUMBER(SEARCH(SETTINGS!$K$6,D800)),SETTINGS!$L$6,IF(ISNUMBER(SEARCH(SETTINGS!$K$7,D800)),SETTINGS!$L$7,IF(ISNUMBER(SEARCH(SETTINGS!$K$8,D800)),SETTINGS!$L$8,IF(ISNUMBER(SEARCH(SETTINGS!$K$9,D800)),SETTINGS!$L$9,IF(ISNUMBER(SEARCH(SETTINGS!$K$10,D800)),SETTINGS!$L$10,IF(ISNUMBER(SEARCH(SETTINGS!$K$11,D800)),SETTINGS!$L$11,IF(ISNUMBER(SEARCH(SETTINGS!$K$12,D800)),SETTINGS!$L$12,IF(ISNUMBER(SEARCH(SETTINGS!$K$13,D800)),SETTINGS!$L$13,IF(ISNUMBER(SEARCH(SETTINGS!$K$14,D800)),SETTINGS!$L$14,IF(ISNUMBER(SEARCH(SETTINGS!$K$15,D800)),SETTINGS!$L$15,IF(ISNUMBER(SEARCH(SETTINGS!$K$16,D800)),SETTINGS!$L$16,IF(ISNUMBER(SEARCH(SETTINGS!$K$17,D800)),SETTINGS!$L$17,IF(ISNUMBER(SEARCH(SETTINGS!$K$18,D800)),SETTINGS!$L$18,"Miscellaneous"))))))))))))))))</f>
        <v/>
      </c>
      <c r="I800" s="44" t="str">
        <f t="shared" si="96"/>
        <v/>
      </c>
      <c r="J800" s="9"/>
      <c r="K800" s="9"/>
      <c r="L800" s="9"/>
      <c r="M800" s="9"/>
      <c r="N800" s="9"/>
      <c r="O800" s="9"/>
      <c r="P800" s="13"/>
      <c r="Q800" s="9"/>
      <c r="R800" s="9"/>
      <c r="S800" s="9"/>
      <c r="T800" s="11"/>
      <c r="U800" s="44" t="str">
        <f t="shared" si="97"/>
        <v/>
      </c>
      <c r="V800" s="44" t="str">
        <f t="shared" si="98"/>
        <v/>
      </c>
      <c r="W800" s="44" t="str">
        <f t="shared" si="99"/>
        <v/>
      </c>
      <c r="X800" s="44" t="str">
        <f t="shared" si="100"/>
        <v/>
      </c>
      <c r="Y800" s="44" t="str">
        <f t="shared" si="101"/>
        <v/>
      </c>
      <c r="Z800" s="44" t="str">
        <f t="shared" si="102"/>
        <v/>
      </c>
      <c r="AA800" s="50" t="str">
        <f t="shared" si="103"/>
        <v/>
      </c>
      <c r="AB800" s="50" t="str">
        <f>IF(OR(B800="",C800&lt;&gt;"Expense"),"",IF(E800&gt;IFERROR(AVERAGEIFS($E$8:$E$1007,$I$8:$I$1007,I800,$C$8:$C$1007,"Expense")*SETTINGS!$B$20,0),"Unusually High","Normal"))</f>
        <v/>
      </c>
      <c r="AC800" s="51"/>
      <c r="AD800" s="51"/>
      <c r="AE800" s="51"/>
      <c r="AF800" s="50" t="str">
        <f>IF(A800&lt;&gt;"Yes","No",IF(AND(AC800="Yes",SETTINGS!$B$16="No"),"No","Yes"))</f>
        <v>No</v>
      </c>
      <c r="AG800" s="50" t="str">
        <f>IF(A800&lt;&gt;"Yes","",IF(OR(B800="",D800="",E800&lt;=0,F800="",I800=""),"Check Required Fields",IF(AA800="Possible Duplicate","Possible Duplicate",IF(E800&gt;SETTINGS!$B$22,"Review Extreme Value","OK"))))</f>
        <v/>
      </c>
    </row>
    <row r="801" spans="1:33" ht="14.4">
      <c r="A801" s="9"/>
      <c r="B801" s="13"/>
      <c r="C801" s="9"/>
      <c r="D801" s="9"/>
      <c r="E801" s="11"/>
      <c r="F801" s="9"/>
      <c r="G801" s="9"/>
      <c r="H801" s="44" t="str">
        <f>IF(D801="","",IF(ISNUMBER(SEARCH(SETTINGS!$K$4,D801)),SETTINGS!$L$4,IF(ISNUMBER(SEARCH(SETTINGS!$K$5,D801)),SETTINGS!$L$5,IF(ISNUMBER(SEARCH(SETTINGS!$K$6,D801)),SETTINGS!$L$6,IF(ISNUMBER(SEARCH(SETTINGS!$K$7,D801)),SETTINGS!$L$7,IF(ISNUMBER(SEARCH(SETTINGS!$K$8,D801)),SETTINGS!$L$8,IF(ISNUMBER(SEARCH(SETTINGS!$K$9,D801)),SETTINGS!$L$9,IF(ISNUMBER(SEARCH(SETTINGS!$K$10,D801)),SETTINGS!$L$10,IF(ISNUMBER(SEARCH(SETTINGS!$K$11,D801)),SETTINGS!$L$11,IF(ISNUMBER(SEARCH(SETTINGS!$K$12,D801)),SETTINGS!$L$12,IF(ISNUMBER(SEARCH(SETTINGS!$K$13,D801)),SETTINGS!$L$13,IF(ISNUMBER(SEARCH(SETTINGS!$K$14,D801)),SETTINGS!$L$14,IF(ISNUMBER(SEARCH(SETTINGS!$K$15,D801)),SETTINGS!$L$15,IF(ISNUMBER(SEARCH(SETTINGS!$K$16,D801)),SETTINGS!$L$16,IF(ISNUMBER(SEARCH(SETTINGS!$K$17,D801)),SETTINGS!$L$17,IF(ISNUMBER(SEARCH(SETTINGS!$K$18,D801)),SETTINGS!$L$18,"Miscellaneous"))))))))))))))))</f>
        <v/>
      </c>
      <c r="I801" s="44" t="str">
        <f t="shared" si="96"/>
        <v/>
      </c>
      <c r="J801" s="9"/>
      <c r="K801" s="9"/>
      <c r="L801" s="9"/>
      <c r="M801" s="9"/>
      <c r="N801" s="9"/>
      <c r="O801" s="9"/>
      <c r="P801" s="13"/>
      <c r="Q801" s="9"/>
      <c r="R801" s="9"/>
      <c r="S801" s="9"/>
      <c r="T801" s="11"/>
      <c r="U801" s="44" t="str">
        <f t="shared" si="97"/>
        <v/>
      </c>
      <c r="V801" s="44" t="str">
        <f t="shared" si="98"/>
        <v/>
      </c>
      <c r="W801" s="44" t="str">
        <f t="shared" si="99"/>
        <v/>
      </c>
      <c r="X801" s="44" t="str">
        <f t="shared" si="100"/>
        <v/>
      </c>
      <c r="Y801" s="44" t="str">
        <f t="shared" si="101"/>
        <v/>
      </c>
      <c r="Z801" s="44" t="str">
        <f t="shared" si="102"/>
        <v/>
      </c>
      <c r="AA801" s="50" t="str">
        <f t="shared" si="103"/>
        <v/>
      </c>
      <c r="AB801" s="50" t="str">
        <f>IF(OR(B801="",C801&lt;&gt;"Expense"),"",IF(E801&gt;IFERROR(AVERAGEIFS($E$8:$E$1007,$I$8:$I$1007,I801,$C$8:$C$1007,"Expense")*SETTINGS!$B$20,0),"Unusually High","Normal"))</f>
        <v/>
      </c>
      <c r="AC801" s="51"/>
      <c r="AD801" s="51"/>
      <c r="AE801" s="51"/>
      <c r="AF801" s="50" t="str">
        <f>IF(A801&lt;&gt;"Yes","No",IF(AND(AC801="Yes",SETTINGS!$B$16="No"),"No","Yes"))</f>
        <v>No</v>
      </c>
      <c r="AG801" s="50" t="str">
        <f>IF(A801&lt;&gt;"Yes","",IF(OR(B801="",D801="",E801&lt;=0,F801="",I801=""),"Check Required Fields",IF(AA801="Possible Duplicate","Possible Duplicate",IF(E801&gt;SETTINGS!$B$22,"Review Extreme Value","OK"))))</f>
        <v/>
      </c>
    </row>
    <row r="802" spans="1:33" ht="14.4">
      <c r="A802" s="9"/>
      <c r="B802" s="13"/>
      <c r="C802" s="9"/>
      <c r="D802" s="9"/>
      <c r="E802" s="11"/>
      <c r="F802" s="9"/>
      <c r="G802" s="9"/>
      <c r="H802" s="44" t="str">
        <f>IF(D802="","",IF(ISNUMBER(SEARCH(SETTINGS!$K$4,D802)),SETTINGS!$L$4,IF(ISNUMBER(SEARCH(SETTINGS!$K$5,D802)),SETTINGS!$L$5,IF(ISNUMBER(SEARCH(SETTINGS!$K$6,D802)),SETTINGS!$L$6,IF(ISNUMBER(SEARCH(SETTINGS!$K$7,D802)),SETTINGS!$L$7,IF(ISNUMBER(SEARCH(SETTINGS!$K$8,D802)),SETTINGS!$L$8,IF(ISNUMBER(SEARCH(SETTINGS!$K$9,D802)),SETTINGS!$L$9,IF(ISNUMBER(SEARCH(SETTINGS!$K$10,D802)),SETTINGS!$L$10,IF(ISNUMBER(SEARCH(SETTINGS!$K$11,D802)),SETTINGS!$L$11,IF(ISNUMBER(SEARCH(SETTINGS!$K$12,D802)),SETTINGS!$L$12,IF(ISNUMBER(SEARCH(SETTINGS!$K$13,D802)),SETTINGS!$L$13,IF(ISNUMBER(SEARCH(SETTINGS!$K$14,D802)),SETTINGS!$L$14,IF(ISNUMBER(SEARCH(SETTINGS!$K$15,D802)),SETTINGS!$L$15,IF(ISNUMBER(SEARCH(SETTINGS!$K$16,D802)),SETTINGS!$L$16,IF(ISNUMBER(SEARCH(SETTINGS!$K$17,D802)),SETTINGS!$L$17,IF(ISNUMBER(SEARCH(SETTINGS!$K$18,D802)),SETTINGS!$L$18,"Miscellaneous"))))))))))))))))</f>
        <v/>
      </c>
      <c r="I802" s="44" t="str">
        <f t="shared" si="96"/>
        <v/>
      </c>
      <c r="J802" s="9"/>
      <c r="K802" s="9"/>
      <c r="L802" s="9"/>
      <c r="M802" s="9"/>
      <c r="N802" s="9"/>
      <c r="O802" s="9"/>
      <c r="P802" s="13"/>
      <c r="Q802" s="9"/>
      <c r="R802" s="9"/>
      <c r="S802" s="9"/>
      <c r="T802" s="11"/>
      <c r="U802" s="44" t="str">
        <f t="shared" si="97"/>
        <v/>
      </c>
      <c r="V802" s="44" t="str">
        <f t="shared" si="98"/>
        <v/>
      </c>
      <c r="W802" s="44" t="str">
        <f t="shared" si="99"/>
        <v/>
      </c>
      <c r="X802" s="44" t="str">
        <f t="shared" si="100"/>
        <v/>
      </c>
      <c r="Y802" s="44" t="str">
        <f t="shared" si="101"/>
        <v/>
      </c>
      <c r="Z802" s="44" t="str">
        <f t="shared" si="102"/>
        <v/>
      </c>
      <c r="AA802" s="50" t="str">
        <f t="shared" si="103"/>
        <v/>
      </c>
      <c r="AB802" s="50" t="str">
        <f>IF(OR(B802="",C802&lt;&gt;"Expense"),"",IF(E802&gt;IFERROR(AVERAGEIFS($E$8:$E$1007,$I$8:$I$1007,I802,$C$8:$C$1007,"Expense")*SETTINGS!$B$20,0),"Unusually High","Normal"))</f>
        <v/>
      </c>
      <c r="AC802" s="51"/>
      <c r="AD802" s="51"/>
      <c r="AE802" s="51"/>
      <c r="AF802" s="50" t="str">
        <f>IF(A802&lt;&gt;"Yes","No",IF(AND(AC802="Yes",SETTINGS!$B$16="No"),"No","Yes"))</f>
        <v>No</v>
      </c>
      <c r="AG802" s="50" t="str">
        <f>IF(A802&lt;&gt;"Yes","",IF(OR(B802="",D802="",E802&lt;=0,F802="",I802=""),"Check Required Fields",IF(AA802="Possible Duplicate","Possible Duplicate",IF(E802&gt;SETTINGS!$B$22,"Review Extreme Value","OK"))))</f>
        <v/>
      </c>
    </row>
    <row r="803" spans="1:33" ht="14.4">
      <c r="A803" s="9"/>
      <c r="B803" s="13"/>
      <c r="C803" s="9"/>
      <c r="D803" s="9"/>
      <c r="E803" s="11"/>
      <c r="F803" s="9"/>
      <c r="G803" s="9"/>
      <c r="H803" s="44" t="str">
        <f>IF(D803="","",IF(ISNUMBER(SEARCH(SETTINGS!$K$4,D803)),SETTINGS!$L$4,IF(ISNUMBER(SEARCH(SETTINGS!$K$5,D803)),SETTINGS!$L$5,IF(ISNUMBER(SEARCH(SETTINGS!$K$6,D803)),SETTINGS!$L$6,IF(ISNUMBER(SEARCH(SETTINGS!$K$7,D803)),SETTINGS!$L$7,IF(ISNUMBER(SEARCH(SETTINGS!$K$8,D803)),SETTINGS!$L$8,IF(ISNUMBER(SEARCH(SETTINGS!$K$9,D803)),SETTINGS!$L$9,IF(ISNUMBER(SEARCH(SETTINGS!$K$10,D803)),SETTINGS!$L$10,IF(ISNUMBER(SEARCH(SETTINGS!$K$11,D803)),SETTINGS!$L$11,IF(ISNUMBER(SEARCH(SETTINGS!$K$12,D803)),SETTINGS!$L$12,IF(ISNUMBER(SEARCH(SETTINGS!$K$13,D803)),SETTINGS!$L$13,IF(ISNUMBER(SEARCH(SETTINGS!$K$14,D803)),SETTINGS!$L$14,IF(ISNUMBER(SEARCH(SETTINGS!$K$15,D803)),SETTINGS!$L$15,IF(ISNUMBER(SEARCH(SETTINGS!$K$16,D803)),SETTINGS!$L$16,IF(ISNUMBER(SEARCH(SETTINGS!$K$17,D803)),SETTINGS!$L$17,IF(ISNUMBER(SEARCH(SETTINGS!$K$18,D803)),SETTINGS!$L$18,"Miscellaneous"))))))))))))))))</f>
        <v/>
      </c>
      <c r="I803" s="44" t="str">
        <f t="shared" si="96"/>
        <v/>
      </c>
      <c r="J803" s="9"/>
      <c r="K803" s="9"/>
      <c r="L803" s="9"/>
      <c r="M803" s="9"/>
      <c r="N803" s="9"/>
      <c r="O803" s="9"/>
      <c r="P803" s="13"/>
      <c r="Q803" s="9"/>
      <c r="R803" s="9"/>
      <c r="S803" s="9"/>
      <c r="T803" s="11"/>
      <c r="U803" s="44" t="str">
        <f t="shared" si="97"/>
        <v/>
      </c>
      <c r="V803" s="44" t="str">
        <f t="shared" si="98"/>
        <v/>
      </c>
      <c r="W803" s="44" t="str">
        <f t="shared" si="99"/>
        <v/>
      </c>
      <c r="X803" s="44" t="str">
        <f t="shared" si="100"/>
        <v/>
      </c>
      <c r="Y803" s="44" t="str">
        <f t="shared" si="101"/>
        <v/>
      </c>
      <c r="Z803" s="44" t="str">
        <f t="shared" si="102"/>
        <v/>
      </c>
      <c r="AA803" s="50" t="str">
        <f t="shared" si="103"/>
        <v/>
      </c>
      <c r="AB803" s="50" t="str">
        <f>IF(OR(B803="",C803&lt;&gt;"Expense"),"",IF(E803&gt;IFERROR(AVERAGEIFS($E$8:$E$1007,$I$8:$I$1007,I803,$C$8:$C$1007,"Expense")*SETTINGS!$B$20,0),"Unusually High","Normal"))</f>
        <v/>
      </c>
      <c r="AC803" s="51"/>
      <c r="AD803" s="51"/>
      <c r="AE803" s="51"/>
      <c r="AF803" s="50" t="str">
        <f>IF(A803&lt;&gt;"Yes","No",IF(AND(AC803="Yes",SETTINGS!$B$16="No"),"No","Yes"))</f>
        <v>No</v>
      </c>
      <c r="AG803" s="50" t="str">
        <f>IF(A803&lt;&gt;"Yes","",IF(OR(B803="",D803="",E803&lt;=0,F803="",I803=""),"Check Required Fields",IF(AA803="Possible Duplicate","Possible Duplicate",IF(E803&gt;SETTINGS!$B$22,"Review Extreme Value","OK"))))</f>
        <v/>
      </c>
    </row>
    <row r="804" spans="1:33" ht="14.4">
      <c r="A804" s="9"/>
      <c r="B804" s="13"/>
      <c r="C804" s="9"/>
      <c r="D804" s="9"/>
      <c r="E804" s="11"/>
      <c r="F804" s="9"/>
      <c r="G804" s="9"/>
      <c r="H804" s="44" t="str">
        <f>IF(D804="","",IF(ISNUMBER(SEARCH(SETTINGS!$K$4,D804)),SETTINGS!$L$4,IF(ISNUMBER(SEARCH(SETTINGS!$K$5,D804)),SETTINGS!$L$5,IF(ISNUMBER(SEARCH(SETTINGS!$K$6,D804)),SETTINGS!$L$6,IF(ISNUMBER(SEARCH(SETTINGS!$K$7,D804)),SETTINGS!$L$7,IF(ISNUMBER(SEARCH(SETTINGS!$K$8,D804)),SETTINGS!$L$8,IF(ISNUMBER(SEARCH(SETTINGS!$K$9,D804)),SETTINGS!$L$9,IF(ISNUMBER(SEARCH(SETTINGS!$K$10,D804)),SETTINGS!$L$10,IF(ISNUMBER(SEARCH(SETTINGS!$K$11,D804)),SETTINGS!$L$11,IF(ISNUMBER(SEARCH(SETTINGS!$K$12,D804)),SETTINGS!$L$12,IF(ISNUMBER(SEARCH(SETTINGS!$K$13,D804)),SETTINGS!$L$13,IF(ISNUMBER(SEARCH(SETTINGS!$K$14,D804)),SETTINGS!$L$14,IF(ISNUMBER(SEARCH(SETTINGS!$K$15,D804)),SETTINGS!$L$15,IF(ISNUMBER(SEARCH(SETTINGS!$K$16,D804)),SETTINGS!$L$16,IF(ISNUMBER(SEARCH(SETTINGS!$K$17,D804)),SETTINGS!$L$17,IF(ISNUMBER(SEARCH(SETTINGS!$K$18,D804)),SETTINGS!$L$18,"Miscellaneous"))))))))))))))))</f>
        <v/>
      </c>
      <c r="I804" s="44" t="str">
        <f t="shared" si="96"/>
        <v/>
      </c>
      <c r="J804" s="9"/>
      <c r="K804" s="9"/>
      <c r="L804" s="9"/>
      <c r="M804" s="9"/>
      <c r="N804" s="9"/>
      <c r="O804" s="9"/>
      <c r="P804" s="13"/>
      <c r="Q804" s="9"/>
      <c r="R804" s="9"/>
      <c r="S804" s="9"/>
      <c r="T804" s="11"/>
      <c r="U804" s="44" t="str">
        <f t="shared" si="97"/>
        <v/>
      </c>
      <c r="V804" s="44" t="str">
        <f t="shared" si="98"/>
        <v/>
      </c>
      <c r="W804" s="44" t="str">
        <f t="shared" si="99"/>
        <v/>
      </c>
      <c r="X804" s="44" t="str">
        <f t="shared" si="100"/>
        <v/>
      </c>
      <c r="Y804" s="44" t="str">
        <f t="shared" si="101"/>
        <v/>
      </c>
      <c r="Z804" s="44" t="str">
        <f t="shared" si="102"/>
        <v/>
      </c>
      <c r="AA804" s="50" t="str">
        <f t="shared" si="103"/>
        <v/>
      </c>
      <c r="AB804" s="50" t="str">
        <f>IF(OR(B804="",C804&lt;&gt;"Expense"),"",IF(E804&gt;IFERROR(AVERAGEIFS($E$8:$E$1007,$I$8:$I$1007,I804,$C$8:$C$1007,"Expense")*SETTINGS!$B$20,0),"Unusually High","Normal"))</f>
        <v/>
      </c>
      <c r="AC804" s="51"/>
      <c r="AD804" s="51"/>
      <c r="AE804" s="51"/>
      <c r="AF804" s="50" t="str">
        <f>IF(A804&lt;&gt;"Yes","No",IF(AND(AC804="Yes",SETTINGS!$B$16="No"),"No","Yes"))</f>
        <v>No</v>
      </c>
      <c r="AG804" s="50" t="str">
        <f>IF(A804&lt;&gt;"Yes","",IF(OR(B804="",D804="",E804&lt;=0,F804="",I804=""),"Check Required Fields",IF(AA804="Possible Duplicate","Possible Duplicate",IF(E804&gt;SETTINGS!$B$22,"Review Extreme Value","OK"))))</f>
        <v/>
      </c>
    </row>
    <row r="805" spans="1:33" ht="14.4">
      <c r="A805" s="9"/>
      <c r="B805" s="13"/>
      <c r="C805" s="9"/>
      <c r="D805" s="9"/>
      <c r="E805" s="11"/>
      <c r="F805" s="9"/>
      <c r="G805" s="9"/>
      <c r="H805" s="44" t="str">
        <f>IF(D805="","",IF(ISNUMBER(SEARCH(SETTINGS!$K$4,D805)),SETTINGS!$L$4,IF(ISNUMBER(SEARCH(SETTINGS!$K$5,D805)),SETTINGS!$L$5,IF(ISNUMBER(SEARCH(SETTINGS!$K$6,D805)),SETTINGS!$L$6,IF(ISNUMBER(SEARCH(SETTINGS!$K$7,D805)),SETTINGS!$L$7,IF(ISNUMBER(SEARCH(SETTINGS!$K$8,D805)),SETTINGS!$L$8,IF(ISNUMBER(SEARCH(SETTINGS!$K$9,D805)),SETTINGS!$L$9,IF(ISNUMBER(SEARCH(SETTINGS!$K$10,D805)),SETTINGS!$L$10,IF(ISNUMBER(SEARCH(SETTINGS!$K$11,D805)),SETTINGS!$L$11,IF(ISNUMBER(SEARCH(SETTINGS!$K$12,D805)),SETTINGS!$L$12,IF(ISNUMBER(SEARCH(SETTINGS!$K$13,D805)),SETTINGS!$L$13,IF(ISNUMBER(SEARCH(SETTINGS!$K$14,D805)),SETTINGS!$L$14,IF(ISNUMBER(SEARCH(SETTINGS!$K$15,D805)),SETTINGS!$L$15,IF(ISNUMBER(SEARCH(SETTINGS!$K$16,D805)),SETTINGS!$L$16,IF(ISNUMBER(SEARCH(SETTINGS!$K$17,D805)),SETTINGS!$L$17,IF(ISNUMBER(SEARCH(SETTINGS!$K$18,D805)),SETTINGS!$L$18,"Miscellaneous"))))))))))))))))</f>
        <v/>
      </c>
      <c r="I805" s="44" t="str">
        <f t="shared" si="96"/>
        <v/>
      </c>
      <c r="J805" s="9"/>
      <c r="K805" s="9"/>
      <c r="L805" s="9"/>
      <c r="M805" s="9"/>
      <c r="N805" s="9"/>
      <c r="O805" s="9"/>
      <c r="P805" s="13"/>
      <c r="Q805" s="9"/>
      <c r="R805" s="9"/>
      <c r="S805" s="9"/>
      <c r="T805" s="11"/>
      <c r="U805" s="44" t="str">
        <f t="shared" si="97"/>
        <v/>
      </c>
      <c r="V805" s="44" t="str">
        <f t="shared" si="98"/>
        <v/>
      </c>
      <c r="W805" s="44" t="str">
        <f t="shared" si="99"/>
        <v/>
      </c>
      <c r="X805" s="44" t="str">
        <f t="shared" si="100"/>
        <v/>
      </c>
      <c r="Y805" s="44" t="str">
        <f t="shared" si="101"/>
        <v/>
      </c>
      <c r="Z805" s="44" t="str">
        <f t="shared" si="102"/>
        <v/>
      </c>
      <c r="AA805" s="50" t="str">
        <f t="shared" si="103"/>
        <v/>
      </c>
      <c r="AB805" s="50" t="str">
        <f>IF(OR(B805="",C805&lt;&gt;"Expense"),"",IF(E805&gt;IFERROR(AVERAGEIFS($E$8:$E$1007,$I$8:$I$1007,I805,$C$8:$C$1007,"Expense")*SETTINGS!$B$20,0),"Unusually High","Normal"))</f>
        <v/>
      </c>
      <c r="AC805" s="51"/>
      <c r="AD805" s="51"/>
      <c r="AE805" s="51"/>
      <c r="AF805" s="50" t="str">
        <f>IF(A805&lt;&gt;"Yes","No",IF(AND(AC805="Yes",SETTINGS!$B$16="No"),"No","Yes"))</f>
        <v>No</v>
      </c>
      <c r="AG805" s="50" t="str">
        <f>IF(A805&lt;&gt;"Yes","",IF(OR(B805="",D805="",E805&lt;=0,F805="",I805=""),"Check Required Fields",IF(AA805="Possible Duplicate","Possible Duplicate",IF(E805&gt;SETTINGS!$B$22,"Review Extreme Value","OK"))))</f>
        <v/>
      </c>
    </row>
    <row r="806" spans="1:33" ht="14.4">
      <c r="A806" s="9"/>
      <c r="B806" s="13"/>
      <c r="C806" s="9"/>
      <c r="D806" s="9"/>
      <c r="E806" s="11"/>
      <c r="F806" s="9"/>
      <c r="G806" s="9"/>
      <c r="H806" s="44" t="str">
        <f>IF(D806="","",IF(ISNUMBER(SEARCH(SETTINGS!$K$4,D806)),SETTINGS!$L$4,IF(ISNUMBER(SEARCH(SETTINGS!$K$5,D806)),SETTINGS!$L$5,IF(ISNUMBER(SEARCH(SETTINGS!$K$6,D806)),SETTINGS!$L$6,IF(ISNUMBER(SEARCH(SETTINGS!$K$7,D806)),SETTINGS!$L$7,IF(ISNUMBER(SEARCH(SETTINGS!$K$8,D806)),SETTINGS!$L$8,IF(ISNUMBER(SEARCH(SETTINGS!$K$9,D806)),SETTINGS!$L$9,IF(ISNUMBER(SEARCH(SETTINGS!$K$10,D806)),SETTINGS!$L$10,IF(ISNUMBER(SEARCH(SETTINGS!$K$11,D806)),SETTINGS!$L$11,IF(ISNUMBER(SEARCH(SETTINGS!$K$12,D806)),SETTINGS!$L$12,IF(ISNUMBER(SEARCH(SETTINGS!$K$13,D806)),SETTINGS!$L$13,IF(ISNUMBER(SEARCH(SETTINGS!$K$14,D806)),SETTINGS!$L$14,IF(ISNUMBER(SEARCH(SETTINGS!$K$15,D806)),SETTINGS!$L$15,IF(ISNUMBER(SEARCH(SETTINGS!$K$16,D806)),SETTINGS!$L$16,IF(ISNUMBER(SEARCH(SETTINGS!$K$17,D806)),SETTINGS!$L$17,IF(ISNUMBER(SEARCH(SETTINGS!$K$18,D806)),SETTINGS!$L$18,"Miscellaneous"))))))))))))))))</f>
        <v/>
      </c>
      <c r="I806" s="44" t="str">
        <f t="shared" si="96"/>
        <v/>
      </c>
      <c r="J806" s="9"/>
      <c r="K806" s="9"/>
      <c r="L806" s="9"/>
      <c r="M806" s="9"/>
      <c r="N806" s="9"/>
      <c r="O806" s="9"/>
      <c r="P806" s="13"/>
      <c r="Q806" s="9"/>
      <c r="R806" s="9"/>
      <c r="S806" s="9"/>
      <c r="T806" s="11"/>
      <c r="U806" s="44" t="str">
        <f t="shared" si="97"/>
        <v/>
      </c>
      <c r="V806" s="44" t="str">
        <f t="shared" si="98"/>
        <v/>
      </c>
      <c r="W806" s="44" t="str">
        <f t="shared" si="99"/>
        <v/>
      </c>
      <c r="X806" s="44" t="str">
        <f t="shared" si="100"/>
        <v/>
      </c>
      <c r="Y806" s="44" t="str">
        <f t="shared" si="101"/>
        <v/>
      </c>
      <c r="Z806" s="44" t="str">
        <f t="shared" si="102"/>
        <v/>
      </c>
      <c r="AA806" s="50" t="str">
        <f t="shared" si="103"/>
        <v/>
      </c>
      <c r="AB806" s="50" t="str">
        <f>IF(OR(B806="",C806&lt;&gt;"Expense"),"",IF(E806&gt;IFERROR(AVERAGEIFS($E$8:$E$1007,$I$8:$I$1007,I806,$C$8:$C$1007,"Expense")*SETTINGS!$B$20,0),"Unusually High","Normal"))</f>
        <v/>
      </c>
      <c r="AC806" s="51"/>
      <c r="AD806" s="51"/>
      <c r="AE806" s="51"/>
      <c r="AF806" s="50" t="str">
        <f>IF(A806&lt;&gt;"Yes","No",IF(AND(AC806="Yes",SETTINGS!$B$16="No"),"No","Yes"))</f>
        <v>No</v>
      </c>
      <c r="AG806" s="50" t="str">
        <f>IF(A806&lt;&gt;"Yes","",IF(OR(B806="",D806="",E806&lt;=0,F806="",I806=""),"Check Required Fields",IF(AA806="Possible Duplicate","Possible Duplicate",IF(E806&gt;SETTINGS!$B$22,"Review Extreme Value","OK"))))</f>
        <v/>
      </c>
    </row>
    <row r="807" spans="1:33" ht="14.4">
      <c r="A807" s="9"/>
      <c r="B807" s="13"/>
      <c r="C807" s="9"/>
      <c r="D807" s="9"/>
      <c r="E807" s="11"/>
      <c r="F807" s="9"/>
      <c r="G807" s="9"/>
      <c r="H807" s="44" t="str">
        <f>IF(D807="","",IF(ISNUMBER(SEARCH(SETTINGS!$K$4,D807)),SETTINGS!$L$4,IF(ISNUMBER(SEARCH(SETTINGS!$K$5,D807)),SETTINGS!$L$5,IF(ISNUMBER(SEARCH(SETTINGS!$K$6,D807)),SETTINGS!$L$6,IF(ISNUMBER(SEARCH(SETTINGS!$K$7,D807)),SETTINGS!$L$7,IF(ISNUMBER(SEARCH(SETTINGS!$K$8,D807)),SETTINGS!$L$8,IF(ISNUMBER(SEARCH(SETTINGS!$K$9,D807)),SETTINGS!$L$9,IF(ISNUMBER(SEARCH(SETTINGS!$K$10,D807)),SETTINGS!$L$10,IF(ISNUMBER(SEARCH(SETTINGS!$K$11,D807)),SETTINGS!$L$11,IF(ISNUMBER(SEARCH(SETTINGS!$K$12,D807)),SETTINGS!$L$12,IF(ISNUMBER(SEARCH(SETTINGS!$K$13,D807)),SETTINGS!$L$13,IF(ISNUMBER(SEARCH(SETTINGS!$K$14,D807)),SETTINGS!$L$14,IF(ISNUMBER(SEARCH(SETTINGS!$K$15,D807)),SETTINGS!$L$15,IF(ISNUMBER(SEARCH(SETTINGS!$K$16,D807)),SETTINGS!$L$16,IF(ISNUMBER(SEARCH(SETTINGS!$K$17,D807)),SETTINGS!$L$17,IF(ISNUMBER(SEARCH(SETTINGS!$K$18,D807)),SETTINGS!$L$18,"Miscellaneous"))))))))))))))))</f>
        <v/>
      </c>
      <c r="I807" s="44" t="str">
        <f t="shared" si="96"/>
        <v/>
      </c>
      <c r="J807" s="9"/>
      <c r="K807" s="9"/>
      <c r="L807" s="9"/>
      <c r="M807" s="9"/>
      <c r="N807" s="9"/>
      <c r="O807" s="9"/>
      <c r="P807" s="13"/>
      <c r="Q807" s="9"/>
      <c r="R807" s="9"/>
      <c r="S807" s="9"/>
      <c r="T807" s="11"/>
      <c r="U807" s="44" t="str">
        <f t="shared" si="97"/>
        <v/>
      </c>
      <c r="V807" s="44" t="str">
        <f t="shared" si="98"/>
        <v/>
      </c>
      <c r="W807" s="44" t="str">
        <f t="shared" si="99"/>
        <v/>
      </c>
      <c r="X807" s="44" t="str">
        <f t="shared" si="100"/>
        <v/>
      </c>
      <c r="Y807" s="44" t="str">
        <f t="shared" si="101"/>
        <v/>
      </c>
      <c r="Z807" s="44" t="str">
        <f t="shared" si="102"/>
        <v/>
      </c>
      <c r="AA807" s="50" t="str">
        <f t="shared" si="103"/>
        <v/>
      </c>
      <c r="AB807" s="50" t="str">
        <f>IF(OR(B807="",C807&lt;&gt;"Expense"),"",IF(E807&gt;IFERROR(AVERAGEIFS($E$8:$E$1007,$I$8:$I$1007,I807,$C$8:$C$1007,"Expense")*SETTINGS!$B$20,0),"Unusually High","Normal"))</f>
        <v/>
      </c>
      <c r="AC807" s="51"/>
      <c r="AD807" s="51"/>
      <c r="AE807" s="51"/>
      <c r="AF807" s="50" t="str">
        <f>IF(A807&lt;&gt;"Yes","No",IF(AND(AC807="Yes",SETTINGS!$B$16="No"),"No","Yes"))</f>
        <v>No</v>
      </c>
      <c r="AG807" s="50" t="str">
        <f>IF(A807&lt;&gt;"Yes","",IF(OR(B807="",D807="",E807&lt;=0,F807="",I807=""),"Check Required Fields",IF(AA807="Possible Duplicate","Possible Duplicate",IF(E807&gt;SETTINGS!$B$22,"Review Extreme Value","OK"))))</f>
        <v/>
      </c>
    </row>
    <row r="808" spans="1:33" ht="14.4">
      <c r="A808" s="9"/>
      <c r="B808" s="13"/>
      <c r="C808" s="9"/>
      <c r="D808" s="9"/>
      <c r="E808" s="11"/>
      <c r="F808" s="9"/>
      <c r="G808" s="9"/>
      <c r="H808" s="44" t="str">
        <f>IF(D808="","",IF(ISNUMBER(SEARCH(SETTINGS!$K$4,D808)),SETTINGS!$L$4,IF(ISNUMBER(SEARCH(SETTINGS!$K$5,D808)),SETTINGS!$L$5,IF(ISNUMBER(SEARCH(SETTINGS!$K$6,D808)),SETTINGS!$L$6,IF(ISNUMBER(SEARCH(SETTINGS!$K$7,D808)),SETTINGS!$L$7,IF(ISNUMBER(SEARCH(SETTINGS!$K$8,D808)),SETTINGS!$L$8,IF(ISNUMBER(SEARCH(SETTINGS!$K$9,D808)),SETTINGS!$L$9,IF(ISNUMBER(SEARCH(SETTINGS!$K$10,D808)),SETTINGS!$L$10,IF(ISNUMBER(SEARCH(SETTINGS!$K$11,D808)),SETTINGS!$L$11,IF(ISNUMBER(SEARCH(SETTINGS!$K$12,D808)),SETTINGS!$L$12,IF(ISNUMBER(SEARCH(SETTINGS!$K$13,D808)),SETTINGS!$L$13,IF(ISNUMBER(SEARCH(SETTINGS!$K$14,D808)),SETTINGS!$L$14,IF(ISNUMBER(SEARCH(SETTINGS!$K$15,D808)),SETTINGS!$L$15,IF(ISNUMBER(SEARCH(SETTINGS!$K$16,D808)),SETTINGS!$L$16,IF(ISNUMBER(SEARCH(SETTINGS!$K$17,D808)),SETTINGS!$L$17,IF(ISNUMBER(SEARCH(SETTINGS!$K$18,D808)),SETTINGS!$L$18,"Miscellaneous"))))))))))))))))</f>
        <v/>
      </c>
      <c r="I808" s="44" t="str">
        <f t="shared" si="96"/>
        <v/>
      </c>
      <c r="J808" s="9"/>
      <c r="K808" s="9"/>
      <c r="L808" s="9"/>
      <c r="M808" s="9"/>
      <c r="N808" s="9"/>
      <c r="O808" s="9"/>
      <c r="P808" s="13"/>
      <c r="Q808" s="9"/>
      <c r="R808" s="9"/>
      <c r="S808" s="9"/>
      <c r="T808" s="11"/>
      <c r="U808" s="44" t="str">
        <f t="shared" si="97"/>
        <v/>
      </c>
      <c r="V808" s="44" t="str">
        <f t="shared" si="98"/>
        <v/>
      </c>
      <c r="W808" s="44" t="str">
        <f t="shared" si="99"/>
        <v/>
      </c>
      <c r="X808" s="44" t="str">
        <f t="shared" si="100"/>
        <v/>
      </c>
      <c r="Y808" s="44" t="str">
        <f t="shared" si="101"/>
        <v/>
      </c>
      <c r="Z808" s="44" t="str">
        <f t="shared" si="102"/>
        <v/>
      </c>
      <c r="AA808" s="50" t="str">
        <f t="shared" si="103"/>
        <v/>
      </c>
      <c r="AB808" s="50" t="str">
        <f>IF(OR(B808="",C808&lt;&gt;"Expense"),"",IF(E808&gt;IFERROR(AVERAGEIFS($E$8:$E$1007,$I$8:$I$1007,I808,$C$8:$C$1007,"Expense")*SETTINGS!$B$20,0),"Unusually High","Normal"))</f>
        <v/>
      </c>
      <c r="AC808" s="51"/>
      <c r="AD808" s="51"/>
      <c r="AE808" s="51"/>
      <c r="AF808" s="50" t="str">
        <f>IF(A808&lt;&gt;"Yes","No",IF(AND(AC808="Yes",SETTINGS!$B$16="No"),"No","Yes"))</f>
        <v>No</v>
      </c>
      <c r="AG808" s="50" t="str">
        <f>IF(A808&lt;&gt;"Yes","",IF(OR(B808="",D808="",E808&lt;=0,F808="",I808=""),"Check Required Fields",IF(AA808="Possible Duplicate","Possible Duplicate",IF(E808&gt;SETTINGS!$B$22,"Review Extreme Value","OK"))))</f>
        <v/>
      </c>
    </row>
    <row r="809" spans="1:33" ht="14.4">
      <c r="A809" s="9"/>
      <c r="B809" s="13"/>
      <c r="C809" s="9"/>
      <c r="D809" s="9"/>
      <c r="E809" s="11"/>
      <c r="F809" s="9"/>
      <c r="G809" s="9"/>
      <c r="H809" s="44" t="str">
        <f>IF(D809="","",IF(ISNUMBER(SEARCH(SETTINGS!$K$4,D809)),SETTINGS!$L$4,IF(ISNUMBER(SEARCH(SETTINGS!$K$5,D809)),SETTINGS!$L$5,IF(ISNUMBER(SEARCH(SETTINGS!$K$6,D809)),SETTINGS!$L$6,IF(ISNUMBER(SEARCH(SETTINGS!$K$7,D809)),SETTINGS!$L$7,IF(ISNUMBER(SEARCH(SETTINGS!$K$8,D809)),SETTINGS!$L$8,IF(ISNUMBER(SEARCH(SETTINGS!$K$9,D809)),SETTINGS!$L$9,IF(ISNUMBER(SEARCH(SETTINGS!$K$10,D809)),SETTINGS!$L$10,IF(ISNUMBER(SEARCH(SETTINGS!$K$11,D809)),SETTINGS!$L$11,IF(ISNUMBER(SEARCH(SETTINGS!$K$12,D809)),SETTINGS!$L$12,IF(ISNUMBER(SEARCH(SETTINGS!$K$13,D809)),SETTINGS!$L$13,IF(ISNUMBER(SEARCH(SETTINGS!$K$14,D809)),SETTINGS!$L$14,IF(ISNUMBER(SEARCH(SETTINGS!$K$15,D809)),SETTINGS!$L$15,IF(ISNUMBER(SEARCH(SETTINGS!$K$16,D809)),SETTINGS!$L$16,IF(ISNUMBER(SEARCH(SETTINGS!$K$17,D809)),SETTINGS!$L$17,IF(ISNUMBER(SEARCH(SETTINGS!$K$18,D809)),SETTINGS!$L$18,"Miscellaneous"))))))))))))))))</f>
        <v/>
      </c>
      <c r="I809" s="44" t="str">
        <f t="shared" si="96"/>
        <v/>
      </c>
      <c r="J809" s="9"/>
      <c r="K809" s="9"/>
      <c r="L809" s="9"/>
      <c r="M809" s="9"/>
      <c r="N809" s="9"/>
      <c r="O809" s="9"/>
      <c r="P809" s="13"/>
      <c r="Q809" s="9"/>
      <c r="R809" s="9"/>
      <c r="S809" s="9"/>
      <c r="T809" s="11"/>
      <c r="U809" s="44" t="str">
        <f t="shared" si="97"/>
        <v/>
      </c>
      <c r="V809" s="44" t="str">
        <f t="shared" si="98"/>
        <v/>
      </c>
      <c r="W809" s="44" t="str">
        <f t="shared" si="99"/>
        <v/>
      </c>
      <c r="X809" s="44" t="str">
        <f t="shared" si="100"/>
        <v/>
      </c>
      <c r="Y809" s="44" t="str">
        <f t="shared" si="101"/>
        <v/>
      </c>
      <c r="Z809" s="44" t="str">
        <f t="shared" si="102"/>
        <v/>
      </c>
      <c r="AA809" s="50" t="str">
        <f t="shared" si="103"/>
        <v/>
      </c>
      <c r="AB809" s="50" t="str">
        <f>IF(OR(B809="",C809&lt;&gt;"Expense"),"",IF(E809&gt;IFERROR(AVERAGEIFS($E$8:$E$1007,$I$8:$I$1007,I809,$C$8:$C$1007,"Expense")*SETTINGS!$B$20,0),"Unusually High","Normal"))</f>
        <v/>
      </c>
      <c r="AC809" s="51"/>
      <c r="AD809" s="51"/>
      <c r="AE809" s="51"/>
      <c r="AF809" s="50" t="str">
        <f>IF(A809&lt;&gt;"Yes","No",IF(AND(AC809="Yes",SETTINGS!$B$16="No"),"No","Yes"))</f>
        <v>No</v>
      </c>
      <c r="AG809" s="50" t="str">
        <f>IF(A809&lt;&gt;"Yes","",IF(OR(B809="",D809="",E809&lt;=0,F809="",I809=""),"Check Required Fields",IF(AA809="Possible Duplicate","Possible Duplicate",IF(E809&gt;SETTINGS!$B$22,"Review Extreme Value","OK"))))</f>
        <v/>
      </c>
    </row>
    <row r="810" spans="1:33" ht="14.4">
      <c r="A810" s="9"/>
      <c r="B810" s="13"/>
      <c r="C810" s="9"/>
      <c r="D810" s="9"/>
      <c r="E810" s="11"/>
      <c r="F810" s="9"/>
      <c r="G810" s="9"/>
      <c r="H810" s="44" t="str">
        <f>IF(D810="","",IF(ISNUMBER(SEARCH(SETTINGS!$K$4,D810)),SETTINGS!$L$4,IF(ISNUMBER(SEARCH(SETTINGS!$K$5,D810)),SETTINGS!$L$5,IF(ISNUMBER(SEARCH(SETTINGS!$K$6,D810)),SETTINGS!$L$6,IF(ISNUMBER(SEARCH(SETTINGS!$K$7,D810)),SETTINGS!$L$7,IF(ISNUMBER(SEARCH(SETTINGS!$K$8,D810)),SETTINGS!$L$8,IF(ISNUMBER(SEARCH(SETTINGS!$K$9,D810)),SETTINGS!$L$9,IF(ISNUMBER(SEARCH(SETTINGS!$K$10,D810)),SETTINGS!$L$10,IF(ISNUMBER(SEARCH(SETTINGS!$K$11,D810)),SETTINGS!$L$11,IF(ISNUMBER(SEARCH(SETTINGS!$K$12,D810)),SETTINGS!$L$12,IF(ISNUMBER(SEARCH(SETTINGS!$K$13,D810)),SETTINGS!$L$13,IF(ISNUMBER(SEARCH(SETTINGS!$K$14,D810)),SETTINGS!$L$14,IF(ISNUMBER(SEARCH(SETTINGS!$K$15,D810)),SETTINGS!$L$15,IF(ISNUMBER(SEARCH(SETTINGS!$K$16,D810)),SETTINGS!$L$16,IF(ISNUMBER(SEARCH(SETTINGS!$K$17,D810)),SETTINGS!$L$17,IF(ISNUMBER(SEARCH(SETTINGS!$K$18,D810)),SETTINGS!$L$18,"Miscellaneous"))))))))))))))))</f>
        <v/>
      </c>
      <c r="I810" s="44" t="str">
        <f t="shared" si="96"/>
        <v/>
      </c>
      <c r="J810" s="9"/>
      <c r="K810" s="9"/>
      <c r="L810" s="9"/>
      <c r="M810" s="9"/>
      <c r="N810" s="9"/>
      <c r="O810" s="9"/>
      <c r="P810" s="13"/>
      <c r="Q810" s="9"/>
      <c r="R810" s="9"/>
      <c r="S810" s="9"/>
      <c r="T810" s="11"/>
      <c r="U810" s="44" t="str">
        <f t="shared" si="97"/>
        <v/>
      </c>
      <c r="V810" s="44" t="str">
        <f t="shared" si="98"/>
        <v/>
      </c>
      <c r="W810" s="44" t="str">
        <f t="shared" si="99"/>
        <v/>
      </c>
      <c r="X810" s="44" t="str">
        <f t="shared" si="100"/>
        <v/>
      </c>
      <c r="Y810" s="44" t="str">
        <f t="shared" si="101"/>
        <v/>
      </c>
      <c r="Z810" s="44" t="str">
        <f t="shared" si="102"/>
        <v/>
      </c>
      <c r="AA810" s="50" t="str">
        <f t="shared" si="103"/>
        <v/>
      </c>
      <c r="AB810" s="50" t="str">
        <f>IF(OR(B810="",C810&lt;&gt;"Expense"),"",IF(E810&gt;IFERROR(AVERAGEIFS($E$8:$E$1007,$I$8:$I$1007,I810,$C$8:$C$1007,"Expense")*SETTINGS!$B$20,0),"Unusually High","Normal"))</f>
        <v/>
      </c>
      <c r="AC810" s="51"/>
      <c r="AD810" s="51"/>
      <c r="AE810" s="51"/>
      <c r="AF810" s="50" t="str">
        <f>IF(A810&lt;&gt;"Yes","No",IF(AND(AC810="Yes",SETTINGS!$B$16="No"),"No","Yes"))</f>
        <v>No</v>
      </c>
      <c r="AG810" s="50" t="str">
        <f>IF(A810&lt;&gt;"Yes","",IF(OR(B810="",D810="",E810&lt;=0,F810="",I810=""),"Check Required Fields",IF(AA810="Possible Duplicate","Possible Duplicate",IF(E810&gt;SETTINGS!$B$22,"Review Extreme Value","OK"))))</f>
        <v/>
      </c>
    </row>
    <row r="811" spans="1:33" ht="14.4">
      <c r="A811" s="9"/>
      <c r="B811" s="13"/>
      <c r="C811" s="9"/>
      <c r="D811" s="9"/>
      <c r="E811" s="11"/>
      <c r="F811" s="9"/>
      <c r="G811" s="9"/>
      <c r="H811" s="44" t="str">
        <f>IF(D811="","",IF(ISNUMBER(SEARCH(SETTINGS!$K$4,D811)),SETTINGS!$L$4,IF(ISNUMBER(SEARCH(SETTINGS!$K$5,D811)),SETTINGS!$L$5,IF(ISNUMBER(SEARCH(SETTINGS!$K$6,D811)),SETTINGS!$L$6,IF(ISNUMBER(SEARCH(SETTINGS!$K$7,D811)),SETTINGS!$L$7,IF(ISNUMBER(SEARCH(SETTINGS!$K$8,D811)),SETTINGS!$L$8,IF(ISNUMBER(SEARCH(SETTINGS!$K$9,D811)),SETTINGS!$L$9,IF(ISNUMBER(SEARCH(SETTINGS!$K$10,D811)),SETTINGS!$L$10,IF(ISNUMBER(SEARCH(SETTINGS!$K$11,D811)),SETTINGS!$L$11,IF(ISNUMBER(SEARCH(SETTINGS!$K$12,D811)),SETTINGS!$L$12,IF(ISNUMBER(SEARCH(SETTINGS!$K$13,D811)),SETTINGS!$L$13,IF(ISNUMBER(SEARCH(SETTINGS!$K$14,D811)),SETTINGS!$L$14,IF(ISNUMBER(SEARCH(SETTINGS!$K$15,D811)),SETTINGS!$L$15,IF(ISNUMBER(SEARCH(SETTINGS!$K$16,D811)),SETTINGS!$L$16,IF(ISNUMBER(SEARCH(SETTINGS!$K$17,D811)),SETTINGS!$L$17,IF(ISNUMBER(SEARCH(SETTINGS!$K$18,D811)),SETTINGS!$L$18,"Miscellaneous"))))))))))))))))</f>
        <v/>
      </c>
      <c r="I811" s="44" t="str">
        <f t="shared" si="96"/>
        <v/>
      </c>
      <c r="J811" s="9"/>
      <c r="K811" s="9"/>
      <c r="L811" s="9"/>
      <c r="M811" s="9"/>
      <c r="N811" s="9"/>
      <c r="O811" s="9"/>
      <c r="P811" s="13"/>
      <c r="Q811" s="9"/>
      <c r="R811" s="9"/>
      <c r="S811" s="9"/>
      <c r="T811" s="11"/>
      <c r="U811" s="44" t="str">
        <f t="shared" si="97"/>
        <v/>
      </c>
      <c r="V811" s="44" t="str">
        <f t="shared" si="98"/>
        <v/>
      </c>
      <c r="W811" s="44" t="str">
        <f t="shared" si="99"/>
        <v/>
      </c>
      <c r="X811" s="44" t="str">
        <f t="shared" si="100"/>
        <v/>
      </c>
      <c r="Y811" s="44" t="str">
        <f t="shared" si="101"/>
        <v/>
      </c>
      <c r="Z811" s="44" t="str">
        <f t="shared" si="102"/>
        <v/>
      </c>
      <c r="AA811" s="50" t="str">
        <f t="shared" si="103"/>
        <v/>
      </c>
      <c r="AB811" s="50" t="str">
        <f>IF(OR(B811="",C811&lt;&gt;"Expense"),"",IF(E811&gt;IFERROR(AVERAGEIFS($E$8:$E$1007,$I$8:$I$1007,I811,$C$8:$C$1007,"Expense")*SETTINGS!$B$20,0),"Unusually High","Normal"))</f>
        <v/>
      </c>
      <c r="AC811" s="51"/>
      <c r="AD811" s="51"/>
      <c r="AE811" s="51"/>
      <c r="AF811" s="50" t="str">
        <f>IF(A811&lt;&gt;"Yes","No",IF(AND(AC811="Yes",SETTINGS!$B$16="No"),"No","Yes"))</f>
        <v>No</v>
      </c>
      <c r="AG811" s="50" t="str">
        <f>IF(A811&lt;&gt;"Yes","",IF(OR(B811="",D811="",E811&lt;=0,F811="",I811=""),"Check Required Fields",IF(AA811="Possible Duplicate","Possible Duplicate",IF(E811&gt;SETTINGS!$B$22,"Review Extreme Value","OK"))))</f>
        <v/>
      </c>
    </row>
    <row r="812" spans="1:33" ht="14.4">
      <c r="A812" s="9"/>
      <c r="B812" s="13"/>
      <c r="C812" s="9"/>
      <c r="D812" s="9"/>
      <c r="E812" s="11"/>
      <c r="F812" s="9"/>
      <c r="G812" s="9"/>
      <c r="H812" s="44" t="str">
        <f>IF(D812="","",IF(ISNUMBER(SEARCH(SETTINGS!$K$4,D812)),SETTINGS!$L$4,IF(ISNUMBER(SEARCH(SETTINGS!$K$5,D812)),SETTINGS!$L$5,IF(ISNUMBER(SEARCH(SETTINGS!$K$6,D812)),SETTINGS!$L$6,IF(ISNUMBER(SEARCH(SETTINGS!$K$7,D812)),SETTINGS!$L$7,IF(ISNUMBER(SEARCH(SETTINGS!$K$8,D812)),SETTINGS!$L$8,IF(ISNUMBER(SEARCH(SETTINGS!$K$9,D812)),SETTINGS!$L$9,IF(ISNUMBER(SEARCH(SETTINGS!$K$10,D812)),SETTINGS!$L$10,IF(ISNUMBER(SEARCH(SETTINGS!$K$11,D812)),SETTINGS!$L$11,IF(ISNUMBER(SEARCH(SETTINGS!$K$12,D812)),SETTINGS!$L$12,IF(ISNUMBER(SEARCH(SETTINGS!$K$13,D812)),SETTINGS!$L$13,IF(ISNUMBER(SEARCH(SETTINGS!$K$14,D812)),SETTINGS!$L$14,IF(ISNUMBER(SEARCH(SETTINGS!$K$15,D812)),SETTINGS!$L$15,IF(ISNUMBER(SEARCH(SETTINGS!$K$16,D812)),SETTINGS!$L$16,IF(ISNUMBER(SEARCH(SETTINGS!$K$17,D812)),SETTINGS!$L$17,IF(ISNUMBER(SEARCH(SETTINGS!$K$18,D812)),SETTINGS!$L$18,"Miscellaneous"))))))))))))))))</f>
        <v/>
      </c>
      <c r="I812" s="44" t="str">
        <f t="shared" si="96"/>
        <v/>
      </c>
      <c r="J812" s="9"/>
      <c r="K812" s="9"/>
      <c r="L812" s="9"/>
      <c r="M812" s="9"/>
      <c r="N812" s="9"/>
      <c r="O812" s="9"/>
      <c r="P812" s="13"/>
      <c r="Q812" s="9"/>
      <c r="R812" s="9"/>
      <c r="S812" s="9"/>
      <c r="T812" s="11"/>
      <c r="U812" s="44" t="str">
        <f t="shared" si="97"/>
        <v/>
      </c>
      <c r="V812" s="44" t="str">
        <f t="shared" si="98"/>
        <v/>
      </c>
      <c r="W812" s="44" t="str">
        <f t="shared" si="99"/>
        <v/>
      </c>
      <c r="X812" s="44" t="str">
        <f t="shared" si="100"/>
        <v/>
      </c>
      <c r="Y812" s="44" t="str">
        <f t="shared" si="101"/>
        <v/>
      </c>
      <c r="Z812" s="44" t="str">
        <f t="shared" si="102"/>
        <v/>
      </c>
      <c r="AA812" s="50" t="str">
        <f t="shared" si="103"/>
        <v/>
      </c>
      <c r="AB812" s="50" t="str">
        <f>IF(OR(B812="",C812&lt;&gt;"Expense"),"",IF(E812&gt;IFERROR(AVERAGEIFS($E$8:$E$1007,$I$8:$I$1007,I812,$C$8:$C$1007,"Expense")*SETTINGS!$B$20,0),"Unusually High","Normal"))</f>
        <v/>
      </c>
      <c r="AC812" s="51"/>
      <c r="AD812" s="51"/>
      <c r="AE812" s="51"/>
      <c r="AF812" s="50" t="str">
        <f>IF(A812&lt;&gt;"Yes","No",IF(AND(AC812="Yes",SETTINGS!$B$16="No"),"No","Yes"))</f>
        <v>No</v>
      </c>
      <c r="AG812" s="50" t="str">
        <f>IF(A812&lt;&gt;"Yes","",IF(OR(B812="",D812="",E812&lt;=0,F812="",I812=""),"Check Required Fields",IF(AA812="Possible Duplicate","Possible Duplicate",IF(E812&gt;SETTINGS!$B$22,"Review Extreme Value","OK"))))</f>
        <v/>
      </c>
    </row>
    <row r="813" spans="1:33" ht="14.4">
      <c r="A813" s="9"/>
      <c r="B813" s="13"/>
      <c r="C813" s="9"/>
      <c r="D813" s="9"/>
      <c r="E813" s="11"/>
      <c r="F813" s="9"/>
      <c r="G813" s="9"/>
      <c r="H813" s="44" t="str">
        <f>IF(D813="","",IF(ISNUMBER(SEARCH(SETTINGS!$K$4,D813)),SETTINGS!$L$4,IF(ISNUMBER(SEARCH(SETTINGS!$K$5,D813)),SETTINGS!$L$5,IF(ISNUMBER(SEARCH(SETTINGS!$K$6,D813)),SETTINGS!$L$6,IF(ISNUMBER(SEARCH(SETTINGS!$K$7,D813)),SETTINGS!$L$7,IF(ISNUMBER(SEARCH(SETTINGS!$K$8,D813)),SETTINGS!$L$8,IF(ISNUMBER(SEARCH(SETTINGS!$K$9,D813)),SETTINGS!$L$9,IF(ISNUMBER(SEARCH(SETTINGS!$K$10,D813)),SETTINGS!$L$10,IF(ISNUMBER(SEARCH(SETTINGS!$K$11,D813)),SETTINGS!$L$11,IF(ISNUMBER(SEARCH(SETTINGS!$K$12,D813)),SETTINGS!$L$12,IF(ISNUMBER(SEARCH(SETTINGS!$K$13,D813)),SETTINGS!$L$13,IF(ISNUMBER(SEARCH(SETTINGS!$K$14,D813)),SETTINGS!$L$14,IF(ISNUMBER(SEARCH(SETTINGS!$K$15,D813)),SETTINGS!$L$15,IF(ISNUMBER(SEARCH(SETTINGS!$K$16,D813)),SETTINGS!$L$16,IF(ISNUMBER(SEARCH(SETTINGS!$K$17,D813)),SETTINGS!$L$17,IF(ISNUMBER(SEARCH(SETTINGS!$K$18,D813)),SETTINGS!$L$18,"Miscellaneous"))))))))))))))))</f>
        <v/>
      </c>
      <c r="I813" s="44" t="str">
        <f t="shared" si="96"/>
        <v/>
      </c>
      <c r="J813" s="9"/>
      <c r="K813" s="9"/>
      <c r="L813" s="9"/>
      <c r="M813" s="9"/>
      <c r="N813" s="9"/>
      <c r="O813" s="9"/>
      <c r="P813" s="13"/>
      <c r="Q813" s="9"/>
      <c r="R813" s="9"/>
      <c r="S813" s="9"/>
      <c r="T813" s="11"/>
      <c r="U813" s="44" t="str">
        <f t="shared" si="97"/>
        <v/>
      </c>
      <c r="V813" s="44" t="str">
        <f t="shared" si="98"/>
        <v/>
      </c>
      <c r="W813" s="44" t="str">
        <f t="shared" si="99"/>
        <v/>
      </c>
      <c r="X813" s="44" t="str">
        <f t="shared" si="100"/>
        <v/>
      </c>
      <c r="Y813" s="44" t="str">
        <f t="shared" si="101"/>
        <v/>
      </c>
      <c r="Z813" s="44" t="str">
        <f t="shared" si="102"/>
        <v/>
      </c>
      <c r="AA813" s="50" t="str">
        <f t="shared" si="103"/>
        <v/>
      </c>
      <c r="AB813" s="50" t="str">
        <f>IF(OR(B813="",C813&lt;&gt;"Expense"),"",IF(E813&gt;IFERROR(AVERAGEIFS($E$8:$E$1007,$I$8:$I$1007,I813,$C$8:$C$1007,"Expense")*SETTINGS!$B$20,0),"Unusually High","Normal"))</f>
        <v/>
      </c>
      <c r="AC813" s="51"/>
      <c r="AD813" s="51"/>
      <c r="AE813" s="51"/>
      <c r="AF813" s="50" t="str">
        <f>IF(A813&lt;&gt;"Yes","No",IF(AND(AC813="Yes",SETTINGS!$B$16="No"),"No","Yes"))</f>
        <v>No</v>
      </c>
      <c r="AG813" s="50" t="str">
        <f>IF(A813&lt;&gt;"Yes","",IF(OR(B813="",D813="",E813&lt;=0,F813="",I813=""),"Check Required Fields",IF(AA813="Possible Duplicate","Possible Duplicate",IF(E813&gt;SETTINGS!$B$22,"Review Extreme Value","OK"))))</f>
        <v/>
      </c>
    </row>
    <row r="814" spans="1:33" ht="14.4">
      <c r="A814" s="9"/>
      <c r="B814" s="13"/>
      <c r="C814" s="9"/>
      <c r="D814" s="9"/>
      <c r="E814" s="11"/>
      <c r="F814" s="9"/>
      <c r="G814" s="9"/>
      <c r="H814" s="44" t="str">
        <f>IF(D814="","",IF(ISNUMBER(SEARCH(SETTINGS!$K$4,D814)),SETTINGS!$L$4,IF(ISNUMBER(SEARCH(SETTINGS!$K$5,D814)),SETTINGS!$L$5,IF(ISNUMBER(SEARCH(SETTINGS!$K$6,D814)),SETTINGS!$L$6,IF(ISNUMBER(SEARCH(SETTINGS!$K$7,D814)),SETTINGS!$L$7,IF(ISNUMBER(SEARCH(SETTINGS!$K$8,D814)),SETTINGS!$L$8,IF(ISNUMBER(SEARCH(SETTINGS!$K$9,D814)),SETTINGS!$L$9,IF(ISNUMBER(SEARCH(SETTINGS!$K$10,D814)),SETTINGS!$L$10,IF(ISNUMBER(SEARCH(SETTINGS!$K$11,D814)),SETTINGS!$L$11,IF(ISNUMBER(SEARCH(SETTINGS!$K$12,D814)),SETTINGS!$L$12,IF(ISNUMBER(SEARCH(SETTINGS!$K$13,D814)),SETTINGS!$L$13,IF(ISNUMBER(SEARCH(SETTINGS!$K$14,D814)),SETTINGS!$L$14,IF(ISNUMBER(SEARCH(SETTINGS!$K$15,D814)),SETTINGS!$L$15,IF(ISNUMBER(SEARCH(SETTINGS!$K$16,D814)),SETTINGS!$L$16,IF(ISNUMBER(SEARCH(SETTINGS!$K$17,D814)),SETTINGS!$L$17,IF(ISNUMBER(SEARCH(SETTINGS!$K$18,D814)),SETTINGS!$L$18,"Miscellaneous"))))))))))))))))</f>
        <v/>
      </c>
      <c r="I814" s="44" t="str">
        <f t="shared" si="96"/>
        <v/>
      </c>
      <c r="J814" s="9"/>
      <c r="K814" s="9"/>
      <c r="L814" s="9"/>
      <c r="M814" s="9"/>
      <c r="N814" s="9"/>
      <c r="O814" s="9"/>
      <c r="P814" s="13"/>
      <c r="Q814" s="9"/>
      <c r="R814" s="9"/>
      <c r="S814" s="9"/>
      <c r="T814" s="11"/>
      <c r="U814" s="44" t="str">
        <f t="shared" si="97"/>
        <v/>
      </c>
      <c r="V814" s="44" t="str">
        <f t="shared" si="98"/>
        <v/>
      </c>
      <c r="W814" s="44" t="str">
        <f t="shared" si="99"/>
        <v/>
      </c>
      <c r="X814" s="44" t="str">
        <f t="shared" si="100"/>
        <v/>
      </c>
      <c r="Y814" s="44" t="str">
        <f t="shared" si="101"/>
        <v/>
      </c>
      <c r="Z814" s="44" t="str">
        <f t="shared" si="102"/>
        <v/>
      </c>
      <c r="AA814" s="50" t="str">
        <f t="shared" si="103"/>
        <v/>
      </c>
      <c r="AB814" s="50" t="str">
        <f>IF(OR(B814="",C814&lt;&gt;"Expense"),"",IF(E814&gt;IFERROR(AVERAGEIFS($E$8:$E$1007,$I$8:$I$1007,I814,$C$8:$C$1007,"Expense")*SETTINGS!$B$20,0),"Unusually High","Normal"))</f>
        <v/>
      </c>
      <c r="AC814" s="51"/>
      <c r="AD814" s="51"/>
      <c r="AE814" s="51"/>
      <c r="AF814" s="50" t="str">
        <f>IF(A814&lt;&gt;"Yes","No",IF(AND(AC814="Yes",SETTINGS!$B$16="No"),"No","Yes"))</f>
        <v>No</v>
      </c>
      <c r="AG814" s="50" t="str">
        <f>IF(A814&lt;&gt;"Yes","",IF(OR(B814="",D814="",E814&lt;=0,F814="",I814=""),"Check Required Fields",IF(AA814="Possible Duplicate","Possible Duplicate",IF(E814&gt;SETTINGS!$B$22,"Review Extreme Value","OK"))))</f>
        <v/>
      </c>
    </row>
    <row r="815" spans="1:33" ht="14.4">
      <c r="A815" s="9"/>
      <c r="B815" s="13"/>
      <c r="C815" s="9"/>
      <c r="D815" s="9"/>
      <c r="E815" s="11"/>
      <c r="F815" s="9"/>
      <c r="G815" s="9"/>
      <c r="H815" s="44" t="str">
        <f>IF(D815="","",IF(ISNUMBER(SEARCH(SETTINGS!$K$4,D815)),SETTINGS!$L$4,IF(ISNUMBER(SEARCH(SETTINGS!$K$5,D815)),SETTINGS!$L$5,IF(ISNUMBER(SEARCH(SETTINGS!$K$6,D815)),SETTINGS!$L$6,IF(ISNUMBER(SEARCH(SETTINGS!$K$7,D815)),SETTINGS!$L$7,IF(ISNUMBER(SEARCH(SETTINGS!$K$8,D815)),SETTINGS!$L$8,IF(ISNUMBER(SEARCH(SETTINGS!$K$9,D815)),SETTINGS!$L$9,IF(ISNUMBER(SEARCH(SETTINGS!$K$10,D815)),SETTINGS!$L$10,IF(ISNUMBER(SEARCH(SETTINGS!$K$11,D815)),SETTINGS!$L$11,IF(ISNUMBER(SEARCH(SETTINGS!$K$12,D815)),SETTINGS!$L$12,IF(ISNUMBER(SEARCH(SETTINGS!$K$13,D815)),SETTINGS!$L$13,IF(ISNUMBER(SEARCH(SETTINGS!$K$14,D815)),SETTINGS!$L$14,IF(ISNUMBER(SEARCH(SETTINGS!$K$15,D815)),SETTINGS!$L$15,IF(ISNUMBER(SEARCH(SETTINGS!$K$16,D815)),SETTINGS!$L$16,IF(ISNUMBER(SEARCH(SETTINGS!$K$17,D815)),SETTINGS!$L$17,IF(ISNUMBER(SEARCH(SETTINGS!$K$18,D815)),SETTINGS!$L$18,"Miscellaneous"))))))))))))))))</f>
        <v/>
      </c>
      <c r="I815" s="44" t="str">
        <f t="shared" si="96"/>
        <v/>
      </c>
      <c r="J815" s="9"/>
      <c r="K815" s="9"/>
      <c r="L815" s="9"/>
      <c r="M815" s="9"/>
      <c r="N815" s="9"/>
      <c r="O815" s="9"/>
      <c r="P815" s="13"/>
      <c r="Q815" s="9"/>
      <c r="R815" s="9"/>
      <c r="S815" s="9"/>
      <c r="T815" s="11"/>
      <c r="U815" s="44" t="str">
        <f t="shared" si="97"/>
        <v/>
      </c>
      <c r="V815" s="44" t="str">
        <f t="shared" si="98"/>
        <v/>
      </c>
      <c r="W815" s="44" t="str">
        <f t="shared" si="99"/>
        <v/>
      </c>
      <c r="X815" s="44" t="str">
        <f t="shared" si="100"/>
        <v/>
      </c>
      <c r="Y815" s="44" t="str">
        <f t="shared" si="101"/>
        <v/>
      </c>
      <c r="Z815" s="44" t="str">
        <f t="shared" si="102"/>
        <v/>
      </c>
      <c r="AA815" s="50" t="str">
        <f t="shared" si="103"/>
        <v/>
      </c>
      <c r="AB815" s="50" t="str">
        <f>IF(OR(B815="",C815&lt;&gt;"Expense"),"",IF(E815&gt;IFERROR(AVERAGEIFS($E$8:$E$1007,$I$8:$I$1007,I815,$C$8:$C$1007,"Expense")*SETTINGS!$B$20,0),"Unusually High","Normal"))</f>
        <v/>
      </c>
      <c r="AC815" s="51"/>
      <c r="AD815" s="51"/>
      <c r="AE815" s="51"/>
      <c r="AF815" s="50" t="str">
        <f>IF(A815&lt;&gt;"Yes","No",IF(AND(AC815="Yes",SETTINGS!$B$16="No"),"No","Yes"))</f>
        <v>No</v>
      </c>
      <c r="AG815" s="50" t="str">
        <f>IF(A815&lt;&gt;"Yes","",IF(OR(B815="",D815="",E815&lt;=0,F815="",I815=""),"Check Required Fields",IF(AA815="Possible Duplicate","Possible Duplicate",IF(E815&gt;SETTINGS!$B$22,"Review Extreme Value","OK"))))</f>
        <v/>
      </c>
    </row>
    <row r="816" spans="1:33" ht="14.4">
      <c r="A816" s="9"/>
      <c r="B816" s="13"/>
      <c r="C816" s="9"/>
      <c r="D816" s="9"/>
      <c r="E816" s="11"/>
      <c r="F816" s="9"/>
      <c r="G816" s="9"/>
      <c r="H816" s="44" t="str">
        <f>IF(D816="","",IF(ISNUMBER(SEARCH(SETTINGS!$K$4,D816)),SETTINGS!$L$4,IF(ISNUMBER(SEARCH(SETTINGS!$K$5,D816)),SETTINGS!$L$5,IF(ISNUMBER(SEARCH(SETTINGS!$K$6,D816)),SETTINGS!$L$6,IF(ISNUMBER(SEARCH(SETTINGS!$K$7,D816)),SETTINGS!$L$7,IF(ISNUMBER(SEARCH(SETTINGS!$K$8,D816)),SETTINGS!$L$8,IF(ISNUMBER(SEARCH(SETTINGS!$K$9,D816)),SETTINGS!$L$9,IF(ISNUMBER(SEARCH(SETTINGS!$K$10,D816)),SETTINGS!$L$10,IF(ISNUMBER(SEARCH(SETTINGS!$K$11,D816)),SETTINGS!$L$11,IF(ISNUMBER(SEARCH(SETTINGS!$K$12,D816)),SETTINGS!$L$12,IF(ISNUMBER(SEARCH(SETTINGS!$K$13,D816)),SETTINGS!$L$13,IF(ISNUMBER(SEARCH(SETTINGS!$K$14,D816)),SETTINGS!$L$14,IF(ISNUMBER(SEARCH(SETTINGS!$K$15,D816)),SETTINGS!$L$15,IF(ISNUMBER(SEARCH(SETTINGS!$K$16,D816)),SETTINGS!$L$16,IF(ISNUMBER(SEARCH(SETTINGS!$K$17,D816)),SETTINGS!$L$17,IF(ISNUMBER(SEARCH(SETTINGS!$K$18,D816)),SETTINGS!$L$18,"Miscellaneous"))))))))))))))))</f>
        <v/>
      </c>
      <c r="I816" s="44" t="str">
        <f t="shared" si="96"/>
        <v/>
      </c>
      <c r="J816" s="9"/>
      <c r="K816" s="9"/>
      <c r="L816" s="9"/>
      <c r="M816" s="9"/>
      <c r="N816" s="9"/>
      <c r="O816" s="9"/>
      <c r="P816" s="13"/>
      <c r="Q816" s="9"/>
      <c r="R816" s="9"/>
      <c r="S816" s="9"/>
      <c r="T816" s="11"/>
      <c r="U816" s="44" t="str">
        <f t="shared" si="97"/>
        <v/>
      </c>
      <c r="V816" s="44" t="str">
        <f t="shared" si="98"/>
        <v/>
      </c>
      <c r="W816" s="44" t="str">
        <f t="shared" si="99"/>
        <v/>
      </c>
      <c r="X816" s="44" t="str">
        <f t="shared" si="100"/>
        <v/>
      </c>
      <c r="Y816" s="44" t="str">
        <f t="shared" si="101"/>
        <v/>
      </c>
      <c r="Z816" s="44" t="str">
        <f t="shared" si="102"/>
        <v/>
      </c>
      <c r="AA816" s="50" t="str">
        <f t="shared" si="103"/>
        <v/>
      </c>
      <c r="AB816" s="50" t="str">
        <f>IF(OR(B816="",C816&lt;&gt;"Expense"),"",IF(E816&gt;IFERROR(AVERAGEIFS($E$8:$E$1007,$I$8:$I$1007,I816,$C$8:$C$1007,"Expense")*SETTINGS!$B$20,0),"Unusually High","Normal"))</f>
        <v/>
      </c>
      <c r="AC816" s="51"/>
      <c r="AD816" s="51"/>
      <c r="AE816" s="51"/>
      <c r="AF816" s="50" t="str">
        <f>IF(A816&lt;&gt;"Yes","No",IF(AND(AC816="Yes",SETTINGS!$B$16="No"),"No","Yes"))</f>
        <v>No</v>
      </c>
      <c r="AG816" s="50" t="str">
        <f>IF(A816&lt;&gt;"Yes","",IF(OR(B816="",D816="",E816&lt;=0,F816="",I816=""),"Check Required Fields",IF(AA816="Possible Duplicate","Possible Duplicate",IF(E816&gt;SETTINGS!$B$22,"Review Extreme Value","OK"))))</f>
        <v/>
      </c>
    </row>
    <row r="817" spans="1:33" ht="14.4">
      <c r="A817" s="9"/>
      <c r="B817" s="13"/>
      <c r="C817" s="9"/>
      <c r="D817" s="9"/>
      <c r="E817" s="11"/>
      <c r="F817" s="9"/>
      <c r="G817" s="9"/>
      <c r="H817" s="44" t="str">
        <f>IF(D817="","",IF(ISNUMBER(SEARCH(SETTINGS!$K$4,D817)),SETTINGS!$L$4,IF(ISNUMBER(SEARCH(SETTINGS!$K$5,D817)),SETTINGS!$L$5,IF(ISNUMBER(SEARCH(SETTINGS!$K$6,D817)),SETTINGS!$L$6,IF(ISNUMBER(SEARCH(SETTINGS!$K$7,D817)),SETTINGS!$L$7,IF(ISNUMBER(SEARCH(SETTINGS!$K$8,D817)),SETTINGS!$L$8,IF(ISNUMBER(SEARCH(SETTINGS!$K$9,D817)),SETTINGS!$L$9,IF(ISNUMBER(SEARCH(SETTINGS!$K$10,D817)),SETTINGS!$L$10,IF(ISNUMBER(SEARCH(SETTINGS!$K$11,D817)),SETTINGS!$L$11,IF(ISNUMBER(SEARCH(SETTINGS!$K$12,D817)),SETTINGS!$L$12,IF(ISNUMBER(SEARCH(SETTINGS!$K$13,D817)),SETTINGS!$L$13,IF(ISNUMBER(SEARCH(SETTINGS!$K$14,D817)),SETTINGS!$L$14,IF(ISNUMBER(SEARCH(SETTINGS!$K$15,D817)),SETTINGS!$L$15,IF(ISNUMBER(SEARCH(SETTINGS!$K$16,D817)),SETTINGS!$L$16,IF(ISNUMBER(SEARCH(SETTINGS!$K$17,D817)),SETTINGS!$L$17,IF(ISNUMBER(SEARCH(SETTINGS!$K$18,D817)),SETTINGS!$L$18,"Miscellaneous"))))))))))))))))</f>
        <v/>
      </c>
      <c r="I817" s="44" t="str">
        <f t="shared" si="96"/>
        <v/>
      </c>
      <c r="J817" s="9"/>
      <c r="K817" s="9"/>
      <c r="L817" s="9"/>
      <c r="M817" s="9"/>
      <c r="N817" s="9"/>
      <c r="O817" s="9"/>
      <c r="P817" s="13"/>
      <c r="Q817" s="9"/>
      <c r="R817" s="9"/>
      <c r="S817" s="9"/>
      <c r="T817" s="11"/>
      <c r="U817" s="44" t="str">
        <f t="shared" si="97"/>
        <v/>
      </c>
      <c r="V817" s="44" t="str">
        <f t="shared" si="98"/>
        <v/>
      </c>
      <c r="W817" s="44" t="str">
        <f t="shared" si="99"/>
        <v/>
      </c>
      <c r="X817" s="44" t="str">
        <f t="shared" si="100"/>
        <v/>
      </c>
      <c r="Y817" s="44" t="str">
        <f t="shared" si="101"/>
        <v/>
      </c>
      <c r="Z817" s="44" t="str">
        <f t="shared" si="102"/>
        <v/>
      </c>
      <c r="AA817" s="50" t="str">
        <f t="shared" si="103"/>
        <v/>
      </c>
      <c r="AB817" s="50" t="str">
        <f>IF(OR(B817="",C817&lt;&gt;"Expense"),"",IF(E817&gt;IFERROR(AVERAGEIFS($E$8:$E$1007,$I$8:$I$1007,I817,$C$8:$C$1007,"Expense")*SETTINGS!$B$20,0),"Unusually High","Normal"))</f>
        <v/>
      </c>
      <c r="AC817" s="51"/>
      <c r="AD817" s="51"/>
      <c r="AE817" s="51"/>
      <c r="AF817" s="50" t="str">
        <f>IF(A817&lt;&gt;"Yes","No",IF(AND(AC817="Yes",SETTINGS!$B$16="No"),"No","Yes"))</f>
        <v>No</v>
      </c>
      <c r="AG817" s="50" t="str">
        <f>IF(A817&lt;&gt;"Yes","",IF(OR(B817="",D817="",E817&lt;=0,F817="",I817=""),"Check Required Fields",IF(AA817="Possible Duplicate","Possible Duplicate",IF(E817&gt;SETTINGS!$B$22,"Review Extreme Value","OK"))))</f>
        <v/>
      </c>
    </row>
    <row r="818" spans="1:33" ht="14.4">
      <c r="A818" s="9"/>
      <c r="B818" s="13"/>
      <c r="C818" s="9"/>
      <c r="D818" s="9"/>
      <c r="E818" s="11"/>
      <c r="F818" s="9"/>
      <c r="G818" s="9"/>
      <c r="H818" s="44" t="str">
        <f>IF(D818="","",IF(ISNUMBER(SEARCH(SETTINGS!$K$4,D818)),SETTINGS!$L$4,IF(ISNUMBER(SEARCH(SETTINGS!$K$5,D818)),SETTINGS!$L$5,IF(ISNUMBER(SEARCH(SETTINGS!$K$6,D818)),SETTINGS!$L$6,IF(ISNUMBER(SEARCH(SETTINGS!$K$7,D818)),SETTINGS!$L$7,IF(ISNUMBER(SEARCH(SETTINGS!$K$8,D818)),SETTINGS!$L$8,IF(ISNUMBER(SEARCH(SETTINGS!$K$9,D818)),SETTINGS!$L$9,IF(ISNUMBER(SEARCH(SETTINGS!$K$10,D818)),SETTINGS!$L$10,IF(ISNUMBER(SEARCH(SETTINGS!$K$11,D818)),SETTINGS!$L$11,IF(ISNUMBER(SEARCH(SETTINGS!$K$12,D818)),SETTINGS!$L$12,IF(ISNUMBER(SEARCH(SETTINGS!$K$13,D818)),SETTINGS!$L$13,IF(ISNUMBER(SEARCH(SETTINGS!$K$14,D818)),SETTINGS!$L$14,IF(ISNUMBER(SEARCH(SETTINGS!$K$15,D818)),SETTINGS!$L$15,IF(ISNUMBER(SEARCH(SETTINGS!$K$16,D818)),SETTINGS!$L$16,IF(ISNUMBER(SEARCH(SETTINGS!$K$17,D818)),SETTINGS!$L$17,IF(ISNUMBER(SEARCH(SETTINGS!$K$18,D818)),SETTINGS!$L$18,"Miscellaneous"))))))))))))))))</f>
        <v/>
      </c>
      <c r="I818" s="44" t="str">
        <f t="shared" si="96"/>
        <v/>
      </c>
      <c r="J818" s="9"/>
      <c r="K818" s="9"/>
      <c r="L818" s="9"/>
      <c r="M818" s="9"/>
      <c r="N818" s="9"/>
      <c r="O818" s="9"/>
      <c r="P818" s="13"/>
      <c r="Q818" s="9"/>
      <c r="R818" s="9"/>
      <c r="S818" s="9"/>
      <c r="T818" s="11"/>
      <c r="U818" s="44" t="str">
        <f t="shared" si="97"/>
        <v/>
      </c>
      <c r="V818" s="44" t="str">
        <f t="shared" si="98"/>
        <v/>
      </c>
      <c r="W818" s="44" t="str">
        <f t="shared" si="99"/>
        <v/>
      </c>
      <c r="X818" s="44" t="str">
        <f t="shared" si="100"/>
        <v/>
      </c>
      <c r="Y818" s="44" t="str">
        <f t="shared" si="101"/>
        <v/>
      </c>
      <c r="Z818" s="44" t="str">
        <f t="shared" si="102"/>
        <v/>
      </c>
      <c r="AA818" s="50" t="str">
        <f t="shared" si="103"/>
        <v/>
      </c>
      <c r="AB818" s="50" t="str">
        <f>IF(OR(B818="",C818&lt;&gt;"Expense"),"",IF(E818&gt;IFERROR(AVERAGEIFS($E$8:$E$1007,$I$8:$I$1007,I818,$C$8:$C$1007,"Expense")*SETTINGS!$B$20,0),"Unusually High","Normal"))</f>
        <v/>
      </c>
      <c r="AC818" s="51"/>
      <c r="AD818" s="51"/>
      <c r="AE818" s="51"/>
      <c r="AF818" s="50" t="str">
        <f>IF(A818&lt;&gt;"Yes","No",IF(AND(AC818="Yes",SETTINGS!$B$16="No"),"No","Yes"))</f>
        <v>No</v>
      </c>
      <c r="AG818" s="50" t="str">
        <f>IF(A818&lt;&gt;"Yes","",IF(OR(B818="",D818="",E818&lt;=0,F818="",I818=""),"Check Required Fields",IF(AA818="Possible Duplicate","Possible Duplicate",IF(E818&gt;SETTINGS!$B$22,"Review Extreme Value","OK"))))</f>
        <v/>
      </c>
    </row>
    <row r="819" spans="1:33" ht="14.4">
      <c r="A819" s="9"/>
      <c r="B819" s="13"/>
      <c r="C819" s="9"/>
      <c r="D819" s="9"/>
      <c r="E819" s="11"/>
      <c r="F819" s="9"/>
      <c r="G819" s="9"/>
      <c r="H819" s="44" t="str">
        <f>IF(D819="","",IF(ISNUMBER(SEARCH(SETTINGS!$K$4,D819)),SETTINGS!$L$4,IF(ISNUMBER(SEARCH(SETTINGS!$K$5,D819)),SETTINGS!$L$5,IF(ISNUMBER(SEARCH(SETTINGS!$K$6,D819)),SETTINGS!$L$6,IF(ISNUMBER(SEARCH(SETTINGS!$K$7,D819)),SETTINGS!$L$7,IF(ISNUMBER(SEARCH(SETTINGS!$K$8,D819)),SETTINGS!$L$8,IF(ISNUMBER(SEARCH(SETTINGS!$K$9,D819)),SETTINGS!$L$9,IF(ISNUMBER(SEARCH(SETTINGS!$K$10,D819)),SETTINGS!$L$10,IF(ISNUMBER(SEARCH(SETTINGS!$K$11,D819)),SETTINGS!$L$11,IF(ISNUMBER(SEARCH(SETTINGS!$K$12,D819)),SETTINGS!$L$12,IF(ISNUMBER(SEARCH(SETTINGS!$K$13,D819)),SETTINGS!$L$13,IF(ISNUMBER(SEARCH(SETTINGS!$K$14,D819)),SETTINGS!$L$14,IF(ISNUMBER(SEARCH(SETTINGS!$K$15,D819)),SETTINGS!$L$15,IF(ISNUMBER(SEARCH(SETTINGS!$K$16,D819)),SETTINGS!$L$16,IF(ISNUMBER(SEARCH(SETTINGS!$K$17,D819)),SETTINGS!$L$17,IF(ISNUMBER(SEARCH(SETTINGS!$K$18,D819)),SETTINGS!$L$18,"Miscellaneous"))))))))))))))))</f>
        <v/>
      </c>
      <c r="I819" s="44" t="str">
        <f t="shared" si="96"/>
        <v/>
      </c>
      <c r="J819" s="9"/>
      <c r="K819" s="9"/>
      <c r="L819" s="9"/>
      <c r="M819" s="9"/>
      <c r="N819" s="9"/>
      <c r="O819" s="9"/>
      <c r="P819" s="13"/>
      <c r="Q819" s="9"/>
      <c r="R819" s="9"/>
      <c r="S819" s="9"/>
      <c r="T819" s="11"/>
      <c r="U819" s="44" t="str">
        <f t="shared" si="97"/>
        <v/>
      </c>
      <c r="V819" s="44" t="str">
        <f t="shared" si="98"/>
        <v/>
      </c>
      <c r="W819" s="44" t="str">
        <f t="shared" si="99"/>
        <v/>
      </c>
      <c r="X819" s="44" t="str">
        <f t="shared" si="100"/>
        <v/>
      </c>
      <c r="Y819" s="44" t="str">
        <f t="shared" si="101"/>
        <v/>
      </c>
      <c r="Z819" s="44" t="str">
        <f t="shared" si="102"/>
        <v/>
      </c>
      <c r="AA819" s="50" t="str">
        <f t="shared" si="103"/>
        <v/>
      </c>
      <c r="AB819" s="50" t="str">
        <f>IF(OR(B819="",C819&lt;&gt;"Expense"),"",IF(E819&gt;IFERROR(AVERAGEIFS($E$8:$E$1007,$I$8:$I$1007,I819,$C$8:$C$1007,"Expense")*SETTINGS!$B$20,0),"Unusually High","Normal"))</f>
        <v/>
      </c>
      <c r="AC819" s="51"/>
      <c r="AD819" s="51"/>
      <c r="AE819" s="51"/>
      <c r="AF819" s="50" t="str">
        <f>IF(A819&lt;&gt;"Yes","No",IF(AND(AC819="Yes",SETTINGS!$B$16="No"),"No","Yes"))</f>
        <v>No</v>
      </c>
      <c r="AG819" s="50" t="str">
        <f>IF(A819&lt;&gt;"Yes","",IF(OR(B819="",D819="",E819&lt;=0,F819="",I819=""),"Check Required Fields",IF(AA819="Possible Duplicate","Possible Duplicate",IF(E819&gt;SETTINGS!$B$22,"Review Extreme Value","OK"))))</f>
        <v/>
      </c>
    </row>
    <row r="820" spans="1:33" ht="14.4">
      <c r="A820" s="9"/>
      <c r="B820" s="13"/>
      <c r="C820" s="9"/>
      <c r="D820" s="9"/>
      <c r="E820" s="11"/>
      <c r="F820" s="9"/>
      <c r="G820" s="9"/>
      <c r="H820" s="44" t="str">
        <f>IF(D820="","",IF(ISNUMBER(SEARCH(SETTINGS!$K$4,D820)),SETTINGS!$L$4,IF(ISNUMBER(SEARCH(SETTINGS!$K$5,D820)),SETTINGS!$L$5,IF(ISNUMBER(SEARCH(SETTINGS!$K$6,D820)),SETTINGS!$L$6,IF(ISNUMBER(SEARCH(SETTINGS!$K$7,D820)),SETTINGS!$L$7,IF(ISNUMBER(SEARCH(SETTINGS!$K$8,D820)),SETTINGS!$L$8,IF(ISNUMBER(SEARCH(SETTINGS!$K$9,D820)),SETTINGS!$L$9,IF(ISNUMBER(SEARCH(SETTINGS!$K$10,D820)),SETTINGS!$L$10,IF(ISNUMBER(SEARCH(SETTINGS!$K$11,D820)),SETTINGS!$L$11,IF(ISNUMBER(SEARCH(SETTINGS!$K$12,D820)),SETTINGS!$L$12,IF(ISNUMBER(SEARCH(SETTINGS!$K$13,D820)),SETTINGS!$L$13,IF(ISNUMBER(SEARCH(SETTINGS!$K$14,D820)),SETTINGS!$L$14,IF(ISNUMBER(SEARCH(SETTINGS!$K$15,D820)),SETTINGS!$L$15,IF(ISNUMBER(SEARCH(SETTINGS!$K$16,D820)),SETTINGS!$L$16,IF(ISNUMBER(SEARCH(SETTINGS!$K$17,D820)),SETTINGS!$L$17,IF(ISNUMBER(SEARCH(SETTINGS!$K$18,D820)),SETTINGS!$L$18,"Miscellaneous"))))))))))))))))</f>
        <v/>
      </c>
      <c r="I820" s="44" t="str">
        <f t="shared" si="96"/>
        <v/>
      </c>
      <c r="J820" s="9"/>
      <c r="K820" s="9"/>
      <c r="L820" s="9"/>
      <c r="M820" s="9"/>
      <c r="N820" s="9"/>
      <c r="O820" s="9"/>
      <c r="P820" s="13"/>
      <c r="Q820" s="9"/>
      <c r="R820" s="9"/>
      <c r="S820" s="9"/>
      <c r="T820" s="11"/>
      <c r="U820" s="44" t="str">
        <f t="shared" si="97"/>
        <v/>
      </c>
      <c r="V820" s="44" t="str">
        <f t="shared" si="98"/>
        <v/>
      </c>
      <c r="W820" s="44" t="str">
        <f t="shared" si="99"/>
        <v/>
      </c>
      <c r="X820" s="44" t="str">
        <f t="shared" si="100"/>
        <v/>
      </c>
      <c r="Y820" s="44" t="str">
        <f t="shared" si="101"/>
        <v/>
      </c>
      <c r="Z820" s="44" t="str">
        <f t="shared" si="102"/>
        <v/>
      </c>
      <c r="AA820" s="50" t="str">
        <f t="shared" si="103"/>
        <v/>
      </c>
      <c r="AB820" s="50" t="str">
        <f>IF(OR(B820="",C820&lt;&gt;"Expense"),"",IF(E820&gt;IFERROR(AVERAGEIFS($E$8:$E$1007,$I$8:$I$1007,I820,$C$8:$C$1007,"Expense")*SETTINGS!$B$20,0),"Unusually High","Normal"))</f>
        <v/>
      </c>
      <c r="AC820" s="51"/>
      <c r="AD820" s="51"/>
      <c r="AE820" s="51"/>
      <c r="AF820" s="50" t="str">
        <f>IF(A820&lt;&gt;"Yes","No",IF(AND(AC820="Yes",SETTINGS!$B$16="No"),"No","Yes"))</f>
        <v>No</v>
      </c>
      <c r="AG820" s="50" t="str">
        <f>IF(A820&lt;&gt;"Yes","",IF(OR(B820="",D820="",E820&lt;=0,F820="",I820=""),"Check Required Fields",IF(AA820="Possible Duplicate","Possible Duplicate",IF(E820&gt;SETTINGS!$B$22,"Review Extreme Value","OK"))))</f>
        <v/>
      </c>
    </row>
    <row r="821" spans="1:33" ht="14.4">
      <c r="A821" s="9"/>
      <c r="B821" s="13"/>
      <c r="C821" s="9"/>
      <c r="D821" s="9"/>
      <c r="E821" s="11"/>
      <c r="F821" s="9"/>
      <c r="G821" s="9"/>
      <c r="H821" s="44" t="str">
        <f>IF(D821="","",IF(ISNUMBER(SEARCH(SETTINGS!$K$4,D821)),SETTINGS!$L$4,IF(ISNUMBER(SEARCH(SETTINGS!$K$5,D821)),SETTINGS!$L$5,IF(ISNUMBER(SEARCH(SETTINGS!$K$6,D821)),SETTINGS!$L$6,IF(ISNUMBER(SEARCH(SETTINGS!$K$7,D821)),SETTINGS!$L$7,IF(ISNUMBER(SEARCH(SETTINGS!$K$8,D821)),SETTINGS!$L$8,IF(ISNUMBER(SEARCH(SETTINGS!$K$9,D821)),SETTINGS!$L$9,IF(ISNUMBER(SEARCH(SETTINGS!$K$10,D821)),SETTINGS!$L$10,IF(ISNUMBER(SEARCH(SETTINGS!$K$11,D821)),SETTINGS!$L$11,IF(ISNUMBER(SEARCH(SETTINGS!$K$12,D821)),SETTINGS!$L$12,IF(ISNUMBER(SEARCH(SETTINGS!$K$13,D821)),SETTINGS!$L$13,IF(ISNUMBER(SEARCH(SETTINGS!$K$14,D821)),SETTINGS!$L$14,IF(ISNUMBER(SEARCH(SETTINGS!$K$15,D821)),SETTINGS!$L$15,IF(ISNUMBER(SEARCH(SETTINGS!$K$16,D821)),SETTINGS!$L$16,IF(ISNUMBER(SEARCH(SETTINGS!$K$17,D821)),SETTINGS!$L$17,IF(ISNUMBER(SEARCH(SETTINGS!$K$18,D821)),SETTINGS!$L$18,"Miscellaneous"))))))))))))))))</f>
        <v/>
      </c>
      <c r="I821" s="44" t="str">
        <f t="shared" si="96"/>
        <v/>
      </c>
      <c r="J821" s="9"/>
      <c r="K821" s="9"/>
      <c r="L821" s="9"/>
      <c r="M821" s="9"/>
      <c r="N821" s="9"/>
      <c r="O821" s="9"/>
      <c r="P821" s="13"/>
      <c r="Q821" s="9"/>
      <c r="R821" s="9"/>
      <c r="S821" s="9"/>
      <c r="T821" s="11"/>
      <c r="U821" s="44" t="str">
        <f t="shared" si="97"/>
        <v/>
      </c>
      <c r="V821" s="44" t="str">
        <f t="shared" si="98"/>
        <v/>
      </c>
      <c r="W821" s="44" t="str">
        <f t="shared" si="99"/>
        <v/>
      </c>
      <c r="X821" s="44" t="str">
        <f t="shared" si="100"/>
        <v/>
      </c>
      <c r="Y821" s="44" t="str">
        <f t="shared" si="101"/>
        <v/>
      </c>
      <c r="Z821" s="44" t="str">
        <f t="shared" si="102"/>
        <v/>
      </c>
      <c r="AA821" s="50" t="str">
        <f t="shared" si="103"/>
        <v/>
      </c>
      <c r="AB821" s="50" t="str">
        <f>IF(OR(B821="",C821&lt;&gt;"Expense"),"",IF(E821&gt;IFERROR(AVERAGEIFS($E$8:$E$1007,$I$8:$I$1007,I821,$C$8:$C$1007,"Expense")*SETTINGS!$B$20,0),"Unusually High","Normal"))</f>
        <v/>
      </c>
      <c r="AC821" s="51"/>
      <c r="AD821" s="51"/>
      <c r="AE821" s="51"/>
      <c r="AF821" s="50" t="str">
        <f>IF(A821&lt;&gt;"Yes","No",IF(AND(AC821="Yes",SETTINGS!$B$16="No"),"No","Yes"))</f>
        <v>No</v>
      </c>
      <c r="AG821" s="50" t="str">
        <f>IF(A821&lt;&gt;"Yes","",IF(OR(B821="",D821="",E821&lt;=0,F821="",I821=""),"Check Required Fields",IF(AA821="Possible Duplicate","Possible Duplicate",IF(E821&gt;SETTINGS!$B$22,"Review Extreme Value","OK"))))</f>
        <v/>
      </c>
    </row>
    <row r="822" spans="1:33" ht="14.4">
      <c r="A822" s="9"/>
      <c r="B822" s="13"/>
      <c r="C822" s="9"/>
      <c r="D822" s="9"/>
      <c r="E822" s="11"/>
      <c r="F822" s="9"/>
      <c r="G822" s="9"/>
      <c r="H822" s="44" t="str">
        <f>IF(D822="","",IF(ISNUMBER(SEARCH(SETTINGS!$K$4,D822)),SETTINGS!$L$4,IF(ISNUMBER(SEARCH(SETTINGS!$K$5,D822)),SETTINGS!$L$5,IF(ISNUMBER(SEARCH(SETTINGS!$K$6,D822)),SETTINGS!$L$6,IF(ISNUMBER(SEARCH(SETTINGS!$K$7,D822)),SETTINGS!$L$7,IF(ISNUMBER(SEARCH(SETTINGS!$K$8,D822)),SETTINGS!$L$8,IF(ISNUMBER(SEARCH(SETTINGS!$K$9,D822)),SETTINGS!$L$9,IF(ISNUMBER(SEARCH(SETTINGS!$K$10,D822)),SETTINGS!$L$10,IF(ISNUMBER(SEARCH(SETTINGS!$K$11,D822)),SETTINGS!$L$11,IF(ISNUMBER(SEARCH(SETTINGS!$K$12,D822)),SETTINGS!$L$12,IF(ISNUMBER(SEARCH(SETTINGS!$K$13,D822)),SETTINGS!$L$13,IF(ISNUMBER(SEARCH(SETTINGS!$K$14,D822)),SETTINGS!$L$14,IF(ISNUMBER(SEARCH(SETTINGS!$K$15,D822)),SETTINGS!$L$15,IF(ISNUMBER(SEARCH(SETTINGS!$K$16,D822)),SETTINGS!$L$16,IF(ISNUMBER(SEARCH(SETTINGS!$K$17,D822)),SETTINGS!$L$17,IF(ISNUMBER(SEARCH(SETTINGS!$K$18,D822)),SETTINGS!$L$18,"Miscellaneous"))))))))))))))))</f>
        <v/>
      </c>
      <c r="I822" s="44" t="str">
        <f t="shared" si="96"/>
        <v/>
      </c>
      <c r="J822" s="9"/>
      <c r="K822" s="9"/>
      <c r="L822" s="9"/>
      <c r="M822" s="9"/>
      <c r="N822" s="9"/>
      <c r="O822" s="9"/>
      <c r="P822" s="13"/>
      <c r="Q822" s="9"/>
      <c r="R822" s="9"/>
      <c r="S822" s="9"/>
      <c r="T822" s="11"/>
      <c r="U822" s="44" t="str">
        <f t="shared" si="97"/>
        <v/>
      </c>
      <c r="V822" s="44" t="str">
        <f t="shared" si="98"/>
        <v/>
      </c>
      <c r="W822" s="44" t="str">
        <f t="shared" si="99"/>
        <v/>
      </c>
      <c r="X822" s="44" t="str">
        <f t="shared" si="100"/>
        <v/>
      </c>
      <c r="Y822" s="44" t="str">
        <f t="shared" si="101"/>
        <v/>
      </c>
      <c r="Z822" s="44" t="str">
        <f t="shared" si="102"/>
        <v/>
      </c>
      <c r="AA822" s="50" t="str">
        <f t="shared" si="103"/>
        <v/>
      </c>
      <c r="AB822" s="50" t="str">
        <f>IF(OR(B822="",C822&lt;&gt;"Expense"),"",IF(E822&gt;IFERROR(AVERAGEIFS($E$8:$E$1007,$I$8:$I$1007,I822,$C$8:$C$1007,"Expense")*SETTINGS!$B$20,0),"Unusually High","Normal"))</f>
        <v/>
      </c>
      <c r="AC822" s="51"/>
      <c r="AD822" s="51"/>
      <c r="AE822" s="51"/>
      <c r="AF822" s="50" t="str">
        <f>IF(A822&lt;&gt;"Yes","No",IF(AND(AC822="Yes",SETTINGS!$B$16="No"),"No","Yes"))</f>
        <v>No</v>
      </c>
      <c r="AG822" s="50" t="str">
        <f>IF(A822&lt;&gt;"Yes","",IF(OR(B822="",D822="",E822&lt;=0,F822="",I822=""),"Check Required Fields",IF(AA822="Possible Duplicate","Possible Duplicate",IF(E822&gt;SETTINGS!$B$22,"Review Extreme Value","OK"))))</f>
        <v/>
      </c>
    </row>
    <row r="823" spans="1:33" ht="14.4">
      <c r="A823" s="9"/>
      <c r="B823" s="13"/>
      <c r="C823" s="9"/>
      <c r="D823" s="9"/>
      <c r="E823" s="11"/>
      <c r="F823" s="9"/>
      <c r="G823" s="9"/>
      <c r="H823" s="44" t="str">
        <f>IF(D823="","",IF(ISNUMBER(SEARCH(SETTINGS!$K$4,D823)),SETTINGS!$L$4,IF(ISNUMBER(SEARCH(SETTINGS!$K$5,D823)),SETTINGS!$L$5,IF(ISNUMBER(SEARCH(SETTINGS!$K$6,D823)),SETTINGS!$L$6,IF(ISNUMBER(SEARCH(SETTINGS!$K$7,D823)),SETTINGS!$L$7,IF(ISNUMBER(SEARCH(SETTINGS!$K$8,D823)),SETTINGS!$L$8,IF(ISNUMBER(SEARCH(SETTINGS!$K$9,D823)),SETTINGS!$L$9,IF(ISNUMBER(SEARCH(SETTINGS!$K$10,D823)),SETTINGS!$L$10,IF(ISNUMBER(SEARCH(SETTINGS!$K$11,D823)),SETTINGS!$L$11,IF(ISNUMBER(SEARCH(SETTINGS!$K$12,D823)),SETTINGS!$L$12,IF(ISNUMBER(SEARCH(SETTINGS!$K$13,D823)),SETTINGS!$L$13,IF(ISNUMBER(SEARCH(SETTINGS!$K$14,D823)),SETTINGS!$L$14,IF(ISNUMBER(SEARCH(SETTINGS!$K$15,D823)),SETTINGS!$L$15,IF(ISNUMBER(SEARCH(SETTINGS!$K$16,D823)),SETTINGS!$L$16,IF(ISNUMBER(SEARCH(SETTINGS!$K$17,D823)),SETTINGS!$L$17,IF(ISNUMBER(SEARCH(SETTINGS!$K$18,D823)),SETTINGS!$L$18,"Miscellaneous"))))))))))))))))</f>
        <v/>
      </c>
      <c r="I823" s="44" t="str">
        <f t="shared" si="96"/>
        <v/>
      </c>
      <c r="J823" s="9"/>
      <c r="K823" s="9"/>
      <c r="L823" s="9"/>
      <c r="M823" s="9"/>
      <c r="N823" s="9"/>
      <c r="O823" s="9"/>
      <c r="P823" s="13"/>
      <c r="Q823" s="9"/>
      <c r="R823" s="9"/>
      <c r="S823" s="9"/>
      <c r="T823" s="11"/>
      <c r="U823" s="44" t="str">
        <f t="shared" si="97"/>
        <v/>
      </c>
      <c r="V823" s="44" t="str">
        <f t="shared" si="98"/>
        <v/>
      </c>
      <c r="W823" s="44" t="str">
        <f t="shared" si="99"/>
        <v/>
      </c>
      <c r="X823" s="44" t="str">
        <f t="shared" si="100"/>
        <v/>
      </c>
      <c r="Y823" s="44" t="str">
        <f t="shared" si="101"/>
        <v/>
      </c>
      <c r="Z823" s="44" t="str">
        <f t="shared" si="102"/>
        <v/>
      </c>
      <c r="AA823" s="50" t="str">
        <f t="shared" si="103"/>
        <v/>
      </c>
      <c r="AB823" s="50" t="str">
        <f>IF(OR(B823="",C823&lt;&gt;"Expense"),"",IF(E823&gt;IFERROR(AVERAGEIFS($E$8:$E$1007,$I$8:$I$1007,I823,$C$8:$C$1007,"Expense")*SETTINGS!$B$20,0),"Unusually High","Normal"))</f>
        <v/>
      </c>
      <c r="AC823" s="51"/>
      <c r="AD823" s="51"/>
      <c r="AE823" s="51"/>
      <c r="AF823" s="50" t="str">
        <f>IF(A823&lt;&gt;"Yes","No",IF(AND(AC823="Yes",SETTINGS!$B$16="No"),"No","Yes"))</f>
        <v>No</v>
      </c>
      <c r="AG823" s="50" t="str">
        <f>IF(A823&lt;&gt;"Yes","",IF(OR(B823="",D823="",E823&lt;=0,F823="",I823=""),"Check Required Fields",IF(AA823="Possible Duplicate","Possible Duplicate",IF(E823&gt;SETTINGS!$B$22,"Review Extreme Value","OK"))))</f>
        <v/>
      </c>
    </row>
    <row r="824" spans="1:33" ht="14.4">
      <c r="A824" s="9"/>
      <c r="B824" s="13"/>
      <c r="C824" s="9"/>
      <c r="D824" s="9"/>
      <c r="E824" s="11"/>
      <c r="F824" s="9"/>
      <c r="G824" s="9"/>
      <c r="H824" s="44" t="str">
        <f>IF(D824="","",IF(ISNUMBER(SEARCH(SETTINGS!$K$4,D824)),SETTINGS!$L$4,IF(ISNUMBER(SEARCH(SETTINGS!$K$5,D824)),SETTINGS!$L$5,IF(ISNUMBER(SEARCH(SETTINGS!$K$6,D824)),SETTINGS!$L$6,IF(ISNUMBER(SEARCH(SETTINGS!$K$7,D824)),SETTINGS!$L$7,IF(ISNUMBER(SEARCH(SETTINGS!$K$8,D824)),SETTINGS!$L$8,IF(ISNUMBER(SEARCH(SETTINGS!$K$9,D824)),SETTINGS!$L$9,IF(ISNUMBER(SEARCH(SETTINGS!$K$10,D824)),SETTINGS!$L$10,IF(ISNUMBER(SEARCH(SETTINGS!$K$11,D824)),SETTINGS!$L$11,IF(ISNUMBER(SEARCH(SETTINGS!$K$12,D824)),SETTINGS!$L$12,IF(ISNUMBER(SEARCH(SETTINGS!$K$13,D824)),SETTINGS!$L$13,IF(ISNUMBER(SEARCH(SETTINGS!$K$14,D824)),SETTINGS!$L$14,IF(ISNUMBER(SEARCH(SETTINGS!$K$15,D824)),SETTINGS!$L$15,IF(ISNUMBER(SEARCH(SETTINGS!$K$16,D824)),SETTINGS!$L$16,IF(ISNUMBER(SEARCH(SETTINGS!$K$17,D824)),SETTINGS!$L$17,IF(ISNUMBER(SEARCH(SETTINGS!$K$18,D824)),SETTINGS!$L$18,"Miscellaneous"))))))))))))))))</f>
        <v/>
      </c>
      <c r="I824" s="44" t="str">
        <f t="shared" si="96"/>
        <v/>
      </c>
      <c r="J824" s="9"/>
      <c r="K824" s="9"/>
      <c r="L824" s="9"/>
      <c r="M824" s="9"/>
      <c r="N824" s="9"/>
      <c r="O824" s="9"/>
      <c r="P824" s="13"/>
      <c r="Q824" s="9"/>
      <c r="R824" s="9"/>
      <c r="S824" s="9"/>
      <c r="T824" s="11"/>
      <c r="U824" s="44" t="str">
        <f t="shared" si="97"/>
        <v/>
      </c>
      <c r="V824" s="44" t="str">
        <f t="shared" si="98"/>
        <v/>
      </c>
      <c r="W824" s="44" t="str">
        <f t="shared" si="99"/>
        <v/>
      </c>
      <c r="X824" s="44" t="str">
        <f t="shared" si="100"/>
        <v/>
      </c>
      <c r="Y824" s="44" t="str">
        <f t="shared" si="101"/>
        <v/>
      </c>
      <c r="Z824" s="44" t="str">
        <f t="shared" si="102"/>
        <v/>
      </c>
      <c r="AA824" s="50" t="str">
        <f t="shared" si="103"/>
        <v/>
      </c>
      <c r="AB824" s="50" t="str">
        <f>IF(OR(B824="",C824&lt;&gt;"Expense"),"",IF(E824&gt;IFERROR(AVERAGEIFS($E$8:$E$1007,$I$8:$I$1007,I824,$C$8:$C$1007,"Expense")*SETTINGS!$B$20,0),"Unusually High","Normal"))</f>
        <v/>
      </c>
      <c r="AC824" s="51"/>
      <c r="AD824" s="51"/>
      <c r="AE824" s="51"/>
      <c r="AF824" s="50" t="str">
        <f>IF(A824&lt;&gt;"Yes","No",IF(AND(AC824="Yes",SETTINGS!$B$16="No"),"No","Yes"))</f>
        <v>No</v>
      </c>
      <c r="AG824" s="50" t="str">
        <f>IF(A824&lt;&gt;"Yes","",IF(OR(B824="",D824="",E824&lt;=0,F824="",I824=""),"Check Required Fields",IF(AA824="Possible Duplicate","Possible Duplicate",IF(E824&gt;SETTINGS!$B$22,"Review Extreme Value","OK"))))</f>
        <v/>
      </c>
    </row>
    <row r="825" spans="1:33" ht="14.4">
      <c r="A825" s="9"/>
      <c r="B825" s="13"/>
      <c r="C825" s="9"/>
      <c r="D825" s="9"/>
      <c r="E825" s="11"/>
      <c r="F825" s="9"/>
      <c r="G825" s="9"/>
      <c r="H825" s="44" t="str">
        <f>IF(D825="","",IF(ISNUMBER(SEARCH(SETTINGS!$K$4,D825)),SETTINGS!$L$4,IF(ISNUMBER(SEARCH(SETTINGS!$K$5,D825)),SETTINGS!$L$5,IF(ISNUMBER(SEARCH(SETTINGS!$K$6,D825)),SETTINGS!$L$6,IF(ISNUMBER(SEARCH(SETTINGS!$K$7,D825)),SETTINGS!$L$7,IF(ISNUMBER(SEARCH(SETTINGS!$K$8,D825)),SETTINGS!$L$8,IF(ISNUMBER(SEARCH(SETTINGS!$K$9,D825)),SETTINGS!$L$9,IF(ISNUMBER(SEARCH(SETTINGS!$K$10,D825)),SETTINGS!$L$10,IF(ISNUMBER(SEARCH(SETTINGS!$K$11,D825)),SETTINGS!$L$11,IF(ISNUMBER(SEARCH(SETTINGS!$K$12,D825)),SETTINGS!$L$12,IF(ISNUMBER(SEARCH(SETTINGS!$K$13,D825)),SETTINGS!$L$13,IF(ISNUMBER(SEARCH(SETTINGS!$K$14,D825)),SETTINGS!$L$14,IF(ISNUMBER(SEARCH(SETTINGS!$K$15,D825)),SETTINGS!$L$15,IF(ISNUMBER(SEARCH(SETTINGS!$K$16,D825)),SETTINGS!$L$16,IF(ISNUMBER(SEARCH(SETTINGS!$K$17,D825)),SETTINGS!$L$17,IF(ISNUMBER(SEARCH(SETTINGS!$K$18,D825)),SETTINGS!$L$18,"Miscellaneous"))))))))))))))))</f>
        <v/>
      </c>
      <c r="I825" s="44" t="str">
        <f t="shared" si="96"/>
        <v/>
      </c>
      <c r="J825" s="9"/>
      <c r="K825" s="9"/>
      <c r="L825" s="9"/>
      <c r="M825" s="9"/>
      <c r="N825" s="9"/>
      <c r="O825" s="9"/>
      <c r="P825" s="13"/>
      <c r="Q825" s="9"/>
      <c r="R825" s="9"/>
      <c r="S825" s="9"/>
      <c r="T825" s="11"/>
      <c r="U825" s="44" t="str">
        <f t="shared" si="97"/>
        <v/>
      </c>
      <c r="V825" s="44" t="str">
        <f t="shared" si="98"/>
        <v/>
      </c>
      <c r="W825" s="44" t="str">
        <f t="shared" si="99"/>
        <v/>
      </c>
      <c r="X825" s="44" t="str">
        <f t="shared" si="100"/>
        <v/>
      </c>
      <c r="Y825" s="44" t="str">
        <f t="shared" si="101"/>
        <v/>
      </c>
      <c r="Z825" s="44" t="str">
        <f t="shared" si="102"/>
        <v/>
      </c>
      <c r="AA825" s="50" t="str">
        <f t="shared" si="103"/>
        <v/>
      </c>
      <c r="AB825" s="50" t="str">
        <f>IF(OR(B825="",C825&lt;&gt;"Expense"),"",IF(E825&gt;IFERROR(AVERAGEIFS($E$8:$E$1007,$I$8:$I$1007,I825,$C$8:$C$1007,"Expense")*SETTINGS!$B$20,0),"Unusually High","Normal"))</f>
        <v/>
      </c>
      <c r="AC825" s="51"/>
      <c r="AD825" s="51"/>
      <c r="AE825" s="51"/>
      <c r="AF825" s="50" t="str">
        <f>IF(A825&lt;&gt;"Yes","No",IF(AND(AC825="Yes",SETTINGS!$B$16="No"),"No","Yes"))</f>
        <v>No</v>
      </c>
      <c r="AG825" s="50" t="str">
        <f>IF(A825&lt;&gt;"Yes","",IF(OR(B825="",D825="",E825&lt;=0,F825="",I825=""),"Check Required Fields",IF(AA825="Possible Duplicate","Possible Duplicate",IF(E825&gt;SETTINGS!$B$22,"Review Extreme Value","OK"))))</f>
        <v/>
      </c>
    </row>
    <row r="826" spans="1:33" ht="14.4">
      <c r="A826" s="9"/>
      <c r="B826" s="13"/>
      <c r="C826" s="9"/>
      <c r="D826" s="9"/>
      <c r="E826" s="11"/>
      <c r="F826" s="9"/>
      <c r="G826" s="9"/>
      <c r="H826" s="44" t="str">
        <f>IF(D826="","",IF(ISNUMBER(SEARCH(SETTINGS!$K$4,D826)),SETTINGS!$L$4,IF(ISNUMBER(SEARCH(SETTINGS!$K$5,D826)),SETTINGS!$L$5,IF(ISNUMBER(SEARCH(SETTINGS!$K$6,D826)),SETTINGS!$L$6,IF(ISNUMBER(SEARCH(SETTINGS!$K$7,D826)),SETTINGS!$L$7,IF(ISNUMBER(SEARCH(SETTINGS!$K$8,D826)),SETTINGS!$L$8,IF(ISNUMBER(SEARCH(SETTINGS!$K$9,D826)),SETTINGS!$L$9,IF(ISNUMBER(SEARCH(SETTINGS!$K$10,D826)),SETTINGS!$L$10,IF(ISNUMBER(SEARCH(SETTINGS!$K$11,D826)),SETTINGS!$L$11,IF(ISNUMBER(SEARCH(SETTINGS!$K$12,D826)),SETTINGS!$L$12,IF(ISNUMBER(SEARCH(SETTINGS!$K$13,D826)),SETTINGS!$L$13,IF(ISNUMBER(SEARCH(SETTINGS!$K$14,D826)),SETTINGS!$L$14,IF(ISNUMBER(SEARCH(SETTINGS!$K$15,D826)),SETTINGS!$L$15,IF(ISNUMBER(SEARCH(SETTINGS!$K$16,D826)),SETTINGS!$L$16,IF(ISNUMBER(SEARCH(SETTINGS!$K$17,D826)),SETTINGS!$L$17,IF(ISNUMBER(SEARCH(SETTINGS!$K$18,D826)),SETTINGS!$L$18,"Miscellaneous"))))))))))))))))</f>
        <v/>
      </c>
      <c r="I826" s="44" t="str">
        <f t="shared" si="96"/>
        <v/>
      </c>
      <c r="J826" s="9"/>
      <c r="K826" s="9"/>
      <c r="L826" s="9"/>
      <c r="M826" s="9"/>
      <c r="N826" s="9"/>
      <c r="O826" s="9"/>
      <c r="P826" s="13"/>
      <c r="Q826" s="9"/>
      <c r="R826" s="9"/>
      <c r="S826" s="9"/>
      <c r="T826" s="11"/>
      <c r="U826" s="44" t="str">
        <f t="shared" si="97"/>
        <v/>
      </c>
      <c r="V826" s="44" t="str">
        <f t="shared" si="98"/>
        <v/>
      </c>
      <c r="W826" s="44" t="str">
        <f t="shared" si="99"/>
        <v/>
      </c>
      <c r="X826" s="44" t="str">
        <f t="shared" si="100"/>
        <v/>
      </c>
      <c r="Y826" s="44" t="str">
        <f t="shared" si="101"/>
        <v/>
      </c>
      <c r="Z826" s="44" t="str">
        <f t="shared" si="102"/>
        <v/>
      </c>
      <c r="AA826" s="50" t="str">
        <f t="shared" si="103"/>
        <v/>
      </c>
      <c r="AB826" s="50" t="str">
        <f>IF(OR(B826="",C826&lt;&gt;"Expense"),"",IF(E826&gt;IFERROR(AVERAGEIFS($E$8:$E$1007,$I$8:$I$1007,I826,$C$8:$C$1007,"Expense")*SETTINGS!$B$20,0),"Unusually High","Normal"))</f>
        <v/>
      </c>
      <c r="AC826" s="51"/>
      <c r="AD826" s="51"/>
      <c r="AE826" s="51"/>
      <c r="AF826" s="50" t="str">
        <f>IF(A826&lt;&gt;"Yes","No",IF(AND(AC826="Yes",SETTINGS!$B$16="No"),"No","Yes"))</f>
        <v>No</v>
      </c>
      <c r="AG826" s="50" t="str">
        <f>IF(A826&lt;&gt;"Yes","",IF(OR(B826="",D826="",E826&lt;=0,F826="",I826=""),"Check Required Fields",IF(AA826="Possible Duplicate","Possible Duplicate",IF(E826&gt;SETTINGS!$B$22,"Review Extreme Value","OK"))))</f>
        <v/>
      </c>
    </row>
    <row r="827" spans="1:33" ht="14.4">
      <c r="A827" s="9"/>
      <c r="B827" s="13"/>
      <c r="C827" s="9"/>
      <c r="D827" s="9"/>
      <c r="E827" s="11"/>
      <c r="F827" s="9"/>
      <c r="G827" s="9"/>
      <c r="H827" s="44" t="str">
        <f>IF(D827="","",IF(ISNUMBER(SEARCH(SETTINGS!$K$4,D827)),SETTINGS!$L$4,IF(ISNUMBER(SEARCH(SETTINGS!$K$5,D827)),SETTINGS!$L$5,IF(ISNUMBER(SEARCH(SETTINGS!$K$6,D827)),SETTINGS!$L$6,IF(ISNUMBER(SEARCH(SETTINGS!$K$7,D827)),SETTINGS!$L$7,IF(ISNUMBER(SEARCH(SETTINGS!$K$8,D827)),SETTINGS!$L$8,IF(ISNUMBER(SEARCH(SETTINGS!$K$9,D827)),SETTINGS!$L$9,IF(ISNUMBER(SEARCH(SETTINGS!$K$10,D827)),SETTINGS!$L$10,IF(ISNUMBER(SEARCH(SETTINGS!$K$11,D827)),SETTINGS!$L$11,IF(ISNUMBER(SEARCH(SETTINGS!$K$12,D827)),SETTINGS!$L$12,IF(ISNUMBER(SEARCH(SETTINGS!$K$13,D827)),SETTINGS!$L$13,IF(ISNUMBER(SEARCH(SETTINGS!$K$14,D827)),SETTINGS!$L$14,IF(ISNUMBER(SEARCH(SETTINGS!$K$15,D827)),SETTINGS!$L$15,IF(ISNUMBER(SEARCH(SETTINGS!$K$16,D827)),SETTINGS!$L$16,IF(ISNUMBER(SEARCH(SETTINGS!$K$17,D827)),SETTINGS!$L$17,IF(ISNUMBER(SEARCH(SETTINGS!$K$18,D827)),SETTINGS!$L$18,"Miscellaneous"))))))))))))))))</f>
        <v/>
      </c>
      <c r="I827" s="44" t="str">
        <f t="shared" si="96"/>
        <v/>
      </c>
      <c r="J827" s="9"/>
      <c r="K827" s="9"/>
      <c r="L827" s="9"/>
      <c r="M827" s="9"/>
      <c r="N827" s="9"/>
      <c r="O827" s="9"/>
      <c r="P827" s="13"/>
      <c r="Q827" s="9"/>
      <c r="R827" s="9"/>
      <c r="S827" s="9"/>
      <c r="T827" s="11"/>
      <c r="U827" s="44" t="str">
        <f t="shared" si="97"/>
        <v/>
      </c>
      <c r="V827" s="44" t="str">
        <f t="shared" si="98"/>
        <v/>
      </c>
      <c r="W827" s="44" t="str">
        <f t="shared" si="99"/>
        <v/>
      </c>
      <c r="X827" s="44" t="str">
        <f t="shared" si="100"/>
        <v/>
      </c>
      <c r="Y827" s="44" t="str">
        <f t="shared" si="101"/>
        <v/>
      </c>
      <c r="Z827" s="44" t="str">
        <f t="shared" si="102"/>
        <v/>
      </c>
      <c r="AA827" s="50" t="str">
        <f t="shared" si="103"/>
        <v/>
      </c>
      <c r="AB827" s="50" t="str">
        <f>IF(OR(B827="",C827&lt;&gt;"Expense"),"",IF(E827&gt;IFERROR(AVERAGEIFS($E$8:$E$1007,$I$8:$I$1007,I827,$C$8:$C$1007,"Expense")*SETTINGS!$B$20,0),"Unusually High","Normal"))</f>
        <v/>
      </c>
      <c r="AC827" s="51"/>
      <c r="AD827" s="51"/>
      <c r="AE827" s="51"/>
      <c r="AF827" s="50" t="str">
        <f>IF(A827&lt;&gt;"Yes","No",IF(AND(AC827="Yes",SETTINGS!$B$16="No"),"No","Yes"))</f>
        <v>No</v>
      </c>
      <c r="AG827" s="50" t="str">
        <f>IF(A827&lt;&gt;"Yes","",IF(OR(B827="",D827="",E827&lt;=0,F827="",I827=""),"Check Required Fields",IF(AA827="Possible Duplicate","Possible Duplicate",IF(E827&gt;SETTINGS!$B$22,"Review Extreme Value","OK"))))</f>
        <v/>
      </c>
    </row>
    <row r="828" spans="1:33" ht="14.4">
      <c r="A828" s="9"/>
      <c r="B828" s="13"/>
      <c r="C828" s="9"/>
      <c r="D828" s="9"/>
      <c r="E828" s="11"/>
      <c r="F828" s="9"/>
      <c r="G828" s="9"/>
      <c r="H828" s="44" t="str">
        <f>IF(D828="","",IF(ISNUMBER(SEARCH(SETTINGS!$K$4,D828)),SETTINGS!$L$4,IF(ISNUMBER(SEARCH(SETTINGS!$K$5,D828)),SETTINGS!$L$5,IF(ISNUMBER(SEARCH(SETTINGS!$K$6,D828)),SETTINGS!$L$6,IF(ISNUMBER(SEARCH(SETTINGS!$K$7,D828)),SETTINGS!$L$7,IF(ISNUMBER(SEARCH(SETTINGS!$K$8,D828)),SETTINGS!$L$8,IF(ISNUMBER(SEARCH(SETTINGS!$K$9,D828)),SETTINGS!$L$9,IF(ISNUMBER(SEARCH(SETTINGS!$K$10,D828)),SETTINGS!$L$10,IF(ISNUMBER(SEARCH(SETTINGS!$K$11,D828)),SETTINGS!$L$11,IF(ISNUMBER(SEARCH(SETTINGS!$K$12,D828)),SETTINGS!$L$12,IF(ISNUMBER(SEARCH(SETTINGS!$K$13,D828)),SETTINGS!$L$13,IF(ISNUMBER(SEARCH(SETTINGS!$K$14,D828)),SETTINGS!$L$14,IF(ISNUMBER(SEARCH(SETTINGS!$K$15,D828)),SETTINGS!$L$15,IF(ISNUMBER(SEARCH(SETTINGS!$K$16,D828)),SETTINGS!$L$16,IF(ISNUMBER(SEARCH(SETTINGS!$K$17,D828)),SETTINGS!$L$17,IF(ISNUMBER(SEARCH(SETTINGS!$K$18,D828)),SETTINGS!$L$18,"Miscellaneous"))))))))))))))))</f>
        <v/>
      </c>
      <c r="I828" s="44" t="str">
        <f t="shared" si="96"/>
        <v/>
      </c>
      <c r="J828" s="9"/>
      <c r="K828" s="9"/>
      <c r="L828" s="9"/>
      <c r="M828" s="9"/>
      <c r="N828" s="9"/>
      <c r="O828" s="9"/>
      <c r="P828" s="13"/>
      <c r="Q828" s="9"/>
      <c r="R828" s="9"/>
      <c r="S828" s="9"/>
      <c r="T828" s="11"/>
      <c r="U828" s="44" t="str">
        <f t="shared" si="97"/>
        <v/>
      </c>
      <c r="V828" s="44" t="str">
        <f t="shared" si="98"/>
        <v/>
      </c>
      <c r="W828" s="44" t="str">
        <f t="shared" si="99"/>
        <v/>
      </c>
      <c r="X828" s="44" t="str">
        <f t="shared" si="100"/>
        <v/>
      </c>
      <c r="Y828" s="44" t="str">
        <f t="shared" si="101"/>
        <v/>
      </c>
      <c r="Z828" s="44" t="str">
        <f t="shared" si="102"/>
        <v/>
      </c>
      <c r="AA828" s="50" t="str">
        <f t="shared" si="103"/>
        <v/>
      </c>
      <c r="AB828" s="50" t="str">
        <f>IF(OR(B828="",C828&lt;&gt;"Expense"),"",IF(E828&gt;IFERROR(AVERAGEIFS($E$8:$E$1007,$I$8:$I$1007,I828,$C$8:$C$1007,"Expense")*SETTINGS!$B$20,0),"Unusually High","Normal"))</f>
        <v/>
      </c>
      <c r="AC828" s="51"/>
      <c r="AD828" s="51"/>
      <c r="AE828" s="51"/>
      <c r="AF828" s="50" t="str">
        <f>IF(A828&lt;&gt;"Yes","No",IF(AND(AC828="Yes",SETTINGS!$B$16="No"),"No","Yes"))</f>
        <v>No</v>
      </c>
      <c r="AG828" s="50" t="str">
        <f>IF(A828&lt;&gt;"Yes","",IF(OR(B828="",D828="",E828&lt;=0,F828="",I828=""),"Check Required Fields",IF(AA828="Possible Duplicate","Possible Duplicate",IF(E828&gt;SETTINGS!$B$22,"Review Extreme Value","OK"))))</f>
        <v/>
      </c>
    </row>
    <row r="829" spans="1:33" ht="14.4">
      <c r="A829" s="9"/>
      <c r="B829" s="13"/>
      <c r="C829" s="9"/>
      <c r="D829" s="9"/>
      <c r="E829" s="11"/>
      <c r="F829" s="9"/>
      <c r="G829" s="9"/>
      <c r="H829" s="44" t="str">
        <f>IF(D829="","",IF(ISNUMBER(SEARCH(SETTINGS!$K$4,D829)),SETTINGS!$L$4,IF(ISNUMBER(SEARCH(SETTINGS!$K$5,D829)),SETTINGS!$L$5,IF(ISNUMBER(SEARCH(SETTINGS!$K$6,D829)),SETTINGS!$L$6,IF(ISNUMBER(SEARCH(SETTINGS!$K$7,D829)),SETTINGS!$L$7,IF(ISNUMBER(SEARCH(SETTINGS!$K$8,D829)),SETTINGS!$L$8,IF(ISNUMBER(SEARCH(SETTINGS!$K$9,D829)),SETTINGS!$L$9,IF(ISNUMBER(SEARCH(SETTINGS!$K$10,D829)),SETTINGS!$L$10,IF(ISNUMBER(SEARCH(SETTINGS!$K$11,D829)),SETTINGS!$L$11,IF(ISNUMBER(SEARCH(SETTINGS!$K$12,D829)),SETTINGS!$L$12,IF(ISNUMBER(SEARCH(SETTINGS!$K$13,D829)),SETTINGS!$L$13,IF(ISNUMBER(SEARCH(SETTINGS!$K$14,D829)),SETTINGS!$L$14,IF(ISNUMBER(SEARCH(SETTINGS!$K$15,D829)),SETTINGS!$L$15,IF(ISNUMBER(SEARCH(SETTINGS!$K$16,D829)),SETTINGS!$L$16,IF(ISNUMBER(SEARCH(SETTINGS!$K$17,D829)),SETTINGS!$L$17,IF(ISNUMBER(SEARCH(SETTINGS!$K$18,D829)),SETTINGS!$L$18,"Miscellaneous"))))))))))))))))</f>
        <v/>
      </c>
      <c r="I829" s="44" t="str">
        <f t="shared" si="96"/>
        <v/>
      </c>
      <c r="J829" s="9"/>
      <c r="K829" s="9"/>
      <c r="L829" s="9"/>
      <c r="M829" s="9"/>
      <c r="N829" s="9"/>
      <c r="O829" s="9"/>
      <c r="P829" s="13"/>
      <c r="Q829" s="9"/>
      <c r="R829" s="9"/>
      <c r="S829" s="9"/>
      <c r="T829" s="11"/>
      <c r="U829" s="44" t="str">
        <f t="shared" si="97"/>
        <v/>
      </c>
      <c r="V829" s="44" t="str">
        <f t="shared" si="98"/>
        <v/>
      </c>
      <c r="W829" s="44" t="str">
        <f t="shared" si="99"/>
        <v/>
      </c>
      <c r="X829" s="44" t="str">
        <f t="shared" si="100"/>
        <v/>
      </c>
      <c r="Y829" s="44" t="str">
        <f t="shared" si="101"/>
        <v/>
      </c>
      <c r="Z829" s="44" t="str">
        <f t="shared" si="102"/>
        <v/>
      </c>
      <c r="AA829" s="50" t="str">
        <f t="shared" si="103"/>
        <v/>
      </c>
      <c r="AB829" s="50" t="str">
        <f>IF(OR(B829="",C829&lt;&gt;"Expense"),"",IF(E829&gt;IFERROR(AVERAGEIFS($E$8:$E$1007,$I$8:$I$1007,I829,$C$8:$C$1007,"Expense")*SETTINGS!$B$20,0),"Unusually High","Normal"))</f>
        <v/>
      </c>
      <c r="AC829" s="51"/>
      <c r="AD829" s="51"/>
      <c r="AE829" s="51"/>
      <c r="AF829" s="50" t="str">
        <f>IF(A829&lt;&gt;"Yes","No",IF(AND(AC829="Yes",SETTINGS!$B$16="No"),"No","Yes"))</f>
        <v>No</v>
      </c>
      <c r="AG829" s="50" t="str">
        <f>IF(A829&lt;&gt;"Yes","",IF(OR(B829="",D829="",E829&lt;=0,F829="",I829=""),"Check Required Fields",IF(AA829="Possible Duplicate","Possible Duplicate",IF(E829&gt;SETTINGS!$B$22,"Review Extreme Value","OK"))))</f>
        <v/>
      </c>
    </row>
    <row r="830" spans="1:33" ht="14.4">
      <c r="A830" s="9"/>
      <c r="B830" s="13"/>
      <c r="C830" s="9"/>
      <c r="D830" s="9"/>
      <c r="E830" s="11"/>
      <c r="F830" s="9"/>
      <c r="G830" s="9"/>
      <c r="H830" s="44" t="str">
        <f>IF(D830="","",IF(ISNUMBER(SEARCH(SETTINGS!$K$4,D830)),SETTINGS!$L$4,IF(ISNUMBER(SEARCH(SETTINGS!$K$5,D830)),SETTINGS!$L$5,IF(ISNUMBER(SEARCH(SETTINGS!$K$6,D830)),SETTINGS!$L$6,IF(ISNUMBER(SEARCH(SETTINGS!$K$7,D830)),SETTINGS!$L$7,IF(ISNUMBER(SEARCH(SETTINGS!$K$8,D830)),SETTINGS!$L$8,IF(ISNUMBER(SEARCH(SETTINGS!$K$9,D830)),SETTINGS!$L$9,IF(ISNUMBER(SEARCH(SETTINGS!$K$10,D830)),SETTINGS!$L$10,IF(ISNUMBER(SEARCH(SETTINGS!$K$11,D830)),SETTINGS!$L$11,IF(ISNUMBER(SEARCH(SETTINGS!$K$12,D830)),SETTINGS!$L$12,IF(ISNUMBER(SEARCH(SETTINGS!$K$13,D830)),SETTINGS!$L$13,IF(ISNUMBER(SEARCH(SETTINGS!$K$14,D830)),SETTINGS!$L$14,IF(ISNUMBER(SEARCH(SETTINGS!$K$15,D830)),SETTINGS!$L$15,IF(ISNUMBER(SEARCH(SETTINGS!$K$16,D830)),SETTINGS!$L$16,IF(ISNUMBER(SEARCH(SETTINGS!$K$17,D830)),SETTINGS!$L$17,IF(ISNUMBER(SEARCH(SETTINGS!$K$18,D830)),SETTINGS!$L$18,"Miscellaneous"))))))))))))))))</f>
        <v/>
      </c>
      <c r="I830" s="44" t="str">
        <f t="shared" si="96"/>
        <v/>
      </c>
      <c r="J830" s="9"/>
      <c r="K830" s="9"/>
      <c r="L830" s="9"/>
      <c r="M830" s="9"/>
      <c r="N830" s="9"/>
      <c r="O830" s="9"/>
      <c r="P830" s="13"/>
      <c r="Q830" s="9"/>
      <c r="R830" s="9"/>
      <c r="S830" s="9"/>
      <c r="T830" s="11"/>
      <c r="U830" s="44" t="str">
        <f t="shared" si="97"/>
        <v/>
      </c>
      <c r="V830" s="44" t="str">
        <f t="shared" si="98"/>
        <v/>
      </c>
      <c r="W830" s="44" t="str">
        <f t="shared" si="99"/>
        <v/>
      </c>
      <c r="X830" s="44" t="str">
        <f t="shared" si="100"/>
        <v/>
      </c>
      <c r="Y830" s="44" t="str">
        <f t="shared" si="101"/>
        <v/>
      </c>
      <c r="Z830" s="44" t="str">
        <f t="shared" si="102"/>
        <v/>
      </c>
      <c r="AA830" s="50" t="str">
        <f t="shared" si="103"/>
        <v/>
      </c>
      <c r="AB830" s="50" t="str">
        <f>IF(OR(B830="",C830&lt;&gt;"Expense"),"",IF(E830&gt;IFERROR(AVERAGEIFS($E$8:$E$1007,$I$8:$I$1007,I830,$C$8:$C$1007,"Expense")*SETTINGS!$B$20,0),"Unusually High","Normal"))</f>
        <v/>
      </c>
      <c r="AC830" s="51"/>
      <c r="AD830" s="51"/>
      <c r="AE830" s="51"/>
      <c r="AF830" s="50" t="str">
        <f>IF(A830&lt;&gt;"Yes","No",IF(AND(AC830="Yes",SETTINGS!$B$16="No"),"No","Yes"))</f>
        <v>No</v>
      </c>
      <c r="AG830" s="50" t="str">
        <f>IF(A830&lt;&gt;"Yes","",IF(OR(B830="",D830="",E830&lt;=0,F830="",I830=""),"Check Required Fields",IF(AA830="Possible Duplicate","Possible Duplicate",IF(E830&gt;SETTINGS!$B$22,"Review Extreme Value","OK"))))</f>
        <v/>
      </c>
    </row>
    <row r="831" spans="1:33" ht="14.4">
      <c r="A831" s="9"/>
      <c r="B831" s="13"/>
      <c r="C831" s="9"/>
      <c r="D831" s="9"/>
      <c r="E831" s="11"/>
      <c r="F831" s="9"/>
      <c r="G831" s="9"/>
      <c r="H831" s="44" t="str">
        <f>IF(D831="","",IF(ISNUMBER(SEARCH(SETTINGS!$K$4,D831)),SETTINGS!$L$4,IF(ISNUMBER(SEARCH(SETTINGS!$K$5,D831)),SETTINGS!$L$5,IF(ISNUMBER(SEARCH(SETTINGS!$K$6,D831)),SETTINGS!$L$6,IF(ISNUMBER(SEARCH(SETTINGS!$K$7,D831)),SETTINGS!$L$7,IF(ISNUMBER(SEARCH(SETTINGS!$K$8,D831)),SETTINGS!$L$8,IF(ISNUMBER(SEARCH(SETTINGS!$K$9,D831)),SETTINGS!$L$9,IF(ISNUMBER(SEARCH(SETTINGS!$K$10,D831)),SETTINGS!$L$10,IF(ISNUMBER(SEARCH(SETTINGS!$K$11,D831)),SETTINGS!$L$11,IF(ISNUMBER(SEARCH(SETTINGS!$K$12,D831)),SETTINGS!$L$12,IF(ISNUMBER(SEARCH(SETTINGS!$K$13,D831)),SETTINGS!$L$13,IF(ISNUMBER(SEARCH(SETTINGS!$K$14,D831)),SETTINGS!$L$14,IF(ISNUMBER(SEARCH(SETTINGS!$K$15,D831)),SETTINGS!$L$15,IF(ISNUMBER(SEARCH(SETTINGS!$K$16,D831)),SETTINGS!$L$16,IF(ISNUMBER(SEARCH(SETTINGS!$K$17,D831)),SETTINGS!$L$17,IF(ISNUMBER(SEARCH(SETTINGS!$K$18,D831)),SETTINGS!$L$18,"Miscellaneous"))))))))))))))))</f>
        <v/>
      </c>
      <c r="I831" s="44" t="str">
        <f t="shared" si="96"/>
        <v/>
      </c>
      <c r="J831" s="9"/>
      <c r="K831" s="9"/>
      <c r="L831" s="9"/>
      <c r="M831" s="9"/>
      <c r="N831" s="9"/>
      <c r="O831" s="9"/>
      <c r="P831" s="13"/>
      <c r="Q831" s="9"/>
      <c r="R831" s="9"/>
      <c r="S831" s="9"/>
      <c r="T831" s="11"/>
      <c r="U831" s="44" t="str">
        <f t="shared" si="97"/>
        <v/>
      </c>
      <c r="V831" s="44" t="str">
        <f t="shared" si="98"/>
        <v/>
      </c>
      <c r="W831" s="44" t="str">
        <f t="shared" si="99"/>
        <v/>
      </c>
      <c r="X831" s="44" t="str">
        <f t="shared" si="100"/>
        <v/>
      </c>
      <c r="Y831" s="44" t="str">
        <f t="shared" si="101"/>
        <v/>
      </c>
      <c r="Z831" s="44" t="str">
        <f t="shared" si="102"/>
        <v/>
      </c>
      <c r="AA831" s="50" t="str">
        <f t="shared" si="103"/>
        <v/>
      </c>
      <c r="AB831" s="50" t="str">
        <f>IF(OR(B831="",C831&lt;&gt;"Expense"),"",IF(E831&gt;IFERROR(AVERAGEIFS($E$8:$E$1007,$I$8:$I$1007,I831,$C$8:$C$1007,"Expense")*SETTINGS!$B$20,0),"Unusually High","Normal"))</f>
        <v/>
      </c>
      <c r="AC831" s="51"/>
      <c r="AD831" s="51"/>
      <c r="AE831" s="51"/>
      <c r="AF831" s="50" t="str">
        <f>IF(A831&lt;&gt;"Yes","No",IF(AND(AC831="Yes",SETTINGS!$B$16="No"),"No","Yes"))</f>
        <v>No</v>
      </c>
      <c r="AG831" s="50" t="str">
        <f>IF(A831&lt;&gt;"Yes","",IF(OR(B831="",D831="",E831&lt;=0,F831="",I831=""),"Check Required Fields",IF(AA831="Possible Duplicate","Possible Duplicate",IF(E831&gt;SETTINGS!$B$22,"Review Extreme Value","OK"))))</f>
        <v/>
      </c>
    </row>
    <row r="832" spans="1:33" ht="14.4">
      <c r="A832" s="9"/>
      <c r="B832" s="13"/>
      <c r="C832" s="9"/>
      <c r="D832" s="9"/>
      <c r="E832" s="11"/>
      <c r="F832" s="9"/>
      <c r="G832" s="9"/>
      <c r="H832" s="44" t="str">
        <f>IF(D832="","",IF(ISNUMBER(SEARCH(SETTINGS!$K$4,D832)),SETTINGS!$L$4,IF(ISNUMBER(SEARCH(SETTINGS!$K$5,D832)),SETTINGS!$L$5,IF(ISNUMBER(SEARCH(SETTINGS!$K$6,D832)),SETTINGS!$L$6,IF(ISNUMBER(SEARCH(SETTINGS!$K$7,D832)),SETTINGS!$L$7,IF(ISNUMBER(SEARCH(SETTINGS!$K$8,D832)),SETTINGS!$L$8,IF(ISNUMBER(SEARCH(SETTINGS!$K$9,D832)),SETTINGS!$L$9,IF(ISNUMBER(SEARCH(SETTINGS!$K$10,D832)),SETTINGS!$L$10,IF(ISNUMBER(SEARCH(SETTINGS!$K$11,D832)),SETTINGS!$L$11,IF(ISNUMBER(SEARCH(SETTINGS!$K$12,D832)),SETTINGS!$L$12,IF(ISNUMBER(SEARCH(SETTINGS!$K$13,D832)),SETTINGS!$L$13,IF(ISNUMBER(SEARCH(SETTINGS!$K$14,D832)),SETTINGS!$L$14,IF(ISNUMBER(SEARCH(SETTINGS!$K$15,D832)),SETTINGS!$L$15,IF(ISNUMBER(SEARCH(SETTINGS!$K$16,D832)),SETTINGS!$L$16,IF(ISNUMBER(SEARCH(SETTINGS!$K$17,D832)),SETTINGS!$L$17,IF(ISNUMBER(SEARCH(SETTINGS!$K$18,D832)),SETTINGS!$L$18,"Miscellaneous"))))))))))))))))</f>
        <v/>
      </c>
      <c r="I832" s="44" t="str">
        <f t="shared" si="96"/>
        <v/>
      </c>
      <c r="J832" s="9"/>
      <c r="K832" s="9"/>
      <c r="L832" s="9"/>
      <c r="M832" s="9"/>
      <c r="N832" s="9"/>
      <c r="O832" s="9"/>
      <c r="P832" s="13"/>
      <c r="Q832" s="9"/>
      <c r="R832" s="9"/>
      <c r="S832" s="9"/>
      <c r="T832" s="11"/>
      <c r="U832" s="44" t="str">
        <f t="shared" si="97"/>
        <v/>
      </c>
      <c r="V832" s="44" t="str">
        <f t="shared" si="98"/>
        <v/>
      </c>
      <c r="W832" s="44" t="str">
        <f t="shared" si="99"/>
        <v/>
      </c>
      <c r="X832" s="44" t="str">
        <f t="shared" si="100"/>
        <v/>
      </c>
      <c r="Y832" s="44" t="str">
        <f t="shared" si="101"/>
        <v/>
      </c>
      <c r="Z832" s="44" t="str">
        <f t="shared" si="102"/>
        <v/>
      </c>
      <c r="AA832" s="50" t="str">
        <f t="shared" si="103"/>
        <v/>
      </c>
      <c r="AB832" s="50" t="str">
        <f>IF(OR(B832="",C832&lt;&gt;"Expense"),"",IF(E832&gt;IFERROR(AVERAGEIFS($E$8:$E$1007,$I$8:$I$1007,I832,$C$8:$C$1007,"Expense")*SETTINGS!$B$20,0),"Unusually High","Normal"))</f>
        <v/>
      </c>
      <c r="AC832" s="51"/>
      <c r="AD832" s="51"/>
      <c r="AE832" s="51"/>
      <c r="AF832" s="50" t="str">
        <f>IF(A832&lt;&gt;"Yes","No",IF(AND(AC832="Yes",SETTINGS!$B$16="No"),"No","Yes"))</f>
        <v>No</v>
      </c>
      <c r="AG832" s="50" t="str">
        <f>IF(A832&lt;&gt;"Yes","",IF(OR(B832="",D832="",E832&lt;=0,F832="",I832=""),"Check Required Fields",IF(AA832="Possible Duplicate","Possible Duplicate",IF(E832&gt;SETTINGS!$B$22,"Review Extreme Value","OK"))))</f>
        <v/>
      </c>
    </row>
    <row r="833" spans="1:33" ht="14.4">
      <c r="A833" s="9"/>
      <c r="B833" s="13"/>
      <c r="C833" s="9"/>
      <c r="D833" s="9"/>
      <c r="E833" s="11"/>
      <c r="F833" s="9"/>
      <c r="G833" s="9"/>
      <c r="H833" s="44" t="str">
        <f>IF(D833="","",IF(ISNUMBER(SEARCH(SETTINGS!$K$4,D833)),SETTINGS!$L$4,IF(ISNUMBER(SEARCH(SETTINGS!$K$5,D833)),SETTINGS!$L$5,IF(ISNUMBER(SEARCH(SETTINGS!$K$6,D833)),SETTINGS!$L$6,IF(ISNUMBER(SEARCH(SETTINGS!$K$7,D833)),SETTINGS!$L$7,IF(ISNUMBER(SEARCH(SETTINGS!$K$8,D833)),SETTINGS!$L$8,IF(ISNUMBER(SEARCH(SETTINGS!$K$9,D833)),SETTINGS!$L$9,IF(ISNUMBER(SEARCH(SETTINGS!$K$10,D833)),SETTINGS!$L$10,IF(ISNUMBER(SEARCH(SETTINGS!$K$11,D833)),SETTINGS!$L$11,IF(ISNUMBER(SEARCH(SETTINGS!$K$12,D833)),SETTINGS!$L$12,IF(ISNUMBER(SEARCH(SETTINGS!$K$13,D833)),SETTINGS!$L$13,IF(ISNUMBER(SEARCH(SETTINGS!$K$14,D833)),SETTINGS!$L$14,IF(ISNUMBER(SEARCH(SETTINGS!$K$15,D833)),SETTINGS!$L$15,IF(ISNUMBER(SEARCH(SETTINGS!$K$16,D833)),SETTINGS!$L$16,IF(ISNUMBER(SEARCH(SETTINGS!$K$17,D833)),SETTINGS!$L$17,IF(ISNUMBER(SEARCH(SETTINGS!$K$18,D833)),SETTINGS!$L$18,"Miscellaneous"))))))))))))))))</f>
        <v/>
      </c>
      <c r="I833" s="44" t="str">
        <f t="shared" si="96"/>
        <v/>
      </c>
      <c r="J833" s="9"/>
      <c r="K833" s="9"/>
      <c r="L833" s="9"/>
      <c r="M833" s="9"/>
      <c r="N833" s="9"/>
      <c r="O833" s="9"/>
      <c r="P833" s="13"/>
      <c r="Q833" s="9"/>
      <c r="R833" s="9"/>
      <c r="S833" s="9"/>
      <c r="T833" s="11"/>
      <c r="U833" s="44" t="str">
        <f t="shared" si="97"/>
        <v/>
      </c>
      <c r="V833" s="44" t="str">
        <f t="shared" si="98"/>
        <v/>
      </c>
      <c r="W833" s="44" t="str">
        <f t="shared" si="99"/>
        <v/>
      </c>
      <c r="X833" s="44" t="str">
        <f t="shared" si="100"/>
        <v/>
      </c>
      <c r="Y833" s="44" t="str">
        <f t="shared" si="101"/>
        <v/>
      </c>
      <c r="Z833" s="44" t="str">
        <f t="shared" si="102"/>
        <v/>
      </c>
      <c r="AA833" s="50" t="str">
        <f t="shared" si="103"/>
        <v/>
      </c>
      <c r="AB833" s="50" t="str">
        <f>IF(OR(B833="",C833&lt;&gt;"Expense"),"",IF(E833&gt;IFERROR(AVERAGEIFS($E$8:$E$1007,$I$8:$I$1007,I833,$C$8:$C$1007,"Expense")*SETTINGS!$B$20,0),"Unusually High","Normal"))</f>
        <v/>
      </c>
      <c r="AC833" s="51"/>
      <c r="AD833" s="51"/>
      <c r="AE833" s="51"/>
      <c r="AF833" s="50" t="str">
        <f>IF(A833&lt;&gt;"Yes","No",IF(AND(AC833="Yes",SETTINGS!$B$16="No"),"No","Yes"))</f>
        <v>No</v>
      </c>
      <c r="AG833" s="50" t="str">
        <f>IF(A833&lt;&gt;"Yes","",IF(OR(B833="",D833="",E833&lt;=0,F833="",I833=""),"Check Required Fields",IF(AA833="Possible Duplicate","Possible Duplicate",IF(E833&gt;SETTINGS!$B$22,"Review Extreme Value","OK"))))</f>
        <v/>
      </c>
    </row>
    <row r="834" spans="1:33" ht="14.4">
      <c r="A834" s="9"/>
      <c r="B834" s="13"/>
      <c r="C834" s="9"/>
      <c r="D834" s="9"/>
      <c r="E834" s="11"/>
      <c r="F834" s="9"/>
      <c r="G834" s="9"/>
      <c r="H834" s="44" t="str">
        <f>IF(D834="","",IF(ISNUMBER(SEARCH(SETTINGS!$K$4,D834)),SETTINGS!$L$4,IF(ISNUMBER(SEARCH(SETTINGS!$K$5,D834)),SETTINGS!$L$5,IF(ISNUMBER(SEARCH(SETTINGS!$K$6,D834)),SETTINGS!$L$6,IF(ISNUMBER(SEARCH(SETTINGS!$K$7,D834)),SETTINGS!$L$7,IF(ISNUMBER(SEARCH(SETTINGS!$K$8,D834)),SETTINGS!$L$8,IF(ISNUMBER(SEARCH(SETTINGS!$K$9,D834)),SETTINGS!$L$9,IF(ISNUMBER(SEARCH(SETTINGS!$K$10,D834)),SETTINGS!$L$10,IF(ISNUMBER(SEARCH(SETTINGS!$K$11,D834)),SETTINGS!$L$11,IF(ISNUMBER(SEARCH(SETTINGS!$K$12,D834)),SETTINGS!$L$12,IF(ISNUMBER(SEARCH(SETTINGS!$K$13,D834)),SETTINGS!$L$13,IF(ISNUMBER(SEARCH(SETTINGS!$K$14,D834)),SETTINGS!$L$14,IF(ISNUMBER(SEARCH(SETTINGS!$K$15,D834)),SETTINGS!$L$15,IF(ISNUMBER(SEARCH(SETTINGS!$K$16,D834)),SETTINGS!$L$16,IF(ISNUMBER(SEARCH(SETTINGS!$K$17,D834)),SETTINGS!$L$17,IF(ISNUMBER(SEARCH(SETTINGS!$K$18,D834)),SETTINGS!$L$18,"Miscellaneous"))))))))))))))))</f>
        <v/>
      </c>
      <c r="I834" s="44" t="str">
        <f t="shared" si="96"/>
        <v/>
      </c>
      <c r="J834" s="9"/>
      <c r="K834" s="9"/>
      <c r="L834" s="9"/>
      <c r="M834" s="9"/>
      <c r="N834" s="9"/>
      <c r="O834" s="9"/>
      <c r="P834" s="13"/>
      <c r="Q834" s="9"/>
      <c r="R834" s="9"/>
      <c r="S834" s="9"/>
      <c r="T834" s="11"/>
      <c r="U834" s="44" t="str">
        <f t="shared" si="97"/>
        <v/>
      </c>
      <c r="V834" s="44" t="str">
        <f t="shared" si="98"/>
        <v/>
      </c>
      <c r="W834" s="44" t="str">
        <f t="shared" si="99"/>
        <v/>
      </c>
      <c r="X834" s="44" t="str">
        <f t="shared" si="100"/>
        <v/>
      </c>
      <c r="Y834" s="44" t="str">
        <f t="shared" si="101"/>
        <v/>
      </c>
      <c r="Z834" s="44" t="str">
        <f t="shared" si="102"/>
        <v/>
      </c>
      <c r="AA834" s="50" t="str">
        <f t="shared" si="103"/>
        <v/>
      </c>
      <c r="AB834" s="50" t="str">
        <f>IF(OR(B834="",C834&lt;&gt;"Expense"),"",IF(E834&gt;IFERROR(AVERAGEIFS($E$8:$E$1007,$I$8:$I$1007,I834,$C$8:$C$1007,"Expense")*SETTINGS!$B$20,0),"Unusually High","Normal"))</f>
        <v/>
      </c>
      <c r="AC834" s="51"/>
      <c r="AD834" s="51"/>
      <c r="AE834" s="51"/>
      <c r="AF834" s="50" t="str">
        <f>IF(A834&lt;&gt;"Yes","No",IF(AND(AC834="Yes",SETTINGS!$B$16="No"),"No","Yes"))</f>
        <v>No</v>
      </c>
      <c r="AG834" s="50" t="str">
        <f>IF(A834&lt;&gt;"Yes","",IF(OR(B834="",D834="",E834&lt;=0,F834="",I834=""),"Check Required Fields",IF(AA834="Possible Duplicate","Possible Duplicate",IF(E834&gt;SETTINGS!$B$22,"Review Extreme Value","OK"))))</f>
        <v/>
      </c>
    </row>
    <row r="835" spans="1:33" ht="14.4">
      <c r="A835" s="9"/>
      <c r="B835" s="13"/>
      <c r="C835" s="9"/>
      <c r="D835" s="9"/>
      <c r="E835" s="11"/>
      <c r="F835" s="9"/>
      <c r="G835" s="9"/>
      <c r="H835" s="44" t="str">
        <f>IF(D835="","",IF(ISNUMBER(SEARCH(SETTINGS!$K$4,D835)),SETTINGS!$L$4,IF(ISNUMBER(SEARCH(SETTINGS!$K$5,D835)),SETTINGS!$L$5,IF(ISNUMBER(SEARCH(SETTINGS!$K$6,D835)),SETTINGS!$L$6,IF(ISNUMBER(SEARCH(SETTINGS!$K$7,D835)),SETTINGS!$L$7,IF(ISNUMBER(SEARCH(SETTINGS!$K$8,D835)),SETTINGS!$L$8,IF(ISNUMBER(SEARCH(SETTINGS!$K$9,D835)),SETTINGS!$L$9,IF(ISNUMBER(SEARCH(SETTINGS!$K$10,D835)),SETTINGS!$L$10,IF(ISNUMBER(SEARCH(SETTINGS!$K$11,D835)),SETTINGS!$L$11,IF(ISNUMBER(SEARCH(SETTINGS!$K$12,D835)),SETTINGS!$L$12,IF(ISNUMBER(SEARCH(SETTINGS!$K$13,D835)),SETTINGS!$L$13,IF(ISNUMBER(SEARCH(SETTINGS!$K$14,D835)),SETTINGS!$L$14,IF(ISNUMBER(SEARCH(SETTINGS!$K$15,D835)),SETTINGS!$L$15,IF(ISNUMBER(SEARCH(SETTINGS!$K$16,D835)),SETTINGS!$L$16,IF(ISNUMBER(SEARCH(SETTINGS!$K$17,D835)),SETTINGS!$L$17,IF(ISNUMBER(SEARCH(SETTINGS!$K$18,D835)),SETTINGS!$L$18,"Miscellaneous"))))))))))))))))</f>
        <v/>
      </c>
      <c r="I835" s="44" t="str">
        <f t="shared" si="96"/>
        <v/>
      </c>
      <c r="J835" s="9"/>
      <c r="K835" s="9"/>
      <c r="L835" s="9"/>
      <c r="M835" s="9"/>
      <c r="N835" s="9"/>
      <c r="O835" s="9"/>
      <c r="P835" s="13"/>
      <c r="Q835" s="9"/>
      <c r="R835" s="9"/>
      <c r="S835" s="9"/>
      <c r="T835" s="11"/>
      <c r="U835" s="44" t="str">
        <f t="shared" si="97"/>
        <v/>
      </c>
      <c r="V835" s="44" t="str">
        <f t="shared" si="98"/>
        <v/>
      </c>
      <c r="W835" s="44" t="str">
        <f t="shared" si="99"/>
        <v/>
      </c>
      <c r="X835" s="44" t="str">
        <f t="shared" si="100"/>
        <v/>
      </c>
      <c r="Y835" s="44" t="str">
        <f t="shared" si="101"/>
        <v/>
      </c>
      <c r="Z835" s="44" t="str">
        <f t="shared" si="102"/>
        <v/>
      </c>
      <c r="AA835" s="50" t="str">
        <f t="shared" si="103"/>
        <v/>
      </c>
      <c r="AB835" s="50" t="str">
        <f>IF(OR(B835="",C835&lt;&gt;"Expense"),"",IF(E835&gt;IFERROR(AVERAGEIFS($E$8:$E$1007,$I$8:$I$1007,I835,$C$8:$C$1007,"Expense")*SETTINGS!$B$20,0),"Unusually High","Normal"))</f>
        <v/>
      </c>
      <c r="AC835" s="51"/>
      <c r="AD835" s="51"/>
      <c r="AE835" s="51"/>
      <c r="AF835" s="50" t="str">
        <f>IF(A835&lt;&gt;"Yes","No",IF(AND(AC835="Yes",SETTINGS!$B$16="No"),"No","Yes"))</f>
        <v>No</v>
      </c>
      <c r="AG835" s="50" t="str">
        <f>IF(A835&lt;&gt;"Yes","",IF(OR(B835="",D835="",E835&lt;=0,F835="",I835=""),"Check Required Fields",IF(AA835="Possible Duplicate","Possible Duplicate",IF(E835&gt;SETTINGS!$B$22,"Review Extreme Value","OK"))))</f>
        <v/>
      </c>
    </row>
    <row r="836" spans="1:33" ht="14.4">
      <c r="A836" s="9"/>
      <c r="B836" s="13"/>
      <c r="C836" s="9"/>
      <c r="D836" s="9"/>
      <c r="E836" s="11"/>
      <c r="F836" s="9"/>
      <c r="G836" s="9"/>
      <c r="H836" s="44" t="str">
        <f>IF(D836="","",IF(ISNUMBER(SEARCH(SETTINGS!$K$4,D836)),SETTINGS!$L$4,IF(ISNUMBER(SEARCH(SETTINGS!$K$5,D836)),SETTINGS!$L$5,IF(ISNUMBER(SEARCH(SETTINGS!$K$6,D836)),SETTINGS!$L$6,IF(ISNUMBER(SEARCH(SETTINGS!$K$7,D836)),SETTINGS!$L$7,IF(ISNUMBER(SEARCH(SETTINGS!$K$8,D836)),SETTINGS!$L$8,IF(ISNUMBER(SEARCH(SETTINGS!$K$9,D836)),SETTINGS!$L$9,IF(ISNUMBER(SEARCH(SETTINGS!$K$10,D836)),SETTINGS!$L$10,IF(ISNUMBER(SEARCH(SETTINGS!$K$11,D836)),SETTINGS!$L$11,IF(ISNUMBER(SEARCH(SETTINGS!$K$12,D836)),SETTINGS!$L$12,IF(ISNUMBER(SEARCH(SETTINGS!$K$13,D836)),SETTINGS!$L$13,IF(ISNUMBER(SEARCH(SETTINGS!$K$14,D836)),SETTINGS!$L$14,IF(ISNUMBER(SEARCH(SETTINGS!$K$15,D836)),SETTINGS!$L$15,IF(ISNUMBER(SEARCH(SETTINGS!$K$16,D836)),SETTINGS!$L$16,IF(ISNUMBER(SEARCH(SETTINGS!$K$17,D836)),SETTINGS!$L$17,IF(ISNUMBER(SEARCH(SETTINGS!$K$18,D836)),SETTINGS!$L$18,"Miscellaneous"))))))))))))))))</f>
        <v/>
      </c>
      <c r="I836" s="44" t="str">
        <f t="shared" si="96"/>
        <v/>
      </c>
      <c r="J836" s="9"/>
      <c r="K836" s="9"/>
      <c r="L836" s="9"/>
      <c r="M836" s="9"/>
      <c r="N836" s="9"/>
      <c r="O836" s="9"/>
      <c r="P836" s="13"/>
      <c r="Q836" s="9"/>
      <c r="R836" s="9"/>
      <c r="S836" s="9"/>
      <c r="T836" s="11"/>
      <c r="U836" s="44" t="str">
        <f t="shared" si="97"/>
        <v/>
      </c>
      <c r="V836" s="44" t="str">
        <f t="shared" si="98"/>
        <v/>
      </c>
      <c r="W836" s="44" t="str">
        <f t="shared" si="99"/>
        <v/>
      </c>
      <c r="X836" s="44" t="str">
        <f t="shared" si="100"/>
        <v/>
      </c>
      <c r="Y836" s="44" t="str">
        <f t="shared" si="101"/>
        <v/>
      </c>
      <c r="Z836" s="44" t="str">
        <f t="shared" si="102"/>
        <v/>
      </c>
      <c r="AA836" s="50" t="str">
        <f t="shared" si="103"/>
        <v/>
      </c>
      <c r="AB836" s="50" t="str">
        <f>IF(OR(B836="",C836&lt;&gt;"Expense"),"",IF(E836&gt;IFERROR(AVERAGEIFS($E$8:$E$1007,$I$8:$I$1007,I836,$C$8:$C$1007,"Expense")*SETTINGS!$B$20,0),"Unusually High","Normal"))</f>
        <v/>
      </c>
      <c r="AC836" s="51"/>
      <c r="AD836" s="51"/>
      <c r="AE836" s="51"/>
      <c r="AF836" s="50" t="str">
        <f>IF(A836&lt;&gt;"Yes","No",IF(AND(AC836="Yes",SETTINGS!$B$16="No"),"No","Yes"))</f>
        <v>No</v>
      </c>
      <c r="AG836" s="50" t="str">
        <f>IF(A836&lt;&gt;"Yes","",IF(OR(B836="",D836="",E836&lt;=0,F836="",I836=""),"Check Required Fields",IF(AA836="Possible Duplicate","Possible Duplicate",IF(E836&gt;SETTINGS!$B$22,"Review Extreme Value","OK"))))</f>
        <v/>
      </c>
    </row>
    <row r="837" spans="1:33" ht="14.4">
      <c r="A837" s="9"/>
      <c r="B837" s="13"/>
      <c r="C837" s="9"/>
      <c r="D837" s="9"/>
      <c r="E837" s="11"/>
      <c r="F837" s="9"/>
      <c r="G837" s="9"/>
      <c r="H837" s="44" t="str">
        <f>IF(D837="","",IF(ISNUMBER(SEARCH(SETTINGS!$K$4,D837)),SETTINGS!$L$4,IF(ISNUMBER(SEARCH(SETTINGS!$K$5,D837)),SETTINGS!$L$5,IF(ISNUMBER(SEARCH(SETTINGS!$K$6,D837)),SETTINGS!$L$6,IF(ISNUMBER(SEARCH(SETTINGS!$K$7,D837)),SETTINGS!$L$7,IF(ISNUMBER(SEARCH(SETTINGS!$K$8,D837)),SETTINGS!$L$8,IF(ISNUMBER(SEARCH(SETTINGS!$K$9,D837)),SETTINGS!$L$9,IF(ISNUMBER(SEARCH(SETTINGS!$K$10,D837)),SETTINGS!$L$10,IF(ISNUMBER(SEARCH(SETTINGS!$K$11,D837)),SETTINGS!$L$11,IF(ISNUMBER(SEARCH(SETTINGS!$K$12,D837)),SETTINGS!$L$12,IF(ISNUMBER(SEARCH(SETTINGS!$K$13,D837)),SETTINGS!$L$13,IF(ISNUMBER(SEARCH(SETTINGS!$K$14,D837)),SETTINGS!$L$14,IF(ISNUMBER(SEARCH(SETTINGS!$K$15,D837)),SETTINGS!$L$15,IF(ISNUMBER(SEARCH(SETTINGS!$K$16,D837)),SETTINGS!$L$16,IF(ISNUMBER(SEARCH(SETTINGS!$K$17,D837)),SETTINGS!$L$17,IF(ISNUMBER(SEARCH(SETTINGS!$K$18,D837)),SETTINGS!$L$18,"Miscellaneous"))))))))))))))))</f>
        <v/>
      </c>
      <c r="I837" s="44" t="str">
        <f t="shared" si="96"/>
        <v/>
      </c>
      <c r="J837" s="9"/>
      <c r="K837" s="9"/>
      <c r="L837" s="9"/>
      <c r="M837" s="9"/>
      <c r="N837" s="9"/>
      <c r="O837" s="9"/>
      <c r="P837" s="13"/>
      <c r="Q837" s="9"/>
      <c r="R837" s="9"/>
      <c r="S837" s="9"/>
      <c r="T837" s="11"/>
      <c r="U837" s="44" t="str">
        <f t="shared" si="97"/>
        <v/>
      </c>
      <c r="V837" s="44" t="str">
        <f t="shared" si="98"/>
        <v/>
      </c>
      <c r="W837" s="44" t="str">
        <f t="shared" si="99"/>
        <v/>
      </c>
      <c r="X837" s="44" t="str">
        <f t="shared" si="100"/>
        <v/>
      </c>
      <c r="Y837" s="44" t="str">
        <f t="shared" si="101"/>
        <v/>
      </c>
      <c r="Z837" s="44" t="str">
        <f t="shared" si="102"/>
        <v/>
      </c>
      <c r="AA837" s="50" t="str">
        <f t="shared" si="103"/>
        <v/>
      </c>
      <c r="AB837" s="50" t="str">
        <f>IF(OR(B837="",C837&lt;&gt;"Expense"),"",IF(E837&gt;IFERROR(AVERAGEIFS($E$8:$E$1007,$I$8:$I$1007,I837,$C$8:$C$1007,"Expense")*SETTINGS!$B$20,0),"Unusually High","Normal"))</f>
        <v/>
      </c>
      <c r="AC837" s="51"/>
      <c r="AD837" s="51"/>
      <c r="AE837" s="51"/>
      <c r="AF837" s="50" t="str">
        <f>IF(A837&lt;&gt;"Yes","No",IF(AND(AC837="Yes",SETTINGS!$B$16="No"),"No","Yes"))</f>
        <v>No</v>
      </c>
      <c r="AG837" s="50" t="str">
        <f>IF(A837&lt;&gt;"Yes","",IF(OR(B837="",D837="",E837&lt;=0,F837="",I837=""),"Check Required Fields",IF(AA837="Possible Duplicate","Possible Duplicate",IF(E837&gt;SETTINGS!$B$22,"Review Extreme Value","OK"))))</f>
        <v/>
      </c>
    </row>
    <row r="838" spans="1:33" ht="14.4">
      <c r="A838" s="9"/>
      <c r="B838" s="13"/>
      <c r="C838" s="9"/>
      <c r="D838" s="9"/>
      <c r="E838" s="11"/>
      <c r="F838" s="9"/>
      <c r="G838" s="9"/>
      <c r="H838" s="44" t="str">
        <f>IF(D838="","",IF(ISNUMBER(SEARCH(SETTINGS!$K$4,D838)),SETTINGS!$L$4,IF(ISNUMBER(SEARCH(SETTINGS!$K$5,D838)),SETTINGS!$L$5,IF(ISNUMBER(SEARCH(SETTINGS!$K$6,D838)),SETTINGS!$L$6,IF(ISNUMBER(SEARCH(SETTINGS!$K$7,D838)),SETTINGS!$L$7,IF(ISNUMBER(SEARCH(SETTINGS!$K$8,D838)),SETTINGS!$L$8,IF(ISNUMBER(SEARCH(SETTINGS!$K$9,D838)),SETTINGS!$L$9,IF(ISNUMBER(SEARCH(SETTINGS!$K$10,D838)),SETTINGS!$L$10,IF(ISNUMBER(SEARCH(SETTINGS!$K$11,D838)),SETTINGS!$L$11,IF(ISNUMBER(SEARCH(SETTINGS!$K$12,D838)),SETTINGS!$L$12,IF(ISNUMBER(SEARCH(SETTINGS!$K$13,D838)),SETTINGS!$L$13,IF(ISNUMBER(SEARCH(SETTINGS!$K$14,D838)),SETTINGS!$L$14,IF(ISNUMBER(SEARCH(SETTINGS!$K$15,D838)),SETTINGS!$L$15,IF(ISNUMBER(SEARCH(SETTINGS!$K$16,D838)),SETTINGS!$L$16,IF(ISNUMBER(SEARCH(SETTINGS!$K$17,D838)),SETTINGS!$L$17,IF(ISNUMBER(SEARCH(SETTINGS!$K$18,D838)),SETTINGS!$L$18,"Miscellaneous"))))))))))))))))</f>
        <v/>
      </c>
      <c r="I838" s="44" t="str">
        <f t="shared" si="96"/>
        <v/>
      </c>
      <c r="J838" s="9"/>
      <c r="K838" s="9"/>
      <c r="L838" s="9"/>
      <c r="M838" s="9"/>
      <c r="N838" s="9"/>
      <c r="O838" s="9"/>
      <c r="P838" s="13"/>
      <c r="Q838" s="9"/>
      <c r="R838" s="9"/>
      <c r="S838" s="9"/>
      <c r="T838" s="11"/>
      <c r="U838" s="44" t="str">
        <f t="shared" si="97"/>
        <v/>
      </c>
      <c r="V838" s="44" t="str">
        <f t="shared" si="98"/>
        <v/>
      </c>
      <c r="W838" s="44" t="str">
        <f t="shared" si="99"/>
        <v/>
      </c>
      <c r="X838" s="44" t="str">
        <f t="shared" si="100"/>
        <v/>
      </c>
      <c r="Y838" s="44" t="str">
        <f t="shared" si="101"/>
        <v/>
      </c>
      <c r="Z838" s="44" t="str">
        <f t="shared" si="102"/>
        <v/>
      </c>
      <c r="AA838" s="50" t="str">
        <f t="shared" si="103"/>
        <v/>
      </c>
      <c r="AB838" s="50" t="str">
        <f>IF(OR(B838="",C838&lt;&gt;"Expense"),"",IF(E838&gt;IFERROR(AVERAGEIFS($E$8:$E$1007,$I$8:$I$1007,I838,$C$8:$C$1007,"Expense")*SETTINGS!$B$20,0),"Unusually High","Normal"))</f>
        <v/>
      </c>
      <c r="AC838" s="51"/>
      <c r="AD838" s="51"/>
      <c r="AE838" s="51"/>
      <c r="AF838" s="50" t="str">
        <f>IF(A838&lt;&gt;"Yes","No",IF(AND(AC838="Yes",SETTINGS!$B$16="No"),"No","Yes"))</f>
        <v>No</v>
      </c>
      <c r="AG838" s="50" t="str">
        <f>IF(A838&lt;&gt;"Yes","",IF(OR(B838="",D838="",E838&lt;=0,F838="",I838=""),"Check Required Fields",IF(AA838="Possible Duplicate","Possible Duplicate",IF(E838&gt;SETTINGS!$B$22,"Review Extreme Value","OK"))))</f>
        <v/>
      </c>
    </row>
    <row r="839" spans="1:33" ht="14.4">
      <c r="A839" s="9"/>
      <c r="B839" s="13"/>
      <c r="C839" s="9"/>
      <c r="D839" s="9"/>
      <c r="E839" s="11"/>
      <c r="F839" s="9"/>
      <c r="G839" s="9"/>
      <c r="H839" s="44" t="str">
        <f>IF(D839="","",IF(ISNUMBER(SEARCH(SETTINGS!$K$4,D839)),SETTINGS!$L$4,IF(ISNUMBER(SEARCH(SETTINGS!$K$5,D839)),SETTINGS!$L$5,IF(ISNUMBER(SEARCH(SETTINGS!$K$6,D839)),SETTINGS!$L$6,IF(ISNUMBER(SEARCH(SETTINGS!$K$7,D839)),SETTINGS!$L$7,IF(ISNUMBER(SEARCH(SETTINGS!$K$8,D839)),SETTINGS!$L$8,IF(ISNUMBER(SEARCH(SETTINGS!$K$9,D839)),SETTINGS!$L$9,IF(ISNUMBER(SEARCH(SETTINGS!$K$10,D839)),SETTINGS!$L$10,IF(ISNUMBER(SEARCH(SETTINGS!$K$11,D839)),SETTINGS!$L$11,IF(ISNUMBER(SEARCH(SETTINGS!$K$12,D839)),SETTINGS!$L$12,IF(ISNUMBER(SEARCH(SETTINGS!$K$13,D839)),SETTINGS!$L$13,IF(ISNUMBER(SEARCH(SETTINGS!$K$14,D839)),SETTINGS!$L$14,IF(ISNUMBER(SEARCH(SETTINGS!$K$15,D839)),SETTINGS!$L$15,IF(ISNUMBER(SEARCH(SETTINGS!$K$16,D839)),SETTINGS!$L$16,IF(ISNUMBER(SEARCH(SETTINGS!$K$17,D839)),SETTINGS!$L$17,IF(ISNUMBER(SEARCH(SETTINGS!$K$18,D839)),SETTINGS!$L$18,"Miscellaneous"))))))))))))))))</f>
        <v/>
      </c>
      <c r="I839" s="44" t="str">
        <f t="shared" si="96"/>
        <v/>
      </c>
      <c r="J839" s="9"/>
      <c r="K839" s="9"/>
      <c r="L839" s="9"/>
      <c r="M839" s="9"/>
      <c r="N839" s="9"/>
      <c r="O839" s="9"/>
      <c r="P839" s="13"/>
      <c r="Q839" s="9"/>
      <c r="R839" s="9"/>
      <c r="S839" s="9"/>
      <c r="T839" s="11"/>
      <c r="U839" s="44" t="str">
        <f t="shared" si="97"/>
        <v/>
      </c>
      <c r="V839" s="44" t="str">
        <f t="shared" si="98"/>
        <v/>
      </c>
      <c r="W839" s="44" t="str">
        <f t="shared" si="99"/>
        <v/>
      </c>
      <c r="X839" s="44" t="str">
        <f t="shared" si="100"/>
        <v/>
      </c>
      <c r="Y839" s="44" t="str">
        <f t="shared" si="101"/>
        <v/>
      </c>
      <c r="Z839" s="44" t="str">
        <f t="shared" si="102"/>
        <v/>
      </c>
      <c r="AA839" s="50" t="str">
        <f t="shared" si="103"/>
        <v/>
      </c>
      <c r="AB839" s="50" t="str">
        <f>IF(OR(B839="",C839&lt;&gt;"Expense"),"",IF(E839&gt;IFERROR(AVERAGEIFS($E$8:$E$1007,$I$8:$I$1007,I839,$C$8:$C$1007,"Expense")*SETTINGS!$B$20,0),"Unusually High","Normal"))</f>
        <v/>
      </c>
      <c r="AC839" s="51"/>
      <c r="AD839" s="51"/>
      <c r="AE839" s="51"/>
      <c r="AF839" s="50" t="str">
        <f>IF(A839&lt;&gt;"Yes","No",IF(AND(AC839="Yes",SETTINGS!$B$16="No"),"No","Yes"))</f>
        <v>No</v>
      </c>
      <c r="AG839" s="50" t="str">
        <f>IF(A839&lt;&gt;"Yes","",IF(OR(B839="",D839="",E839&lt;=0,F839="",I839=""),"Check Required Fields",IF(AA839="Possible Duplicate","Possible Duplicate",IF(E839&gt;SETTINGS!$B$22,"Review Extreme Value","OK"))))</f>
        <v/>
      </c>
    </row>
    <row r="840" spans="1:33" ht="14.4">
      <c r="A840" s="9"/>
      <c r="B840" s="13"/>
      <c r="C840" s="9"/>
      <c r="D840" s="9"/>
      <c r="E840" s="11"/>
      <c r="F840" s="9"/>
      <c r="G840" s="9"/>
      <c r="H840" s="44" t="str">
        <f>IF(D840="","",IF(ISNUMBER(SEARCH(SETTINGS!$K$4,D840)),SETTINGS!$L$4,IF(ISNUMBER(SEARCH(SETTINGS!$K$5,D840)),SETTINGS!$L$5,IF(ISNUMBER(SEARCH(SETTINGS!$K$6,D840)),SETTINGS!$L$6,IF(ISNUMBER(SEARCH(SETTINGS!$K$7,D840)),SETTINGS!$L$7,IF(ISNUMBER(SEARCH(SETTINGS!$K$8,D840)),SETTINGS!$L$8,IF(ISNUMBER(SEARCH(SETTINGS!$K$9,D840)),SETTINGS!$L$9,IF(ISNUMBER(SEARCH(SETTINGS!$K$10,D840)),SETTINGS!$L$10,IF(ISNUMBER(SEARCH(SETTINGS!$K$11,D840)),SETTINGS!$L$11,IF(ISNUMBER(SEARCH(SETTINGS!$K$12,D840)),SETTINGS!$L$12,IF(ISNUMBER(SEARCH(SETTINGS!$K$13,D840)),SETTINGS!$L$13,IF(ISNUMBER(SEARCH(SETTINGS!$K$14,D840)),SETTINGS!$L$14,IF(ISNUMBER(SEARCH(SETTINGS!$K$15,D840)),SETTINGS!$L$15,IF(ISNUMBER(SEARCH(SETTINGS!$K$16,D840)),SETTINGS!$L$16,IF(ISNUMBER(SEARCH(SETTINGS!$K$17,D840)),SETTINGS!$L$17,IF(ISNUMBER(SEARCH(SETTINGS!$K$18,D840)),SETTINGS!$L$18,"Miscellaneous"))))))))))))))))</f>
        <v/>
      </c>
      <c r="I840" s="44" t="str">
        <f t="shared" ref="I840:I903" si="104">IF(B840="","",IF(G840&lt;&gt;"",G840,H840))</f>
        <v/>
      </c>
      <c r="J840" s="9"/>
      <c r="K840" s="9"/>
      <c r="L840" s="9"/>
      <c r="M840" s="9"/>
      <c r="N840" s="9"/>
      <c r="O840" s="9"/>
      <c r="P840" s="13"/>
      <c r="Q840" s="9"/>
      <c r="R840" s="9"/>
      <c r="S840" s="9"/>
      <c r="T840" s="11"/>
      <c r="U840" s="44" t="str">
        <f t="shared" ref="U840:U903" si="105">IF(B840="","",IF(C840="Income","INC-",IF(C840="Expense","EXP-","TRX-"))&amp;TEXT(YEAR(B840),"0000")&amp;"-"&amp;TEXT(ROW()-7,"0000"))</f>
        <v/>
      </c>
      <c r="V840" s="44" t="str">
        <f t="shared" ref="V840:V903" si="106">IF(B840="","",TEXT(B840,"mmmm"))</f>
        <v/>
      </c>
      <c r="W840" s="44" t="str">
        <f t="shared" ref="W840:W903" si="107">IF(B840="","",MONTH(B840))</f>
        <v/>
      </c>
      <c r="X840" s="44" t="str">
        <f t="shared" ref="X840:X903" si="108">IF(B840="","",YEAR(B840))</f>
        <v/>
      </c>
      <c r="Y840" s="44" t="str">
        <f t="shared" ref="Y840:Y903" si="109">IF(B840="","",DAY(B840))</f>
        <v/>
      </c>
      <c r="Z840" s="44" t="str">
        <f t="shared" ref="Z840:Z903" si="110">IF(B840="","",IF(WEEKDAY(B840,2)&gt;5,"Weekend","Weekday"))</f>
        <v/>
      </c>
      <c r="AA840" s="50" t="str">
        <f t="shared" ref="AA840:AA903" si="111">IF(B840="","",IF(COUNTIFS($B$8:$B$1007,B840,$E$8:$E$1007,E840,$D$8:$D$1007,D840,$I$8:$I$1007,I840)&gt;1,"Possible Duplicate","OK"))</f>
        <v/>
      </c>
      <c r="AB840" s="50" t="str">
        <f>IF(OR(B840="",C840&lt;&gt;"Expense"),"",IF(E840&gt;IFERROR(AVERAGEIFS($E$8:$E$1007,$I$8:$I$1007,I840,$C$8:$C$1007,"Expense")*SETTINGS!$B$20,0),"Unusually High","Normal"))</f>
        <v/>
      </c>
      <c r="AC840" s="51"/>
      <c r="AD840" s="51"/>
      <c r="AE840" s="51"/>
      <c r="AF840" s="50" t="str">
        <f>IF(A840&lt;&gt;"Yes","No",IF(AND(AC840="Yes",SETTINGS!$B$16="No"),"No","Yes"))</f>
        <v>No</v>
      </c>
      <c r="AG840" s="50" t="str">
        <f>IF(A840&lt;&gt;"Yes","",IF(OR(B840="",D840="",E840&lt;=0,F840="",I840=""),"Check Required Fields",IF(AA840="Possible Duplicate","Possible Duplicate",IF(E840&gt;SETTINGS!$B$22,"Review Extreme Value","OK"))))</f>
        <v/>
      </c>
    </row>
    <row r="841" spans="1:33" ht="14.4">
      <c r="A841" s="9"/>
      <c r="B841" s="13"/>
      <c r="C841" s="9"/>
      <c r="D841" s="9"/>
      <c r="E841" s="11"/>
      <c r="F841" s="9"/>
      <c r="G841" s="9"/>
      <c r="H841" s="44" t="str">
        <f>IF(D841="","",IF(ISNUMBER(SEARCH(SETTINGS!$K$4,D841)),SETTINGS!$L$4,IF(ISNUMBER(SEARCH(SETTINGS!$K$5,D841)),SETTINGS!$L$5,IF(ISNUMBER(SEARCH(SETTINGS!$K$6,D841)),SETTINGS!$L$6,IF(ISNUMBER(SEARCH(SETTINGS!$K$7,D841)),SETTINGS!$L$7,IF(ISNUMBER(SEARCH(SETTINGS!$K$8,D841)),SETTINGS!$L$8,IF(ISNUMBER(SEARCH(SETTINGS!$K$9,D841)),SETTINGS!$L$9,IF(ISNUMBER(SEARCH(SETTINGS!$K$10,D841)),SETTINGS!$L$10,IF(ISNUMBER(SEARCH(SETTINGS!$K$11,D841)),SETTINGS!$L$11,IF(ISNUMBER(SEARCH(SETTINGS!$K$12,D841)),SETTINGS!$L$12,IF(ISNUMBER(SEARCH(SETTINGS!$K$13,D841)),SETTINGS!$L$13,IF(ISNUMBER(SEARCH(SETTINGS!$K$14,D841)),SETTINGS!$L$14,IF(ISNUMBER(SEARCH(SETTINGS!$K$15,D841)),SETTINGS!$L$15,IF(ISNUMBER(SEARCH(SETTINGS!$K$16,D841)),SETTINGS!$L$16,IF(ISNUMBER(SEARCH(SETTINGS!$K$17,D841)),SETTINGS!$L$17,IF(ISNUMBER(SEARCH(SETTINGS!$K$18,D841)),SETTINGS!$L$18,"Miscellaneous"))))))))))))))))</f>
        <v/>
      </c>
      <c r="I841" s="44" t="str">
        <f t="shared" si="104"/>
        <v/>
      </c>
      <c r="J841" s="9"/>
      <c r="K841" s="9"/>
      <c r="L841" s="9"/>
      <c r="M841" s="9"/>
      <c r="N841" s="9"/>
      <c r="O841" s="9"/>
      <c r="P841" s="13"/>
      <c r="Q841" s="9"/>
      <c r="R841" s="9"/>
      <c r="S841" s="9"/>
      <c r="T841" s="11"/>
      <c r="U841" s="44" t="str">
        <f t="shared" si="105"/>
        <v/>
      </c>
      <c r="V841" s="44" t="str">
        <f t="shared" si="106"/>
        <v/>
      </c>
      <c r="W841" s="44" t="str">
        <f t="shared" si="107"/>
        <v/>
      </c>
      <c r="X841" s="44" t="str">
        <f t="shared" si="108"/>
        <v/>
      </c>
      <c r="Y841" s="44" t="str">
        <f t="shared" si="109"/>
        <v/>
      </c>
      <c r="Z841" s="44" t="str">
        <f t="shared" si="110"/>
        <v/>
      </c>
      <c r="AA841" s="50" t="str">
        <f t="shared" si="111"/>
        <v/>
      </c>
      <c r="AB841" s="50" t="str">
        <f>IF(OR(B841="",C841&lt;&gt;"Expense"),"",IF(E841&gt;IFERROR(AVERAGEIFS($E$8:$E$1007,$I$8:$I$1007,I841,$C$8:$C$1007,"Expense")*SETTINGS!$B$20,0),"Unusually High","Normal"))</f>
        <v/>
      </c>
      <c r="AC841" s="51"/>
      <c r="AD841" s="51"/>
      <c r="AE841" s="51"/>
      <c r="AF841" s="50" t="str">
        <f>IF(A841&lt;&gt;"Yes","No",IF(AND(AC841="Yes",SETTINGS!$B$16="No"),"No","Yes"))</f>
        <v>No</v>
      </c>
      <c r="AG841" s="50" t="str">
        <f>IF(A841&lt;&gt;"Yes","",IF(OR(B841="",D841="",E841&lt;=0,F841="",I841=""),"Check Required Fields",IF(AA841="Possible Duplicate","Possible Duplicate",IF(E841&gt;SETTINGS!$B$22,"Review Extreme Value","OK"))))</f>
        <v/>
      </c>
    </row>
    <row r="842" spans="1:33" ht="14.4">
      <c r="A842" s="9"/>
      <c r="B842" s="13"/>
      <c r="C842" s="9"/>
      <c r="D842" s="9"/>
      <c r="E842" s="11"/>
      <c r="F842" s="9"/>
      <c r="G842" s="9"/>
      <c r="H842" s="44" t="str">
        <f>IF(D842="","",IF(ISNUMBER(SEARCH(SETTINGS!$K$4,D842)),SETTINGS!$L$4,IF(ISNUMBER(SEARCH(SETTINGS!$K$5,D842)),SETTINGS!$L$5,IF(ISNUMBER(SEARCH(SETTINGS!$K$6,D842)),SETTINGS!$L$6,IF(ISNUMBER(SEARCH(SETTINGS!$K$7,D842)),SETTINGS!$L$7,IF(ISNUMBER(SEARCH(SETTINGS!$K$8,D842)),SETTINGS!$L$8,IF(ISNUMBER(SEARCH(SETTINGS!$K$9,D842)),SETTINGS!$L$9,IF(ISNUMBER(SEARCH(SETTINGS!$K$10,D842)),SETTINGS!$L$10,IF(ISNUMBER(SEARCH(SETTINGS!$K$11,D842)),SETTINGS!$L$11,IF(ISNUMBER(SEARCH(SETTINGS!$K$12,D842)),SETTINGS!$L$12,IF(ISNUMBER(SEARCH(SETTINGS!$K$13,D842)),SETTINGS!$L$13,IF(ISNUMBER(SEARCH(SETTINGS!$K$14,D842)),SETTINGS!$L$14,IF(ISNUMBER(SEARCH(SETTINGS!$K$15,D842)),SETTINGS!$L$15,IF(ISNUMBER(SEARCH(SETTINGS!$K$16,D842)),SETTINGS!$L$16,IF(ISNUMBER(SEARCH(SETTINGS!$K$17,D842)),SETTINGS!$L$17,IF(ISNUMBER(SEARCH(SETTINGS!$K$18,D842)),SETTINGS!$L$18,"Miscellaneous"))))))))))))))))</f>
        <v/>
      </c>
      <c r="I842" s="44" t="str">
        <f t="shared" si="104"/>
        <v/>
      </c>
      <c r="J842" s="9"/>
      <c r="K842" s="9"/>
      <c r="L842" s="9"/>
      <c r="M842" s="9"/>
      <c r="N842" s="9"/>
      <c r="O842" s="9"/>
      <c r="P842" s="13"/>
      <c r="Q842" s="9"/>
      <c r="R842" s="9"/>
      <c r="S842" s="9"/>
      <c r="T842" s="11"/>
      <c r="U842" s="44" t="str">
        <f t="shared" si="105"/>
        <v/>
      </c>
      <c r="V842" s="44" t="str">
        <f t="shared" si="106"/>
        <v/>
      </c>
      <c r="W842" s="44" t="str">
        <f t="shared" si="107"/>
        <v/>
      </c>
      <c r="X842" s="44" t="str">
        <f t="shared" si="108"/>
        <v/>
      </c>
      <c r="Y842" s="44" t="str">
        <f t="shared" si="109"/>
        <v/>
      </c>
      <c r="Z842" s="44" t="str">
        <f t="shared" si="110"/>
        <v/>
      </c>
      <c r="AA842" s="50" t="str">
        <f t="shared" si="111"/>
        <v/>
      </c>
      <c r="AB842" s="50" t="str">
        <f>IF(OR(B842="",C842&lt;&gt;"Expense"),"",IF(E842&gt;IFERROR(AVERAGEIFS($E$8:$E$1007,$I$8:$I$1007,I842,$C$8:$C$1007,"Expense")*SETTINGS!$B$20,0),"Unusually High","Normal"))</f>
        <v/>
      </c>
      <c r="AC842" s="51"/>
      <c r="AD842" s="51"/>
      <c r="AE842" s="51"/>
      <c r="AF842" s="50" t="str">
        <f>IF(A842&lt;&gt;"Yes","No",IF(AND(AC842="Yes",SETTINGS!$B$16="No"),"No","Yes"))</f>
        <v>No</v>
      </c>
      <c r="AG842" s="50" t="str">
        <f>IF(A842&lt;&gt;"Yes","",IF(OR(B842="",D842="",E842&lt;=0,F842="",I842=""),"Check Required Fields",IF(AA842="Possible Duplicate","Possible Duplicate",IF(E842&gt;SETTINGS!$B$22,"Review Extreme Value","OK"))))</f>
        <v/>
      </c>
    </row>
    <row r="843" spans="1:33" ht="14.4">
      <c r="A843" s="9"/>
      <c r="B843" s="13"/>
      <c r="C843" s="9"/>
      <c r="D843" s="9"/>
      <c r="E843" s="11"/>
      <c r="F843" s="9"/>
      <c r="G843" s="9"/>
      <c r="H843" s="44" t="str">
        <f>IF(D843="","",IF(ISNUMBER(SEARCH(SETTINGS!$K$4,D843)),SETTINGS!$L$4,IF(ISNUMBER(SEARCH(SETTINGS!$K$5,D843)),SETTINGS!$L$5,IF(ISNUMBER(SEARCH(SETTINGS!$K$6,D843)),SETTINGS!$L$6,IF(ISNUMBER(SEARCH(SETTINGS!$K$7,D843)),SETTINGS!$L$7,IF(ISNUMBER(SEARCH(SETTINGS!$K$8,D843)),SETTINGS!$L$8,IF(ISNUMBER(SEARCH(SETTINGS!$K$9,D843)),SETTINGS!$L$9,IF(ISNUMBER(SEARCH(SETTINGS!$K$10,D843)),SETTINGS!$L$10,IF(ISNUMBER(SEARCH(SETTINGS!$K$11,D843)),SETTINGS!$L$11,IF(ISNUMBER(SEARCH(SETTINGS!$K$12,D843)),SETTINGS!$L$12,IF(ISNUMBER(SEARCH(SETTINGS!$K$13,D843)),SETTINGS!$L$13,IF(ISNUMBER(SEARCH(SETTINGS!$K$14,D843)),SETTINGS!$L$14,IF(ISNUMBER(SEARCH(SETTINGS!$K$15,D843)),SETTINGS!$L$15,IF(ISNUMBER(SEARCH(SETTINGS!$K$16,D843)),SETTINGS!$L$16,IF(ISNUMBER(SEARCH(SETTINGS!$K$17,D843)),SETTINGS!$L$17,IF(ISNUMBER(SEARCH(SETTINGS!$K$18,D843)),SETTINGS!$L$18,"Miscellaneous"))))))))))))))))</f>
        <v/>
      </c>
      <c r="I843" s="44" t="str">
        <f t="shared" si="104"/>
        <v/>
      </c>
      <c r="J843" s="9"/>
      <c r="K843" s="9"/>
      <c r="L843" s="9"/>
      <c r="M843" s="9"/>
      <c r="N843" s="9"/>
      <c r="O843" s="9"/>
      <c r="P843" s="13"/>
      <c r="Q843" s="9"/>
      <c r="R843" s="9"/>
      <c r="S843" s="9"/>
      <c r="T843" s="11"/>
      <c r="U843" s="44" t="str">
        <f t="shared" si="105"/>
        <v/>
      </c>
      <c r="V843" s="44" t="str">
        <f t="shared" si="106"/>
        <v/>
      </c>
      <c r="W843" s="44" t="str">
        <f t="shared" si="107"/>
        <v/>
      </c>
      <c r="X843" s="44" t="str">
        <f t="shared" si="108"/>
        <v/>
      </c>
      <c r="Y843" s="44" t="str">
        <f t="shared" si="109"/>
        <v/>
      </c>
      <c r="Z843" s="44" t="str">
        <f t="shared" si="110"/>
        <v/>
      </c>
      <c r="AA843" s="50" t="str">
        <f t="shared" si="111"/>
        <v/>
      </c>
      <c r="AB843" s="50" t="str">
        <f>IF(OR(B843="",C843&lt;&gt;"Expense"),"",IF(E843&gt;IFERROR(AVERAGEIFS($E$8:$E$1007,$I$8:$I$1007,I843,$C$8:$C$1007,"Expense")*SETTINGS!$B$20,0),"Unusually High","Normal"))</f>
        <v/>
      </c>
      <c r="AC843" s="51"/>
      <c r="AD843" s="51"/>
      <c r="AE843" s="51"/>
      <c r="AF843" s="50" t="str">
        <f>IF(A843&lt;&gt;"Yes","No",IF(AND(AC843="Yes",SETTINGS!$B$16="No"),"No","Yes"))</f>
        <v>No</v>
      </c>
      <c r="AG843" s="50" t="str">
        <f>IF(A843&lt;&gt;"Yes","",IF(OR(B843="",D843="",E843&lt;=0,F843="",I843=""),"Check Required Fields",IF(AA843="Possible Duplicate","Possible Duplicate",IF(E843&gt;SETTINGS!$B$22,"Review Extreme Value","OK"))))</f>
        <v/>
      </c>
    </row>
    <row r="844" spans="1:33" ht="14.4">
      <c r="A844" s="9"/>
      <c r="B844" s="13"/>
      <c r="C844" s="9"/>
      <c r="D844" s="9"/>
      <c r="E844" s="11"/>
      <c r="F844" s="9"/>
      <c r="G844" s="9"/>
      <c r="H844" s="44" t="str">
        <f>IF(D844="","",IF(ISNUMBER(SEARCH(SETTINGS!$K$4,D844)),SETTINGS!$L$4,IF(ISNUMBER(SEARCH(SETTINGS!$K$5,D844)),SETTINGS!$L$5,IF(ISNUMBER(SEARCH(SETTINGS!$K$6,D844)),SETTINGS!$L$6,IF(ISNUMBER(SEARCH(SETTINGS!$K$7,D844)),SETTINGS!$L$7,IF(ISNUMBER(SEARCH(SETTINGS!$K$8,D844)),SETTINGS!$L$8,IF(ISNUMBER(SEARCH(SETTINGS!$K$9,D844)),SETTINGS!$L$9,IF(ISNUMBER(SEARCH(SETTINGS!$K$10,D844)),SETTINGS!$L$10,IF(ISNUMBER(SEARCH(SETTINGS!$K$11,D844)),SETTINGS!$L$11,IF(ISNUMBER(SEARCH(SETTINGS!$K$12,D844)),SETTINGS!$L$12,IF(ISNUMBER(SEARCH(SETTINGS!$K$13,D844)),SETTINGS!$L$13,IF(ISNUMBER(SEARCH(SETTINGS!$K$14,D844)),SETTINGS!$L$14,IF(ISNUMBER(SEARCH(SETTINGS!$K$15,D844)),SETTINGS!$L$15,IF(ISNUMBER(SEARCH(SETTINGS!$K$16,D844)),SETTINGS!$L$16,IF(ISNUMBER(SEARCH(SETTINGS!$K$17,D844)),SETTINGS!$L$17,IF(ISNUMBER(SEARCH(SETTINGS!$K$18,D844)),SETTINGS!$L$18,"Miscellaneous"))))))))))))))))</f>
        <v/>
      </c>
      <c r="I844" s="44" t="str">
        <f t="shared" si="104"/>
        <v/>
      </c>
      <c r="J844" s="9"/>
      <c r="K844" s="9"/>
      <c r="L844" s="9"/>
      <c r="M844" s="9"/>
      <c r="N844" s="9"/>
      <c r="O844" s="9"/>
      <c r="P844" s="13"/>
      <c r="Q844" s="9"/>
      <c r="R844" s="9"/>
      <c r="S844" s="9"/>
      <c r="T844" s="11"/>
      <c r="U844" s="44" t="str">
        <f t="shared" si="105"/>
        <v/>
      </c>
      <c r="V844" s="44" t="str">
        <f t="shared" si="106"/>
        <v/>
      </c>
      <c r="W844" s="44" t="str">
        <f t="shared" si="107"/>
        <v/>
      </c>
      <c r="X844" s="44" t="str">
        <f t="shared" si="108"/>
        <v/>
      </c>
      <c r="Y844" s="44" t="str">
        <f t="shared" si="109"/>
        <v/>
      </c>
      <c r="Z844" s="44" t="str">
        <f t="shared" si="110"/>
        <v/>
      </c>
      <c r="AA844" s="50" t="str">
        <f t="shared" si="111"/>
        <v/>
      </c>
      <c r="AB844" s="50" t="str">
        <f>IF(OR(B844="",C844&lt;&gt;"Expense"),"",IF(E844&gt;IFERROR(AVERAGEIFS($E$8:$E$1007,$I$8:$I$1007,I844,$C$8:$C$1007,"Expense")*SETTINGS!$B$20,0),"Unusually High","Normal"))</f>
        <v/>
      </c>
      <c r="AC844" s="51"/>
      <c r="AD844" s="51"/>
      <c r="AE844" s="51"/>
      <c r="AF844" s="50" t="str">
        <f>IF(A844&lt;&gt;"Yes","No",IF(AND(AC844="Yes",SETTINGS!$B$16="No"),"No","Yes"))</f>
        <v>No</v>
      </c>
      <c r="AG844" s="50" t="str">
        <f>IF(A844&lt;&gt;"Yes","",IF(OR(B844="",D844="",E844&lt;=0,F844="",I844=""),"Check Required Fields",IF(AA844="Possible Duplicate","Possible Duplicate",IF(E844&gt;SETTINGS!$B$22,"Review Extreme Value","OK"))))</f>
        <v/>
      </c>
    </row>
    <row r="845" spans="1:33" ht="14.4">
      <c r="A845" s="9"/>
      <c r="B845" s="13"/>
      <c r="C845" s="9"/>
      <c r="D845" s="9"/>
      <c r="E845" s="11"/>
      <c r="F845" s="9"/>
      <c r="G845" s="9"/>
      <c r="H845" s="44" t="str">
        <f>IF(D845="","",IF(ISNUMBER(SEARCH(SETTINGS!$K$4,D845)),SETTINGS!$L$4,IF(ISNUMBER(SEARCH(SETTINGS!$K$5,D845)),SETTINGS!$L$5,IF(ISNUMBER(SEARCH(SETTINGS!$K$6,D845)),SETTINGS!$L$6,IF(ISNUMBER(SEARCH(SETTINGS!$K$7,D845)),SETTINGS!$L$7,IF(ISNUMBER(SEARCH(SETTINGS!$K$8,D845)),SETTINGS!$L$8,IF(ISNUMBER(SEARCH(SETTINGS!$K$9,D845)),SETTINGS!$L$9,IF(ISNUMBER(SEARCH(SETTINGS!$K$10,D845)),SETTINGS!$L$10,IF(ISNUMBER(SEARCH(SETTINGS!$K$11,D845)),SETTINGS!$L$11,IF(ISNUMBER(SEARCH(SETTINGS!$K$12,D845)),SETTINGS!$L$12,IF(ISNUMBER(SEARCH(SETTINGS!$K$13,D845)),SETTINGS!$L$13,IF(ISNUMBER(SEARCH(SETTINGS!$K$14,D845)),SETTINGS!$L$14,IF(ISNUMBER(SEARCH(SETTINGS!$K$15,D845)),SETTINGS!$L$15,IF(ISNUMBER(SEARCH(SETTINGS!$K$16,D845)),SETTINGS!$L$16,IF(ISNUMBER(SEARCH(SETTINGS!$K$17,D845)),SETTINGS!$L$17,IF(ISNUMBER(SEARCH(SETTINGS!$K$18,D845)),SETTINGS!$L$18,"Miscellaneous"))))))))))))))))</f>
        <v/>
      </c>
      <c r="I845" s="44" t="str">
        <f t="shared" si="104"/>
        <v/>
      </c>
      <c r="J845" s="9"/>
      <c r="K845" s="9"/>
      <c r="L845" s="9"/>
      <c r="M845" s="9"/>
      <c r="N845" s="9"/>
      <c r="O845" s="9"/>
      <c r="P845" s="13"/>
      <c r="Q845" s="9"/>
      <c r="R845" s="9"/>
      <c r="S845" s="9"/>
      <c r="T845" s="11"/>
      <c r="U845" s="44" t="str">
        <f t="shared" si="105"/>
        <v/>
      </c>
      <c r="V845" s="44" t="str">
        <f t="shared" si="106"/>
        <v/>
      </c>
      <c r="W845" s="44" t="str">
        <f t="shared" si="107"/>
        <v/>
      </c>
      <c r="X845" s="44" t="str">
        <f t="shared" si="108"/>
        <v/>
      </c>
      <c r="Y845" s="44" t="str">
        <f t="shared" si="109"/>
        <v/>
      </c>
      <c r="Z845" s="44" t="str">
        <f t="shared" si="110"/>
        <v/>
      </c>
      <c r="AA845" s="50" t="str">
        <f t="shared" si="111"/>
        <v/>
      </c>
      <c r="AB845" s="50" t="str">
        <f>IF(OR(B845="",C845&lt;&gt;"Expense"),"",IF(E845&gt;IFERROR(AVERAGEIFS($E$8:$E$1007,$I$8:$I$1007,I845,$C$8:$C$1007,"Expense")*SETTINGS!$B$20,0),"Unusually High","Normal"))</f>
        <v/>
      </c>
      <c r="AC845" s="51"/>
      <c r="AD845" s="51"/>
      <c r="AE845" s="51"/>
      <c r="AF845" s="50" t="str">
        <f>IF(A845&lt;&gt;"Yes","No",IF(AND(AC845="Yes",SETTINGS!$B$16="No"),"No","Yes"))</f>
        <v>No</v>
      </c>
      <c r="AG845" s="50" t="str">
        <f>IF(A845&lt;&gt;"Yes","",IF(OR(B845="",D845="",E845&lt;=0,F845="",I845=""),"Check Required Fields",IF(AA845="Possible Duplicate","Possible Duplicate",IF(E845&gt;SETTINGS!$B$22,"Review Extreme Value","OK"))))</f>
        <v/>
      </c>
    </row>
    <row r="846" spans="1:33" ht="14.4">
      <c r="A846" s="9"/>
      <c r="B846" s="13"/>
      <c r="C846" s="9"/>
      <c r="D846" s="9"/>
      <c r="E846" s="11"/>
      <c r="F846" s="9"/>
      <c r="G846" s="9"/>
      <c r="H846" s="44" t="str">
        <f>IF(D846="","",IF(ISNUMBER(SEARCH(SETTINGS!$K$4,D846)),SETTINGS!$L$4,IF(ISNUMBER(SEARCH(SETTINGS!$K$5,D846)),SETTINGS!$L$5,IF(ISNUMBER(SEARCH(SETTINGS!$K$6,D846)),SETTINGS!$L$6,IF(ISNUMBER(SEARCH(SETTINGS!$K$7,D846)),SETTINGS!$L$7,IF(ISNUMBER(SEARCH(SETTINGS!$K$8,D846)),SETTINGS!$L$8,IF(ISNUMBER(SEARCH(SETTINGS!$K$9,D846)),SETTINGS!$L$9,IF(ISNUMBER(SEARCH(SETTINGS!$K$10,D846)),SETTINGS!$L$10,IF(ISNUMBER(SEARCH(SETTINGS!$K$11,D846)),SETTINGS!$L$11,IF(ISNUMBER(SEARCH(SETTINGS!$K$12,D846)),SETTINGS!$L$12,IF(ISNUMBER(SEARCH(SETTINGS!$K$13,D846)),SETTINGS!$L$13,IF(ISNUMBER(SEARCH(SETTINGS!$K$14,D846)),SETTINGS!$L$14,IF(ISNUMBER(SEARCH(SETTINGS!$K$15,D846)),SETTINGS!$L$15,IF(ISNUMBER(SEARCH(SETTINGS!$K$16,D846)),SETTINGS!$L$16,IF(ISNUMBER(SEARCH(SETTINGS!$K$17,D846)),SETTINGS!$L$17,IF(ISNUMBER(SEARCH(SETTINGS!$K$18,D846)),SETTINGS!$L$18,"Miscellaneous"))))))))))))))))</f>
        <v/>
      </c>
      <c r="I846" s="44" t="str">
        <f t="shared" si="104"/>
        <v/>
      </c>
      <c r="J846" s="9"/>
      <c r="K846" s="9"/>
      <c r="L846" s="9"/>
      <c r="M846" s="9"/>
      <c r="N846" s="9"/>
      <c r="O846" s="9"/>
      <c r="P846" s="13"/>
      <c r="Q846" s="9"/>
      <c r="R846" s="9"/>
      <c r="S846" s="9"/>
      <c r="T846" s="11"/>
      <c r="U846" s="44" t="str">
        <f t="shared" si="105"/>
        <v/>
      </c>
      <c r="V846" s="44" t="str">
        <f t="shared" si="106"/>
        <v/>
      </c>
      <c r="W846" s="44" t="str">
        <f t="shared" si="107"/>
        <v/>
      </c>
      <c r="X846" s="44" t="str">
        <f t="shared" si="108"/>
        <v/>
      </c>
      <c r="Y846" s="44" t="str">
        <f t="shared" si="109"/>
        <v/>
      </c>
      <c r="Z846" s="44" t="str">
        <f t="shared" si="110"/>
        <v/>
      </c>
      <c r="AA846" s="50" t="str">
        <f t="shared" si="111"/>
        <v/>
      </c>
      <c r="AB846" s="50" t="str">
        <f>IF(OR(B846="",C846&lt;&gt;"Expense"),"",IF(E846&gt;IFERROR(AVERAGEIFS($E$8:$E$1007,$I$8:$I$1007,I846,$C$8:$C$1007,"Expense")*SETTINGS!$B$20,0),"Unusually High","Normal"))</f>
        <v/>
      </c>
      <c r="AC846" s="51"/>
      <c r="AD846" s="51"/>
      <c r="AE846" s="51"/>
      <c r="AF846" s="50" t="str">
        <f>IF(A846&lt;&gt;"Yes","No",IF(AND(AC846="Yes",SETTINGS!$B$16="No"),"No","Yes"))</f>
        <v>No</v>
      </c>
      <c r="AG846" s="50" t="str">
        <f>IF(A846&lt;&gt;"Yes","",IF(OR(B846="",D846="",E846&lt;=0,F846="",I846=""),"Check Required Fields",IF(AA846="Possible Duplicate","Possible Duplicate",IF(E846&gt;SETTINGS!$B$22,"Review Extreme Value","OK"))))</f>
        <v/>
      </c>
    </row>
    <row r="847" spans="1:33" ht="14.4">
      <c r="A847" s="9"/>
      <c r="B847" s="13"/>
      <c r="C847" s="9"/>
      <c r="D847" s="9"/>
      <c r="E847" s="11"/>
      <c r="F847" s="9"/>
      <c r="G847" s="9"/>
      <c r="H847" s="44" t="str">
        <f>IF(D847="","",IF(ISNUMBER(SEARCH(SETTINGS!$K$4,D847)),SETTINGS!$L$4,IF(ISNUMBER(SEARCH(SETTINGS!$K$5,D847)),SETTINGS!$L$5,IF(ISNUMBER(SEARCH(SETTINGS!$K$6,D847)),SETTINGS!$L$6,IF(ISNUMBER(SEARCH(SETTINGS!$K$7,D847)),SETTINGS!$L$7,IF(ISNUMBER(SEARCH(SETTINGS!$K$8,D847)),SETTINGS!$L$8,IF(ISNUMBER(SEARCH(SETTINGS!$K$9,D847)),SETTINGS!$L$9,IF(ISNUMBER(SEARCH(SETTINGS!$K$10,D847)),SETTINGS!$L$10,IF(ISNUMBER(SEARCH(SETTINGS!$K$11,D847)),SETTINGS!$L$11,IF(ISNUMBER(SEARCH(SETTINGS!$K$12,D847)),SETTINGS!$L$12,IF(ISNUMBER(SEARCH(SETTINGS!$K$13,D847)),SETTINGS!$L$13,IF(ISNUMBER(SEARCH(SETTINGS!$K$14,D847)),SETTINGS!$L$14,IF(ISNUMBER(SEARCH(SETTINGS!$K$15,D847)),SETTINGS!$L$15,IF(ISNUMBER(SEARCH(SETTINGS!$K$16,D847)),SETTINGS!$L$16,IF(ISNUMBER(SEARCH(SETTINGS!$K$17,D847)),SETTINGS!$L$17,IF(ISNUMBER(SEARCH(SETTINGS!$K$18,D847)),SETTINGS!$L$18,"Miscellaneous"))))))))))))))))</f>
        <v/>
      </c>
      <c r="I847" s="44" t="str">
        <f t="shared" si="104"/>
        <v/>
      </c>
      <c r="J847" s="9"/>
      <c r="K847" s="9"/>
      <c r="L847" s="9"/>
      <c r="M847" s="9"/>
      <c r="N847" s="9"/>
      <c r="O847" s="9"/>
      <c r="P847" s="13"/>
      <c r="Q847" s="9"/>
      <c r="R847" s="9"/>
      <c r="S847" s="9"/>
      <c r="T847" s="11"/>
      <c r="U847" s="44" t="str">
        <f t="shared" si="105"/>
        <v/>
      </c>
      <c r="V847" s="44" t="str">
        <f t="shared" si="106"/>
        <v/>
      </c>
      <c r="W847" s="44" t="str">
        <f t="shared" si="107"/>
        <v/>
      </c>
      <c r="X847" s="44" t="str">
        <f t="shared" si="108"/>
        <v/>
      </c>
      <c r="Y847" s="44" t="str">
        <f t="shared" si="109"/>
        <v/>
      </c>
      <c r="Z847" s="44" t="str">
        <f t="shared" si="110"/>
        <v/>
      </c>
      <c r="AA847" s="50" t="str">
        <f t="shared" si="111"/>
        <v/>
      </c>
      <c r="AB847" s="50" t="str">
        <f>IF(OR(B847="",C847&lt;&gt;"Expense"),"",IF(E847&gt;IFERROR(AVERAGEIFS($E$8:$E$1007,$I$8:$I$1007,I847,$C$8:$C$1007,"Expense")*SETTINGS!$B$20,0),"Unusually High","Normal"))</f>
        <v/>
      </c>
      <c r="AC847" s="51"/>
      <c r="AD847" s="51"/>
      <c r="AE847" s="51"/>
      <c r="AF847" s="50" t="str">
        <f>IF(A847&lt;&gt;"Yes","No",IF(AND(AC847="Yes",SETTINGS!$B$16="No"),"No","Yes"))</f>
        <v>No</v>
      </c>
      <c r="AG847" s="50" t="str">
        <f>IF(A847&lt;&gt;"Yes","",IF(OR(B847="",D847="",E847&lt;=0,F847="",I847=""),"Check Required Fields",IF(AA847="Possible Duplicate","Possible Duplicate",IF(E847&gt;SETTINGS!$B$22,"Review Extreme Value","OK"))))</f>
        <v/>
      </c>
    </row>
    <row r="848" spans="1:33" ht="14.4">
      <c r="A848" s="9"/>
      <c r="B848" s="13"/>
      <c r="C848" s="9"/>
      <c r="D848" s="9"/>
      <c r="E848" s="11"/>
      <c r="F848" s="9"/>
      <c r="G848" s="9"/>
      <c r="H848" s="44" t="str">
        <f>IF(D848="","",IF(ISNUMBER(SEARCH(SETTINGS!$K$4,D848)),SETTINGS!$L$4,IF(ISNUMBER(SEARCH(SETTINGS!$K$5,D848)),SETTINGS!$L$5,IF(ISNUMBER(SEARCH(SETTINGS!$K$6,D848)),SETTINGS!$L$6,IF(ISNUMBER(SEARCH(SETTINGS!$K$7,D848)),SETTINGS!$L$7,IF(ISNUMBER(SEARCH(SETTINGS!$K$8,D848)),SETTINGS!$L$8,IF(ISNUMBER(SEARCH(SETTINGS!$K$9,D848)),SETTINGS!$L$9,IF(ISNUMBER(SEARCH(SETTINGS!$K$10,D848)),SETTINGS!$L$10,IF(ISNUMBER(SEARCH(SETTINGS!$K$11,D848)),SETTINGS!$L$11,IF(ISNUMBER(SEARCH(SETTINGS!$K$12,D848)),SETTINGS!$L$12,IF(ISNUMBER(SEARCH(SETTINGS!$K$13,D848)),SETTINGS!$L$13,IF(ISNUMBER(SEARCH(SETTINGS!$K$14,D848)),SETTINGS!$L$14,IF(ISNUMBER(SEARCH(SETTINGS!$K$15,D848)),SETTINGS!$L$15,IF(ISNUMBER(SEARCH(SETTINGS!$K$16,D848)),SETTINGS!$L$16,IF(ISNUMBER(SEARCH(SETTINGS!$K$17,D848)),SETTINGS!$L$17,IF(ISNUMBER(SEARCH(SETTINGS!$K$18,D848)),SETTINGS!$L$18,"Miscellaneous"))))))))))))))))</f>
        <v/>
      </c>
      <c r="I848" s="44" t="str">
        <f t="shared" si="104"/>
        <v/>
      </c>
      <c r="J848" s="9"/>
      <c r="K848" s="9"/>
      <c r="L848" s="9"/>
      <c r="M848" s="9"/>
      <c r="N848" s="9"/>
      <c r="O848" s="9"/>
      <c r="P848" s="13"/>
      <c r="Q848" s="9"/>
      <c r="R848" s="9"/>
      <c r="S848" s="9"/>
      <c r="T848" s="11"/>
      <c r="U848" s="44" t="str">
        <f t="shared" si="105"/>
        <v/>
      </c>
      <c r="V848" s="44" t="str">
        <f t="shared" si="106"/>
        <v/>
      </c>
      <c r="W848" s="44" t="str">
        <f t="shared" si="107"/>
        <v/>
      </c>
      <c r="X848" s="44" t="str">
        <f t="shared" si="108"/>
        <v/>
      </c>
      <c r="Y848" s="44" t="str">
        <f t="shared" si="109"/>
        <v/>
      </c>
      <c r="Z848" s="44" t="str">
        <f t="shared" si="110"/>
        <v/>
      </c>
      <c r="AA848" s="50" t="str">
        <f t="shared" si="111"/>
        <v/>
      </c>
      <c r="AB848" s="50" t="str">
        <f>IF(OR(B848="",C848&lt;&gt;"Expense"),"",IF(E848&gt;IFERROR(AVERAGEIFS($E$8:$E$1007,$I$8:$I$1007,I848,$C$8:$C$1007,"Expense")*SETTINGS!$B$20,0),"Unusually High","Normal"))</f>
        <v/>
      </c>
      <c r="AC848" s="51"/>
      <c r="AD848" s="51"/>
      <c r="AE848" s="51"/>
      <c r="AF848" s="50" t="str">
        <f>IF(A848&lt;&gt;"Yes","No",IF(AND(AC848="Yes",SETTINGS!$B$16="No"),"No","Yes"))</f>
        <v>No</v>
      </c>
      <c r="AG848" s="50" t="str">
        <f>IF(A848&lt;&gt;"Yes","",IF(OR(B848="",D848="",E848&lt;=0,F848="",I848=""),"Check Required Fields",IF(AA848="Possible Duplicate","Possible Duplicate",IF(E848&gt;SETTINGS!$B$22,"Review Extreme Value","OK"))))</f>
        <v/>
      </c>
    </row>
    <row r="849" spans="1:33" ht="14.4">
      <c r="A849" s="9"/>
      <c r="B849" s="13"/>
      <c r="C849" s="9"/>
      <c r="D849" s="9"/>
      <c r="E849" s="11"/>
      <c r="F849" s="9"/>
      <c r="G849" s="9"/>
      <c r="H849" s="44" t="str">
        <f>IF(D849="","",IF(ISNUMBER(SEARCH(SETTINGS!$K$4,D849)),SETTINGS!$L$4,IF(ISNUMBER(SEARCH(SETTINGS!$K$5,D849)),SETTINGS!$L$5,IF(ISNUMBER(SEARCH(SETTINGS!$K$6,D849)),SETTINGS!$L$6,IF(ISNUMBER(SEARCH(SETTINGS!$K$7,D849)),SETTINGS!$L$7,IF(ISNUMBER(SEARCH(SETTINGS!$K$8,D849)),SETTINGS!$L$8,IF(ISNUMBER(SEARCH(SETTINGS!$K$9,D849)),SETTINGS!$L$9,IF(ISNUMBER(SEARCH(SETTINGS!$K$10,D849)),SETTINGS!$L$10,IF(ISNUMBER(SEARCH(SETTINGS!$K$11,D849)),SETTINGS!$L$11,IF(ISNUMBER(SEARCH(SETTINGS!$K$12,D849)),SETTINGS!$L$12,IF(ISNUMBER(SEARCH(SETTINGS!$K$13,D849)),SETTINGS!$L$13,IF(ISNUMBER(SEARCH(SETTINGS!$K$14,D849)),SETTINGS!$L$14,IF(ISNUMBER(SEARCH(SETTINGS!$K$15,D849)),SETTINGS!$L$15,IF(ISNUMBER(SEARCH(SETTINGS!$K$16,D849)),SETTINGS!$L$16,IF(ISNUMBER(SEARCH(SETTINGS!$K$17,D849)),SETTINGS!$L$17,IF(ISNUMBER(SEARCH(SETTINGS!$K$18,D849)),SETTINGS!$L$18,"Miscellaneous"))))))))))))))))</f>
        <v/>
      </c>
      <c r="I849" s="44" t="str">
        <f t="shared" si="104"/>
        <v/>
      </c>
      <c r="J849" s="9"/>
      <c r="K849" s="9"/>
      <c r="L849" s="9"/>
      <c r="M849" s="9"/>
      <c r="N849" s="9"/>
      <c r="O849" s="9"/>
      <c r="P849" s="13"/>
      <c r="Q849" s="9"/>
      <c r="R849" s="9"/>
      <c r="S849" s="9"/>
      <c r="T849" s="11"/>
      <c r="U849" s="44" t="str">
        <f t="shared" si="105"/>
        <v/>
      </c>
      <c r="V849" s="44" t="str">
        <f t="shared" si="106"/>
        <v/>
      </c>
      <c r="W849" s="44" t="str">
        <f t="shared" si="107"/>
        <v/>
      </c>
      <c r="X849" s="44" t="str">
        <f t="shared" si="108"/>
        <v/>
      </c>
      <c r="Y849" s="44" t="str">
        <f t="shared" si="109"/>
        <v/>
      </c>
      <c r="Z849" s="44" t="str">
        <f t="shared" si="110"/>
        <v/>
      </c>
      <c r="AA849" s="50" t="str">
        <f t="shared" si="111"/>
        <v/>
      </c>
      <c r="AB849" s="50" t="str">
        <f>IF(OR(B849="",C849&lt;&gt;"Expense"),"",IF(E849&gt;IFERROR(AVERAGEIFS($E$8:$E$1007,$I$8:$I$1007,I849,$C$8:$C$1007,"Expense")*SETTINGS!$B$20,0),"Unusually High","Normal"))</f>
        <v/>
      </c>
      <c r="AC849" s="51"/>
      <c r="AD849" s="51"/>
      <c r="AE849" s="51"/>
      <c r="AF849" s="50" t="str">
        <f>IF(A849&lt;&gt;"Yes","No",IF(AND(AC849="Yes",SETTINGS!$B$16="No"),"No","Yes"))</f>
        <v>No</v>
      </c>
      <c r="AG849" s="50" t="str">
        <f>IF(A849&lt;&gt;"Yes","",IF(OR(B849="",D849="",E849&lt;=0,F849="",I849=""),"Check Required Fields",IF(AA849="Possible Duplicate","Possible Duplicate",IF(E849&gt;SETTINGS!$B$22,"Review Extreme Value","OK"))))</f>
        <v/>
      </c>
    </row>
    <row r="850" spans="1:33" ht="14.4">
      <c r="A850" s="9"/>
      <c r="B850" s="13"/>
      <c r="C850" s="9"/>
      <c r="D850" s="9"/>
      <c r="E850" s="11"/>
      <c r="F850" s="9"/>
      <c r="G850" s="9"/>
      <c r="H850" s="44" t="str">
        <f>IF(D850="","",IF(ISNUMBER(SEARCH(SETTINGS!$K$4,D850)),SETTINGS!$L$4,IF(ISNUMBER(SEARCH(SETTINGS!$K$5,D850)),SETTINGS!$L$5,IF(ISNUMBER(SEARCH(SETTINGS!$K$6,D850)),SETTINGS!$L$6,IF(ISNUMBER(SEARCH(SETTINGS!$K$7,D850)),SETTINGS!$L$7,IF(ISNUMBER(SEARCH(SETTINGS!$K$8,D850)),SETTINGS!$L$8,IF(ISNUMBER(SEARCH(SETTINGS!$K$9,D850)),SETTINGS!$L$9,IF(ISNUMBER(SEARCH(SETTINGS!$K$10,D850)),SETTINGS!$L$10,IF(ISNUMBER(SEARCH(SETTINGS!$K$11,D850)),SETTINGS!$L$11,IF(ISNUMBER(SEARCH(SETTINGS!$K$12,D850)),SETTINGS!$L$12,IF(ISNUMBER(SEARCH(SETTINGS!$K$13,D850)),SETTINGS!$L$13,IF(ISNUMBER(SEARCH(SETTINGS!$K$14,D850)),SETTINGS!$L$14,IF(ISNUMBER(SEARCH(SETTINGS!$K$15,D850)),SETTINGS!$L$15,IF(ISNUMBER(SEARCH(SETTINGS!$K$16,D850)),SETTINGS!$L$16,IF(ISNUMBER(SEARCH(SETTINGS!$K$17,D850)),SETTINGS!$L$17,IF(ISNUMBER(SEARCH(SETTINGS!$K$18,D850)),SETTINGS!$L$18,"Miscellaneous"))))))))))))))))</f>
        <v/>
      </c>
      <c r="I850" s="44" t="str">
        <f t="shared" si="104"/>
        <v/>
      </c>
      <c r="J850" s="9"/>
      <c r="K850" s="9"/>
      <c r="L850" s="9"/>
      <c r="M850" s="9"/>
      <c r="N850" s="9"/>
      <c r="O850" s="9"/>
      <c r="P850" s="13"/>
      <c r="Q850" s="9"/>
      <c r="R850" s="9"/>
      <c r="S850" s="9"/>
      <c r="T850" s="11"/>
      <c r="U850" s="44" t="str">
        <f t="shared" si="105"/>
        <v/>
      </c>
      <c r="V850" s="44" t="str">
        <f t="shared" si="106"/>
        <v/>
      </c>
      <c r="W850" s="44" t="str">
        <f t="shared" si="107"/>
        <v/>
      </c>
      <c r="X850" s="44" t="str">
        <f t="shared" si="108"/>
        <v/>
      </c>
      <c r="Y850" s="44" t="str">
        <f t="shared" si="109"/>
        <v/>
      </c>
      <c r="Z850" s="44" t="str">
        <f t="shared" si="110"/>
        <v/>
      </c>
      <c r="AA850" s="50" t="str">
        <f t="shared" si="111"/>
        <v/>
      </c>
      <c r="AB850" s="50" t="str">
        <f>IF(OR(B850="",C850&lt;&gt;"Expense"),"",IF(E850&gt;IFERROR(AVERAGEIFS($E$8:$E$1007,$I$8:$I$1007,I850,$C$8:$C$1007,"Expense")*SETTINGS!$B$20,0),"Unusually High","Normal"))</f>
        <v/>
      </c>
      <c r="AC850" s="51"/>
      <c r="AD850" s="51"/>
      <c r="AE850" s="51"/>
      <c r="AF850" s="50" t="str">
        <f>IF(A850&lt;&gt;"Yes","No",IF(AND(AC850="Yes",SETTINGS!$B$16="No"),"No","Yes"))</f>
        <v>No</v>
      </c>
      <c r="AG850" s="50" t="str">
        <f>IF(A850&lt;&gt;"Yes","",IF(OR(B850="",D850="",E850&lt;=0,F850="",I850=""),"Check Required Fields",IF(AA850="Possible Duplicate","Possible Duplicate",IF(E850&gt;SETTINGS!$B$22,"Review Extreme Value","OK"))))</f>
        <v/>
      </c>
    </row>
    <row r="851" spans="1:33" ht="14.4">
      <c r="A851" s="9"/>
      <c r="B851" s="13"/>
      <c r="C851" s="9"/>
      <c r="D851" s="9"/>
      <c r="E851" s="11"/>
      <c r="F851" s="9"/>
      <c r="G851" s="9"/>
      <c r="H851" s="44" t="str">
        <f>IF(D851="","",IF(ISNUMBER(SEARCH(SETTINGS!$K$4,D851)),SETTINGS!$L$4,IF(ISNUMBER(SEARCH(SETTINGS!$K$5,D851)),SETTINGS!$L$5,IF(ISNUMBER(SEARCH(SETTINGS!$K$6,D851)),SETTINGS!$L$6,IF(ISNUMBER(SEARCH(SETTINGS!$K$7,D851)),SETTINGS!$L$7,IF(ISNUMBER(SEARCH(SETTINGS!$K$8,D851)),SETTINGS!$L$8,IF(ISNUMBER(SEARCH(SETTINGS!$K$9,D851)),SETTINGS!$L$9,IF(ISNUMBER(SEARCH(SETTINGS!$K$10,D851)),SETTINGS!$L$10,IF(ISNUMBER(SEARCH(SETTINGS!$K$11,D851)),SETTINGS!$L$11,IF(ISNUMBER(SEARCH(SETTINGS!$K$12,D851)),SETTINGS!$L$12,IF(ISNUMBER(SEARCH(SETTINGS!$K$13,D851)),SETTINGS!$L$13,IF(ISNUMBER(SEARCH(SETTINGS!$K$14,D851)),SETTINGS!$L$14,IF(ISNUMBER(SEARCH(SETTINGS!$K$15,D851)),SETTINGS!$L$15,IF(ISNUMBER(SEARCH(SETTINGS!$K$16,D851)),SETTINGS!$L$16,IF(ISNUMBER(SEARCH(SETTINGS!$K$17,D851)),SETTINGS!$L$17,IF(ISNUMBER(SEARCH(SETTINGS!$K$18,D851)),SETTINGS!$L$18,"Miscellaneous"))))))))))))))))</f>
        <v/>
      </c>
      <c r="I851" s="44" t="str">
        <f t="shared" si="104"/>
        <v/>
      </c>
      <c r="J851" s="9"/>
      <c r="K851" s="9"/>
      <c r="L851" s="9"/>
      <c r="M851" s="9"/>
      <c r="N851" s="9"/>
      <c r="O851" s="9"/>
      <c r="P851" s="13"/>
      <c r="Q851" s="9"/>
      <c r="R851" s="9"/>
      <c r="S851" s="9"/>
      <c r="T851" s="11"/>
      <c r="U851" s="44" t="str">
        <f t="shared" si="105"/>
        <v/>
      </c>
      <c r="V851" s="44" t="str">
        <f t="shared" si="106"/>
        <v/>
      </c>
      <c r="W851" s="44" t="str">
        <f t="shared" si="107"/>
        <v/>
      </c>
      <c r="X851" s="44" t="str">
        <f t="shared" si="108"/>
        <v/>
      </c>
      <c r="Y851" s="44" t="str">
        <f t="shared" si="109"/>
        <v/>
      </c>
      <c r="Z851" s="44" t="str">
        <f t="shared" si="110"/>
        <v/>
      </c>
      <c r="AA851" s="50" t="str">
        <f t="shared" si="111"/>
        <v/>
      </c>
      <c r="AB851" s="50" t="str">
        <f>IF(OR(B851="",C851&lt;&gt;"Expense"),"",IF(E851&gt;IFERROR(AVERAGEIFS($E$8:$E$1007,$I$8:$I$1007,I851,$C$8:$C$1007,"Expense")*SETTINGS!$B$20,0),"Unusually High","Normal"))</f>
        <v/>
      </c>
      <c r="AC851" s="51"/>
      <c r="AD851" s="51"/>
      <c r="AE851" s="51"/>
      <c r="AF851" s="50" t="str">
        <f>IF(A851&lt;&gt;"Yes","No",IF(AND(AC851="Yes",SETTINGS!$B$16="No"),"No","Yes"))</f>
        <v>No</v>
      </c>
      <c r="AG851" s="50" t="str">
        <f>IF(A851&lt;&gt;"Yes","",IF(OR(B851="",D851="",E851&lt;=0,F851="",I851=""),"Check Required Fields",IF(AA851="Possible Duplicate","Possible Duplicate",IF(E851&gt;SETTINGS!$B$22,"Review Extreme Value","OK"))))</f>
        <v/>
      </c>
    </row>
    <row r="852" spans="1:33" ht="14.4">
      <c r="A852" s="9"/>
      <c r="B852" s="13"/>
      <c r="C852" s="9"/>
      <c r="D852" s="9"/>
      <c r="E852" s="11"/>
      <c r="F852" s="9"/>
      <c r="G852" s="9"/>
      <c r="H852" s="44" t="str">
        <f>IF(D852="","",IF(ISNUMBER(SEARCH(SETTINGS!$K$4,D852)),SETTINGS!$L$4,IF(ISNUMBER(SEARCH(SETTINGS!$K$5,D852)),SETTINGS!$L$5,IF(ISNUMBER(SEARCH(SETTINGS!$K$6,D852)),SETTINGS!$L$6,IF(ISNUMBER(SEARCH(SETTINGS!$K$7,D852)),SETTINGS!$L$7,IF(ISNUMBER(SEARCH(SETTINGS!$K$8,D852)),SETTINGS!$L$8,IF(ISNUMBER(SEARCH(SETTINGS!$K$9,D852)),SETTINGS!$L$9,IF(ISNUMBER(SEARCH(SETTINGS!$K$10,D852)),SETTINGS!$L$10,IF(ISNUMBER(SEARCH(SETTINGS!$K$11,D852)),SETTINGS!$L$11,IF(ISNUMBER(SEARCH(SETTINGS!$K$12,D852)),SETTINGS!$L$12,IF(ISNUMBER(SEARCH(SETTINGS!$K$13,D852)),SETTINGS!$L$13,IF(ISNUMBER(SEARCH(SETTINGS!$K$14,D852)),SETTINGS!$L$14,IF(ISNUMBER(SEARCH(SETTINGS!$K$15,D852)),SETTINGS!$L$15,IF(ISNUMBER(SEARCH(SETTINGS!$K$16,D852)),SETTINGS!$L$16,IF(ISNUMBER(SEARCH(SETTINGS!$K$17,D852)),SETTINGS!$L$17,IF(ISNUMBER(SEARCH(SETTINGS!$K$18,D852)),SETTINGS!$L$18,"Miscellaneous"))))))))))))))))</f>
        <v/>
      </c>
      <c r="I852" s="44" t="str">
        <f t="shared" si="104"/>
        <v/>
      </c>
      <c r="J852" s="9"/>
      <c r="K852" s="9"/>
      <c r="L852" s="9"/>
      <c r="M852" s="9"/>
      <c r="N852" s="9"/>
      <c r="O852" s="9"/>
      <c r="P852" s="13"/>
      <c r="Q852" s="9"/>
      <c r="R852" s="9"/>
      <c r="S852" s="9"/>
      <c r="T852" s="11"/>
      <c r="U852" s="44" t="str">
        <f t="shared" si="105"/>
        <v/>
      </c>
      <c r="V852" s="44" t="str">
        <f t="shared" si="106"/>
        <v/>
      </c>
      <c r="W852" s="44" t="str">
        <f t="shared" si="107"/>
        <v/>
      </c>
      <c r="X852" s="44" t="str">
        <f t="shared" si="108"/>
        <v/>
      </c>
      <c r="Y852" s="44" t="str">
        <f t="shared" si="109"/>
        <v/>
      </c>
      <c r="Z852" s="44" t="str">
        <f t="shared" si="110"/>
        <v/>
      </c>
      <c r="AA852" s="50" t="str">
        <f t="shared" si="111"/>
        <v/>
      </c>
      <c r="AB852" s="50" t="str">
        <f>IF(OR(B852="",C852&lt;&gt;"Expense"),"",IF(E852&gt;IFERROR(AVERAGEIFS($E$8:$E$1007,$I$8:$I$1007,I852,$C$8:$C$1007,"Expense")*SETTINGS!$B$20,0),"Unusually High","Normal"))</f>
        <v/>
      </c>
      <c r="AC852" s="51"/>
      <c r="AD852" s="51"/>
      <c r="AE852" s="51"/>
      <c r="AF852" s="50" t="str">
        <f>IF(A852&lt;&gt;"Yes","No",IF(AND(AC852="Yes",SETTINGS!$B$16="No"),"No","Yes"))</f>
        <v>No</v>
      </c>
      <c r="AG852" s="50" t="str">
        <f>IF(A852&lt;&gt;"Yes","",IF(OR(B852="",D852="",E852&lt;=0,F852="",I852=""),"Check Required Fields",IF(AA852="Possible Duplicate","Possible Duplicate",IF(E852&gt;SETTINGS!$B$22,"Review Extreme Value","OK"))))</f>
        <v/>
      </c>
    </row>
    <row r="853" spans="1:33" ht="14.4">
      <c r="A853" s="9"/>
      <c r="B853" s="13"/>
      <c r="C853" s="9"/>
      <c r="D853" s="9"/>
      <c r="E853" s="11"/>
      <c r="F853" s="9"/>
      <c r="G853" s="9"/>
      <c r="H853" s="44" t="str">
        <f>IF(D853="","",IF(ISNUMBER(SEARCH(SETTINGS!$K$4,D853)),SETTINGS!$L$4,IF(ISNUMBER(SEARCH(SETTINGS!$K$5,D853)),SETTINGS!$L$5,IF(ISNUMBER(SEARCH(SETTINGS!$K$6,D853)),SETTINGS!$L$6,IF(ISNUMBER(SEARCH(SETTINGS!$K$7,D853)),SETTINGS!$L$7,IF(ISNUMBER(SEARCH(SETTINGS!$K$8,D853)),SETTINGS!$L$8,IF(ISNUMBER(SEARCH(SETTINGS!$K$9,D853)),SETTINGS!$L$9,IF(ISNUMBER(SEARCH(SETTINGS!$K$10,D853)),SETTINGS!$L$10,IF(ISNUMBER(SEARCH(SETTINGS!$K$11,D853)),SETTINGS!$L$11,IF(ISNUMBER(SEARCH(SETTINGS!$K$12,D853)),SETTINGS!$L$12,IF(ISNUMBER(SEARCH(SETTINGS!$K$13,D853)),SETTINGS!$L$13,IF(ISNUMBER(SEARCH(SETTINGS!$K$14,D853)),SETTINGS!$L$14,IF(ISNUMBER(SEARCH(SETTINGS!$K$15,D853)),SETTINGS!$L$15,IF(ISNUMBER(SEARCH(SETTINGS!$K$16,D853)),SETTINGS!$L$16,IF(ISNUMBER(SEARCH(SETTINGS!$K$17,D853)),SETTINGS!$L$17,IF(ISNUMBER(SEARCH(SETTINGS!$K$18,D853)),SETTINGS!$L$18,"Miscellaneous"))))))))))))))))</f>
        <v/>
      </c>
      <c r="I853" s="44" t="str">
        <f t="shared" si="104"/>
        <v/>
      </c>
      <c r="J853" s="9"/>
      <c r="K853" s="9"/>
      <c r="L853" s="9"/>
      <c r="M853" s="9"/>
      <c r="N853" s="9"/>
      <c r="O853" s="9"/>
      <c r="P853" s="13"/>
      <c r="Q853" s="9"/>
      <c r="R853" s="9"/>
      <c r="S853" s="9"/>
      <c r="T853" s="11"/>
      <c r="U853" s="44" t="str">
        <f t="shared" si="105"/>
        <v/>
      </c>
      <c r="V853" s="44" t="str">
        <f t="shared" si="106"/>
        <v/>
      </c>
      <c r="W853" s="44" t="str">
        <f t="shared" si="107"/>
        <v/>
      </c>
      <c r="X853" s="44" t="str">
        <f t="shared" si="108"/>
        <v/>
      </c>
      <c r="Y853" s="44" t="str">
        <f t="shared" si="109"/>
        <v/>
      </c>
      <c r="Z853" s="44" t="str">
        <f t="shared" si="110"/>
        <v/>
      </c>
      <c r="AA853" s="50" t="str">
        <f t="shared" si="111"/>
        <v/>
      </c>
      <c r="AB853" s="50" t="str">
        <f>IF(OR(B853="",C853&lt;&gt;"Expense"),"",IF(E853&gt;IFERROR(AVERAGEIFS($E$8:$E$1007,$I$8:$I$1007,I853,$C$8:$C$1007,"Expense")*SETTINGS!$B$20,0),"Unusually High","Normal"))</f>
        <v/>
      </c>
      <c r="AC853" s="51"/>
      <c r="AD853" s="51"/>
      <c r="AE853" s="51"/>
      <c r="AF853" s="50" t="str">
        <f>IF(A853&lt;&gt;"Yes","No",IF(AND(AC853="Yes",SETTINGS!$B$16="No"),"No","Yes"))</f>
        <v>No</v>
      </c>
      <c r="AG853" s="50" t="str">
        <f>IF(A853&lt;&gt;"Yes","",IF(OR(B853="",D853="",E853&lt;=0,F853="",I853=""),"Check Required Fields",IF(AA853="Possible Duplicate","Possible Duplicate",IF(E853&gt;SETTINGS!$B$22,"Review Extreme Value","OK"))))</f>
        <v/>
      </c>
    </row>
    <row r="854" spans="1:33" ht="14.4">
      <c r="A854" s="9"/>
      <c r="B854" s="13"/>
      <c r="C854" s="9"/>
      <c r="D854" s="9"/>
      <c r="E854" s="11"/>
      <c r="F854" s="9"/>
      <c r="G854" s="9"/>
      <c r="H854" s="44" t="str">
        <f>IF(D854="","",IF(ISNUMBER(SEARCH(SETTINGS!$K$4,D854)),SETTINGS!$L$4,IF(ISNUMBER(SEARCH(SETTINGS!$K$5,D854)),SETTINGS!$L$5,IF(ISNUMBER(SEARCH(SETTINGS!$K$6,D854)),SETTINGS!$L$6,IF(ISNUMBER(SEARCH(SETTINGS!$K$7,D854)),SETTINGS!$L$7,IF(ISNUMBER(SEARCH(SETTINGS!$K$8,D854)),SETTINGS!$L$8,IF(ISNUMBER(SEARCH(SETTINGS!$K$9,D854)),SETTINGS!$L$9,IF(ISNUMBER(SEARCH(SETTINGS!$K$10,D854)),SETTINGS!$L$10,IF(ISNUMBER(SEARCH(SETTINGS!$K$11,D854)),SETTINGS!$L$11,IF(ISNUMBER(SEARCH(SETTINGS!$K$12,D854)),SETTINGS!$L$12,IF(ISNUMBER(SEARCH(SETTINGS!$K$13,D854)),SETTINGS!$L$13,IF(ISNUMBER(SEARCH(SETTINGS!$K$14,D854)),SETTINGS!$L$14,IF(ISNUMBER(SEARCH(SETTINGS!$K$15,D854)),SETTINGS!$L$15,IF(ISNUMBER(SEARCH(SETTINGS!$K$16,D854)),SETTINGS!$L$16,IF(ISNUMBER(SEARCH(SETTINGS!$K$17,D854)),SETTINGS!$L$17,IF(ISNUMBER(SEARCH(SETTINGS!$K$18,D854)),SETTINGS!$L$18,"Miscellaneous"))))))))))))))))</f>
        <v/>
      </c>
      <c r="I854" s="44" t="str">
        <f t="shared" si="104"/>
        <v/>
      </c>
      <c r="J854" s="9"/>
      <c r="K854" s="9"/>
      <c r="L854" s="9"/>
      <c r="M854" s="9"/>
      <c r="N854" s="9"/>
      <c r="O854" s="9"/>
      <c r="P854" s="13"/>
      <c r="Q854" s="9"/>
      <c r="R854" s="9"/>
      <c r="S854" s="9"/>
      <c r="T854" s="11"/>
      <c r="U854" s="44" t="str">
        <f t="shared" si="105"/>
        <v/>
      </c>
      <c r="V854" s="44" t="str">
        <f t="shared" si="106"/>
        <v/>
      </c>
      <c r="W854" s="44" t="str">
        <f t="shared" si="107"/>
        <v/>
      </c>
      <c r="X854" s="44" t="str">
        <f t="shared" si="108"/>
        <v/>
      </c>
      <c r="Y854" s="44" t="str">
        <f t="shared" si="109"/>
        <v/>
      </c>
      <c r="Z854" s="44" t="str">
        <f t="shared" si="110"/>
        <v/>
      </c>
      <c r="AA854" s="50" t="str">
        <f t="shared" si="111"/>
        <v/>
      </c>
      <c r="AB854" s="50" t="str">
        <f>IF(OR(B854="",C854&lt;&gt;"Expense"),"",IF(E854&gt;IFERROR(AVERAGEIFS($E$8:$E$1007,$I$8:$I$1007,I854,$C$8:$C$1007,"Expense")*SETTINGS!$B$20,0),"Unusually High","Normal"))</f>
        <v/>
      </c>
      <c r="AC854" s="51"/>
      <c r="AD854" s="51"/>
      <c r="AE854" s="51"/>
      <c r="AF854" s="50" t="str">
        <f>IF(A854&lt;&gt;"Yes","No",IF(AND(AC854="Yes",SETTINGS!$B$16="No"),"No","Yes"))</f>
        <v>No</v>
      </c>
      <c r="AG854" s="50" t="str">
        <f>IF(A854&lt;&gt;"Yes","",IF(OR(B854="",D854="",E854&lt;=0,F854="",I854=""),"Check Required Fields",IF(AA854="Possible Duplicate","Possible Duplicate",IF(E854&gt;SETTINGS!$B$22,"Review Extreme Value","OK"))))</f>
        <v/>
      </c>
    </row>
    <row r="855" spans="1:33" ht="14.4">
      <c r="A855" s="9"/>
      <c r="B855" s="13"/>
      <c r="C855" s="9"/>
      <c r="D855" s="9"/>
      <c r="E855" s="11"/>
      <c r="F855" s="9"/>
      <c r="G855" s="9"/>
      <c r="H855" s="44" t="str">
        <f>IF(D855="","",IF(ISNUMBER(SEARCH(SETTINGS!$K$4,D855)),SETTINGS!$L$4,IF(ISNUMBER(SEARCH(SETTINGS!$K$5,D855)),SETTINGS!$L$5,IF(ISNUMBER(SEARCH(SETTINGS!$K$6,D855)),SETTINGS!$L$6,IF(ISNUMBER(SEARCH(SETTINGS!$K$7,D855)),SETTINGS!$L$7,IF(ISNUMBER(SEARCH(SETTINGS!$K$8,D855)),SETTINGS!$L$8,IF(ISNUMBER(SEARCH(SETTINGS!$K$9,D855)),SETTINGS!$L$9,IF(ISNUMBER(SEARCH(SETTINGS!$K$10,D855)),SETTINGS!$L$10,IF(ISNUMBER(SEARCH(SETTINGS!$K$11,D855)),SETTINGS!$L$11,IF(ISNUMBER(SEARCH(SETTINGS!$K$12,D855)),SETTINGS!$L$12,IF(ISNUMBER(SEARCH(SETTINGS!$K$13,D855)),SETTINGS!$L$13,IF(ISNUMBER(SEARCH(SETTINGS!$K$14,D855)),SETTINGS!$L$14,IF(ISNUMBER(SEARCH(SETTINGS!$K$15,D855)),SETTINGS!$L$15,IF(ISNUMBER(SEARCH(SETTINGS!$K$16,D855)),SETTINGS!$L$16,IF(ISNUMBER(SEARCH(SETTINGS!$K$17,D855)),SETTINGS!$L$17,IF(ISNUMBER(SEARCH(SETTINGS!$K$18,D855)),SETTINGS!$L$18,"Miscellaneous"))))))))))))))))</f>
        <v/>
      </c>
      <c r="I855" s="44" t="str">
        <f t="shared" si="104"/>
        <v/>
      </c>
      <c r="J855" s="9"/>
      <c r="K855" s="9"/>
      <c r="L855" s="9"/>
      <c r="M855" s="9"/>
      <c r="N855" s="9"/>
      <c r="O855" s="9"/>
      <c r="P855" s="13"/>
      <c r="Q855" s="9"/>
      <c r="R855" s="9"/>
      <c r="S855" s="9"/>
      <c r="T855" s="11"/>
      <c r="U855" s="44" t="str">
        <f t="shared" si="105"/>
        <v/>
      </c>
      <c r="V855" s="44" t="str">
        <f t="shared" si="106"/>
        <v/>
      </c>
      <c r="W855" s="44" t="str">
        <f t="shared" si="107"/>
        <v/>
      </c>
      <c r="X855" s="44" t="str">
        <f t="shared" si="108"/>
        <v/>
      </c>
      <c r="Y855" s="44" t="str">
        <f t="shared" si="109"/>
        <v/>
      </c>
      <c r="Z855" s="44" t="str">
        <f t="shared" si="110"/>
        <v/>
      </c>
      <c r="AA855" s="50" t="str">
        <f t="shared" si="111"/>
        <v/>
      </c>
      <c r="AB855" s="50" t="str">
        <f>IF(OR(B855="",C855&lt;&gt;"Expense"),"",IF(E855&gt;IFERROR(AVERAGEIFS($E$8:$E$1007,$I$8:$I$1007,I855,$C$8:$C$1007,"Expense")*SETTINGS!$B$20,0),"Unusually High","Normal"))</f>
        <v/>
      </c>
      <c r="AC855" s="51"/>
      <c r="AD855" s="51"/>
      <c r="AE855" s="51"/>
      <c r="AF855" s="50" t="str">
        <f>IF(A855&lt;&gt;"Yes","No",IF(AND(AC855="Yes",SETTINGS!$B$16="No"),"No","Yes"))</f>
        <v>No</v>
      </c>
      <c r="AG855" s="50" t="str">
        <f>IF(A855&lt;&gt;"Yes","",IF(OR(B855="",D855="",E855&lt;=0,F855="",I855=""),"Check Required Fields",IF(AA855="Possible Duplicate","Possible Duplicate",IF(E855&gt;SETTINGS!$B$22,"Review Extreme Value","OK"))))</f>
        <v/>
      </c>
    </row>
    <row r="856" spans="1:33" ht="14.4">
      <c r="A856" s="9"/>
      <c r="B856" s="13"/>
      <c r="C856" s="9"/>
      <c r="D856" s="9"/>
      <c r="E856" s="11"/>
      <c r="F856" s="9"/>
      <c r="G856" s="9"/>
      <c r="H856" s="44" t="str">
        <f>IF(D856="","",IF(ISNUMBER(SEARCH(SETTINGS!$K$4,D856)),SETTINGS!$L$4,IF(ISNUMBER(SEARCH(SETTINGS!$K$5,D856)),SETTINGS!$L$5,IF(ISNUMBER(SEARCH(SETTINGS!$K$6,D856)),SETTINGS!$L$6,IF(ISNUMBER(SEARCH(SETTINGS!$K$7,D856)),SETTINGS!$L$7,IF(ISNUMBER(SEARCH(SETTINGS!$K$8,D856)),SETTINGS!$L$8,IF(ISNUMBER(SEARCH(SETTINGS!$K$9,D856)),SETTINGS!$L$9,IF(ISNUMBER(SEARCH(SETTINGS!$K$10,D856)),SETTINGS!$L$10,IF(ISNUMBER(SEARCH(SETTINGS!$K$11,D856)),SETTINGS!$L$11,IF(ISNUMBER(SEARCH(SETTINGS!$K$12,D856)),SETTINGS!$L$12,IF(ISNUMBER(SEARCH(SETTINGS!$K$13,D856)),SETTINGS!$L$13,IF(ISNUMBER(SEARCH(SETTINGS!$K$14,D856)),SETTINGS!$L$14,IF(ISNUMBER(SEARCH(SETTINGS!$K$15,D856)),SETTINGS!$L$15,IF(ISNUMBER(SEARCH(SETTINGS!$K$16,D856)),SETTINGS!$L$16,IF(ISNUMBER(SEARCH(SETTINGS!$K$17,D856)),SETTINGS!$L$17,IF(ISNUMBER(SEARCH(SETTINGS!$K$18,D856)),SETTINGS!$L$18,"Miscellaneous"))))))))))))))))</f>
        <v/>
      </c>
      <c r="I856" s="44" t="str">
        <f t="shared" si="104"/>
        <v/>
      </c>
      <c r="J856" s="9"/>
      <c r="K856" s="9"/>
      <c r="L856" s="9"/>
      <c r="M856" s="9"/>
      <c r="N856" s="9"/>
      <c r="O856" s="9"/>
      <c r="P856" s="13"/>
      <c r="Q856" s="9"/>
      <c r="R856" s="9"/>
      <c r="S856" s="9"/>
      <c r="T856" s="11"/>
      <c r="U856" s="44" t="str">
        <f t="shared" si="105"/>
        <v/>
      </c>
      <c r="V856" s="44" t="str">
        <f t="shared" si="106"/>
        <v/>
      </c>
      <c r="W856" s="44" t="str">
        <f t="shared" si="107"/>
        <v/>
      </c>
      <c r="X856" s="44" t="str">
        <f t="shared" si="108"/>
        <v/>
      </c>
      <c r="Y856" s="44" t="str">
        <f t="shared" si="109"/>
        <v/>
      </c>
      <c r="Z856" s="44" t="str">
        <f t="shared" si="110"/>
        <v/>
      </c>
      <c r="AA856" s="50" t="str">
        <f t="shared" si="111"/>
        <v/>
      </c>
      <c r="AB856" s="50" t="str">
        <f>IF(OR(B856="",C856&lt;&gt;"Expense"),"",IF(E856&gt;IFERROR(AVERAGEIFS($E$8:$E$1007,$I$8:$I$1007,I856,$C$8:$C$1007,"Expense")*SETTINGS!$B$20,0),"Unusually High","Normal"))</f>
        <v/>
      </c>
      <c r="AC856" s="51"/>
      <c r="AD856" s="51"/>
      <c r="AE856" s="51"/>
      <c r="AF856" s="50" t="str">
        <f>IF(A856&lt;&gt;"Yes","No",IF(AND(AC856="Yes",SETTINGS!$B$16="No"),"No","Yes"))</f>
        <v>No</v>
      </c>
      <c r="AG856" s="50" t="str">
        <f>IF(A856&lt;&gt;"Yes","",IF(OR(B856="",D856="",E856&lt;=0,F856="",I856=""),"Check Required Fields",IF(AA856="Possible Duplicate","Possible Duplicate",IF(E856&gt;SETTINGS!$B$22,"Review Extreme Value","OK"))))</f>
        <v/>
      </c>
    </row>
    <row r="857" spans="1:33" ht="14.4">
      <c r="A857" s="9"/>
      <c r="B857" s="13"/>
      <c r="C857" s="9"/>
      <c r="D857" s="9"/>
      <c r="E857" s="11"/>
      <c r="F857" s="9"/>
      <c r="G857" s="9"/>
      <c r="H857" s="44" t="str">
        <f>IF(D857="","",IF(ISNUMBER(SEARCH(SETTINGS!$K$4,D857)),SETTINGS!$L$4,IF(ISNUMBER(SEARCH(SETTINGS!$K$5,D857)),SETTINGS!$L$5,IF(ISNUMBER(SEARCH(SETTINGS!$K$6,D857)),SETTINGS!$L$6,IF(ISNUMBER(SEARCH(SETTINGS!$K$7,D857)),SETTINGS!$L$7,IF(ISNUMBER(SEARCH(SETTINGS!$K$8,D857)),SETTINGS!$L$8,IF(ISNUMBER(SEARCH(SETTINGS!$K$9,D857)),SETTINGS!$L$9,IF(ISNUMBER(SEARCH(SETTINGS!$K$10,D857)),SETTINGS!$L$10,IF(ISNUMBER(SEARCH(SETTINGS!$K$11,D857)),SETTINGS!$L$11,IF(ISNUMBER(SEARCH(SETTINGS!$K$12,D857)),SETTINGS!$L$12,IF(ISNUMBER(SEARCH(SETTINGS!$K$13,D857)),SETTINGS!$L$13,IF(ISNUMBER(SEARCH(SETTINGS!$K$14,D857)),SETTINGS!$L$14,IF(ISNUMBER(SEARCH(SETTINGS!$K$15,D857)),SETTINGS!$L$15,IF(ISNUMBER(SEARCH(SETTINGS!$K$16,D857)),SETTINGS!$L$16,IF(ISNUMBER(SEARCH(SETTINGS!$K$17,D857)),SETTINGS!$L$17,IF(ISNUMBER(SEARCH(SETTINGS!$K$18,D857)),SETTINGS!$L$18,"Miscellaneous"))))))))))))))))</f>
        <v/>
      </c>
      <c r="I857" s="44" t="str">
        <f t="shared" si="104"/>
        <v/>
      </c>
      <c r="J857" s="9"/>
      <c r="K857" s="9"/>
      <c r="L857" s="9"/>
      <c r="M857" s="9"/>
      <c r="N857" s="9"/>
      <c r="O857" s="9"/>
      <c r="P857" s="13"/>
      <c r="Q857" s="9"/>
      <c r="R857" s="9"/>
      <c r="S857" s="9"/>
      <c r="T857" s="11"/>
      <c r="U857" s="44" t="str">
        <f t="shared" si="105"/>
        <v/>
      </c>
      <c r="V857" s="44" t="str">
        <f t="shared" si="106"/>
        <v/>
      </c>
      <c r="W857" s="44" t="str">
        <f t="shared" si="107"/>
        <v/>
      </c>
      <c r="X857" s="44" t="str">
        <f t="shared" si="108"/>
        <v/>
      </c>
      <c r="Y857" s="44" t="str">
        <f t="shared" si="109"/>
        <v/>
      </c>
      <c r="Z857" s="44" t="str">
        <f t="shared" si="110"/>
        <v/>
      </c>
      <c r="AA857" s="50" t="str">
        <f t="shared" si="111"/>
        <v/>
      </c>
      <c r="AB857" s="50" t="str">
        <f>IF(OR(B857="",C857&lt;&gt;"Expense"),"",IF(E857&gt;IFERROR(AVERAGEIFS($E$8:$E$1007,$I$8:$I$1007,I857,$C$8:$C$1007,"Expense")*SETTINGS!$B$20,0),"Unusually High","Normal"))</f>
        <v/>
      </c>
      <c r="AC857" s="51"/>
      <c r="AD857" s="51"/>
      <c r="AE857" s="51"/>
      <c r="AF857" s="50" t="str">
        <f>IF(A857&lt;&gt;"Yes","No",IF(AND(AC857="Yes",SETTINGS!$B$16="No"),"No","Yes"))</f>
        <v>No</v>
      </c>
      <c r="AG857" s="50" t="str">
        <f>IF(A857&lt;&gt;"Yes","",IF(OR(B857="",D857="",E857&lt;=0,F857="",I857=""),"Check Required Fields",IF(AA857="Possible Duplicate","Possible Duplicate",IF(E857&gt;SETTINGS!$B$22,"Review Extreme Value","OK"))))</f>
        <v/>
      </c>
    </row>
    <row r="858" spans="1:33" ht="14.4">
      <c r="A858" s="9"/>
      <c r="B858" s="13"/>
      <c r="C858" s="9"/>
      <c r="D858" s="9"/>
      <c r="E858" s="11"/>
      <c r="F858" s="9"/>
      <c r="G858" s="9"/>
      <c r="H858" s="44" t="str">
        <f>IF(D858="","",IF(ISNUMBER(SEARCH(SETTINGS!$K$4,D858)),SETTINGS!$L$4,IF(ISNUMBER(SEARCH(SETTINGS!$K$5,D858)),SETTINGS!$L$5,IF(ISNUMBER(SEARCH(SETTINGS!$K$6,D858)),SETTINGS!$L$6,IF(ISNUMBER(SEARCH(SETTINGS!$K$7,D858)),SETTINGS!$L$7,IF(ISNUMBER(SEARCH(SETTINGS!$K$8,D858)),SETTINGS!$L$8,IF(ISNUMBER(SEARCH(SETTINGS!$K$9,D858)),SETTINGS!$L$9,IF(ISNUMBER(SEARCH(SETTINGS!$K$10,D858)),SETTINGS!$L$10,IF(ISNUMBER(SEARCH(SETTINGS!$K$11,D858)),SETTINGS!$L$11,IF(ISNUMBER(SEARCH(SETTINGS!$K$12,D858)),SETTINGS!$L$12,IF(ISNUMBER(SEARCH(SETTINGS!$K$13,D858)),SETTINGS!$L$13,IF(ISNUMBER(SEARCH(SETTINGS!$K$14,D858)),SETTINGS!$L$14,IF(ISNUMBER(SEARCH(SETTINGS!$K$15,D858)),SETTINGS!$L$15,IF(ISNUMBER(SEARCH(SETTINGS!$K$16,D858)),SETTINGS!$L$16,IF(ISNUMBER(SEARCH(SETTINGS!$K$17,D858)),SETTINGS!$L$17,IF(ISNUMBER(SEARCH(SETTINGS!$K$18,D858)),SETTINGS!$L$18,"Miscellaneous"))))))))))))))))</f>
        <v/>
      </c>
      <c r="I858" s="44" t="str">
        <f t="shared" si="104"/>
        <v/>
      </c>
      <c r="J858" s="9"/>
      <c r="K858" s="9"/>
      <c r="L858" s="9"/>
      <c r="M858" s="9"/>
      <c r="N858" s="9"/>
      <c r="O858" s="9"/>
      <c r="P858" s="13"/>
      <c r="Q858" s="9"/>
      <c r="R858" s="9"/>
      <c r="S858" s="9"/>
      <c r="T858" s="11"/>
      <c r="U858" s="44" t="str">
        <f t="shared" si="105"/>
        <v/>
      </c>
      <c r="V858" s="44" t="str">
        <f t="shared" si="106"/>
        <v/>
      </c>
      <c r="W858" s="44" t="str">
        <f t="shared" si="107"/>
        <v/>
      </c>
      <c r="X858" s="44" t="str">
        <f t="shared" si="108"/>
        <v/>
      </c>
      <c r="Y858" s="44" t="str">
        <f t="shared" si="109"/>
        <v/>
      </c>
      <c r="Z858" s="44" t="str">
        <f t="shared" si="110"/>
        <v/>
      </c>
      <c r="AA858" s="50" t="str">
        <f t="shared" si="111"/>
        <v/>
      </c>
      <c r="AB858" s="50" t="str">
        <f>IF(OR(B858="",C858&lt;&gt;"Expense"),"",IF(E858&gt;IFERROR(AVERAGEIFS($E$8:$E$1007,$I$8:$I$1007,I858,$C$8:$C$1007,"Expense")*SETTINGS!$B$20,0),"Unusually High","Normal"))</f>
        <v/>
      </c>
      <c r="AC858" s="51"/>
      <c r="AD858" s="51"/>
      <c r="AE858" s="51"/>
      <c r="AF858" s="50" t="str">
        <f>IF(A858&lt;&gt;"Yes","No",IF(AND(AC858="Yes",SETTINGS!$B$16="No"),"No","Yes"))</f>
        <v>No</v>
      </c>
      <c r="AG858" s="50" t="str">
        <f>IF(A858&lt;&gt;"Yes","",IF(OR(B858="",D858="",E858&lt;=0,F858="",I858=""),"Check Required Fields",IF(AA858="Possible Duplicate","Possible Duplicate",IF(E858&gt;SETTINGS!$B$22,"Review Extreme Value","OK"))))</f>
        <v/>
      </c>
    </row>
    <row r="859" spans="1:33" ht="14.4">
      <c r="A859" s="9"/>
      <c r="B859" s="13"/>
      <c r="C859" s="9"/>
      <c r="D859" s="9"/>
      <c r="E859" s="11"/>
      <c r="F859" s="9"/>
      <c r="G859" s="9"/>
      <c r="H859" s="44" t="str">
        <f>IF(D859="","",IF(ISNUMBER(SEARCH(SETTINGS!$K$4,D859)),SETTINGS!$L$4,IF(ISNUMBER(SEARCH(SETTINGS!$K$5,D859)),SETTINGS!$L$5,IF(ISNUMBER(SEARCH(SETTINGS!$K$6,D859)),SETTINGS!$L$6,IF(ISNUMBER(SEARCH(SETTINGS!$K$7,D859)),SETTINGS!$L$7,IF(ISNUMBER(SEARCH(SETTINGS!$K$8,D859)),SETTINGS!$L$8,IF(ISNUMBER(SEARCH(SETTINGS!$K$9,D859)),SETTINGS!$L$9,IF(ISNUMBER(SEARCH(SETTINGS!$K$10,D859)),SETTINGS!$L$10,IF(ISNUMBER(SEARCH(SETTINGS!$K$11,D859)),SETTINGS!$L$11,IF(ISNUMBER(SEARCH(SETTINGS!$K$12,D859)),SETTINGS!$L$12,IF(ISNUMBER(SEARCH(SETTINGS!$K$13,D859)),SETTINGS!$L$13,IF(ISNUMBER(SEARCH(SETTINGS!$K$14,D859)),SETTINGS!$L$14,IF(ISNUMBER(SEARCH(SETTINGS!$K$15,D859)),SETTINGS!$L$15,IF(ISNUMBER(SEARCH(SETTINGS!$K$16,D859)),SETTINGS!$L$16,IF(ISNUMBER(SEARCH(SETTINGS!$K$17,D859)),SETTINGS!$L$17,IF(ISNUMBER(SEARCH(SETTINGS!$K$18,D859)),SETTINGS!$L$18,"Miscellaneous"))))))))))))))))</f>
        <v/>
      </c>
      <c r="I859" s="44" t="str">
        <f t="shared" si="104"/>
        <v/>
      </c>
      <c r="J859" s="9"/>
      <c r="K859" s="9"/>
      <c r="L859" s="9"/>
      <c r="M859" s="9"/>
      <c r="N859" s="9"/>
      <c r="O859" s="9"/>
      <c r="P859" s="13"/>
      <c r="Q859" s="9"/>
      <c r="R859" s="9"/>
      <c r="S859" s="9"/>
      <c r="T859" s="11"/>
      <c r="U859" s="44" t="str">
        <f t="shared" si="105"/>
        <v/>
      </c>
      <c r="V859" s="44" t="str">
        <f t="shared" si="106"/>
        <v/>
      </c>
      <c r="W859" s="44" t="str">
        <f t="shared" si="107"/>
        <v/>
      </c>
      <c r="X859" s="44" t="str">
        <f t="shared" si="108"/>
        <v/>
      </c>
      <c r="Y859" s="44" t="str">
        <f t="shared" si="109"/>
        <v/>
      </c>
      <c r="Z859" s="44" t="str">
        <f t="shared" si="110"/>
        <v/>
      </c>
      <c r="AA859" s="50" t="str">
        <f t="shared" si="111"/>
        <v/>
      </c>
      <c r="AB859" s="50" t="str">
        <f>IF(OR(B859="",C859&lt;&gt;"Expense"),"",IF(E859&gt;IFERROR(AVERAGEIFS($E$8:$E$1007,$I$8:$I$1007,I859,$C$8:$C$1007,"Expense")*SETTINGS!$B$20,0),"Unusually High","Normal"))</f>
        <v/>
      </c>
      <c r="AC859" s="51"/>
      <c r="AD859" s="51"/>
      <c r="AE859" s="51"/>
      <c r="AF859" s="50" t="str">
        <f>IF(A859&lt;&gt;"Yes","No",IF(AND(AC859="Yes",SETTINGS!$B$16="No"),"No","Yes"))</f>
        <v>No</v>
      </c>
      <c r="AG859" s="50" t="str">
        <f>IF(A859&lt;&gt;"Yes","",IF(OR(B859="",D859="",E859&lt;=0,F859="",I859=""),"Check Required Fields",IF(AA859="Possible Duplicate","Possible Duplicate",IF(E859&gt;SETTINGS!$B$22,"Review Extreme Value","OK"))))</f>
        <v/>
      </c>
    </row>
    <row r="860" spans="1:33" ht="14.4">
      <c r="A860" s="9"/>
      <c r="B860" s="13"/>
      <c r="C860" s="9"/>
      <c r="D860" s="9"/>
      <c r="E860" s="11"/>
      <c r="F860" s="9"/>
      <c r="G860" s="9"/>
      <c r="H860" s="44" t="str">
        <f>IF(D860="","",IF(ISNUMBER(SEARCH(SETTINGS!$K$4,D860)),SETTINGS!$L$4,IF(ISNUMBER(SEARCH(SETTINGS!$K$5,D860)),SETTINGS!$L$5,IF(ISNUMBER(SEARCH(SETTINGS!$K$6,D860)),SETTINGS!$L$6,IF(ISNUMBER(SEARCH(SETTINGS!$K$7,D860)),SETTINGS!$L$7,IF(ISNUMBER(SEARCH(SETTINGS!$K$8,D860)),SETTINGS!$L$8,IF(ISNUMBER(SEARCH(SETTINGS!$K$9,D860)),SETTINGS!$L$9,IF(ISNUMBER(SEARCH(SETTINGS!$K$10,D860)),SETTINGS!$L$10,IF(ISNUMBER(SEARCH(SETTINGS!$K$11,D860)),SETTINGS!$L$11,IF(ISNUMBER(SEARCH(SETTINGS!$K$12,D860)),SETTINGS!$L$12,IF(ISNUMBER(SEARCH(SETTINGS!$K$13,D860)),SETTINGS!$L$13,IF(ISNUMBER(SEARCH(SETTINGS!$K$14,D860)),SETTINGS!$L$14,IF(ISNUMBER(SEARCH(SETTINGS!$K$15,D860)),SETTINGS!$L$15,IF(ISNUMBER(SEARCH(SETTINGS!$K$16,D860)),SETTINGS!$L$16,IF(ISNUMBER(SEARCH(SETTINGS!$K$17,D860)),SETTINGS!$L$17,IF(ISNUMBER(SEARCH(SETTINGS!$K$18,D860)),SETTINGS!$L$18,"Miscellaneous"))))))))))))))))</f>
        <v/>
      </c>
      <c r="I860" s="44" t="str">
        <f t="shared" si="104"/>
        <v/>
      </c>
      <c r="J860" s="9"/>
      <c r="K860" s="9"/>
      <c r="L860" s="9"/>
      <c r="M860" s="9"/>
      <c r="N860" s="9"/>
      <c r="O860" s="9"/>
      <c r="P860" s="13"/>
      <c r="Q860" s="9"/>
      <c r="R860" s="9"/>
      <c r="S860" s="9"/>
      <c r="T860" s="11"/>
      <c r="U860" s="44" t="str">
        <f t="shared" si="105"/>
        <v/>
      </c>
      <c r="V860" s="44" t="str">
        <f t="shared" si="106"/>
        <v/>
      </c>
      <c r="W860" s="44" t="str">
        <f t="shared" si="107"/>
        <v/>
      </c>
      <c r="X860" s="44" t="str">
        <f t="shared" si="108"/>
        <v/>
      </c>
      <c r="Y860" s="44" t="str">
        <f t="shared" si="109"/>
        <v/>
      </c>
      <c r="Z860" s="44" t="str">
        <f t="shared" si="110"/>
        <v/>
      </c>
      <c r="AA860" s="50" t="str">
        <f t="shared" si="111"/>
        <v/>
      </c>
      <c r="AB860" s="50" t="str">
        <f>IF(OR(B860="",C860&lt;&gt;"Expense"),"",IF(E860&gt;IFERROR(AVERAGEIFS($E$8:$E$1007,$I$8:$I$1007,I860,$C$8:$C$1007,"Expense")*SETTINGS!$B$20,0),"Unusually High","Normal"))</f>
        <v/>
      </c>
      <c r="AC860" s="51"/>
      <c r="AD860" s="51"/>
      <c r="AE860" s="51"/>
      <c r="AF860" s="50" t="str">
        <f>IF(A860&lt;&gt;"Yes","No",IF(AND(AC860="Yes",SETTINGS!$B$16="No"),"No","Yes"))</f>
        <v>No</v>
      </c>
      <c r="AG860" s="50" t="str">
        <f>IF(A860&lt;&gt;"Yes","",IF(OR(B860="",D860="",E860&lt;=0,F860="",I860=""),"Check Required Fields",IF(AA860="Possible Duplicate","Possible Duplicate",IF(E860&gt;SETTINGS!$B$22,"Review Extreme Value","OK"))))</f>
        <v/>
      </c>
    </row>
    <row r="861" spans="1:33" ht="14.4">
      <c r="A861" s="9"/>
      <c r="B861" s="13"/>
      <c r="C861" s="9"/>
      <c r="D861" s="9"/>
      <c r="E861" s="11"/>
      <c r="F861" s="9"/>
      <c r="G861" s="9"/>
      <c r="H861" s="44" t="str">
        <f>IF(D861="","",IF(ISNUMBER(SEARCH(SETTINGS!$K$4,D861)),SETTINGS!$L$4,IF(ISNUMBER(SEARCH(SETTINGS!$K$5,D861)),SETTINGS!$L$5,IF(ISNUMBER(SEARCH(SETTINGS!$K$6,D861)),SETTINGS!$L$6,IF(ISNUMBER(SEARCH(SETTINGS!$K$7,D861)),SETTINGS!$L$7,IF(ISNUMBER(SEARCH(SETTINGS!$K$8,D861)),SETTINGS!$L$8,IF(ISNUMBER(SEARCH(SETTINGS!$K$9,D861)),SETTINGS!$L$9,IF(ISNUMBER(SEARCH(SETTINGS!$K$10,D861)),SETTINGS!$L$10,IF(ISNUMBER(SEARCH(SETTINGS!$K$11,D861)),SETTINGS!$L$11,IF(ISNUMBER(SEARCH(SETTINGS!$K$12,D861)),SETTINGS!$L$12,IF(ISNUMBER(SEARCH(SETTINGS!$K$13,D861)),SETTINGS!$L$13,IF(ISNUMBER(SEARCH(SETTINGS!$K$14,D861)),SETTINGS!$L$14,IF(ISNUMBER(SEARCH(SETTINGS!$K$15,D861)),SETTINGS!$L$15,IF(ISNUMBER(SEARCH(SETTINGS!$K$16,D861)),SETTINGS!$L$16,IF(ISNUMBER(SEARCH(SETTINGS!$K$17,D861)),SETTINGS!$L$17,IF(ISNUMBER(SEARCH(SETTINGS!$K$18,D861)),SETTINGS!$L$18,"Miscellaneous"))))))))))))))))</f>
        <v/>
      </c>
      <c r="I861" s="44" t="str">
        <f t="shared" si="104"/>
        <v/>
      </c>
      <c r="J861" s="9"/>
      <c r="K861" s="9"/>
      <c r="L861" s="9"/>
      <c r="M861" s="9"/>
      <c r="N861" s="9"/>
      <c r="O861" s="9"/>
      <c r="P861" s="13"/>
      <c r="Q861" s="9"/>
      <c r="R861" s="9"/>
      <c r="S861" s="9"/>
      <c r="T861" s="11"/>
      <c r="U861" s="44" t="str">
        <f t="shared" si="105"/>
        <v/>
      </c>
      <c r="V861" s="44" t="str">
        <f t="shared" si="106"/>
        <v/>
      </c>
      <c r="W861" s="44" t="str">
        <f t="shared" si="107"/>
        <v/>
      </c>
      <c r="X861" s="44" t="str">
        <f t="shared" si="108"/>
        <v/>
      </c>
      <c r="Y861" s="44" t="str">
        <f t="shared" si="109"/>
        <v/>
      </c>
      <c r="Z861" s="44" t="str">
        <f t="shared" si="110"/>
        <v/>
      </c>
      <c r="AA861" s="50" t="str">
        <f t="shared" si="111"/>
        <v/>
      </c>
      <c r="AB861" s="50" t="str">
        <f>IF(OR(B861="",C861&lt;&gt;"Expense"),"",IF(E861&gt;IFERROR(AVERAGEIFS($E$8:$E$1007,$I$8:$I$1007,I861,$C$8:$C$1007,"Expense")*SETTINGS!$B$20,0),"Unusually High","Normal"))</f>
        <v/>
      </c>
      <c r="AC861" s="51"/>
      <c r="AD861" s="51"/>
      <c r="AE861" s="51"/>
      <c r="AF861" s="50" t="str">
        <f>IF(A861&lt;&gt;"Yes","No",IF(AND(AC861="Yes",SETTINGS!$B$16="No"),"No","Yes"))</f>
        <v>No</v>
      </c>
      <c r="AG861" s="50" t="str">
        <f>IF(A861&lt;&gt;"Yes","",IF(OR(B861="",D861="",E861&lt;=0,F861="",I861=""),"Check Required Fields",IF(AA861="Possible Duplicate","Possible Duplicate",IF(E861&gt;SETTINGS!$B$22,"Review Extreme Value","OK"))))</f>
        <v/>
      </c>
    </row>
    <row r="862" spans="1:33" ht="14.4">
      <c r="A862" s="9"/>
      <c r="B862" s="13"/>
      <c r="C862" s="9"/>
      <c r="D862" s="9"/>
      <c r="E862" s="11"/>
      <c r="F862" s="9"/>
      <c r="G862" s="9"/>
      <c r="H862" s="44" t="str">
        <f>IF(D862="","",IF(ISNUMBER(SEARCH(SETTINGS!$K$4,D862)),SETTINGS!$L$4,IF(ISNUMBER(SEARCH(SETTINGS!$K$5,D862)),SETTINGS!$L$5,IF(ISNUMBER(SEARCH(SETTINGS!$K$6,D862)),SETTINGS!$L$6,IF(ISNUMBER(SEARCH(SETTINGS!$K$7,D862)),SETTINGS!$L$7,IF(ISNUMBER(SEARCH(SETTINGS!$K$8,D862)),SETTINGS!$L$8,IF(ISNUMBER(SEARCH(SETTINGS!$K$9,D862)),SETTINGS!$L$9,IF(ISNUMBER(SEARCH(SETTINGS!$K$10,D862)),SETTINGS!$L$10,IF(ISNUMBER(SEARCH(SETTINGS!$K$11,D862)),SETTINGS!$L$11,IF(ISNUMBER(SEARCH(SETTINGS!$K$12,D862)),SETTINGS!$L$12,IF(ISNUMBER(SEARCH(SETTINGS!$K$13,D862)),SETTINGS!$L$13,IF(ISNUMBER(SEARCH(SETTINGS!$K$14,D862)),SETTINGS!$L$14,IF(ISNUMBER(SEARCH(SETTINGS!$K$15,D862)),SETTINGS!$L$15,IF(ISNUMBER(SEARCH(SETTINGS!$K$16,D862)),SETTINGS!$L$16,IF(ISNUMBER(SEARCH(SETTINGS!$K$17,D862)),SETTINGS!$L$17,IF(ISNUMBER(SEARCH(SETTINGS!$K$18,D862)),SETTINGS!$L$18,"Miscellaneous"))))))))))))))))</f>
        <v/>
      </c>
      <c r="I862" s="44" t="str">
        <f t="shared" si="104"/>
        <v/>
      </c>
      <c r="J862" s="9"/>
      <c r="K862" s="9"/>
      <c r="L862" s="9"/>
      <c r="M862" s="9"/>
      <c r="N862" s="9"/>
      <c r="O862" s="9"/>
      <c r="P862" s="13"/>
      <c r="Q862" s="9"/>
      <c r="R862" s="9"/>
      <c r="S862" s="9"/>
      <c r="T862" s="11"/>
      <c r="U862" s="44" t="str">
        <f t="shared" si="105"/>
        <v/>
      </c>
      <c r="V862" s="44" t="str">
        <f t="shared" si="106"/>
        <v/>
      </c>
      <c r="W862" s="44" t="str">
        <f t="shared" si="107"/>
        <v/>
      </c>
      <c r="X862" s="44" t="str">
        <f t="shared" si="108"/>
        <v/>
      </c>
      <c r="Y862" s="44" t="str">
        <f t="shared" si="109"/>
        <v/>
      </c>
      <c r="Z862" s="44" t="str">
        <f t="shared" si="110"/>
        <v/>
      </c>
      <c r="AA862" s="50" t="str">
        <f t="shared" si="111"/>
        <v/>
      </c>
      <c r="AB862" s="50" t="str">
        <f>IF(OR(B862="",C862&lt;&gt;"Expense"),"",IF(E862&gt;IFERROR(AVERAGEIFS($E$8:$E$1007,$I$8:$I$1007,I862,$C$8:$C$1007,"Expense")*SETTINGS!$B$20,0),"Unusually High","Normal"))</f>
        <v/>
      </c>
      <c r="AC862" s="51"/>
      <c r="AD862" s="51"/>
      <c r="AE862" s="51"/>
      <c r="AF862" s="50" t="str">
        <f>IF(A862&lt;&gt;"Yes","No",IF(AND(AC862="Yes",SETTINGS!$B$16="No"),"No","Yes"))</f>
        <v>No</v>
      </c>
      <c r="AG862" s="50" t="str">
        <f>IF(A862&lt;&gt;"Yes","",IF(OR(B862="",D862="",E862&lt;=0,F862="",I862=""),"Check Required Fields",IF(AA862="Possible Duplicate","Possible Duplicate",IF(E862&gt;SETTINGS!$B$22,"Review Extreme Value","OK"))))</f>
        <v/>
      </c>
    </row>
    <row r="863" spans="1:33" ht="14.4">
      <c r="A863" s="9"/>
      <c r="B863" s="13"/>
      <c r="C863" s="9"/>
      <c r="D863" s="9"/>
      <c r="E863" s="11"/>
      <c r="F863" s="9"/>
      <c r="G863" s="9"/>
      <c r="H863" s="44" t="str">
        <f>IF(D863="","",IF(ISNUMBER(SEARCH(SETTINGS!$K$4,D863)),SETTINGS!$L$4,IF(ISNUMBER(SEARCH(SETTINGS!$K$5,D863)),SETTINGS!$L$5,IF(ISNUMBER(SEARCH(SETTINGS!$K$6,D863)),SETTINGS!$L$6,IF(ISNUMBER(SEARCH(SETTINGS!$K$7,D863)),SETTINGS!$L$7,IF(ISNUMBER(SEARCH(SETTINGS!$K$8,D863)),SETTINGS!$L$8,IF(ISNUMBER(SEARCH(SETTINGS!$K$9,D863)),SETTINGS!$L$9,IF(ISNUMBER(SEARCH(SETTINGS!$K$10,D863)),SETTINGS!$L$10,IF(ISNUMBER(SEARCH(SETTINGS!$K$11,D863)),SETTINGS!$L$11,IF(ISNUMBER(SEARCH(SETTINGS!$K$12,D863)),SETTINGS!$L$12,IF(ISNUMBER(SEARCH(SETTINGS!$K$13,D863)),SETTINGS!$L$13,IF(ISNUMBER(SEARCH(SETTINGS!$K$14,D863)),SETTINGS!$L$14,IF(ISNUMBER(SEARCH(SETTINGS!$K$15,D863)),SETTINGS!$L$15,IF(ISNUMBER(SEARCH(SETTINGS!$K$16,D863)),SETTINGS!$L$16,IF(ISNUMBER(SEARCH(SETTINGS!$K$17,D863)),SETTINGS!$L$17,IF(ISNUMBER(SEARCH(SETTINGS!$K$18,D863)),SETTINGS!$L$18,"Miscellaneous"))))))))))))))))</f>
        <v/>
      </c>
      <c r="I863" s="44" t="str">
        <f t="shared" si="104"/>
        <v/>
      </c>
      <c r="J863" s="9"/>
      <c r="K863" s="9"/>
      <c r="L863" s="9"/>
      <c r="M863" s="9"/>
      <c r="N863" s="9"/>
      <c r="O863" s="9"/>
      <c r="P863" s="13"/>
      <c r="Q863" s="9"/>
      <c r="R863" s="9"/>
      <c r="S863" s="9"/>
      <c r="T863" s="11"/>
      <c r="U863" s="44" t="str">
        <f t="shared" si="105"/>
        <v/>
      </c>
      <c r="V863" s="44" t="str">
        <f t="shared" si="106"/>
        <v/>
      </c>
      <c r="W863" s="44" t="str">
        <f t="shared" si="107"/>
        <v/>
      </c>
      <c r="X863" s="44" t="str">
        <f t="shared" si="108"/>
        <v/>
      </c>
      <c r="Y863" s="44" t="str">
        <f t="shared" si="109"/>
        <v/>
      </c>
      <c r="Z863" s="44" t="str">
        <f t="shared" si="110"/>
        <v/>
      </c>
      <c r="AA863" s="50" t="str">
        <f t="shared" si="111"/>
        <v/>
      </c>
      <c r="AB863" s="50" t="str">
        <f>IF(OR(B863="",C863&lt;&gt;"Expense"),"",IF(E863&gt;IFERROR(AVERAGEIFS($E$8:$E$1007,$I$8:$I$1007,I863,$C$8:$C$1007,"Expense")*SETTINGS!$B$20,0),"Unusually High","Normal"))</f>
        <v/>
      </c>
      <c r="AC863" s="51"/>
      <c r="AD863" s="51"/>
      <c r="AE863" s="51"/>
      <c r="AF863" s="50" t="str">
        <f>IF(A863&lt;&gt;"Yes","No",IF(AND(AC863="Yes",SETTINGS!$B$16="No"),"No","Yes"))</f>
        <v>No</v>
      </c>
      <c r="AG863" s="50" t="str">
        <f>IF(A863&lt;&gt;"Yes","",IF(OR(B863="",D863="",E863&lt;=0,F863="",I863=""),"Check Required Fields",IF(AA863="Possible Duplicate","Possible Duplicate",IF(E863&gt;SETTINGS!$B$22,"Review Extreme Value","OK"))))</f>
        <v/>
      </c>
    </row>
    <row r="864" spans="1:33" ht="14.4">
      <c r="A864" s="9"/>
      <c r="B864" s="13"/>
      <c r="C864" s="9"/>
      <c r="D864" s="9"/>
      <c r="E864" s="11"/>
      <c r="F864" s="9"/>
      <c r="G864" s="9"/>
      <c r="H864" s="44" t="str">
        <f>IF(D864="","",IF(ISNUMBER(SEARCH(SETTINGS!$K$4,D864)),SETTINGS!$L$4,IF(ISNUMBER(SEARCH(SETTINGS!$K$5,D864)),SETTINGS!$L$5,IF(ISNUMBER(SEARCH(SETTINGS!$K$6,D864)),SETTINGS!$L$6,IF(ISNUMBER(SEARCH(SETTINGS!$K$7,D864)),SETTINGS!$L$7,IF(ISNUMBER(SEARCH(SETTINGS!$K$8,D864)),SETTINGS!$L$8,IF(ISNUMBER(SEARCH(SETTINGS!$K$9,D864)),SETTINGS!$L$9,IF(ISNUMBER(SEARCH(SETTINGS!$K$10,D864)),SETTINGS!$L$10,IF(ISNUMBER(SEARCH(SETTINGS!$K$11,D864)),SETTINGS!$L$11,IF(ISNUMBER(SEARCH(SETTINGS!$K$12,D864)),SETTINGS!$L$12,IF(ISNUMBER(SEARCH(SETTINGS!$K$13,D864)),SETTINGS!$L$13,IF(ISNUMBER(SEARCH(SETTINGS!$K$14,D864)),SETTINGS!$L$14,IF(ISNUMBER(SEARCH(SETTINGS!$K$15,D864)),SETTINGS!$L$15,IF(ISNUMBER(SEARCH(SETTINGS!$K$16,D864)),SETTINGS!$L$16,IF(ISNUMBER(SEARCH(SETTINGS!$K$17,D864)),SETTINGS!$L$17,IF(ISNUMBER(SEARCH(SETTINGS!$K$18,D864)),SETTINGS!$L$18,"Miscellaneous"))))))))))))))))</f>
        <v/>
      </c>
      <c r="I864" s="44" t="str">
        <f t="shared" si="104"/>
        <v/>
      </c>
      <c r="J864" s="9"/>
      <c r="K864" s="9"/>
      <c r="L864" s="9"/>
      <c r="M864" s="9"/>
      <c r="N864" s="9"/>
      <c r="O864" s="9"/>
      <c r="P864" s="13"/>
      <c r="Q864" s="9"/>
      <c r="R864" s="9"/>
      <c r="S864" s="9"/>
      <c r="T864" s="11"/>
      <c r="U864" s="44" t="str">
        <f t="shared" si="105"/>
        <v/>
      </c>
      <c r="V864" s="44" t="str">
        <f t="shared" si="106"/>
        <v/>
      </c>
      <c r="W864" s="44" t="str">
        <f t="shared" si="107"/>
        <v/>
      </c>
      <c r="X864" s="44" t="str">
        <f t="shared" si="108"/>
        <v/>
      </c>
      <c r="Y864" s="44" t="str">
        <f t="shared" si="109"/>
        <v/>
      </c>
      <c r="Z864" s="44" t="str">
        <f t="shared" si="110"/>
        <v/>
      </c>
      <c r="AA864" s="50" t="str">
        <f t="shared" si="111"/>
        <v/>
      </c>
      <c r="AB864" s="50" t="str">
        <f>IF(OR(B864="",C864&lt;&gt;"Expense"),"",IF(E864&gt;IFERROR(AVERAGEIFS($E$8:$E$1007,$I$8:$I$1007,I864,$C$8:$C$1007,"Expense")*SETTINGS!$B$20,0),"Unusually High","Normal"))</f>
        <v/>
      </c>
      <c r="AC864" s="51"/>
      <c r="AD864" s="51"/>
      <c r="AE864" s="51"/>
      <c r="AF864" s="50" t="str">
        <f>IF(A864&lt;&gt;"Yes","No",IF(AND(AC864="Yes",SETTINGS!$B$16="No"),"No","Yes"))</f>
        <v>No</v>
      </c>
      <c r="AG864" s="50" t="str">
        <f>IF(A864&lt;&gt;"Yes","",IF(OR(B864="",D864="",E864&lt;=0,F864="",I864=""),"Check Required Fields",IF(AA864="Possible Duplicate","Possible Duplicate",IF(E864&gt;SETTINGS!$B$22,"Review Extreme Value","OK"))))</f>
        <v/>
      </c>
    </row>
    <row r="865" spans="1:33" ht="14.4">
      <c r="A865" s="9"/>
      <c r="B865" s="13"/>
      <c r="C865" s="9"/>
      <c r="D865" s="9"/>
      <c r="E865" s="11"/>
      <c r="F865" s="9"/>
      <c r="G865" s="9"/>
      <c r="H865" s="44" t="str">
        <f>IF(D865="","",IF(ISNUMBER(SEARCH(SETTINGS!$K$4,D865)),SETTINGS!$L$4,IF(ISNUMBER(SEARCH(SETTINGS!$K$5,D865)),SETTINGS!$L$5,IF(ISNUMBER(SEARCH(SETTINGS!$K$6,D865)),SETTINGS!$L$6,IF(ISNUMBER(SEARCH(SETTINGS!$K$7,D865)),SETTINGS!$L$7,IF(ISNUMBER(SEARCH(SETTINGS!$K$8,D865)),SETTINGS!$L$8,IF(ISNUMBER(SEARCH(SETTINGS!$K$9,D865)),SETTINGS!$L$9,IF(ISNUMBER(SEARCH(SETTINGS!$K$10,D865)),SETTINGS!$L$10,IF(ISNUMBER(SEARCH(SETTINGS!$K$11,D865)),SETTINGS!$L$11,IF(ISNUMBER(SEARCH(SETTINGS!$K$12,D865)),SETTINGS!$L$12,IF(ISNUMBER(SEARCH(SETTINGS!$K$13,D865)),SETTINGS!$L$13,IF(ISNUMBER(SEARCH(SETTINGS!$K$14,D865)),SETTINGS!$L$14,IF(ISNUMBER(SEARCH(SETTINGS!$K$15,D865)),SETTINGS!$L$15,IF(ISNUMBER(SEARCH(SETTINGS!$K$16,D865)),SETTINGS!$L$16,IF(ISNUMBER(SEARCH(SETTINGS!$K$17,D865)),SETTINGS!$L$17,IF(ISNUMBER(SEARCH(SETTINGS!$K$18,D865)),SETTINGS!$L$18,"Miscellaneous"))))))))))))))))</f>
        <v/>
      </c>
      <c r="I865" s="44" t="str">
        <f t="shared" si="104"/>
        <v/>
      </c>
      <c r="J865" s="9"/>
      <c r="K865" s="9"/>
      <c r="L865" s="9"/>
      <c r="M865" s="9"/>
      <c r="N865" s="9"/>
      <c r="O865" s="9"/>
      <c r="P865" s="13"/>
      <c r="Q865" s="9"/>
      <c r="R865" s="9"/>
      <c r="S865" s="9"/>
      <c r="T865" s="11"/>
      <c r="U865" s="44" t="str">
        <f t="shared" si="105"/>
        <v/>
      </c>
      <c r="V865" s="44" t="str">
        <f t="shared" si="106"/>
        <v/>
      </c>
      <c r="W865" s="44" t="str">
        <f t="shared" si="107"/>
        <v/>
      </c>
      <c r="X865" s="44" t="str">
        <f t="shared" si="108"/>
        <v/>
      </c>
      <c r="Y865" s="44" t="str">
        <f t="shared" si="109"/>
        <v/>
      </c>
      <c r="Z865" s="44" t="str">
        <f t="shared" si="110"/>
        <v/>
      </c>
      <c r="AA865" s="50" t="str">
        <f t="shared" si="111"/>
        <v/>
      </c>
      <c r="AB865" s="50" t="str">
        <f>IF(OR(B865="",C865&lt;&gt;"Expense"),"",IF(E865&gt;IFERROR(AVERAGEIFS($E$8:$E$1007,$I$8:$I$1007,I865,$C$8:$C$1007,"Expense")*SETTINGS!$B$20,0),"Unusually High","Normal"))</f>
        <v/>
      </c>
      <c r="AC865" s="51"/>
      <c r="AD865" s="51"/>
      <c r="AE865" s="51"/>
      <c r="AF865" s="50" t="str">
        <f>IF(A865&lt;&gt;"Yes","No",IF(AND(AC865="Yes",SETTINGS!$B$16="No"),"No","Yes"))</f>
        <v>No</v>
      </c>
      <c r="AG865" s="50" t="str">
        <f>IF(A865&lt;&gt;"Yes","",IF(OR(B865="",D865="",E865&lt;=0,F865="",I865=""),"Check Required Fields",IF(AA865="Possible Duplicate","Possible Duplicate",IF(E865&gt;SETTINGS!$B$22,"Review Extreme Value","OK"))))</f>
        <v/>
      </c>
    </row>
    <row r="866" spans="1:33" ht="14.4">
      <c r="A866" s="9"/>
      <c r="B866" s="13"/>
      <c r="C866" s="9"/>
      <c r="D866" s="9"/>
      <c r="E866" s="11"/>
      <c r="F866" s="9"/>
      <c r="G866" s="9"/>
      <c r="H866" s="44" t="str">
        <f>IF(D866="","",IF(ISNUMBER(SEARCH(SETTINGS!$K$4,D866)),SETTINGS!$L$4,IF(ISNUMBER(SEARCH(SETTINGS!$K$5,D866)),SETTINGS!$L$5,IF(ISNUMBER(SEARCH(SETTINGS!$K$6,D866)),SETTINGS!$L$6,IF(ISNUMBER(SEARCH(SETTINGS!$K$7,D866)),SETTINGS!$L$7,IF(ISNUMBER(SEARCH(SETTINGS!$K$8,D866)),SETTINGS!$L$8,IF(ISNUMBER(SEARCH(SETTINGS!$K$9,D866)),SETTINGS!$L$9,IF(ISNUMBER(SEARCH(SETTINGS!$K$10,D866)),SETTINGS!$L$10,IF(ISNUMBER(SEARCH(SETTINGS!$K$11,D866)),SETTINGS!$L$11,IF(ISNUMBER(SEARCH(SETTINGS!$K$12,D866)),SETTINGS!$L$12,IF(ISNUMBER(SEARCH(SETTINGS!$K$13,D866)),SETTINGS!$L$13,IF(ISNUMBER(SEARCH(SETTINGS!$K$14,D866)),SETTINGS!$L$14,IF(ISNUMBER(SEARCH(SETTINGS!$K$15,D866)),SETTINGS!$L$15,IF(ISNUMBER(SEARCH(SETTINGS!$K$16,D866)),SETTINGS!$L$16,IF(ISNUMBER(SEARCH(SETTINGS!$K$17,D866)),SETTINGS!$L$17,IF(ISNUMBER(SEARCH(SETTINGS!$K$18,D866)),SETTINGS!$L$18,"Miscellaneous"))))))))))))))))</f>
        <v/>
      </c>
      <c r="I866" s="44" t="str">
        <f t="shared" si="104"/>
        <v/>
      </c>
      <c r="J866" s="9"/>
      <c r="K866" s="9"/>
      <c r="L866" s="9"/>
      <c r="M866" s="9"/>
      <c r="N866" s="9"/>
      <c r="O866" s="9"/>
      <c r="P866" s="13"/>
      <c r="Q866" s="9"/>
      <c r="R866" s="9"/>
      <c r="S866" s="9"/>
      <c r="T866" s="11"/>
      <c r="U866" s="44" t="str">
        <f t="shared" si="105"/>
        <v/>
      </c>
      <c r="V866" s="44" t="str">
        <f t="shared" si="106"/>
        <v/>
      </c>
      <c r="W866" s="44" t="str">
        <f t="shared" si="107"/>
        <v/>
      </c>
      <c r="X866" s="44" t="str">
        <f t="shared" si="108"/>
        <v/>
      </c>
      <c r="Y866" s="44" t="str">
        <f t="shared" si="109"/>
        <v/>
      </c>
      <c r="Z866" s="44" t="str">
        <f t="shared" si="110"/>
        <v/>
      </c>
      <c r="AA866" s="50" t="str">
        <f t="shared" si="111"/>
        <v/>
      </c>
      <c r="AB866" s="50" t="str">
        <f>IF(OR(B866="",C866&lt;&gt;"Expense"),"",IF(E866&gt;IFERROR(AVERAGEIFS($E$8:$E$1007,$I$8:$I$1007,I866,$C$8:$C$1007,"Expense")*SETTINGS!$B$20,0),"Unusually High","Normal"))</f>
        <v/>
      </c>
      <c r="AC866" s="51"/>
      <c r="AD866" s="51"/>
      <c r="AE866" s="51"/>
      <c r="AF866" s="50" t="str">
        <f>IF(A866&lt;&gt;"Yes","No",IF(AND(AC866="Yes",SETTINGS!$B$16="No"),"No","Yes"))</f>
        <v>No</v>
      </c>
      <c r="AG866" s="50" t="str">
        <f>IF(A866&lt;&gt;"Yes","",IF(OR(B866="",D866="",E866&lt;=0,F866="",I866=""),"Check Required Fields",IF(AA866="Possible Duplicate","Possible Duplicate",IF(E866&gt;SETTINGS!$B$22,"Review Extreme Value","OK"))))</f>
        <v/>
      </c>
    </row>
    <row r="867" spans="1:33" ht="14.4">
      <c r="A867" s="9"/>
      <c r="B867" s="13"/>
      <c r="C867" s="9"/>
      <c r="D867" s="9"/>
      <c r="E867" s="11"/>
      <c r="F867" s="9"/>
      <c r="G867" s="9"/>
      <c r="H867" s="44" t="str">
        <f>IF(D867="","",IF(ISNUMBER(SEARCH(SETTINGS!$K$4,D867)),SETTINGS!$L$4,IF(ISNUMBER(SEARCH(SETTINGS!$K$5,D867)),SETTINGS!$L$5,IF(ISNUMBER(SEARCH(SETTINGS!$K$6,D867)),SETTINGS!$L$6,IF(ISNUMBER(SEARCH(SETTINGS!$K$7,D867)),SETTINGS!$L$7,IF(ISNUMBER(SEARCH(SETTINGS!$K$8,D867)),SETTINGS!$L$8,IF(ISNUMBER(SEARCH(SETTINGS!$K$9,D867)),SETTINGS!$L$9,IF(ISNUMBER(SEARCH(SETTINGS!$K$10,D867)),SETTINGS!$L$10,IF(ISNUMBER(SEARCH(SETTINGS!$K$11,D867)),SETTINGS!$L$11,IF(ISNUMBER(SEARCH(SETTINGS!$K$12,D867)),SETTINGS!$L$12,IF(ISNUMBER(SEARCH(SETTINGS!$K$13,D867)),SETTINGS!$L$13,IF(ISNUMBER(SEARCH(SETTINGS!$K$14,D867)),SETTINGS!$L$14,IF(ISNUMBER(SEARCH(SETTINGS!$K$15,D867)),SETTINGS!$L$15,IF(ISNUMBER(SEARCH(SETTINGS!$K$16,D867)),SETTINGS!$L$16,IF(ISNUMBER(SEARCH(SETTINGS!$K$17,D867)),SETTINGS!$L$17,IF(ISNUMBER(SEARCH(SETTINGS!$K$18,D867)),SETTINGS!$L$18,"Miscellaneous"))))))))))))))))</f>
        <v/>
      </c>
      <c r="I867" s="44" t="str">
        <f t="shared" si="104"/>
        <v/>
      </c>
      <c r="J867" s="9"/>
      <c r="K867" s="9"/>
      <c r="L867" s="9"/>
      <c r="M867" s="9"/>
      <c r="N867" s="9"/>
      <c r="O867" s="9"/>
      <c r="P867" s="13"/>
      <c r="Q867" s="9"/>
      <c r="R867" s="9"/>
      <c r="S867" s="9"/>
      <c r="T867" s="11"/>
      <c r="U867" s="44" t="str">
        <f t="shared" si="105"/>
        <v/>
      </c>
      <c r="V867" s="44" t="str">
        <f t="shared" si="106"/>
        <v/>
      </c>
      <c r="W867" s="44" t="str">
        <f t="shared" si="107"/>
        <v/>
      </c>
      <c r="X867" s="44" t="str">
        <f t="shared" si="108"/>
        <v/>
      </c>
      <c r="Y867" s="44" t="str">
        <f t="shared" si="109"/>
        <v/>
      </c>
      <c r="Z867" s="44" t="str">
        <f t="shared" si="110"/>
        <v/>
      </c>
      <c r="AA867" s="50" t="str">
        <f t="shared" si="111"/>
        <v/>
      </c>
      <c r="AB867" s="50" t="str">
        <f>IF(OR(B867="",C867&lt;&gt;"Expense"),"",IF(E867&gt;IFERROR(AVERAGEIFS($E$8:$E$1007,$I$8:$I$1007,I867,$C$8:$C$1007,"Expense")*SETTINGS!$B$20,0),"Unusually High","Normal"))</f>
        <v/>
      </c>
      <c r="AC867" s="51"/>
      <c r="AD867" s="51"/>
      <c r="AE867" s="51"/>
      <c r="AF867" s="50" t="str">
        <f>IF(A867&lt;&gt;"Yes","No",IF(AND(AC867="Yes",SETTINGS!$B$16="No"),"No","Yes"))</f>
        <v>No</v>
      </c>
      <c r="AG867" s="50" t="str">
        <f>IF(A867&lt;&gt;"Yes","",IF(OR(B867="",D867="",E867&lt;=0,F867="",I867=""),"Check Required Fields",IF(AA867="Possible Duplicate","Possible Duplicate",IF(E867&gt;SETTINGS!$B$22,"Review Extreme Value","OK"))))</f>
        <v/>
      </c>
    </row>
    <row r="868" spans="1:33" ht="14.4">
      <c r="A868" s="9"/>
      <c r="B868" s="13"/>
      <c r="C868" s="9"/>
      <c r="D868" s="9"/>
      <c r="E868" s="11"/>
      <c r="F868" s="9"/>
      <c r="G868" s="9"/>
      <c r="H868" s="44" t="str">
        <f>IF(D868="","",IF(ISNUMBER(SEARCH(SETTINGS!$K$4,D868)),SETTINGS!$L$4,IF(ISNUMBER(SEARCH(SETTINGS!$K$5,D868)),SETTINGS!$L$5,IF(ISNUMBER(SEARCH(SETTINGS!$K$6,D868)),SETTINGS!$L$6,IF(ISNUMBER(SEARCH(SETTINGS!$K$7,D868)),SETTINGS!$L$7,IF(ISNUMBER(SEARCH(SETTINGS!$K$8,D868)),SETTINGS!$L$8,IF(ISNUMBER(SEARCH(SETTINGS!$K$9,D868)),SETTINGS!$L$9,IF(ISNUMBER(SEARCH(SETTINGS!$K$10,D868)),SETTINGS!$L$10,IF(ISNUMBER(SEARCH(SETTINGS!$K$11,D868)),SETTINGS!$L$11,IF(ISNUMBER(SEARCH(SETTINGS!$K$12,D868)),SETTINGS!$L$12,IF(ISNUMBER(SEARCH(SETTINGS!$K$13,D868)),SETTINGS!$L$13,IF(ISNUMBER(SEARCH(SETTINGS!$K$14,D868)),SETTINGS!$L$14,IF(ISNUMBER(SEARCH(SETTINGS!$K$15,D868)),SETTINGS!$L$15,IF(ISNUMBER(SEARCH(SETTINGS!$K$16,D868)),SETTINGS!$L$16,IF(ISNUMBER(SEARCH(SETTINGS!$K$17,D868)),SETTINGS!$L$17,IF(ISNUMBER(SEARCH(SETTINGS!$K$18,D868)),SETTINGS!$L$18,"Miscellaneous"))))))))))))))))</f>
        <v/>
      </c>
      <c r="I868" s="44" t="str">
        <f t="shared" si="104"/>
        <v/>
      </c>
      <c r="J868" s="9"/>
      <c r="K868" s="9"/>
      <c r="L868" s="9"/>
      <c r="M868" s="9"/>
      <c r="N868" s="9"/>
      <c r="O868" s="9"/>
      <c r="P868" s="13"/>
      <c r="Q868" s="9"/>
      <c r="R868" s="9"/>
      <c r="S868" s="9"/>
      <c r="T868" s="11"/>
      <c r="U868" s="44" t="str">
        <f t="shared" si="105"/>
        <v/>
      </c>
      <c r="V868" s="44" t="str">
        <f t="shared" si="106"/>
        <v/>
      </c>
      <c r="W868" s="44" t="str">
        <f t="shared" si="107"/>
        <v/>
      </c>
      <c r="X868" s="44" t="str">
        <f t="shared" si="108"/>
        <v/>
      </c>
      <c r="Y868" s="44" t="str">
        <f t="shared" si="109"/>
        <v/>
      </c>
      <c r="Z868" s="44" t="str">
        <f t="shared" si="110"/>
        <v/>
      </c>
      <c r="AA868" s="50" t="str">
        <f t="shared" si="111"/>
        <v/>
      </c>
      <c r="AB868" s="50" t="str">
        <f>IF(OR(B868="",C868&lt;&gt;"Expense"),"",IF(E868&gt;IFERROR(AVERAGEIFS($E$8:$E$1007,$I$8:$I$1007,I868,$C$8:$C$1007,"Expense")*SETTINGS!$B$20,0),"Unusually High","Normal"))</f>
        <v/>
      </c>
      <c r="AC868" s="51"/>
      <c r="AD868" s="51"/>
      <c r="AE868" s="51"/>
      <c r="AF868" s="50" t="str">
        <f>IF(A868&lt;&gt;"Yes","No",IF(AND(AC868="Yes",SETTINGS!$B$16="No"),"No","Yes"))</f>
        <v>No</v>
      </c>
      <c r="AG868" s="50" t="str">
        <f>IF(A868&lt;&gt;"Yes","",IF(OR(B868="",D868="",E868&lt;=0,F868="",I868=""),"Check Required Fields",IF(AA868="Possible Duplicate","Possible Duplicate",IF(E868&gt;SETTINGS!$B$22,"Review Extreme Value","OK"))))</f>
        <v/>
      </c>
    </row>
    <row r="869" spans="1:33" ht="14.4">
      <c r="A869" s="9"/>
      <c r="B869" s="13"/>
      <c r="C869" s="9"/>
      <c r="D869" s="9"/>
      <c r="E869" s="11"/>
      <c r="F869" s="9"/>
      <c r="G869" s="9"/>
      <c r="H869" s="44" t="str">
        <f>IF(D869="","",IF(ISNUMBER(SEARCH(SETTINGS!$K$4,D869)),SETTINGS!$L$4,IF(ISNUMBER(SEARCH(SETTINGS!$K$5,D869)),SETTINGS!$L$5,IF(ISNUMBER(SEARCH(SETTINGS!$K$6,D869)),SETTINGS!$L$6,IF(ISNUMBER(SEARCH(SETTINGS!$K$7,D869)),SETTINGS!$L$7,IF(ISNUMBER(SEARCH(SETTINGS!$K$8,D869)),SETTINGS!$L$8,IF(ISNUMBER(SEARCH(SETTINGS!$K$9,D869)),SETTINGS!$L$9,IF(ISNUMBER(SEARCH(SETTINGS!$K$10,D869)),SETTINGS!$L$10,IF(ISNUMBER(SEARCH(SETTINGS!$K$11,D869)),SETTINGS!$L$11,IF(ISNUMBER(SEARCH(SETTINGS!$K$12,D869)),SETTINGS!$L$12,IF(ISNUMBER(SEARCH(SETTINGS!$K$13,D869)),SETTINGS!$L$13,IF(ISNUMBER(SEARCH(SETTINGS!$K$14,D869)),SETTINGS!$L$14,IF(ISNUMBER(SEARCH(SETTINGS!$K$15,D869)),SETTINGS!$L$15,IF(ISNUMBER(SEARCH(SETTINGS!$K$16,D869)),SETTINGS!$L$16,IF(ISNUMBER(SEARCH(SETTINGS!$K$17,D869)),SETTINGS!$L$17,IF(ISNUMBER(SEARCH(SETTINGS!$K$18,D869)),SETTINGS!$L$18,"Miscellaneous"))))))))))))))))</f>
        <v/>
      </c>
      <c r="I869" s="44" t="str">
        <f t="shared" si="104"/>
        <v/>
      </c>
      <c r="J869" s="9"/>
      <c r="K869" s="9"/>
      <c r="L869" s="9"/>
      <c r="M869" s="9"/>
      <c r="N869" s="9"/>
      <c r="O869" s="9"/>
      <c r="P869" s="13"/>
      <c r="Q869" s="9"/>
      <c r="R869" s="9"/>
      <c r="S869" s="9"/>
      <c r="T869" s="11"/>
      <c r="U869" s="44" t="str">
        <f t="shared" si="105"/>
        <v/>
      </c>
      <c r="V869" s="44" t="str">
        <f t="shared" si="106"/>
        <v/>
      </c>
      <c r="W869" s="44" t="str">
        <f t="shared" si="107"/>
        <v/>
      </c>
      <c r="X869" s="44" t="str">
        <f t="shared" si="108"/>
        <v/>
      </c>
      <c r="Y869" s="44" t="str">
        <f t="shared" si="109"/>
        <v/>
      </c>
      <c r="Z869" s="44" t="str">
        <f t="shared" si="110"/>
        <v/>
      </c>
      <c r="AA869" s="50" t="str">
        <f t="shared" si="111"/>
        <v/>
      </c>
      <c r="AB869" s="50" t="str">
        <f>IF(OR(B869="",C869&lt;&gt;"Expense"),"",IF(E869&gt;IFERROR(AVERAGEIFS($E$8:$E$1007,$I$8:$I$1007,I869,$C$8:$C$1007,"Expense")*SETTINGS!$B$20,0),"Unusually High","Normal"))</f>
        <v/>
      </c>
      <c r="AC869" s="51"/>
      <c r="AD869" s="51"/>
      <c r="AE869" s="51"/>
      <c r="AF869" s="50" t="str">
        <f>IF(A869&lt;&gt;"Yes","No",IF(AND(AC869="Yes",SETTINGS!$B$16="No"),"No","Yes"))</f>
        <v>No</v>
      </c>
      <c r="AG869" s="50" t="str">
        <f>IF(A869&lt;&gt;"Yes","",IF(OR(B869="",D869="",E869&lt;=0,F869="",I869=""),"Check Required Fields",IF(AA869="Possible Duplicate","Possible Duplicate",IF(E869&gt;SETTINGS!$B$22,"Review Extreme Value","OK"))))</f>
        <v/>
      </c>
    </row>
    <row r="870" spans="1:33" ht="14.4">
      <c r="A870" s="9"/>
      <c r="B870" s="13"/>
      <c r="C870" s="9"/>
      <c r="D870" s="9"/>
      <c r="E870" s="11"/>
      <c r="F870" s="9"/>
      <c r="G870" s="9"/>
      <c r="H870" s="44" t="str">
        <f>IF(D870="","",IF(ISNUMBER(SEARCH(SETTINGS!$K$4,D870)),SETTINGS!$L$4,IF(ISNUMBER(SEARCH(SETTINGS!$K$5,D870)),SETTINGS!$L$5,IF(ISNUMBER(SEARCH(SETTINGS!$K$6,D870)),SETTINGS!$L$6,IF(ISNUMBER(SEARCH(SETTINGS!$K$7,D870)),SETTINGS!$L$7,IF(ISNUMBER(SEARCH(SETTINGS!$K$8,D870)),SETTINGS!$L$8,IF(ISNUMBER(SEARCH(SETTINGS!$K$9,D870)),SETTINGS!$L$9,IF(ISNUMBER(SEARCH(SETTINGS!$K$10,D870)),SETTINGS!$L$10,IF(ISNUMBER(SEARCH(SETTINGS!$K$11,D870)),SETTINGS!$L$11,IF(ISNUMBER(SEARCH(SETTINGS!$K$12,D870)),SETTINGS!$L$12,IF(ISNUMBER(SEARCH(SETTINGS!$K$13,D870)),SETTINGS!$L$13,IF(ISNUMBER(SEARCH(SETTINGS!$K$14,D870)),SETTINGS!$L$14,IF(ISNUMBER(SEARCH(SETTINGS!$K$15,D870)),SETTINGS!$L$15,IF(ISNUMBER(SEARCH(SETTINGS!$K$16,D870)),SETTINGS!$L$16,IF(ISNUMBER(SEARCH(SETTINGS!$K$17,D870)),SETTINGS!$L$17,IF(ISNUMBER(SEARCH(SETTINGS!$K$18,D870)),SETTINGS!$L$18,"Miscellaneous"))))))))))))))))</f>
        <v/>
      </c>
      <c r="I870" s="44" t="str">
        <f t="shared" si="104"/>
        <v/>
      </c>
      <c r="J870" s="9"/>
      <c r="K870" s="9"/>
      <c r="L870" s="9"/>
      <c r="M870" s="9"/>
      <c r="N870" s="9"/>
      <c r="O870" s="9"/>
      <c r="P870" s="13"/>
      <c r="Q870" s="9"/>
      <c r="R870" s="9"/>
      <c r="S870" s="9"/>
      <c r="T870" s="11"/>
      <c r="U870" s="44" t="str">
        <f t="shared" si="105"/>
        <v/>
      </c>
      <c r="V870" s="44" t="str">
        <f t="shared" si="106"/>
        <v/>
      </c>
      <c r="W870" s="44" t="str">
        <f t="shared" si="107"/>
        <v/>
      </c>
      <c r="X870" s="44" t="str">
        <f t="shared" si="108"/>
        <v/>
      </c>
      <c r="Y870" s="44" t="str">
        <f t="shared" si="109"/>
        <v/>
      </c>
      <c r="Z870" s="44" t="str">
        <f t="shared" si="110"/>
        <v/>
      </c>
      <c r="AA870" s="50" t="str">
        <f t="shared" si="111"/>
        <v/>
      </c>
      <c r="AB870" s="50" t="str">
        <f>IF(OR(B870="",C870&lt;&gt;"Expense"),"",IF(E870&gt;IFERROR(AVERAGEIFS($E$8:$E$1007,$I$8:$I$1007,I870,$C$8:$C$1007,"Expense")*SETTINGS!$B$20,0),"Unusually High","Normal"))</f>
        <v/>
      </c>
      <c r="AC870" s="51"/>
      <c r="AD870" s="51"/>
      <c r="AE870" s="51"/>
      <c r="AF870" s="50" t="str">
        <f>IF(A870&lt;&gt;"Yes","No",IF(AND(AC870="Yes",SETTINGS!$B$16="No"),"No","Yes"))</f>
        <v>No</v>
      </c>
      <c r="AG870" s="50" t="str">
        <f>IF(A870&lt;&gt;"Yes","",IF(OR(B870="",D870="",E870&lt;=0,F870="",I870=""),"Check Required Fields",IF(AA870="Possible Duplicate","Possible Duplicate",IF(E870&gt;SETTINGS!$B$22,"Review Extreme Value","OK"))))</f>
        <v/>
      </c>
    </row>
    <row r="871" spans="1:33" ht="14.4">
      <c r="A871" s="9"/>
      <c r="B871" s="13"/>
      <c r="C871" s="9"/>
      <c r="D871" s="9"/>
      <c r="E871" s="11"/>
      <c r="F871" s="9"/>
      <c r="G871" s="9"/>
      <c r="H871" s="44" t="str">
        <f>IF(D871="","",IF(ISNUMBER(SEARCH(SETTINGS!$K$4,D871)),SETTINGS!$L$4,IF(ISNUMBER(SEARCH(SETTINGS!$K$5,D871)),SETTINGS!$L$5,IF(ISNUMBER(SEARCH(SETTINGS!$K$6,D871)),SETTINGS!$L$6,IF(ISNUMBER(SEARCH(SETTINGS!$K$7,D871)),SETTINGS!$L$7,IF(ISNUMBER(SEARCH(SETTINGS!$K$8,D871)),SETTINGS!$L$8,IF(ISNUMBER(SEARCH(SETTINGS!$K$9,D871)),SETTINGS!$L$9,IF(ISNUMBER(SEARCH(SETTINGS!$K$10,D871)),SETTINGS!$L$10,IF(ISNUMBER(SEARCH(SETTINGS!$K$11,D871)),SETTINGS!$L$11,IF(ISNUMBER(SEARCH(SETTINGS!$K$12,D871)),SETTINGS!$L$12,IF(ISNUMBER(SEARCH(SETTINGS!$K$13,D871)),SETTINGS!$L$13,IF(ISNUMBER(SEARCH(SETTINGS!$K$14,D871)),SETTINGS!$L$14,IF(ISNUMBER(SEARCH(SETTINGS!$K$15,D871)),SETTINGS!$L$15,IF(ISNUMBER(SEARCH(SETTINGS!$K$16,D871)),SETTINGS!$L$16,IF(ISNUMBER(SEARCH(SETTINGS!$K$17,D871)),SETTINGS!$L$17,IF(ISNUMBER(SEARCH(SETTINGS!$K$18,D871)),SETTINGS!$L$18,"Miscellaneous"))))))))))))))))</f>
        <v/>
      </c>
      <c r="I871" s="44" t="str">
        <f t="shared" si="104"/>
        <v/>
      </c>
      <c r="J871" s="9"/>
      <c r="K871" s="9"/>
      <c r="L871" s="9"/>
      <c r="M871" s="9"/>
      <c r="N871" s="9"/>
      <c r="O871" s="9"/>
      <c r="P871" s="13"/>
      <c r="Q871" s="9"/>
      <c r="R871" s="9"/>
      <c r="S871" s="9"/>
      <c r="T871" s="11"/>
      <c r="U871" s="44" t="str">
        <f t="shared" si="105"/>
        <v/>
      </c>
      <c r="V871" s="44" t="str">
        <f t="shared" si="106"/>
        <v/>
      </c>
      <c r="W871" s="44" t="str">
        <f t="shared" si="107"/>
        <v/>
      </c>
      <c r="X871" s="44" t="str">
        <f t="shared" si="108"/>
        <v/>
      </c>
      <c r="Y871" s="44" t="str">
        <f t="shared" si="109"/>
        <v/>
      </c>
      <c r="Z871" s="44" t="str">
        <f t="shared" si="110"/>
        <v/>
      </c>
      <c r="AA871" s="50" t="str">
        <f t="shared" si="111"/>
        <v/>
      </c>
      <c r="AB871" s="50" t="str">
        <f>IF(OR(B871="",C871&lt;&gt;"Expense"),"",IF(E871&gt;IFERROR(AVERAGEIFS($E$8:$E$1007,$I$8:$I$1007,I871,$C$8:$C$1007,"Expense")*SETTINGS!$B$20,0),"Unusually High","Normal"))</f>
        <v/>
      </c>
      <c r="AC871" s="51"/>
      <c r="AD871" s="51"/>
      <c r="AE871" s="51"/>
      <c r="AF871" s="50" t="str">
        <f>IF(A871&lt;&gt;"Yes","No",IF(AND(AC871="Yes",SETTINGS!$B$16="No"),"No","Yes"))</f>
        <v>No</v>
      </c>
      <c r="AG871" s="50" t="str">
        <f>IF(A871&lt;&gt;"Yes","",IF(OR(B871="",D871="",E871&lt;=0,F871="",I871=""),"Check Required Fields",IF(AA871="Possible Duplicate","Possible Duplicate",IF(E871&gt;SETTINGS!$B$22,"Review Extreme Value","OK"))))</f>
        <v/>
      </c>
    </row>
    <row r="872" spans="1:33" ht="14.4">
      <c r="A872" s="9"/>
      <c r="B872" s="13"/>
      <c r="C872" s="9"/>
      <c r="D872" s="9"/>
      <c r="E872" s="11"/>
      <c r="F872" s="9"/>
      <c r="G872" s="9"/>
      <c r="H872" s="44" t="str">
        <f>IF(D872="","",IF(ISNUMBER(SEARCH(SETTINGS!$K$4,D872)),SETTINGS!$L$4,IF(ISNUMBER(SEARCH(SETTINGS!$K$5,D872)),SETTINGS!$L$5,IF(ISNUMBER(SEARCH(SETTINGS!$K$6,D872)),SETTINGS!$L$6,IF(ISNUMBER(SEARCH(SETTINGS!$K$7,D872)),SETTINGS!$L$7,IF(ISNUMBER(SEARCH(SETTINGS!$K$8,D872)),SETTINGS!$L$8,IF(ISNUMBER(SEARCH(SETTINGS!$K$9,D872)),SETTINGS!$L$9,IF(ISNUMBER(SEARCH(SETTINGS!$K$10,D872)),SETTINGS!$L$10,IF(ISNUMBER(SEARCH(SETTINGS!$K$11,D872)),SETTINGS!$L$11,IF(ISNUMBER(SEARCH(SETTINGS!$K$12,D872)),SETTINGS!$L$12,IF(ISNUMBER(SEARCH(SETTINGS!$K$13,D872)),SETTINGS!$L$13,IF(ISNUMBER(SEARCH(SETTINGS!$K$14,D872)),SETTINGS!$L$14,IF(ISNUMBER(SEARCH(SETTINGS!$K$15,D872)),SETTINGS!$L$15,IF(ISNUMBER(SEARCH(SETTINGS!$K$16,D872)),SETTINGS!$L$16,IF(ISNUMBER(SEARCH(SETTINGS!$K$17,D872)),SETTINGS!$L$17,IF(ISNUMBER(SEARCH(SETTINGS!$K$18,D872)),SETTINGS!$L$18,"Miscellaneous"))))))))))))))))</f>
        <v/>
      </c>
      <c r="I872" s="44" t="str">
        <f t="shared" si="104"/>
        <v/>
      </c>
      <c r="J872" s="9"/>
      <c r="K872" s="9"/>
      <c r="L872" s="9"/>
      <c r="M872" s="9"/>
      <c r="N872" s="9"/>
      <c r="O872" s="9"/>
      <c r="P872" s="13"/>
      <c r="Q872" s="9"/>
      <c r="R872" s="9"/>
      <c r="S872" s="9"/>
      <c r="T872" s="11"/>
      <c r="U872" s="44" t="str">
        <f t="shared" si="105"/>
        <v/>
      </c>
      <c r="V872" s="44" t="str">
        <f t="shared" si="106"/>
        <v/>
      </c>
      <c r="W872" s="44" t="str">
        <f t="shared" si="107"/>
        <v/>
      </c>
      <c r="X872" s="44" t="str">
        <f t="shared" si="108"/>
        <v/>
      </c>
      <c r="Y872" s="44" t="str">
        <f t="shared" si="109"/>
        <v/>
      </c>
      <c r="Z872" s="44" t="str">
        <f t="shared" si="110"/>
        <v/>
      </c>
      <c r="AA872" s="50" t="str">
        <f t="shared" si="111"/>
        <v/>
      </c>
      <c r="AB872" s="50" t="str">
        <f>IF(OR(B872="",C872&lt;&gt;"Expense"),"",IF(E872&gt;IFERROR(AVERAGEIFS($E$8:$E$1007,$I$8:$I$1007,I872,$C$8:$C$1007,"Expense")*SETTINGS!$B$20,0),"Unusually High","Normal"))</f>
        <v/>
      </c>
      <c r="AC872" s="51"/>
      <c r="AD872" s="51"/>
      <c r="AE872" s="51"/>
      <c r="AF872" s="50" t="str">
        <f>IF(A872&lt;&gt;"Yes","No",IF(AND(AC872="Yes",SETTINGS!$B$16="No"),"No","Yes"))</f>
        <v>No</v>
      </c>
      <c r="AG872" s="50" t="str">
        <f>IF(A872&lt;&gt;"Yes","",IF(OR(B872="",D872="",E872&lt;=0,F872="",I872=""),"Check Required Fields",IF(AA872="Possible Duplicate","Possible Duplicate",IF(E872&gt;SETTINGS!$B$22,"Review Extreme Value","OK"))))</f>
        <v/>
      </c>
    </row>
    <row r="873" spans="1:33" ht="14.4">
      <c r="A873" s="9"/>
      <c r="B873" s="13"/>
      <c r="C873" s="9"/>
      <c r="D873" s="9"/>
      <c r="E873" s="11"/>
      <c r="F873" s="9"/>
      <c r="G873" s="9"/>
      <c r="H873" s="44" t="str">
        <f>IF(D873="","",IF(ISNUMBER(SEARCH(SETTINGS!$K$4,D873)),SETTINGS!$L$4,IF(ISNUMBER(SEARCH(SETTINGS!$K$5,D873)),SETTINGS!$L$5,IF(ISNUMBER(SEARCH(SETTINGS!$K$6,D873)),SETTINGS!$L$6,IF(ISNUMBER(SEARCH(SETTINGS!$K$7,D873)),SETTINGS!$L$7,IF(ISNUMBER(SEARCH(SETTINGS!$K$8,D873)),SETTINGS!$L$8,IF(ISNUMBER(SEARCH(SETTINGS!$K$9,D873)),SETTINGS!$L$9,IF(ISNUMBER(SEARCH(SETTINGS!$K$10,D873)),SETTINGS!$L$10,IF(ISNUMBER(SEARCH(SETTINGS!$K$11,D873)),SETTINGS!$L$11,IF(ISNUMBER(SEARCH(SETTINGS!$K$12,D873)),SETTINGS!$L$12,IF(ISNUMBER(SEARCH(SETTINGS!$K$13,D873)),SETTINGS!$L$13,IF(ISNUMBER(SEARCH(SETTINGS!$K$14,D873)),SETTINGS!$L$14,IF(ISNUMBER(SEARCH(SETTINGS!$K$15,D873)),SETTINGS!$L$15,IF(ISNUMBER(SEARCH(SETTINGS!$K$16,D873)),SETTINGS!$L$16,IF(ISNUMBER(SEARCH(SETTINGS!$K$17,D873)),SETTINGS!$L$17,IF(ISNUMBER(SEARCH(SETTINGS!$K$18,D873)),SETTINGS!$L$18,"Miscellaneous"))))))))))))))))</f>
        <v/>
      </c>
      <c r="I873" s="44" t="str">
        <f t="shared" si="104"/>
        <v/>
      </c>
      <c r="J873" s="9"/>
      <c r="K873" s="9"/>
      <c r="L873" s="9"/>
      <c r="M873" s="9"/>
      <c r="N873" s="9"/>
      <c r="O873" s="9"/>
      <c r="P873" s="13"/>
      <c r="Q873" s="9"/>
      <c r="R873" s="9"/>
      <c r="S873" s="9"/>
      <c r="T873" s="11"/>
      <c r="U873" s="44" t="str">
        <f t="shared" si="105"/>
        <v/>
      </c>
      <c r="V873" s="44" t="str">
        <f t="shared" si="106"/>
        <v/>
      </c>
      <c r="W873" s="44" t="str">
        <f t="shared" si="107"/>
        <v/>
      </c>
      <c r="X873" s="44" t="str">
        <f t="shared" si="108"/>
        <v/>
      </c>
      <c r="Y873" s="44" t="str">
        <f t="shared" si="109"/>
        <v/>
      </c>
      <c r="Z873" s="44" t="str">
        <f t="shared" si="110"/>
        <v/>
      </c>
      <c r="AA873" s="50" t="str">
        <f t="shared" si="111"/>
        <v/>
      </c>
      <c r="AB873" s="50" t="str">
        <f>IF(OR(B873="",C873&lt;&gt;"Expense"),"",IF(E873&gt;IFERROR(AVERAGEIFS($E$8:$E$1007,$I$8:$I$1007,I873,$C$8:$C$1007,"Expense")*SETTINGS!$B$20,0),"Unusually High","Normal"))</f>
        <v/>
      </c>
      <c r="AC873" s="51"/>
      <c r="AD873" s="51"/>
      <c r="AE873" s="51"/>
      <c r="AF873" s="50" t="str">
        <f>IF(A873&lt;&gt;"Yes","No",IF(AND(AC873="Yes",SETTINGS!$B$16="No"),"No","Yes"))</f>
        <v>No</v>
      </c>
      <c r="AG873" s="50" t="str">
        <f>IF(A873&lt;&gt;"Yes","",IF(OR(B873="",D873="",E873&lt;=0,F873="",I873=""),"Check Required Fields",IF(AA873="Possible Duplicate","Possible Duplicate",IF(E873&gt;SETTINGS!$B$22,"Review Extreme Value","OK"))))</f>
        <v/>
      </c>
    </row>
    <row r="874" spans="1:33" ht="14.4">
      <c r="A874" s="9"/>
      <c r="B874" s="13"/>
      <c r="C874" s="9"/>
      <c r="D874" s="9"/>
      <c r="E874" s="11"/>
      <c r="F874" s="9"/>
      <c r="G874" s="9"/>
      <c r="H874" s="44" t="str">
        <f>IF(D874="","",IF(ISNUMBER(SEARCH(SETTINGS!$K$4,D874)),SETTINGS!$L$4,IF(ISNUMBER(SEARCH(SETTINGS!$K$5,D874)),SETTINGS!$L$5,IF(ISNUMBER(SEARCH(SETTINGS!$K$6,D874)),SETTINGS!$L$6,IF(ISNUMBER(SEARCH(SETTINGS!$K$7,D874)),SETTINGS!$L$7,IF(ISNUMBER(SEARCH(SETTINGS!$K$8,D874)),SETTINGS!$L$8,IF(ISNUMBER(SEARCH(SETTINGS!$K$9,D874)),SETTINGS!$L$9,IF(ISNUMBER(SEARCH(SETTINGS!$K$10,D874)),SETTINGS!$L$10,IF(ISNUMBER(SEARCH(SETTINGS!$K$11,D874)),SETTINGS!$L$11,IF(ISNUMBER(SEARCH(SETTINGS!$K$12,D874)),SETTINGS!$L$12,IF(ISNUMBER(SEARCH(SETTINGS!$K$13,D874)),SETTINGS!$L$13,IF(ISNUMBER(SEARCH(SETTINGS!$K$14,D874)),SETTINGS!$L$14,IF(ISNUMBER(SEARCH(SETTINGS!$K$15,D874)),SETTINGS!$L$15,IF(ISNUMBER(SEARCH(SETTINGS!$K$16,D874)),SETTINGS!$L$16,IF(ISNUMBER(SEARCH(SETTINGS!$K$17,D874)),SETTINGS!$L$17,IF(ISNUMBER(SEARCH(SETTINGS!$K$18,D874)),SETTINGS!$L$18,"Miscellaneous"))))))))))))))))</f>
        <v/>
      </c>
      <c r="I874" s="44" t="str">
        <f t="shared" si="104"/>
        <v/>
      </c>
      <c r="J874" s="9"/>
      <c r="K874" s="9"/>
      <c r="L874" s="9"/>
      <c r="M874" s="9"/>
      <c r="N874" s="9"/>
      <c r="O874" s="9"/>
      <c r="P874" s="13"/>
      <c r="Q874" s="9"/>
      <c r="R874" s="9"/>
      <c r="S874" s="9"/>
      <c r="T874" s="11"/>
      <c r="U874" s="44" t="str">
        <f t="shared" si="105"/>
        <v/>
      </c>
      <c r="V874" s="44" t="str">
        <f t="shared" si="106"/>
        <v/>
      </c>
      <c r="W874" s="44" t="str">
        <f t="shared" si="107"/>
        <v/>
      </c>
      <c r="X874" s="44" t="str">
        <f t="shared" si="108"/>
        <v/>
      </c>
      <c r="Y874" s="44" t="str">
        <f t="shared" si="109"/>
        <v/>
      </c>
      <c r="Z874" s="44" t="str">
        <f t="shared" si="110"/>
        <v/>
      </c>
      <c r="AA874" s="50" t="str">
        <f t="shared" si="111"/>
        <v/>
      </c>
      <c r="AB874" s="50" t="str">
        <f>IF(OR(B874="",C874&lt;&gt;"Expense"),"",IF(E874&gt;IFERROR(AVERAGEIFS($E$8:$E$1007,$I$8:$I$1007,I874,$C$8:$C$1007,"Expense")*SETTINGS!$B$20,0),"Unusually High","Normal"))</f>
        <v/>
      </c>
      <c r="AC874" s="51"/>
      <c r="AD874" s="51"/>
      <c r="AE874" s="51"/>
      <c r="AF874" s="50" t="str">
        <f>IF(A874&lt;&gt;"Yes","No",IF(AND(AC874="Yes",SETTINGS!$B$16="No"),"No","Yes"))</f>
        <v>No</v>
      </c>
      <c r="AG874" s="50" t="str">
        <f>IF(A874&lt;&gt;"Yes","",IF(OR(B874="",D874="",E874&lt;=0,F874="",I874=""),"Check Required Fields",IF(AA874="Possible Duplicate","Possible Duplicate",IF(E874&gt;SETTINGS!$B$22,"Review Extreme Value","OK"))))</f>
        <v/>
      </c>
    </row>
    <row r="875" spans="1:33" ht="14.4">
      <c r="A875" s="9"/>
      <c r="B875" s="13"/>
      <c r="C875" s="9"/>
      <c r="D875" s="9"/>
      <c r="E875" s="11"/>
      <c r="F875" s="9"/>
      <c r="G875" s="9"/>
      <c r="H875" s="44" t="str">
        <f>IF(D875="","",IF(ISNUMBER(SEARCH(SETTINGS!$K$4,D875)),SETTINGS!$L$4,IF(ISNUMBER(SEARCH(SETTINGS!$K$5,D875)),SETTINGS!$L$5,IF(ISNUMBER(SEARCH(SETTINGS!$K$6,D875)),SETTINGS!$L$6,IF(ISNUMBER(SEARCH(SETTINGS!$K$7,D875)),SETTINGS!$L$7,IF(ISNUMBER(SEARCH(SETTINGS!$K$8,D875)),SETTINGS!$L$8,IF(ISNUMBER(SEARCH(SETTINGS!$K$9,D875)),SETTINGS!$L$9,IF(ISNUMBER(SEARCH(SETTINGS!$K$10,D875)),SETTINGS!$L$10,IF(ISNUMBER(SEARCH(SETTINGS!$K$11,D875)),SETTINGS!$L$11,IF(ISNUMBER(SEARCH(SETTINGS!$K$12,D875)),SETTINGS!$L$12,IF(ISNUMBER(SEARCH(SETTINGS!$K$13,D875)),SETTINGS!$L$13,IF(ISNUMBER(SEARCH(SETTINGS!$K$14,D875)),SETTINGS!$L$14,IF(ISNUMBER(SEARCH(SETTINGS!$K$15,D875)),SETTINGS!$L$15,IF(ISNUMBER(SEARCH(SETTINGS!$K$16,D875)),SETTINGS!$L$16,IF(ISNUMBER(SEARCH(SETTINGS!$K$17,D875)),SETTINGS!$L$17,IF(ISNUMBER(SEARCH(SETTINGS!$K$18,D875)),SETTINGS!$L$18,"Miscellaneous"))))))))))))))))</f>
        <v/>
      </c>
      <c r="I875" s="44" t="str">
        <f t="shared" si="104"/>
        <v/>
      </c>
      <c r="J875" s="9"/>
      <c r="K875" s="9"/>
      <c r="L875" s="9"/>
      <c r="M875" s="9"/>
      <c r="N875" s="9"/>
      <c r="O875" s="9"/>
      <c r="P875" s="13"/>
      <c r="Q875" s="9"/>
      <c r="R875" s="9"/>
      <c r="S875" s="9"/>
      <c r="T875" s="11"/>
      <c r="U875" s="44" t="str">
        <f t="shared" si="105"/>
        <v/>
      </c>
      <c r="V875" s="44" t="str">
        <f t="shared" si="106"/>
        <v/>
      </c>
      <c r="W875" s="44" t="str">
        <f t="shared" si="107"/>
        <v/>
      </c>
      <c r="X875" s="44" t="str">
        <f t="shared" si="108"/>
        <v/>
      </c>
      <c r="Y875" s="44" t="str">
        <f t="shared" si="109"/>
        <v/>
      </c>
      <c r="Z875" s="44" t="str">
        <f t="shared" si="110"/>
        <v/>
      </c>
      <c r="AA875" s="50" t="str">
        <f t="shared" si="111"/>
        <v/>
      </c>
      <c r="AB875" s="50" t="str">
        <f>IF(OR(B875="",C875&lt;&gt;"Expense"),"",IF(E875&gt;IFERROR(AVERAGEIFS($E$8:$E$1007,$I$8:$I$1007,I875,$C$8:$C$1007,"Expense")*SETTINGS!$B$20,0),"Unusually High","Normal"))</f>
        <v/>
      </c>
      <c r="AC875" s="51"/>
      <c r="AD875" s="51"/>
      <c r="AE875" s="51"/>
      <c r="AF875" s="50" t="str">
        <f>IF(A875&lt;&gt;"Yes","No",IF(AND(AC875="Yes",SETTINGS!$B$16="No"),"No","Yes"))</f>
        <v>No</v>
      </c>
      <c r="AG875" s="50" t="str">
        <f>IF(A875&lt;&gt;"Yes","",IF(OR(B875="",D875="",E875&lt;=0,F875="",I875=""),"Check Required Fields",IF(AA875="Possible Duplicate","Possible Duplicate",IF(E875&gt;SETTINGS!$B$22,"Review Extreme Value","OK"))))</f>
        <v/>
      </c>
    </row>
    <row r="876" spans="1:33" ht="14.4">
      <c r="A876" s="9"/>
      <c r="B876" s="13"/>
      <c r="C876" s="9"/>
      <c r="D876" s="9"/>
      <c r="E876" s="11"/>
      <c r="F876" s="9"/>
      <c r="G876" s="9"/>
      <c r="H876" s="44" t="str">
        <f>IF(D876="","",IF(ISNUMBER(SEARCH(SETTINGS!$K$4,D876)),SETTINGS!$L$4,IF(ISNUMBER(SEARCH(SETTINGS!$K$5,D876)),SETTINGS!$L$5,IF(ISNUMBER(SEARCH(SETTINGS!$K$6,D876)),SETTINGS!$L$6,IF(ISNUMBER(SEARCH(SETTINGS!$K$7,D876)),SETTINGS!$L$7,IF(ISNUMBER(SEARCH(SETTINGS!$K$8,D876)),SETTINGS!$L$8,IF(ISNUMBER(SEARCH(SETTINGS!$K$9,D876)),SETTINGS!$L$9,IF(ISNUMBER(SEARCH(SETTINGS!$K$10,D876)),SETTINGS!$L$10,IF(ISNUMBER(SEARCH(SETTINGS!$K$11,D876)),SETTINGS!$L$11,IF(ISNUMBER(SEARCH(SETTINGS!$K$12,D876)),SETTINGS!$L$12,IF(ISNUMBER(SEARCH(SETTINGS!$K$13,D876)),SETTINGS!$L$13,IF(ISNUMBER(SEARCH(SETTINGS!$K$14,D876)),SETTINGS!$L$14,IF(ISNUMBER(SEARCH(SETTINGS!$K$15,D876)),SETTINGS!$L$15,IF(ISNUMBER(SEARCH(SETTINGS!$K$16,D876)),SETTINGS!$L$16,IF(ISNUMBER(SEARCH(SETTINGS!$K$17,D876)),SETTINGS!$L$17,IF(ISNUMBER(SEARCH(SETTINGS!$K$18,D876)),SETTINGS!$L$18,"Miscellaneous"))))))))))))))))</f>
        <v/>
      </c>
      <c r="I876" s="44" t="str">
        <f t="shared" si="104"/>
        <v/>
      </c>
      <c r="J876" s="9"/>
      <c r="K876" s="9"/>
      <c r="L876" s="9"/>
      <c r="M876" s="9"/>
      <c r="N876" s="9"/>
      <c r="O876" s="9"/>
      <c r="P876" s="13"/>
      <c r="Q876" s="9"/>
      <c r="R876" s="9"/>
      <c r="S876" s="9"/>
      <c r="T876" s="11"/>
      <c r="U876" s="44" t="str">
        <f t="shared" si="105"/>
        <v/>
      </c>
      <c r="V876" s="44" t="str">
        <f t="shared" si="106"/>
        <v/>
      </c>
      <c r="W876" s="44" t="str">
        <f t="shared" si="107"/>
        <v/>
      </c>
      <c r="X876" s="44" t="str">
        <f t="shared" si="108"/>
        <v/>
      </c>
      <c r="Y876" s="44" t="str">
        <f t="shared" si="109"/>
        <v/>
      </c>
      <c r="Z876" s="44" t="str">
        <f t="shared" si="110"/>
        <v/>
      </c>
      <c r="AA876" s="50" t="str">
        <f t="shared" si="111"/>
        <v/>
      </c>
      <c r="AB876" s="50" t="str">
        <f>IF(OR(B876="",C876&lt;&gt;"Expense"),"",IF(E876&gt;IFERROR(AVERAGEIFS($E$8:$E$1007,$I$8:$I$1007,I876,$C$8:$C$1007,"Expense")*SETTINGS!$B$20,0),"Unusually High","Normal"))</f>
        <v/>
      </c>
      <c r="AC876" s="51"/>
      <c r="AD876" s="51"/>
      <c r="AE876" s="51"/>
      <c r="AF876" s="50" t="str">
        <f>IF(A876&lt;&gt;"Yes","No",IF(AND(AC876="Yes",SETTINGS!$B$16="No"),"No","Yes"))</f>
        <v>No</v>
      </c>
      <c r="AG876" s="50" t="str">
        <f>IF(A876&lt;&gt;"Yes","",IF(OR(B876="",D876="",E876&lt;=0,F876="",I876=""),"Check Required Fields",IF(AA876="Possible Duplicate","Possible Duplicate",IF(E876&gt;SETTINGS!$B$22,"Review Extreme Value","OK"))))</f>
        <v/>
      </c>
    </row>
    <row r="877" spans="1:33" ht="14.4">
      <c r="A877" s="9"/>
      <c r="B877" s="13"/>
      <c r="C877" s="9"/>
      <c r="D877" s="9"/>
      <c r="E877" s="11"/>
      <c r="F877" s="9"/>
      <c r="G877" s="9"/>
      <c r="H877" s="44" t="str">
        <f>IF(D877="","",IF(ISNUMBER(SEARCH(SETTINGS!$K$4,D877)),SETTINGS!$L$4,IF(ISNUMBER(SEARCH(SETTINGS!$K$5,D877)),SETTINGS!$L$5,IF(ISNUMBER(SEARCH(SETTINGS!$K$6,D877)),SETTINGS!$L$6,IF(ISNUMBER(SEARCH(SETTINGS!$K$7,D877)),SETTINGS!$L$7,IF(ISNUMBER(SEARCH(SETTINGS!$K$8,D877)),SETTINGS!$L$8,IF(ISNUMBER(SEARCH(SETTINGS!$K$9,D877)),SETTINGS!$L$9,IF(ISNUMBER(SEARCH(SETTINGS!$K$10,D877)),SETTINGS!$L$10,IF(ISNUMBER(SEARCH(SETTINGS!$K$11,D877)),SETTINGS!$L$11,IF(ISNUMBER(SEARCH(SETTINGS!$K$12,D877)),SETTINGS!$L$12,IF(ISNUMBER(SEARCH(SETTINGS!$K$13,D877)),SETTINGS!$L$13,IF(ISNUMBER(SEARCH(SETTINGS!$K$14,D877)),SETTINGS!$L$14,IF(ISNUMBER(SEARCH(SETTINGS!$K$15,D877)),SETTINGS!$L$15,IF(ISNUMBER(SEARCH(SETTINGS!$K$16,D877)),SETTINGS!$L$16,IF(ISNUMBER(SEARCH(SETTINGS!$K$17,D877)),SETTINGS!$L$17,IF(ISNUMBER(SEARCH(SETTINGS!$K$18,D877)),SETTINGS!$L$18,"Miscellaneous"))))))))))))))))</f>
        <v/>
      </c>
      <c r="I877" s="44" t="str">
        <f t="shared" si="104"/>
        <v/>
      </c>
      <c r="J877" s="9"/>
      <c r="K877" s="9"/>
      <c r="L877" s="9"/>
      <c r="M877" s="9"/>
      <c r="N877" s="9"/>
      <c r="O877" s="9"/>
      <c r="P877" s="13"/>
      <c r="Q877" s="9"/>
      <c r="R877" s="9"/>
      <c r="S877" s="9"/>
      <c r="T877" s="11"/>
      <c r="U877" s="44" t="str">
        <f t="shared" si="105"/>
        <v/>
      </c>
      <c r="V877" s="44" t="str">
        <f t="shared" si="106"/>
        <v/>
      </c>
      <c r="W877" s="44" t="str">
        <f t="shared" si="107"/>
        <v/>
      </c>
      <c r="X877" s="44" t="str">
        <f t="shared" si="108"/>
        <v/>
      </c>
      <c r="Y877" s="44" t="str">
        <f t="shared" si="109"/>
        <v/>
      </c>
      <c r="Z877" s="44" t="str">
        <f t="shared" si="110"/>
        <v/>
      </c>
      <c r="AA877" s="50" t="str">
        <f t="shared" si="111"/>
        <v/>
      </c>
      <c r="AB877" s="50" t="str">
        <f>IF(OR(B877="",C877&lt;&gt;"Expense"),"",IF(E877&gt;IFERROR(AVERAGEIFS($E$8:$E$1007,$I$8:$I$1007,I877,$C$8:$C$1007,"Expense")*SETTINGS!$B$20,0),"Unusually High","Normal"))</f>
        <v/>
      </c>
      <c r="AC877" s="51"/>
      <c r="AD877" s="51"/>
      <c r="AE877" s="51"/>
      <c r="AF877" s="50" t="str">
        <f>IF(A877&lt;&gt;"Yes","No",IF(AND(AC877="Yes",SETTINGS!$B$16="No"),"No","Yes"))</f>
        <v>No</v>
      </c>
      <c r="AG877" s="50" t="str">
        <f>IF(A877&lt;&gt;"Yes","",IF(OR(B877="",D877="",E877&lt;=0,F877="",I877=""),"Check Required Fields",IF(AA877="Possible Duplicate","Possible Duplicate",IF(E877&gt;SETTINGS!$B$22,"Review Extreme Value","OK"))))</f>
        <v/>
      </c>
    </row>
    <row r="878" spans="1:33" ht="14.4">
      <c r="A878" s="9"/>
      <c r="B878" s="13"/>
      <c r="C878" s="9"/>
      <c r="D878" s="9"/>
      <c r="E878" s="11"/>
      <c r="F878" s="9"/>
      <c r="G878" s="9"/>
      <c r="H878" s="44" t="str">
        <f>IF(D878="","",IF(ISNUMBER(SEARCH(SETTINGS!$K$4,D878)),SETTINGS!$L$4,IF(ISNUMBER(SEARCH(SETTINGS!$K$5,D878)),SETTINGS!$L$5,IF(ISNUMBER(SEARCH(SETTINGS!$K$6,D878)),SETTINGS!$L$6,IF(ISNUMBER(SEARCH(SETTINGS!$K$7,D878)),SETTINGS!$L$7,IF(ISNUMBER(SEARCH(SETTINGS!$K$8,D878)),SETTINGS!$L$8,IF(ISNUMBER(SEARCH(SETTINGS!$K$9,D878)),SETTINGS!$L$9,IF(ISNUMBER(SEARCH(SETTINGS!$K$10,D878)),SETTINGS!$L$10,IF(ISNUMBER(SEARCH(SETTINGS!$K$11,D878)),SETTINGS!$L$11,IF(ISNUMBER(SEARCH(SETTINGS!$K$12,D878)),SETTINGS!$L$12,IF(ISNUMBER(SEARCH(SETTINGS!$K$13,D878)),SETTINGS!$L$13,IF(ISNUMBER(SEARCH(SETTINGS!$K$14,D878)),SETTINGS!$L$14,IF(ISNUMBER(SEARCH(SETTINGS!$K$15,D878)),SETTINGS!$L$15,IF(ISNUMBER(SEARCH(SETTINGS!$K$16,D878)),SETTINGS!$L$16,IF(ISNUMBER(SEARCH(SETTINGS!$K$17,D878)),SETTINGS!$L$17,IF(ISNUMBER(SEARCH(SETTINGS!$K$18,D878)),SETTINGS!$L$18,"Miscellaneous"))))))))))))))))</f>
        <v/>
      </c>
      <c r="I878" s="44" t="str">
        <f t="shared" si="104"/>
        <v/>
      </c>
      <c r="J878" s="9"/>
      <c r="K878" s="9"/>
      <c r="L878" s="9"/>
      <c r="M878" s="9"/>
      <c r="N878" s="9"/>
      <c r="O878" s="9"/>
      <c r="P878" s="13"/>
      <c r="Q878" s="9"/>
      <c r="R878" s="9"/>
      <c r="S878" s="9"/>
      <c r="T878" s="11"/>
      <c r="U878" s="44" t="str">
        <f t="shared" si="105"/>
        <v/>
      </c>
      <c r="V878" s="44" t="str">
        <f t="shared" si="106"/>
        <v/>
      </c>
      <c r="W878" s="44" t="str">
        <f t="shared" si="107"/>
        <v/>
      </c>
      <c r="X878" s="44" t="str">
        <f t="shared" si="108"/>
        <v/>
      </c>
      <c r="Y878" s="44" t="str">
        <f t="shared" si="109"/>
        <v/>
      </c>
      <c r="Z878" s="44" t="str">
        <f t="shared" si="110"/>
        <v/>
      </c>
      <c r="AA878" s="50" t="str">
        <f t="shared" si="111"/>
        <v/>
      </c>
      <c r="AB878" s="50" t="str">
        <f>IF(OR(B878="",C878&lt;&gt;"Expense"),"",IF(E878&gt;IFERROR(AVERAGEIFS($E$8:$E$1007,$I$8:$I$1007,I878,$C$8:$C$1007,"Expense")*SETTINGS!$B$20,0),"Unusually High","Normal"))</f>
        <v/>
      </c>
      <c r="AC878" s="51"/>
      <c r="AD878" s="51"/>
      <c r="AE878" s="51"/>
      <c r="AF878" s="50" t="str">
        <f>IF(A878&lt;&gt;"Yes","No",IF(AND(AC878="Yes",SETTINGS!$B$16="No"),"No","Yes"))</f>
        <v>No</v>
      </c>
      <c r="AG878" s="50" t="str">
        <f>IF(A878&lt;&gt;"Yes","",IF(OR(B878="",D878="",E878&lt;=0,F878="",I878=""),"Check Required Fields",IF(AA878="Possible Duplicate","Possible Duplicate",IF(E878&gt;SETTINGS!$B$22,"Review Extreme Value","OK"))))</f>
        <v/>
      </c>
    </row>
    <row r="879" spans="1:33" ht="14.4">
      <c r="A879" s="9"/>
      <c r="B879" s="13"/>
      <c r="C879" s="9"/>
      <c r="D879" s="9"/>
      <c r="E879" s="11"/>
      <c r="F879" s="9"/>
      <c r="G879" s="9"/>
      <c r="H879" s="44" t="str">
        <f>IF(D879="","",IF(ISNUMBER(SEARCH(SETTINGS!$K$4,D879)),SETTINGS!$L$4,IF(ISNUMBER(SEARCH(SETTINGS!$K$5,D879)),SETTINGS!$L$5,IF(ISNUMBER(SEARCH(SETTINGS!$K$6,D879)),SETTINGS!$L$6,IF(ISNUMBER(SEARCH(SETTINGS!$K$7,D879)),SETTINGS!$L$7,IF(ISNUMBER(SEARCH(SETTINGS!$K$8,D879)),SETTINGS!$L$8,IF(ISNUMBER(SEARCH(SETTINGS!$K$9,D879)),SETTINGS!$L$9,IF(ISNUMBER(SEARCH(SETTINGS!$K$10,D879)),SETTINGS!$L$10,IF(ISNUMBER(SEARCH(SETTINGS!$K$11,D879)),SETTINGS!$L$11,IF(ISNUMBER(SEARCH(SETTINGS!$K$12,D879)),SETTINGS!$L$12,IF(ISNUMBER(SEARCH(SETTINGS!$K$13,D879)),SETTINGS!$L$13,IF(ISNUMBER(SEARCH(SETTINGS!$K$14,D879)),SETTINGS!$L$14,IF(ISNUMBER(SEARCH(SETTINGS!$K$15,D879)),SETTINGS!$L$15,IF(ISNUMBER(SEARCH(SETTINGS!$K$16,D879)),SETTINGS!$L$16,IF(ISNUMBER(SEARCH(SETTINGS!$K$17,D879)),SETTINGS!$L$17,IF(ISNUMBER(SEARCH(SETTINGS!$K$18,D879)),SETTINGS!$L$18,"Miscellaneous"))))))))))))))))</f>
        <v/>
      </c>
      <c r="I879" s="44" t="str">
        <f t="shared" si="104"/>
        <v/>
      </c>
      <c r="J879" s="9"/>
      <c r="K879" s="9"/>
      <c r="L879" s="9"/>
      <c r="M879" s="9"/>
      <c r="N879" s="9"/>
      <c r="O879" s="9"/>
      <c r="P879" s="13"/>
      <c r="Q879" s="9"/>
      <c r="R879" s="9"/>
      <c r="S879" s="9"/>
      <c r="T879" s="11"/>
      <c r="U879" s="44" t="str">
        <f t="shared" si="105"/>
        <v/>
      </c>
      <c r="V879" s="44" t="str">
        <f t="shared" si="106"/>
        <v/>
      </c>
      <c r="W879" s="44" t="str">
        <f t="shared" si="107"/>
        <v/>
      </c>
      <c r="X879" s="44" t="str">
        <f t="shared" si="108"/>
        <v/>
      </c>
      <c r="Y879" s="44" t="str">
        <f t="shared" si="109"/>
        <v/>
      </c>
      <c r="Z879" s="44" t="str">
        <f t="shared" si="110"/>
        <v/>
      </c>
      <c r="AA879" s="50" t="str">
        <f t="shared" si="111"/>
        <v/>
      </c>
      <c r="AB879" s="50" t="str">
        <f>IF(OR(B879="",C879&lt;&gt;"Expense"),"",IF(E879&gt;IFERROR(AVERAGEIFS($E$8:$E$1007,$I$8:$I$1007,I879,$C$8:$C$1007,"Expense")*SETTINGS!$B$20,0),"Unusually High","Normal"))</f>
        <v/>
      </c>
      <c r="AC879" s="51"/>
      <c r="AD879" s="51"/>
      <c r="AE879" s="51"/>
      <c r="AF879" s="50" t="str">
        <f>IF(A879&lt;&gt;"Yes","No",IF(AND(AC879="Yes",SETTINGS!$B$16="No"),"No","Yes"))</f>
        <v>No</v>
      </c>
      <c r="AG879" s="50" t="str">
        <f>IF(A879&lt;&gt;"Yes","",IF(OR(B879="",D879="",E879&lt;=0,F879="",I879=""),"Check Required Fields",IF(AA879="Possible Duplicate","Possible Duplicate",IF(E879&gt;SETTINGS!$B$22,"Review Extreme Value","OK"))))</f>
        <v/>
      </c>
    </row>
    <row r="880" spans="1:33" ht="14.4">
      <c r="A880" s="9"/>
      <c r="B880" s="13"/>
      <c r="C880" s="9"/>
      <c r="D880" s="9"/>
      <c r="E880" s="11"/>
      <c r="F880" s="9"/>
      <c r="G880" s="9"/>
      <c r="H880" s="44" t="str">
        <f>IF(D880="","",IF(ISNUMBER(SEARCH(SETTINGS!$K$4,D880)),SETTINGS!$L$4,IF(ISNUMBER(SEARCH(SETTINGS!$K$5,D880)),SETTINGS!$L$5,IF(ISNUMBER(SEARCH(SETTINGS!$K$6,D880)),SETTINGS!$L$6,IF(ISNUMBER(SEARCH(SETTINGS!$K$7,D880)),SETTINGS!$L$7,IF(ISNUMBER(SEARCH(SETTINGS!$K$8,D880)),SETTINGS!$L$8,IF(ISNUMBER(SEARCH(SETTINGS!$K$9,D880)),SETTINGS!$L$9,IF(ISNUMBER(SEARCH(SETTINGS!$K$10,D880)),SETTINGS!$L$10,IF(ISNUMBER(SEARCH(SETTINGS!$K$11,D880)),SETTINGS!$L$11,IF(ISNUMBER(SEARCH(SETTINGS!$K$12,D880)),SETTINGS!$L$12,IF(ISNUMBER(SEARCH(SETTINGS!$K$13,D880)),SETTINGS!$L$13,IF(ISNUMBER(SEARCH(SETTINGS!$K$14,D880)),SETTINGS!$L$14,IF(ISNUMBER(SEARCH(SETTINGS!$K$15,D880)),SETTINGS!$L$15,IF(ISNUMBER(SEARCH(SETTINGS!$K$16,D880)),SETTINGS!$L$16,IF(ISNUMBER(SEARCH(SETTINGS!$K$17,D880)),SETTINGS!$L$17,IF(ISNUMBER(SEARCH(SETTINGS!$K$18,D880)),SETTINGS!$L$18,"Miscellaneous"))))))))))))))))</f>
        <v/>
      </c>
      <c r="I880" s="44" t="str">
        <f t="shared" si="104"/>
        <v/>
      </c>
      <c r="J880" s="9"/>
      <c r="K880" s="9"/>
      <c r="L880" s="9"/>
      <c r="M880" s="9"/>
      <c r="N880" s="9"/>
      <c r="O880" s="9"/>
      <c r="P880" s="13"/>
      <c r="Q880" s="9"/>
      <c r="R880" s="9"/>
      <c r="S880" s="9"/>
      <c r="T880" s="11"/>
      <c r="U880" s="44" t="str">
        <f t="shared" si="105"/>
        <v/>
      </c>
      <c r="V880" s="44" t="str">
        <f t="shared" si="106"/>
        <v/>
      </c>
      <c r="W880" s="44" t="str">
        <f t="shared" si="107"/>
        <v/>
      </c>
      <c r="X880" s="44" t="str">
        <f t="shared" si="108"/>
        <v/>
      </c>
      <c r="Y880" s="44" t="str">
        <f t="shared" si="109"/>
        <v/>
      </c>
      <c r="Z880" s="44" t="str">
        <f t="shared" si="110"/>
        <v/>
      </c>
      <c r="AA880" s="50" t="str">
        <f t="shared" si="111"/>
        <v/>
      </c>
      <c r="AB880" s="50" t="str">
        <f>IF(OR(B880="",C880&lt;&gt;"Expense"),"",IF(E880&gt;IFERROR(AVERAGEIFS($E$8:$E$1007,$I$8:$I$1007,I880,$C$8:$C$1007,"Expense")*SETTINGS!$B$20,0),"Unusually High","Normal"))</f>
        <v/>
      </c>
      <c r="AC880" s="51"/>
      <c r="AD880" s="51"/>
      <c r="AE880" s="51"/>
      <c r="AF880" s="50" t="str">
        <f>IF(A880&lt;&gt;"Yes","No",IF(AND(AC880="Yes",SETTINGS!$B$16="No"),"No","Yes"))</f>
        <v>No</v>
      </c>
      <c r="AG880" s="50" t="str">
        <f>IF(A880&lt;&gt;"Yes","",IF(OR(B880="",D880="",E880&lt;=0,F880="",I880=""),"Check Required Fields",IF(AA880="Possible Duplicate","Possible Duplicate",IF(E880&gt;SETTINGS!$B$22,"Review Extreme Value","OK"))))</f>
        <v/>
      </c>
    </row>
    <row r="881" spans="1:33" ht="14.4">
      <c r="A881" s="9"/>
      <c r="B881" s="13"/>
      <c r="C881" s="9"/>
      <c r="D881" s="9"/>
      <c r="E881" s="11"/>
      <c r="F881" s="9"/>
      <c r="G881" s="9"/>
      <c r="H881" s="44" t="str">
        <f>IF(D881="","",IF(ISNUMBER(SEARCH(SETTINGS!$K$4,D881)),SETTINGS!$L$4,IF(ISNUMBER(SEARCH(SETTINGS!$K$5,D881)),SETTINGS!$L$5,IF(ISNUMBER(SEARCH(SETTINGS!$K$6,D881)),SETTINGS!$L$6,IF(ISNUMBER(SEARCH(SETTINGS!$K$7,D881)),SETTINGS!$L$7,IF(ISNUMBER(SEARCH(SETTINGS!$K$8,D881)),SETTINGS!$L$8,IF(ISNUMBER(SEARCH(SETTINGS!$K$9,D881)),SETTINGS!$L$9,IF(ISNUMBER(SEARCH(SETTINGS!$K$10,D881)),SETTINGS!$L$10,IF(ISNUMBER(SEARCH(SETTINGS!$K$11,D881)),SETTINGS!$L$11,IF(ISNUMBER(SEARCH(SETTINGS!$K$12,D881)),SETTINGS!$L$12,IF(ISNUMBER(SEARCH(SETTINGS!$K$13,D881)),SETTINGS!$L$13,IF(ISNUMBER(SEARCH(SETTINGS!$K$14,D881)),SETTINGS!$L$14,IF(ISNUMBER(SEARCH(SETTINGS!$K$15,D881)),SETTINGS!$L$15,IF(ISNUMBER(SEARCH(SETTINGS!$K$16,D881)),SETTINGS!$L$16,IF(ISNUMBER(SEARCH(SETTINGS!$K$17,D881)),SETTINGS!$L$17,IF(ISNUMBER(SEARCH(SETTINGS!$K$18,D881)),SETTINGS!$L$18,"Miscellaneous"))))))))))))))))</f>
        <v/>
      </c>
      <c r="I881" s="44" t="str">
        <f t="shared" si="104"/>
        <v/>
      </c>
      <c r="J881" s="9"/>
      <c r="K881" s="9"/>
      <c r="L881" s="9"/>
      <c r="M881" s="9"/>
      <c r="N881" s="9"/>
      <c r="O881" s="9"/>
      <c r="P881" s="13"/>
      <c r="Q881" s="9"/>
      <c r="R881" s="9"/>
      <c r="S881" s="9"/>
      <c r="T881" s="11"/>
      <c r="U881" s="44" t="str">
        <f t="shared" si="105"/>
        <v/>
      </c>
      <c r="V881" s="44" t="str">
        <f t="shared" si="106"/>
        <v/>
      </c>
      <c r="W881" s="44" t="str">
        <f t="shared" si="107"/>
        <v/>
      </c>
      <c r="X881" s="44" t="str">
        <f t="shared" si="108"/>
        <v/>
      </c>
      <c r="Y881" s="44" t="str">
        <f t="shared" si="109"/>
        <v/>
      </c>
      <c r="Z881" s="44" t="str">
        <f t="shared" si="110"/>
        <v/>
      </c>
      <c r="AA881" s="50" t="str">
        <f t="shared" si="111"/>
        <v/>
      </c>
      <c r="AB881" s="50" t="str">
        <f>IF(OR(B881="",C881&lt;&gt;"Expense"),"",IF(E881&gt;IFERROR(AVERAGEIFS($E$8:$E$1007,$I$8:$I$1007,I881,$C$8:$C$1007,"Expense")*SETTINGS!$B$20,0),"Unusually High","Normal"))</f>
        <v/>
      </c>
      <c r="AC881" s="51"/>
      <c r="AD881" s="51"/>
      <c r="AE881" s="51"/>
      <c r="AF881" s="50" t="str">
        <f>IF(A881&lt;&gt;"Yes","No",IF(AND(AC881="Yes",SETTINGS!$B$16="No"),"No","Yes"))</f>
        <v>No</v>
      </c>
      <c r="AG881" s="50" t="str">
        <f>IF(A881&lt;&gt;"Yes","",IF(OR(B881="",D881="",E881&lt;=0,F881="",I881=""),"Check Required Fields",IF(AA881="Possible Duplicate","Possible Duplicate",IF(E881&gt;SETTINGS!$B$22,"Review Extreme Value","OK"))))</f>
        <v/>
      </c>
    </row>
    <row r="882" spans="1:33" ht="14.4">
      <c r="A882" s="9"/>
      <c r="B882" s="13"/>
      <c r="C882" s="9"/>
      <c r="D882" s="9"/>
      <c r="E882" s="11"/>
      <c r="F882" s="9"/>
      <c r="G882" s="9"/>
      <c r="H882" s="44" t="str">
        <f>IF(D882="","",IF(ISNUMBER(SEARCH(SETTINGS!$K$4,D882)),SETTINGS!$L$4,IF(ISNUMBER(SEARCH(SETTINGS!$K$5,D882)),SETTINGS!$L$5,IF(ISNUMBER(SEARCH(SETTINGS!$K$6,D882)),SETTINGS!$L$6,IF(ISNUMBER(SEARCH(SETTINGS!$K$7,D882)),SETTINGS!$L$7,IF(ISNUMBER(SEARCH(SETTINGS!$K$8,D882)),SETTINGS!$L$8,IF(ISNUMBER(SEARCH(SETTINGS!$K$9,D882)),SETTINGS!$L$9,IF(ISNUMBER(SEARCH(SETTINGS!$K$10,D882)),SETTINGS!$L$10,IF(ISNUMBER(SEARCH(SETTINGS!$K$11,D882)),SETTINGS!$L$11,IF(ISNUMBER(SEARCH(SETTINGS!$K$12,D882)),SETTINGS!$L$12,IF(ISNUMBER(SEARCH(SETTINGS!$K$13,D882)),SETTINGS!$L$13,IF(ISNUMBER(SEARCH(SETTINGS!$K$14,D882)),SETTINGS!$L$14,IF(ISNUMBER(SEARCH(SETTINGS!$K$15,D882)),SETTINGS!$L$15,IF(ISNUMBER(SEARCH(SETTINGS!$K$16,D882)),SETTINGS!$L$16,IF(ISNUMBER(SEARCH(SETTINGS!$K$17,D882)),SETTINGS!$L$17,IF(ISNUMBER(SEARCH(SETTINGS!$K$18,D882)),SETTINGS!$L$18,"Miscellaneous"))))))))))))))))</f>
        <v/>
      </c>
      <c r="I882" s="44" t="str">
        <f t="shared" si="104"/>
        <v/>
      </c>
      <c r="J882" s="9"/>
      <c r="K882" s="9"/>
      <c r="L882" s="9"/>
      <c r="M882" s="9"/>
      <c r="N882" s="9"/>
      <c r="O882" s="9"/>
      <c r="P882" s="13"/>
      <c r="Q882" s="9"/>
      <c r="R882" s="9"/>
      <c r="S882" s="9"/>
      <c r="T882" s="11"/>
      <c r="U882" s="44" t="str">
        <f t="shared" si="105"/>
        <v/>
      </c>
      <c r="V882" s="44" t="str">
        <f t="shared" si="106"/>
        <v/>
      </c>
      <c r="W882" s="44" t="str">
        <f t="shared" si="107"/>
        <v/>
      </c>
      <c r="X882" s="44" t="str">
        <f t="shared" si="108"/>
        <v/>
      </c>
      <c r="Y882" s="44" t="str">
        <f t="shared" si="109"/>
        <v/>
      </c>
      <c r="Z882" s="44" t="str">
        <f t="shared" si="110"/>
        <v/>
      </c>
      <c r="AA882" s="50" t="str">
        <f t="shared" si="111"/>
        <v/>
      </c>
      <c r="AB882" s="50" t="str">
        <f>IF(OR(B882="",C882&lt;&gt;"Expense"),"",IF(E882&gt;IFERROR(AVERAGEIFS($E$8:$E$1007,$I$8:$I$1007,I882,$C$8:$C$1007,"Expense")*SETTINGS!$B$20,0),"Unusually High","Normal"))</f>
        <v/>
      </c>
      <c r="AC882" s="51"/>
      <c r="AD882" s="51"/>
      <c r="AE882" s="51"/>
      <c r="AF882" s="50" t="str">
        <f>IF(A882&lt;&gt;"Yes","No",IF(AND(AC882="Yes",SETTINGS!$B$16="No"),"No","Yes"))</f>
        <v>No</v>
      </c>
      <c r="AG882" s="50" t="str">
        <f>IF(A882&lt;&gt;"Yes","",IF(OR(B882="",D882="",E882&lt;=0,F882="",I882=""),"Check Required Fields",IF(AA882="Possible Duplicate","Possible Duplicate",IF(E882&gt;SETTINGS!$B$22,"Review Extreme Value","OK"))))</f>
        <v/>
      </c>
    </row>
    <row r="883" spans="1:33" ht="14.4">
      <c r="A883" s="9"/>
      <c r="B883" s="13"/>
      <c r="C883" s="9"/>
      <c r="D883" s="9"/>
      <c r="E883" s="11"/>
      <c r="F883" s="9"/>
      <c r="G883" s="9"/>
      <c r="H883" s="44" t="str">
        <f>IF(D883="","",IF(ISNUMBER(SEARCH(SETTINGS!$K$4,D883)),SETTINGS!$L$4,IF(ISNUMBER(SEARCH(SETTINGS!$K$5,D883)),SETTINGS!$L$5,IF(ISNUMBER(SEARCH(SETTINGS!$K$6,D883)),SETTINGS!$L$6,IF(ISNUMBER(SEARCH(SETTINGS!$K$7,D883)),SETTINGS!$L$7,IF(ISNUMBER(SEARCH(SETTINGS!$K$8,D883)),SETTINGS!$L$8,IF(ISNUMBER(SEARCH(SETTINGS!$K$9,D883)),SETTINGS!$L$9,IF(ISNUMBER(SEARCH(SETTINGS!$K$10,D883)),SETTINGS!$L$10,IF(ISNUMBER(SEARCH(SETTINGS!$K$11,D883)),SETTINGS!$L$11,IF(ISNUMBER(SEARCH(SETTINGS!$K$12,D883)),SETTINGS!$L$12,IF(ISNUMBER(SEARCH(SETTINGS!$K$13,D883)),SETTINGS!$L$13,IF(ISNUMBER(SEARCH(SETTINGS!$K$14,D883)),SETTINGS!$L$14,IF(ISNUMBER(SEARCH(SETTINGS!$K$15,D883)),SETTINGS!$L$15,IF(ISNUMBER(SEARCH(SETTINGS!$K$16,D883)),SETTINGS!$L$16,IF(ISNUMBER(SEARCH(SETTINGS!$K$17,D883)),SETTINGS!$L$17,IF(ISNUMBER(SEARCH(SETTINGS!$K$18,D883)),SETTINGS!$L$18,"Miscellaneous"))))))))))))))))</f>
        <v/>
      </c>
      <c r="I883" s="44" t="str">
        <f t="shared" si="104"/>
        <v/>
      </c>
      <c r="J883" s="9"/>
      <c r="K883" s="9"/>
      <c r="L883" s="9"/>
      <c r="M883" s="9"/>
      <c r="N883" s="9"/>
      <c r="O883" s="9"/>
      <c r="P883" s="13"/>
      <c r="Q883" s="9"/>
      <c r="R883" s="9"/>
      <c r="S883" s="9"/>
      <c r="T883" s="11"/>
      <c r="U883" s="44" t="str">
        <f t="shared" si="105"/>
        <v/>
      </c>
      <c r="V883" s="44" t="str">
        <f t="shared" si="106"/>
        <v/>
      </c>
      <c r="W883" s="44" t="str">
        <f t="shared" si="107"/>
        <v/>
      </c>
      <c r="X883" s="44" t="str">
        <f t="shared" si="108"/>
        <v/>
      </c>
      <c r="Y883" s="44" t="str">
        <f t="shared" si="109"/>
        <v/>
      </c>
      <c r="Z883" s="44" t="str">
        <f t="shared" si="110"/>
        <v/>
      </c>
      <c r="AA883" s="50" t="str">
        <f t="shared" si="111"/>
        <v/>
      </c>
      <c r="AB883" s="50" t="str">
        <f>IF(OR(B883="",C883&lt;&gt;"Expense"),"",IF(E883&gt;IFERROR(AVERAGEIFS($E$8:$E$1007,$I$8:$I$1007,I883,$C$8:$C$1007,"Expense")*SETTINGS!$B$20,0),"Unusually High","Normal"))</f>
        <v/>
      </c>
      <c r="AC883" s="51"/>
      <c r="AD883" s="51"/>
      <c r="AE883" s="51"/>
      <c r="AF883" s="50" t="str">
        <f>IF(A883&lt;&gt;"Yes","No",IF(AND(AC883="Yes",SETTINGS!$B$16="No"),"No","Yes"))</f>
        <v>No</v>
      </c>
      <c r="AG883" s="50" t="str">
        <f>IF(A883&lt;&gt;"Yes","",IF(OR(B883="",D883="",E883&lt;=0,F883="",I883=""),"Check Required Fields",IF(AA883="Possible Duplicate","Possible Duplicate",IF(E883&gt;SETTINGS!$B$22,"Review Extreme Value","OK"))))</f>
        <v/>
      </c>
    </row>
    <row r="884" spans="1:33" ht="14.4">
      <c r="A884" s="9"/>
      <c r="B884" s="13"/>
      <c r="C884" s="9"/>
      <c r="D884" s="9"/>
      <c r="E884" s="11"/>
      <c r="F884" s="9"/>
      <c r="G884" s="9"/>
      <c r="H884" s="44" t="str">
        <f>IF(D884="","",IF(ISNUMBER(SEARCH(SETTINGS!$K$4,D884)),SETTINGS!$L$4,IF(ISNUMBER(SEARCH(SETTINGS!$K$5,D884)),SETTINGS!$L$5,IF(ISNUMBER(SEARCH(SETTINGS!$K$6,D884)),SETTINGS!$L$6,IF(ISNUMBER(SEARCH(SETTINGS!$K$7,D884)),SETTINGS!$L$7,IF(ISNUMBER(SEARCH(SETTINGS!$K$8,D884)),SETTINGS!$L$8,IF(ISNUMBER(SEARCH(SETTINGS!$K$9,D884)),SETTINGS!$L$9,IF(ISNUMBER(SEARCH(SETTINGS!$K$10,D884)),SETTINGS!$L$10,IF(ISNUMBER(SEARCH(SETTINGS!$K$11,D884)),SETTINGS!$L$11,IF(ISNUMBER(SEARCH(SETTINGS!$K$12,D884)),SETTINGS!$L$12,IF(ISNUMBER(SEARCH(SETTINGS!$K$13,D884)),SETTINGS!$L$13,IF(ISNUMBER(SEARCH(SETTINGS!$K$14,D884)),SETTINGS!$L$14,IF(ISNUMBER(SEARCH(SETTINGS!$K$15,D884)),SETTINGS!$L$15,IF(ISNUMBER(SEARCH(SETTINGS!$K$16,D884)),SETTINGS!$L$16,IF(ISNUMBER(SEARCH(SETTINGS!$K$17,D884)),SETTINGS!$L$17,IF(ISNUMBER(SEARCH(SETTINGS!$K$18,D884)),SETTINGS!$L$18,"Miscellaneous"))))))))))))))))</f>
        <v/>
      </c>
      <c r="I884" s="44" t="str">
        <f t="shared" si="104"/>
        <v/>
      </c>
      <c r="J884" s="9"/>
      <c r="K884" s="9"/>
      <c r="L884" s="9"/>
      <c r="M884" s="9"/>
      <c r="N884" s="9"/>
      <c r="O884" s="9"/>
      <c r="P884" s="13"/>
      <c r="Q884" s="9"/>
      <c r="R884" s="9"/>
      <c r="S884" s="9"/>
      <c r="T884" s="11"/>
      <c r="U884" s="44" t="str">
        <f t="shared" si="105"/>
        <v/>
      </c>
      <c r="V884" s="44" t="str">
        <f t="shared" si="106"/>
        <v/>
      </c>
      <c r="W884" s="44" t="str">
        <f t="shared" si="107"/>
        <v/>
      </c>
      <c r="X884" s="44" t="str">
        <f t="shared" si="108"/>
        <v/>
      </c>
      <c r="Y884" s="44" t="str">
        <f t="shared" si="109"/>
        <v/>
      </c>
      <c r="Z884" s="44" t="str">
        <f t="shared" si="110"/>
        <v/>
      </c>
      <c r="AA884" s="50" t="str">
        <f t="shared" si="111"/>
        <v/>
      </c>
      <c r="AB884" s="50" t="str">
        <f>IF(OR(B884="",C884&lt;&gt;"Expense"),"",IF(E884&gt;IFERROR(AVERAGEIFS($E$8:$E$1007,$I$8:$I$1007,I884,$C$8:$C$1007,"Expense")*SETTINGS!$B$20,0),"Unusually High","Normal"))</f>
        <v/>
      </c>
      <c r="AC884" s="51"/>
      <c r="AD884" s="51"/>
      <c r="AE884" s="51"/>
      <c r="AF884" s="50" t="str">
        <f>IF(A884&lt;&gt;"Yes","No",IF(AND(AC884="Yes",SETTINGS!$B$16="No"),"No","Yes"))</f>
        <v>No</v>
      </c>
      <c r="AG884" s="50" t="str">
        <f>IF(A884&lt;&gt;"Yes","",IF(OR(B884="",D884="",E884&lt;=0,F884="",I884=""),"Check Required Fields",IF(AA884="Possible Duplicate","Possible Duplicate",IF(E884&gt;SETTINGS!$B$22,"Review Extreme Value","OK"))))</f>
        <v/>
      </c>
    </row>
    <row r="885" spans="1:33" ht="14.4">
      <c r="A885" s="9"/>
      <c r="B885" s="13"/>
      <c r="C885" s="9"/>
      <c r="D885" s="9"/>
      <c r="E885" s="11"/>
      <c r="F885" s="9"/>
      <c r="G885" s="9"/>
      <c r="H885" s="44" t="str">
        <f>IF(D885="","",IF(ISNUMBER(SEARCH(SETTINGS!$K$4,D885)),SETTINGS!$L$4,IF(ISNUMBER(SEARCH(SETTINGS!$K$5,D885)),SETTINGS!$L$5,IF(ISNUMBER(SEARCH(SETTINGS!$K$6,D885)),SETTINGS!$L$6,IF(ISNUMBER(SEARCH(SETTINGS!$K$7,D885)),SETTINGS!$L$7,IF(ISNUMBER(SEARCH(SETTINGS!$K$8,D885)),SETTINGS!$L$8,IF(ISNUMBER(SEARCH(SETTINGS!$K$9,D885)),SETTINGS!$L$9,IF(ISNUMBER(SEARCH(SETTINGS!$K$10,D885)),SETTINGS!$L$10,IF(ISNUMBER(SEARCH(SETTINGS!$K$11,D885)),SETTINGS!$L$11,IF(ISNUMBER(SEARCH(SETTINGS!$K$12,D885)),SETTINGS!$L$12,IF(ISNUMBER(SEARCH(SETTINGS!$K$13,D885)),SETTINGS!$L$13,IF(ISNUMBER(SEARCH(SETTINGS!$K$14,D885)),SETTINGS!$L$14,IF(ISNUMBER(SEARCH(SETTINGS!$K$15,D885)),SETTINGS!$L$15,IF(ISNUMBER(SEARCH(SETTINGS!$K$16,D885)),SETTINGS!$L$16,IF(ISNUMBER(SEARCH(SETTINGS!$K$17,D885)),SETTINGS!$L$17,IF(ISNUMBER(SEARCH(SETTINGS!$K$18,D885)),SETTINGS!$L$18,"Miscellaneous"))))))))))))))))</f>
        <v/>
      </c>
      <c r="I885" s="44" t="str">
        <f t="shared" si="104"/>
        <v/>
      </c>
      <c r="J885" s="9"/>
      <c r="K885" s="9"/>
      <c r="L885" s="9"/>
      <c r="M885" s="9"/>
      <c r="N885" s="9"/>
      <c r="O885" s="9"/>
      <c r="P885" s="13"/>
      <c r="Q885" s="9"/>
      <c r="R885" s="9"/>
      <c r="S885" s="9"/>
      <c r="T885" s="11"/>
      <c r="U885" s="44" t="str">
        <f t="shared" si="105"/>
        <v/>
      </c>
      <c r="V885" s="44" t="str">
        <f t="shared" si="106"/>
        <v/>
      </c>
      <c r="W885" s="44" t="str">
        <f t="shared" si="107"/>
        <v/>
      </c>
      <c r="X885" s="44" t="str">
        <f t="shared" si="108"/>
        <v/>
      </c>
      <c r="Y885" s="44" t="str">
        <f t="shared" si="109"/>
        <v/>
      </c>
      <c r="Z885" s="44" t="str">
        <f t="shared" si="110"/>
        <v/>
      </c>
      <c r="AA885" s="50" t="str">
        <f t="shared" si="111"/>
        <v/>
      </c>
      <c r="AB885" s="50" t="str">
        <f>IF(OR(B885="",C885&lt;&gt;"Expense"),"",IF(E885&gt;IFERROR(AVERAGEIFS($E$8:$E$1007,$I$8:$I$1007,I885,$C$8:$C$1007,"Expense")*SETTINGS!$B$20,0),"Unusually High","Normal"))</f>
        <v/>
      </c>
      <c r="AC885" s="51"/>
      <c r="AD885" s="51"/>
      <c r="AE885" s="51"/>
      <c r="AF885" s="50" t="str">
        <f>IF(A885&lt;&gt;"Yes","No",IF(AND(AC885="Yes",SETTINGS!$B$16="No"),"No","Yes"))</f>
        <v>No</v>
      </c>
      <c r="AG885" s="50" t="str">
        <f>IF(A885&lt;&gt;"Yes","",IF(OR(B885="",D885="",E885&lt;=0,F885="",I885=""),"Check Required Fields",IF(AA885="Possible Duplicate","Possible Duplicate",IF(E885&gt;SETTINGS!$B$22,"Review Extreme Value","OK"))))</f>
        <v/>
      </c>
    </row>
    <row r="886" spans="1:33" ht="14.4">
      <c r="A886" s="9"/>
      <c r="B886" s="13"/>
      <c r="C886" s="9"/>
      <c r="D886" s="9"/>
      <c r="E886" s="11"/>
      <c r="F886" s="9"/>
      <c r="G886" s="9"/>
      <c r="H886" s="44" t="str">
        <f>IF(D886="","",IF(ISNUMBER(SEARCH(SETTINGS!$K$4,D886)),SETTINGS!$L$4,IF(ISNUMBER(SEARCH(SETTINGS!$K$5,D886)),SETTINGS!$L$5,IF(ISNUMBER(SEARCH(SETTINGS!$K$6,D886)),SETTINGS!$L$6,IF(ISNUMBER(SEARCH(SETTINGS!$K$7,D886)),SETTINGS!$L$7,IF(ISNUMBER(SEARCH(SETTINGS!$K$8,D886)),SETTINGS!$L$8,IF(ISNUMBER(SEARCH(SETTINGS!$K$9,D886)),SETTINGS!$L$9,IF(ISNUMBER(SEARCH(SETTINGS!$K$10,D886)),SETTINGS!$L$10,IF(ISNUMBER(SEARCH(SETTINGS!$K$11,D886)),SETTINGS!$L$11,IF(ISNUMBER(SEARCH(SETTINGS!$K$12,D886)),SETTINGS!$L$12,IF(ISNUMBER(SEARCH(SETTINGS!$K$13,D886)),SETTINGS!$L$13,IF(ISNUMBER(SEARCH(SETTINGS!$K$14,D886)),SETTINGS!$L$14,IF(ISNUMBER(SEARCH(SETTINGS!$K$15,D886)),SETTINGS!$L$15,IF(ISNUMBER(SEARCH(SETTINGS!$K$16,D886)),SETTINGS!$L$16,IF(ISNUMBER(SEARCH(SETTINGS!$K$17,D886)),SETTINGS!$L$17,IF(ISNUMBER(SEARCH(SETTINGS!$K$18,D886)),SETTINGS!$L$18,"Miscellaneous"))))))))))))))))</f>
        <v/>
      </c>
      <c r="I886" s="44" t="str">
        <f t="shared" si="104"/>
        <v/>
      </c>
      <c r="J886" s="9"/>
      <c r="K886" s="9"/>
      <c r="L886" s="9"/>
      <c r="M886" s="9"/>
      <c r="N886" s="9"/>
      <c r="O886" s="9"/>
      <c r="P886" s="13"/>
      <c r="Q886" s="9"/>
      <c r="R886" s="9"/>
      <c r="S886" s="9"/>
      <c r="T886" s="11"/>
      <c r="U886" s="44" t="str">
        <f t="shared" si="105"/>
        <v/>
      </c>
      <c r="V886" s="44" t="str">
        <f t="shared" si="106"/>
        <v/>
      </c>
      <c r="W886" s="44" t="str">
        <f t="shared" si="107"/>
        <v/>
      </c>
      <c r="X886" s="44" t="str">
        <f t="shared" si="108"/>
        <v/>
      </c>
      <c r="Y886" s="44" t="str">
        <f t="shared" si="109"/>
        <v/>
      </c>
      <c r="Z886" s="44" t="str">
        <f t="shared" si="110"/>
        <v/>
      </c>
      <c r="AA886" s="50" t="str">
        <f t="shared" si="111"/>
        <v/>
      </c>
      <c r="AB886" s="50" t="str">
        <f>IF(OR(B886="",C886&lt;&gt;"Expense"),"",IF(E886&gt;IFERROR(AVERAGEIFS($E$8:$E$1007,$I$8:$I$1007,I886,$C$8:$C$1007,"Expense")*SETTINGS!$B$20,0),"Unusually High","Normal"))</f>
        <v/>
      </c>
      <c r="AC886" s="51"/>
      <c r="AD886" s="51"/>
      <c r="AE886" s="51"/>
      <c r="AF886" s="50" t="str">
        <f>IF(A886&lt;&gt;"Yes","No",IF(AND(AC886="Yes",SETTINGS!$B$16="No"),"No","Yes"))</f>
        <v>No</v>
      </c>
      <c r="AG886" s="50" t="str">
        <f>IF(A886&lt;&gt;"Yes","",IF(OR(B886="",D886="",E886&lt;=0,F886="",I886=""),"Check Required Fields",IF(AA886="Possible Duplicate","Possible Duplicate",IF(E886&gt;SETTINGS!$B$22,"Review Extreme Value","OK"))))</f>
        <v/>
      </c>
    </row>
    <row r="887" spans="1:33" ht="14.4">
      <c r="A887" s="9"/>
      <c r="B887" s="13"/>
      <c r="C887" s="9"/>
      <c r="D887" s="9"/>
      <c r="E887" s="11"/>
      <c r="F887" s="9"/>
      <c r="G887" s="9"/>
      <c r="H887" s="44" t="str">
        <f>IF(D887="","",IF(ISNUMBER(SEARCH(SETTINGS!$K$4,D887)),SETTINGS!$L$4,IF(ISNUMBER(SEARCH(SETTINGS!$K$5,D887)),SETTINGS!$L$5,IF(ISNUMBER(SEARCH(SETTINGS!$K$6,D887)),SETTINGS!$L$6,IF(ISNUMBER(SEARCH(SETTINGS!$K$7,D887)),SETTINGS!$L$7,IF(ISNUMBER(SEARCH(SETTINGS!$K$8,D887)),SETTINGS!$L$8,IF(ISNUMBER(SEARCH(SETTINGS!$K$9,D887)),SETTINGS!$L$9,IF(ISNUMBER(SEARCH(SETTINGS!$K$10,D887)),SETTINGS!$L$10,IF(ISNUMBER(SEARCH(SETTINGS!$K$11,D887)),SETTINGS!$L$11,IF(ISNUMBER(SEARCH(SETTINGS!$K$12,D887)),SETTINGS!$L$12,IF(ISNUMBER(SEARCH(SETTINGS!$K$13,D887)),SETTINGS!$L$13,IF(ISNUMBER(SEARCH(SETTINGS!$K$14,D887)),SETTINGS!$L$14,IF(ISNUMBER(SEARCH(SETTINGS!$K$15,D887)),SETTINGS!$L$15,IF(ISNUMBER(SEARCH(SETTINGS!$K$16,D887)),SETTINGS!$L$16,IF(ISNUMBER(SEARCH(SETTINGS!$K$17,D887)),SETTINGS!$L$17,IF(ISNUMBER(SEARCH(SETTINGS!$K$18,D887)),SETTINGS!$L$18,"Miscellaneous"))))))))))))))))</f>
        <v/>
      </c>
      <c r="I887" s="44" t="str">
        <f t="shared" si="104"/>
        <v/>
      </c>
      <c r="J887" s="9"/>
      <c r="K887" s="9"/>
      <c r="L887" s="9"/>
      <c r="M887" s="9"/>
      <c r="N887" s="9"/>
      <c r="O887" s="9"/>
      <c r="P887" s="13"/>
      <c r="Q887" s="9"/>
      <c r="R887" s="9"/>
      <c r="S887" s="9"/>
      <c r="T887" s="11"/>
      <c r="U887" s="44" t="str">
        <f t="shared" si="105"/>
        <v/>
      </c>
      <c r="V887" s="44" t="str">
        <f t="shared" si="106"/>
        <v/>
      </c>
      <c r="W887" s="44" t="str">
        <f t="shared" si="107"/>
        <v/>
      </c>
      <c r="X887" s="44" t="str">
        <f t="shared" si="108"/>
        <v/>
      </c>
      <c r="Y887" s="44" t="str">
        <f t="shared" si="109"/>
        <v/>
      </c>
      <c r="Z887" s="44" t="str">
        <f t="shared" si="110"/>
        <v/>
      </c>
      <c r="AA887" s="50" t="str">
        <f t="shared" si="111"/>
        <v/>
      </c>
      <c r="AB887" s="50" t="str">
        <f>IF(OR(B887="",C887&lt;&gt;"Expense"),"",IF(E887&gt;IFERROR(AVERAGEIFS($E$8:$E$1007,$I$8:$I$1007,I887,$C$8:$C$1007,"Expense")*SETTINGS!$B$20,0),"Unusually High","Normal"))</f>
        <v/>
      </c>
      <c r="AC887" s="51"/>
      <c r="AD887" s="51"/>
      <c r="AE887" s="51"/>
      <c r="AF887" s="50" t="str">
        <f>IF(A887&lt;&gt;"Yes","No",IF(AND(AC887="Yes",SETTINGS!$B$16="No"),"No","Yes"))</f>
        <v>No</v>
      </c>
      <c r="AG887" s="50" t="str">
        <f>IF(A887&lt;&gt;"Yes","",IF(OR(B887="",D887="",E887&lt;=0,F887="",I887=""),"Check Required Fields",IF(AA887="Possible Duplicate","Possible Duplicate",IF(E887&gt;SETTINGS!$B$22,"Review Extreme Value","OK"))))</f>
        <v/>
      </c>
    </row>
    <row r="888" spans="1:33" ht="14.4">
      <c r="A888" s="9"/>
      <c r="B888" s="13"/>
      <c r="C888" s="9"/>
      <c r="D888" s="9"/>
      <c r="E888" s="11"/>
      <c r="F888" s="9"/>
      <c r="G888" s="9"/>
      <c r="H888" s="44" t="str">
        <f>IF(D888="","",IF(ISNUMBER(SEARCH(SETTINGS!$K$4,D888)),SETTINGS!$L$4,IF(ISNUMBER(SEARCH(SETTINGS!$K$5,D888)),SETTINGS!$L$5,IF(ISNUMBER(SEARCH(SETTINGS!$K$6,D888)),SETTINGS!$L$6,IF(ISNUMBER(SEARCH(SETTINGS!$K$7,D888)),SETTINGS!$L$7,IF(ISNUMBER(SEARCH(SETTINGS!$K$8,D888)),SETTINGS!$L$8,IF(ISNUMBER(SEARCH(SETTINGS!$K$9,D888)),SETTINGS!$L$9,IF(ISNUMBER(SEARCH(SETTINGS!$K$10,D888)),SETTINGS!$L$10,IF(ISNUMBER(SEARCH(SETTINGS!$K$11,D888)),SETTINGS!$L$11,IF(ISNUMBER(SEARCH(SETTINGS!$K$12,D888)),SETTINGS!$L$12,IF(ISNUMBER(SEARCH(SETTINGS!$K$13,D888)),SETTINGS!$L$13,IF(ISNUMBER(SEARCH(SETTINGS!$K$14,D888)),SETTINGS!$L$14,IF(ISNUMBER(SEARCH(SETTINGS!$K$15,D888)),SETTINGS!$L$15,IF(ISNUMBER(SEARCH(SETTINGS!$K$16,D888)),SETTINGS!$L$16,IF(ISNUMBER(SEARCH(SETTINGS!$K$17,D888)),SETTINGS!$L$17,IF(ISNUMBER(SEARCH(SETTINGS!$K$18,D888)),SETTINGS!$L$18,"Miscellaneous"))))))))))))))))</f>
        <v/>
      </c>
      <c r="I888" s="44" t="str">
        <f t="shared" si="104"/>
        <v/>
      </c>
      <c r="J888" s="9"/>
      <c r="K888" s="9"/>
      <c r="L888" s="9"/>
      <c r="M888" s="9"/>
      <c r="N888" s="9"/>
      <c r="O888" s="9"/>
      <c r="P888" s="13"/>
      <c r="Q888" s="9"/>
      <c r="R888" s="9"/>
      <c r="S888" s="9"/>
      <c r="T888" s="11"/>
      <c r="U888" s="44" t="str">
        <f t="shared" si="105"/>
        <v/>
      </c>
      <c r="V888" s="44" t="str">
        <f t="shared" si="106"/>
        <v/>
      </c>
      <c r="W888" s="44" t="str">
        <f t="shared" si="107"/>
        <v/>
      </c>
      <c r="X888" s="44" t="str">
        <f t="shared" si="108"/>
        <v/>
      </c>
      <c r="Y888" s="44" t="str">
        <f t="shared" si="109"/>
        <v/>
      </c>
      <c r="Z888" s="44" t="str">
        <f t="shared" si="110"/>
        <v/>
      </c>
      <c r="AA888" s="50" t="str">
        <f t="shared" si="111"/>
        <v/>
      </c>
      <c r="AB888" s="50" t="str">
        <f>IF(OR(B888="",C888&lt;&gt;"Expense"),"",IF(E888&gt;IFERROR(AVERAGEIFS($E$8:$E$1007,$I$8:$I$1007,I888,$C$8:$C$1007,"Expense")*SETTINGS!$B$20,0),"Unusually High","Normal"))</f>
        <v/>
      </c>
      <c r="AC888" s="51"/>
      <c r="AD888" s="51"/>
      <c r="AE888" s="51"/>
      <c r="AF888" s="50" t="str">
        <f>IF(A888&lt;&gt;"Yes","No",IF(AND(AC888="Yes",SETTINGS!$B$16="No"),"No","Yes"))</f>
        <v>No</v>
      </c>
      <c r="AG888" s="50" t="str">
        <f>IF(A888&lt;&gt;"Yes","",IF(OR(B888="",D888="",E888&lt;=0,F888="",I888=""),"Check Required Fields",IF(AA888="Possible Duplicate","Possible Duplicate",IF(E888&gt;SETTINGS!$B$22,"Review Extreme Value","OK"))))</f>
        <v/>
      </c>
    </row>
    <row r="889" spans="1:33" ht="14.4">
      <c r="A889" s="9"/>
      <c r="B889" s="13"/>
      <c r="C889" s="9"/>
      <c r="D889" s="9"/>
      <c r="E889" s="11"/>
      <c r="F889" s="9"/>
      <c r="G889" s="9"/>
      <c r="H889" s="44" t="str">
        <f>IF(D889="","",IF(ISNUMBER(SEARCH(SETTINGS!$K$4,D889)),SETTINGS!$L$4,IF(ISNUMBER(SEARCH(SETTINGS!$K$5,D889)),SETTINGS!$L$5,IF(ISNUMBER(SEARCH(SETTINGS!$K$6,D889)),SETTINGS!$L$6,IF(ISNUMBER(SEARCH(SETTINGS!$K$7,D889)),SETTINGS!$L$7,IF(ISNUMBER(SEARCH(SETTINGS!$K$8,D889)),SETTINGS!$L$8,IF(ISNUMBER(SEARCH(SETTINGS!$K$9,D889)),SETTINGS!$L$9,IF(ISNUMBER(SEARCH(SETTINGS!$K$10,D889)),SETTINGS!$L$10,IF(ISNUMBER(SEARCH(SETTINGS!$K$11,D889)),SETTINGS!$L$11,IF(ISNUMBER(SEARCH(SETTINGS!$K$12,D889)),SETTINGS!$L$12,IF(ISNUMBER(SEARCH(SETTINGS!$K$13,D889)),SETTINGS!$L$13,IF(ISNUMBER(SEARCH(SETTINGS!$K$14,D889)),SETTINGS!$L$14,IF(ISNUMBER(SEARCH(SETTINGS!$K$15,D889)),SETTINGS!$L$15,IF(ISNUMBER(SEARCH(SETTINGS!$K$16,D889)),SETTINGS!$L$16,IF(ISNUMBER(SEARCH(SETTINGS!$K$17,D889)),SETTINGS!$L$17,IF(ISNUMBER(SEARCH(SETTINGS!$K$18,D889)),SETTINGS!$L$18,"Miscellaneous"))))))))))))))))</f>
        <v/>
      </c>
      <c r="I889" s="44" t="str">
        <f t="shared" si="104"/>
        <v/>
      </c>
      <c r="J889" s="9"/>
      <c r="K889" s="9"/>
      <c r="L889" s="9"/>
      <c r="M889" s="9"/>
      <c r="N889" s="9"/>
      <c r="O889" s="9"/>
      <c r="P889" s="13"/>
      <c r="Q889" s="9"/>
      <c r="R889" s="9"/>
      <c r="S889" s="9"/>
      <c r="T889" s="11"/>
      <c r="U889" s="44" t="str">
        <f t="shared" si="105"/>
        <v/>
      </c>
      <c r="V889" s="44" t="str">
        <f t="shared" si="106"/>
        <v/>
      </c>
      <c r="W889" s="44" t="str">
        <f t="shared" si="107"/>
        <v/>
      </c>
      <c r="X889" s="44" t="str">
        <f t="shared" si="108"/>
        <v/>
      </c>
      <c r="Y889" s="44" t="str">
        <f t="shared" si="109"/>
        <v/>
      </c>
      <c r="Z889" s="44" t="str">
        <f t="shared" si="110"/>
        <v/>
      </c>
      <c r="AA889" s="50" t="str">
        <f t="shared" si="111"/>
        <v/>
      </c>
      <c r="AB889" s="50" t="str">
        <f>IF(OR(B889="",C889&lt;&gt;"Expense"),"",IF(E889&gt;IFERROR(AVERAGEIFS($E$8:$E$1007,$I$8:$I$1007,I889,$C$8:$C$1007,"Expense")*SETTINGS!$B$20,0),"Unusually High","Normal"))</f>
        <v/>
      </c>
      <c r="AC889" s="51"/>
      <c r="AD889" s="51"/>
      <c r="AE889" s="51"/>
      <c r="AF889" s="50" t="str">
        <f>IF(A889&lt;&gt;"Yes","No",IF(AND(AC889="Yes",SETTINGS!$B$16="No"),"No","Yes"))</f>
        <v>No</v>
      </c>
      <c r="AG889" s="50" t="str">
        <f>IF(A889&lt;&gt;"Yes","",IF(OR(B889="",D889="",E889&lt;=0,F889="",I889=""),"Check Required Fields",IF(AA889="Possible Duplicate","Possible Duplicate",IF(E889&gt;SETTINGS!$B$22,"Review Extreme Value","OK"))))</f>
        <v/>
      </c>
    </row>
    <row r="890" spans="1:33" ht="14.4">
      <c r="A890" s="9"/>
      <c r="B890" s="13"/>
      <c r="C890" s="9"/>
      <c r="D890" s="9"/>
      <c r="E890" s="11"/>
      <c r="F890" s="9"/>
      <c r="G890" s="9"/>
      <c r="H890" s="44" t="str">
        <f>IF(D890="","",IF(ISNUMBER(SEARCH(SETTINGS!$K$4,D890)),SETTINGS!$L$4,IF(ISNUMBER(SEARCH(SETTINGS!$K$5,D890)),SETTINGS!$L$5,IF(ISNUMBER(SEARCH(SETTINGS!$K$6,D890)),SETTINGS!$L$6,IF(ISNUMBER(SEARCH(SETTINGS!$K$7,D890)),SETTINGS!$L$7,IF(ISNUMBER(SEARCH(SETTINGS!$K$8,D890)),SETTINGS!$L$8,IF(ISNUMBER(SEARCH(SETTINGS!$K$9,D890)),SETTINGS!$L$9,IF(ISNUMBER(SEARCH(SETTINGS!$K$10,D890)),SETTINGS!$L$10,IF(ISNUMBER(SEARCH(SETTINGS!$K$11,D890)),SETTINGS!$L$11,IF(ISNUMBER(SEARCH(SETTINGS!$K$12,D890)),SETTINGS!$L$12,IF(ISNUMBER(SEARCH(SETTINGS!$K$13,D890)),SETTINGS!$L$13,IF(ISNUMBER(SEARCH(SETTINGS!$K$14,D890)),SETTINGS!$L$14,IF(ISNUMBER(SEARCH(SETTINGS!$K$15,D890)),SETTINGS!$L$15,IF(ISNUMBER(SEARCH(SETTINGS!$K$16,D890)),SETTINGS!$L$16,IF(ISNUMBER(SEARCH(SETTINGS!$K$17,D890)),SETTINGS!$L$17,IF(ISNUMBER(SEARCH(SETTINGS!$K$18,D890)),SETTINGS!$L$18,"Miscellaneous"))))))))))))))))</f>
        <v/>
      </c>
      <c r="I890" s="44" t="str">
        <f t="shared" si="104"/>
        <v/>
      </c>
      <c r="J890" s="9"/>
      <c r="K890" s="9"/>
      <c r="L890" s="9"/>
      <c r="M890" s="9"/>
      <c r="N890" s="9"/>
      <c r="O890" s="9"/>
      <c r="P890" s="13"/>
      <c r="Q890" s="9"/>
      <c r="R890" s="9"/>
      <c r="S890" s="9"/>
      <c r="T890" s="11"/>
      <c r="U890" s="44" t="str">
        <f t="shared" si="105"/>
        <v/>
      </c>
      <c r="V890" s="44" t="str">
        <f t="shared" si="106"/>
        <v/>
      </c>
      <c r="W890" s="44" t="str">
        <f t="shared" si="107"/>
        <v/>
      </c>
      <c r="X890" s="44" t="str">
        <f t="shared" si="108"/>
        <v/>
      </c>
      <c r="Y890" s="44" t="str">
        <f t="shared" si="109"/>
        <v/>
      </c>
      <c r="Z890" s="44" t="str">
        <f t="shared" si="110"/>
        <v/>
      </c>
      <c r="AA890" s="50" t="str">
        <f t="shared" si="111"/>
        <v/>
      </c>
      <c r="AB890" s="50" t="str">
        <f>IF(OR(B890="",C890&lt;&gt;"Expense"),"",IF(E890&gt;IFERROR(AVERAGEIFS($E$8:$E$1007,$I$8:$I$1007,I890,$C$8:$C$1007,"Expense")*SETTINGS!$B$20,0),"Unusually High","Normal"))</f>
        <v/>
      </c>
      <c r="AC890" s="51"/>
      <c r="AD890" s="51"/>
      <c r="AE890" s="51"/>
      <c r="AF890" s="50" t="str">
        <f>IF(A890&lt;&gt;"Yes","No",IF(AND(AC890="Yes",SETTINGS!$B$16="No"),"No","Yes"))</f>
        <v>No</v>
      </c>
      <c r="AG890" s="50" t="str">
        <f>IF(A890&lt;&gt;"Yes","",IF(OR(B890="",D890="",E890&lt;=0,F890="",I890=""),"Check Required Fields",IF(AA890="Possible Duplicate","Possible Duplicate",IF(E890&gt;SETTINGS!$B$22,"Review Extreme Value","OK"))))</f>
        <v/>
      </c>
    </row>
    <row r="891" spans="1:33" ht="14.4">
      <c r="A891" s="9"/>
      <c r="B891" s="13"/>
      <c r="C891" s="9"/>
      <c r="D891" s="9"/>
      <c r="E891" s="11"/>
      <c r="F891" s="9"/>
      <c r="G891" s="9"/>
      <c r="H891" s="44" t="str">
        <f>IF(D891="","",IF(ISNUMBER(SEARCH(SETTINGS!$K$4,D891)),SETTINGS!$L$4,IF(ISNUMBER(SEARCH(SETTINGS!$K$5,D891)),SETTINGS!$L$5,IF(ISNUMBER(SEARCH(SETTINGS!$K$6,D891)),SETTINGS!$L$6,IF(ISNUMBER(SEARCH(SETTINGS!$K$7,D891)),SETTINGS!$L$7,IF(ISNUMBER(SEARCH(SETTINGS!$K$8,D891)),SETTINGS!$L$8,IF(ISNUMBER(SEARCH(SETTINGS!$K$9,D891)),SETTINGS!$L$9,IF(ISNUMBER(SEARCH(SETTINGS!$K$10,D891)),SETTINGS!$L$10,IF(ISNUMBER(SEARCH(SETTINGS!$K$11,D891)),SETTINGS!$L$11,IF(ISNUMBER(SEARCH(SETTINGS!$K$12,D891)),SETTINGS!$L$12,IF(ISNUMBER(SEARCH(SETTINGS!$K$13,D891)),SETTINGS!$L$13,IF(ISNUMBER(SEARCH(SETTINGS!$K$14,D891)),SETTINGS!$L$14,IF(ISNUMBER(SEARCH(SETTINGS!$K$15,D891)),SETTINGS!$L$15,IF(ISNUMBER(SEARCH(SETTINGS!$K$16,D891)),SETTINGS!$L$16,IF(ISNUMBER(SEARCH(SETTINGS!$K$17,D891)),SETTINGS!$L$17,IF(ISNUMBER(SEARCH(SETTINGS!$K$18,D891)),SETTINGS!$L$18,"Miscellaneous"))))))))))))))))</f>
        <v/>
      </c>
      <c r="I891" s="44" t="str">
        <f t="shared" si="104"/>
        <v/>
      </c>
      <c r="J891" s="9"/>
      <c r="K891" s="9"/>
      <c r="L891" s="9"/>
      <c r="M891" s="9"/>
      <c r="N891" s="9"/>
      <c r="O891" s="9"/>
      <c r="P891" s="13"/>
      <c r="Q891" s="9"/>
      <c r="R891" s="9"/>
      <c r="S891" s="9"/>
      <c r="T891" s="11"/>
      <c r="U891" s="44" t="str">
        <f t="shared" si="105"/>
        <v/>
      </c>
      <c r="V891" s="44" t="str">
        <f t="shared" si="106"/>
        <v/>
      </c>
      <c r="W891" s="44" t="str">
        <f t="shared" si="107"/>
        <v/>
      </c>
      <c r="X891" s="44" t="str">
        <f t="shared" si="108"/>
        <v/>
      </c>
      <c r="Y891" s="44" t="str">
        <f t="shared" si="109"/>
        <v/>
      </c>
      <c r="Z891" s="44" t="str">
        <f t="shared" si="110"/>
        <v/>
      </c>
      <c r="AA891" s="50" t="str">
        <f t="shared" si="111"/>
        <v/>
      </c>
      <c r="AB891" s="50" t="str">
        <f>IF(OR(B891="",C891&lt;&gt;"Expense"),"",IF(E891&gt;IFERROR(AVERAGEIFS($E$8:$E$1007,$I$8:$I$1007,I891,$C$8:$C$1007,"Expense")*SETTINGS!$B$20,0),"Unusually High","Normal"))</f>
        <v/>
      </c>
      <c r="AC891" s="51"/>
      <c r="AD891" s="51"/>
      <c r="AE891" s="51"/>
      <c r="AF891" s="50" t="str">
        <f>IF(A891&lt;&gt;"Yes","No",IF(AND(AC891="Yes",SETTINGS!$B$16="No"),"No","Yes"))</f>
        <v>No</v>
      </c>
      <c r="AG891" s="50" t="str">
        <f>IF(A891&lt;&gt;"Yes","",IF(OR(B891="",D891="",E891&lt;=0,F891="",I891=""),"Check Required Fields",IF(AA891="Possible Duplicate","Possible Duplicate",IF(E891&gt;SETTINGS!$B$22,"Review Extreme Value","OK"))))</f>
        <v/>
      </c>
    </row>
    <row r="892" spans="1:33" ht="14.4">
      <c r="A892" s="9"/>
      <c r="B892" s="13"/>
      <c r="C892" s="9"/>
      <c r="D892" s="9"/>
      <c r="E892" s="11"/>
      <c r="F892" s="9"/>
      <c r="G892" s="9"/>
      <c r="H892" s="44" t="str">
        <f>IF(D892="","",IF(ISNUMBER(SEARCH(SETTINGS!$K$4,D892)),SETTINGS!$L$4,IF(ISNUMBER(SEARCH(SETTINGS!$K$5,D892)),SETTINGS!$L$5,IF(ISNUMBER(SEARCH(SETTINGS!$K$6,D892)),SETTINGS!$L$6,IF(ISNUMBER(SEARCH(SETTINGS!$K$7,D892)),SETTINGS!$L$7,IF(ISNUMBER(SEARCH(SETTINGS!$K$8,D892)),SETTINGS!$L$8,IF(ISNUMBER(SEARCH(SETTINGS!$K$9,D892)),SETTINGS!$L$9,IF(ISNUMBER(SEARCH(SETTINGS!$K$10,D892)),SETTINGS!$L$10,IF(ISNUMBER(SEARCH(SETTINGS!$K$11,D892)),SETTINGS!$L$11,IF(ISNUMBER(SEARCH(SETTINGS!$K$12,D892)),SETTINGS!$L$12,IF(ISNUMBER(SEARCH(SETTINGS!$K$13,D892)),SETTINGS!$L$13,IF(ISNUMBER(SEARCH(SETTINGS!$K$14,D892)),SETTINGS!$L$14,IF(ISNUMBER(SEARCH(SETTINGS!$K$15,D892)),SETTINGS!$L$15,IF(ISNUMBER(SEARCH(SETTINGS!$K$16,D892)),SETTINGS!$L$16,IF(ISNUMBER(SEARCH(SETTINGS!$K$17,D892)),SETTINGS!$L$17,IF(ISNUMBER(SEARCH(SETTINGS!$K$18,D892)),SETTINGS!$L$18,"Miscellaneous"))))))))))))))))</f>
        <v/>
      </c>
      <c r="I892" s="44" t="str">
        <f t="shared" si="104"/>
        <v/>
      </c>
      <c r="J892" s="9"/>
      <c r="K892" s="9"/>
      <c r="L892" s="9"/>
      <c r="M892" s="9"/>
      <c r="N892" s="9"/>
      <c r="O892" s="9"/>
      <c r="P892" s="13"/>
      <c r="Q892" s="9"/>
      <c r="R892" s="9"/>
      <c r="S892" s="9"/>
      <c r="T892" s="11"/>
      <c r="U892" s="44" t="str">
        <f t="shared" si="105"/>
        <v/>
      </c>
      <c r="V892" s="44" t="str">
        <f t="shared" si="106"/>
        <v/>
      </c>
      <c r="W892" s="44" t="str">
        <f t="shared" si="107"/>
        <v/>
      </c>
      <c r="X892" s="44" t="str">
        <f t="shared" si="108"/>
        <v/>
      </c>
      <c r="Y892" s="44" t="str">
        <f t="shared" si="109"/>
        <v/>
      </c>
      <c r="Z892" s="44" t="str">
        <f t="shared" si="110"/>
        <v/>
      </c>
      <c r="AA892" s="50" t="str">
        <f t="shared" si="111"/>
        <v/>
      </c>
      <c r="AB892" s="50" t="str">
        <f>IF(OR(B892="",C892&lt;&gt;"Expense"),"",IF(E892&gt;IFERROR(AVERAGEIFS($E$8:$E$1007,$I$8:$I$1007,I892,$C$8:$C$1007,"Expense")*SETTINGS!$B$20,0),"Unusually High","Normal"))</f>
        <v/>
      </c>
      <c r="AC892" s="51"/>
      <c r="AD892" s="51"/>
      <c r="AE892" s="51"/>
      <c r="AF892" s="50" t="str">
        <f>IF(A892&lt;&gt;"Yes","No",IF(AND(AC892="Yes",SETTINGS!$B$16="No"),"No","Yes"))</f>
        <v>No</v>
      </c>
      <c r="AG892" s="50" t="str">
        <f>IF(A892&lt;&gt;"Yes","",IF(OR(B892="",D892="",E892&lt;=0,F892="",I892=""),"Check Required Fields",IF(AA892="Possible Duplicate","Possible Duplicate",IF(E892&gt;SETTINGS!$B$22,"Review Extreme Value","OK"))))</f>
        <v/>
      </c>
    </row>
    <row r="893" spans="1:33" ht="14.4">
      <c r="A893" s="9"/>
      <c r="B893" s="13"/>
      <c r="C893" s="9"/>
      <c r="D893" s="9"/>
      <c r="E893" s="11"/>
      <c r="F893" s="9"/>
      <c r="G893" s="9"/>
      <c r="H893" s="44" t="str">
        <f>IF(D893="","",IF(ISNUMBER(SEARCH(SETTINGS!$K$4,D893)),SETTINGS!$L$4,IF(ISNUMBER(SEARCH(SETTINGS!$K$5,D893)),SETTINGS!$L$5,IF(ISNUMBER(SEARCH(SETTINGS!$K$6,D893)),SETTINGS!$L$6,IF(ISNUMBER(SEARCH(SETTINGS!$K$7,D893)),SETTINGS!$L$7,IF(ISNUMBER(SEARCH(SETTINGS!$K$8,D893)),SETTINGS!$L$8,IF(ISNUMBER(SEARCH(SETTINGS!$K$9,D893)),SETTINGS!$L$9,IF(ISNUMBER(SEARCH(SETTINGS!$K$10,D893)),SETTINGS!$L$10,IF(ISNUMBER(SEARCH(SETTINGS!$K$11,D893)),SETTINGS!$L$11,IF(ISNUMBER(SEARCH(SETTINGS!$K$12,D893)),SETTINGS!$L$12,IF(ISNUMBER(SEARCH(SETTINGS!$K$13,D893)),SETTINGS!$L$13,IF(ISNUMBER(SEARCH(SETTINGS!$K$14,D893)),SETTINGS!$L$14,IF(ISNUMBER(SEARCH(SETTINGS!$K$15,D893)),SETTINGS!$L$15,IF(ISNUMBER(SEARCH(SETTINGS!$K$16,D893)),SETTINGS!$L$16,IF(ISNUMBER(SEARCH(SETTINGS!$K$17,D893)),SETTINGS!$L$17,IF(ISNUMBER(SEARCH(SETTINGS!$K$18,D893)),SETTINGS!$L$18,"Miscellaneous"))))))))))))))))</f>
        <v/>
      </c>
      <c r="I893" s="44" t="str">
        <f t="shared" si="104"/>
        <v/>
      </c>
      <c r="J893" s="9"/>
      <c r="K893" s="9"/>
      <c r="L893" s="9"/>
      <c r="M893" s="9"/>
      <c r="N893" s="9"/>
      <c r="O893" s="9"/>
      <c r="P893" s="13"/>
      <c r="Q893" s="9"/>
      <c r="R893" s="9"/>
      <c r="S893" s="9"/>
      <c r="T893" s="11"/>
      <c r="U893" s="44" t="str">
        <f t="shared" si="105"/>
        <v/>
      </c>
      <c r="V893" s="44" t="str">
        <f t="shared" si="106"/>
        <v/>
      </c>
      <c r="W893" s="44" t="str">
        <f t="shared" si="107"/>
        <v/>
      </c>
      <c r="X893" s="44" t="str">
        <f t="shared" si="108"/>
        <v/>
      </c>
      <c r="Y893" s="44" t="str">
        <f t="shared" si="109"/>
        <v/>
      </c>
      <c r="Z893" s="44" t="str">
        <f t="shared" si="110"/>
        <v/>
      </c>
      <c r="AA893" s="50" t="str">
        <f t="shared" si="111"/>
        <v/>
      </c>
      <c r="AB893" s="50" t="str">
        <f>IF(OR(B893="",C893&lt;&gt;"Expense"),"",IF(E893&gt;IFERROR(AVERAGEIFS($E$8:$E$1007,$I$8:$I$1007,I893,$C$8:$C$1007,"Expense")*SETTINGS!$B$20,0),"Unusually High","Normal"))</f>
        <v/>
      </c>
      <c r="AC893" s="51"/>
      <c r="AD893" s="51"/>
      <c r="AE893" s="51"/>
      <c r="AF893" s="50" t="str">
        <f>IF(A893&lt;&gt;"Yes","No",IF(AND(AC893="Yes",SETTINGS!$B$16="No"),"No","Yes"))</f>
        <v>No</v>
      </c>
      <c r="AG893" s="50" t="str">
        <f>IF(A893&lt;&gt;"Yes","",IF(OR(B893="",D893="",E893&lt;=0,F893="",I893=""),"Check Required Fields",IF(AA893="Possible Duplicate","Possible Duplicate",IF(E893&gt;SETTINGS!$B$22,"Review Extreme Value","OK"))))</f>
        <v/>
      </c>
    </row>
    <row r="894" spans="1:33" ht="14.4">
      <c r="A894" s="9"/>
      <c r="B894" s="13"/>
      <c r="C894" s="9"/>
      <c r="D894" s="9"/>
      <c r="E894" s="11"/>
      <c r="F894" s="9"/>
      <c r="G894" s="9"/>
      <c r="H894" s="44" t="str">
        <f>IF(D894="","",IF(ISNUMBER(SEARCH(SETTINGS!$K$4,D894)),SETTINGS!$L$4,IF(ISNUMBER(SEARCH(SETTINGS!$K$5,D894)),SETTINGS!$L$5,IF(ISNUMBER(SEARCH(SETTINGS!$K$6,D894)),SETTINGS!$L$6,IF(ISNUMBER(SEARCH(SETTINGS!$K$7,D894)),SETTINGS!$L$7,IF(ISNUMBER(SEARCH(SETTINGS!$K$8,D894)),SETTINGS!$L$8,IF(ISNUMBER(SEARCH(SETTINGS!$K$9,D894)),SETTINGS!$L$9,IF(ISNUMBER(SEARCH(SETTINGS!$K$10,D894)),SETTINGS!$L$10,IF(ISNUMBER(SEARCH(SETTINGS!$K$11,D894)),SETTINGS!$L$11,IF(ISNUMBER(SEARCH(SETTINGS!$K$12,D894)),SETTINGS!$L$12,IF(ISNUMBER(SEARCH(SETTINGS!$K$13,D894)),SETTINGS!$L$13,IF(ISNUMBER(SEARCH(SETTINGS!$K$14,D894)),SETTINGS!$L$14,IF(ISNUMBER(SEARCH(SETTINGS!$K$15,D894)),SETTINGS!$L$15,IF(ISNUMBER(SEARCH(SETTINGS!$K$16,D894)),SETTINGS!$L$16,IF(ISNUMBER(SEARCH(SETTINGS!$K$17,D894)),SETTINGS!$L$17,IF(ISNUMBER(SEARCH(SETTINGS!$K$18,D894)),SETTINGS!$L$18,"Miscellaneous"))))))))))))))))</f>
        <v/>
      </c>
      <c r="I894" s="44" t="str">
        <f t="shared" si="104"/>
        <v/>
      </c>
      <c r="J894" s="9"/>
      <c r="K894" s="9"/>
      <c r="L894" s="9"/>
      <c r="M894" s="9"/>
      <c r="N894" s="9"/>
      <c r="O894" s="9"/>
      <c r="P894" s="13"/>
      <c r="Q894" s="9"/>
      <c r="R894" s="9"/>
      <c r="S894" s="9"/>
      <c r="T894" s="11"/>
      <c r="U894" s="44" t="str">
        <f t="shared" si="105"/>
        <v/>
      </c>
      <c r="V894" s="44" t="str">
        <f t="shared" si="106"/>
        <v/>
      </c>
      <c r="W894" s="44" t="str">
        <f t="shared" si="107"/>
        <v/>
      </c>
      <c r="X894" s="44" t="str">
        <f t="shared" si="108"/>
        <v/>
      </c>
      <c r="Y894" s="44" t="str">
        <f t="shared" si="109"/>
        <v/>
      </c>
      <c r="Z894" s="44" t="str">
        <f t="shared" si="110"/>
        <v/>
      </c>
      <c r="AA894" s="50" t="str">
        <f t="shared" si="111"/>
        <v/>
      </c>
      <c r="AB894" s="50" t="str">
        <f>IF(OR(B894="",C894&lt;&gt;"Expense"),"",IF(E894&gt;IFERROR(AVERAGEIFS($E$8:$E$1007,$I$8:$I$1007,I894,$C$8:$C$1007,"Expense")*SETTINGS!$B$20,0),"Unusually High","Normal"))</f>
        <v/>
      </c>
      <c r="AC894" s="51"/>
      <c r="AD894" s="51"/>
      <c r="AE894" s="51"/>
      <c r="AF894" s="50" t="str">
        <f>IF(A894&lt;&gt;"Yes","No",IF(AND(AC894="Yes",SETTINGS!$B$16="No"),"No","Yes"))</f>
        <v>No</v>
      </c>
      <c r="AG894" s="50" t="str">
        <f>IF(A894&lt;&gt;"Yes","",IF(OR(B894="",D894="",E894&lt;=0,F894="",I894=""),"Check Required Fields",IF(AA894="Possible Duplicate","Possible Duplicate",IF(E894&gt;SETTINGS!$B$22,"Review Extreme Value","OK"))))</f>
        <v/>
      </c>
    </row>
    <row r="895" spans="1:33" ht="14.4">
      <c r="A895" s="9"/>
      <c r="B895" s="13"/>
      <c r="C895" s="9"/>
      <c r="D895" s="9"/>
      <c r="E895" s="11"/>
      <c r="F895" s="9"/>
      <c r="G895" s="9"/>
      <c r="H895" s="44" t="str">
        <f>IF(D895="","",IF(ISNUMBER(SEARCH(SETTINGS!$K$4,D895)),SETTINGS!$L$4,IF(ISNUMBER(SEARCH(SETTINGS!$K$5,D895)),SETTINGS!$L$5,IF(ISNUMBER(SEARCH(SETTINGS!$K$6,D895)),SETTINGS!$L$6,IF(ISNUMBER(SEARCH(SETTINGS!$K$7,D895)),SETTINGS!$L$7,IF(ISNUMBER(SEARCH(SETTINGS!$K$8,D895)),SETTINGS!$L$8,IF(ISNUMBER(SEARCH(SETTINGS!$K$9,D895)),SETTINGS!$L$9,IF(ISNUMBER(SEARCH(SETTINGS!$K$10,D895)),SETTINGS!$L$10,IF(ISNUMBER(SEARCH(SETTINGS!$K$11,D895)),SETTINGS!$L$11,IF(ISNUMBER(SEARCH(SETTINGS!$K$12,D895)),SETTINGS!$L$12,IF(ISNUMBER(SEARCH(SETTINGS!$K$13,D895)),SETTINGS!$L$13,IF(ISNUMBER(SEARCH(SETTINGS!$K$14,D895)),SETTINGS!$L$14,IF(ISNUMBER(SEARCH(SETTINGS!$K$15,D895)),SETTINGS!$L$15,IF(ISNUMBER(SEARCH(SETTINGS!$K$16,D895)),SETTINGS!$L$16,IF(ISNUMBER(SEARCH(SETTINGS!$K$17,D895)),SETTINGS!$L$17,IF(ISNUMBER(SEARCH(SETTINGS!$K$18,D895)),SETTINGS!$L$18,"Miscellaneous"))))))))))))))))</f>
        <v/>
      </c>
      <c r="I895" s="44" t="str">
        <f t="shared" si="104"/>
        <v/>
      </c>
      <c r="J895" s="9"/>
      <c r="K895" s="9"/>
      <c r="L895" s="9"/>
      <c r="M895" s="9"/>
      <c r="N895" s="9"/>
      <c r="O895" s="9"/>
      <c r="P895" s="13"/>
      <c r="Q895" s="9"/>
      <c r="R895" s="9"/>
      <c r="S895" s="9"/>
      <c r="T895" s="11"/>
      <c r="U895" s="44" t="str">
        <f t="shared" si="105"/>
        <v/>
      </c>
      <c r="V895" s="44" t="str">
        <f t="shared" si="106"/>
        <v/>
      </c>
      <c r="W895" s="44" t="str">
        <f t="shared" si="107"/>
        <v/>
      </c>
      <c r="X895" s="44" t="str">
        <f t="shared" si="108"/>
        <v/>
      </c>
      <c r="Y895" s="44" t="str">
        <f t="shared" si="109"/>
        <v/>
      </c>
      <c r="Z895" s="44" t="str">
        <f t="shared" si="110"/>
        <v/>
      </c>
      <c r="AA895" s="50" t="str">
        <f t="shared" si="111"/>
        <v/>
      </c>
      <c r="AB895" s="50" t="str">
        <f>IF(OR(B895="",C895&lt;&gt;"Expense"),"",IF(E895&gt;IFERROR(AVERAGEIFS($E$8:$E$1007,$I$8:$I$1007,I895,$C$8:$C$1007,"Expense")*SETTINGS!$B$20,0),"Unusually High","Normal"))</f>
        <v/>
      </c>
      <c r="AC895" s="51"/>
      <c r="AD895" s="51"/>
      <c r="AE895" s="51"/>
      <c r="AF895" s="50" t="str">
        <f>IF(A895&lt;&gt;"Yes","No",IF(AND(AC895="Yes",SETTINGS!$B$16="No"),"No","Yes"))</f>
        <v>No</v>
      </c>
      <c r="AG895" s="50" t="str">
        <f>IF(A895&lt;&gt;"Yes","",IF(OR(B895="",D895="",E895&lt;=0,F895="",I895=""),"Check Required Fields",IF(AA895="Possible Duplicate","Possible Duplicate",IF(E895&gt;SETTINGS!$B$22,"Review Extreme Value","OK"))))</f>
        <v/>
      </c>
    </row>
    <row r="896" spans="1:33" ht="14.4">
      <c r="A896" s="9"/>
      <c r="B896" s="13"/>
      <c r="C896" s="9"/>
      <c r="D896" s="9"/>
      <c r="E896" s="11"/>
      <c r="F896" s="9"/>
      <c r="G896" s="9"/>
      <c r="H896" s="44" t="str">
        <f>IF(D896="","",IF(ISNUMBER(SEARCH(SETTINGS!$K$4,D896)),SETTINGS!$L$4,IF(ISNUMBER(SEARCH(SETTINGS!$K$5,D896)),SETTINGS!$L$5,IF(ISNUMBER(SEARCH(SETTINGS!$K$6,D896)),SETTINGS!$L$6,IF(ISNUMBER(SEARCH(SETTINGS!$K$7,D896)),SETTINGS!$L$7,IF(ISNUMBER(SEARCH(SETTINGS!$K$8,D896)),SETTINGS!$L$8,IF(ISNUMBER(SEARCH(SETTINGS!$K$9,D896)),SETTINGS!$L$9,IF(ISNUMBER(SEARCH(SETTINGS!$K$10,D896)),SETTINGS!$L$10,IF(ISNUMBER(SEARCH(SETTINGS!$K$11,D896)),SETTINGS!$L$11,IF(ISNUMBER(SEARCH(SETTINGS!$K$12,D896)),SETTINGS!$L$12,IF(ISNUMBER(SEARCH(SETTINGS!$K$13,D896)),SETTINGS!$L$13,IF(ISNUMBER(SEARCH(SETTINGS!$K$14,D896)),SETTINGS!$L$14,IF(ISNUMBER(SEARCH(SETTINGS!$K$15,D896)),SETTINGS!$L$15,IF(ISNUMBER(SEARCH(SETTINGS!$K$16,D896)),SETTINGS!$L$16,IF(ISNUMBER(SEARCH(SETTINGS!$K$17,D896)),SETTINGS!$L$17,IF(ISNUMBER(SEARCH(SETTINGS!$K$18,D896)),SETTINGS!$L$18,"Miscellaneous"))))))))))))))))</f>
        <v/>
      </c>
      <c r="I896" s="44" t="str">
        <f t="shared" si="104"/>
        <v/>
      </c>
      <c r="J896" s="9"/>
      <c r="K896" s="9"/>
      <c r="L896" s="9"/>
      <c r="M896" s="9"/>
      <c r="N896" s="9"/>
      <c r="O896" s="9"/>
      <c r="P896" s="13"/>
      <c r="Q896" s="9"/>
      <c r="R896" s="9"/>
      <c r="S896" s="9"/>
      <c r="T896" s="11"/>
      <c r="U896" s="44" t="str">
        <f t="shared" si="105"/>
        <v/>
      </c>
      <c r="V896" s="44" t="str">
        <f t="shared" si="106"/>
        <v/>
      </c>
      <c r="W896" s="44" t="str">
        <f t="shared" si="107"/>
        <v/>
      </c>
      <c r="X896" s="44" t="str">
        <f t="shared" si="108"/>
        <v/>
      </c>
      <c r="Y896" s="44" t="str">
        <f t="shared" si="109"/>
        <v/>
      </c>
      <c r="Z896" s="44" t="str">
        <f t="shared" si="110"/>
        <v/>
      </c>
      <c r="AA896" s="50" t="str">
        <f t="shared" si="111"/>
        <v/>
      </c>
      <c r="AB896" s="50" t="str">
        <f>IF(OR(B896="",C896&lt;&gt;"Expense"),"",IF(E896&gt;IFERROR(AVERAGEIFS($E$8:$E$1007,$I$8:$I$1007,I896,$C$8:$C$1007,"Expense")*SETTINGS!$B$20,0),"Unusually High","Normal"))</f>
        <v/>
      </c>
      <c r="AC896" s="51"/>
      <c r="AD896" s="51"/>
      <c r="AE896" s="51"/>
      <c r="AF896" s="50" t="str">
        <f>IF(A896&lt;&gt;"Yes","No",IF(AND(AC896="Yes",SETTINGS!$B$16="No"),"No","Yes"))</f>
        <v>No</v>
      </c>
      <c r="AG896" s="50" t="str">
        <f>IF(A896&lt;&gt;"Yes","",IF(OR(B896="",D896="",E896&lt;=0,F896="",I896=""),"Check Required Fields",IF(AA896="Possible Duplicate","Possible Duplicate",IF(E896&gt;SETTINGS!$B$22,"Review Extreme Value","OK"))))</f>
        <v/>
      </c>
    </row>
    <row r="897" spans="1:33" ht="14.4">
      <c r="A897" s="9"/>
      <c r="B897" s="13"/>
      <c r="C897" s="9"/>
      <c r="D897" s="9"/>
      <c r="E897" s="11"/>
      <c r="F897" s="9"/>
      <c r="G897" s="9"/>
      <c r="H897" s="44" t="str">
        <f>IF(D897="","",IF(ISNUMBER(SEARCH(SETTINGS!$K$4,D897)),SETTINGS!$L$4,IF(ISNUMBER(SEARCH(SETTINGS!$K$5,D897)),SETTINGS!$L$5,IF(ISNUMBER(SEARCH(SETTINGS!$K$6,D897)),SETTINGS!$L$6,IF(ISNUMBER(SEARCH(SETTINGS!$K$7,D897)),SETTINGS!$L$7,IF(ISNUMBER(SEARCH(SETTINGS!$K$8,D897)),SETTINGS!$L$8,IF(ISNUMBER(SEARCH(SETTINGS!$K$9,D897)),SETTINGS!$L$9,IF(ISNUMBER(SEARCH(SETTINGS!$K$10,D897)),SETTINGS!$L$10,IF(ISNUMBER(SEARCH(SETTINGS!$K$11,D897)),SETTINGS!$L$11,IF(ISNUMBER(SEARCH(SETTINGS!$K$12,D897)),SETTINGS!$L$12,IF(ISNUMBER(SEARCH(SETTINGS!$K$13,D897)),SETTINGS!$L$13,IF(ISNUMBER(SEARCH(SETTINGS!$K$14,D897)),SETTINGS!$L$14,IF(ISNUMBER(SEARCH(SETTINGS!$K$15,D897)),SETTINGS!$L$15,IF(ISNUMBER(SEARCH(SETTINGS!$K$16,D897)),SETTINGS!$L$16,IF(ISNUMBER(SEARCH(SETTINGS!$K$17,D897)),SETTINGS!$L$17,IF(ISNUMBER(SEARCH(SETTINGS!$K$18,D897)),SETTINGS!$L$18,"Miscellaneous"))))))))))))))))</f>
        <v/>
      </c>
      <c r="I897" s="44" t="str">
        <f t="shared" si="104"/>
        <v/>
      </c>
      <c r="J897" s="9"/>
      <c r="K897" s="9"/>
      <c r="L897" s="9"/>
      <c r="M897" s="9"/>
      <c r="N897" s="9"/>
      <c r="O897" s="9"/>
      <c r="P897" s="13"/>
      <c r="Q897" s="9"/>
      <c r="R897" s="9"/>
      <c r="S897" s="9"/>
      <c r="T897" s="11"/>
      <c r="U897" s="44" t="str">
        <f t="shared" si="105"/>
        <v/>
      </c>
      <c r="V897" s="44" t="str">
        <f t="shared" si="106"/>
        <v/>
      </c>
      <c r="W897" s="44" t="str">
        <f t="shared" si="107"/>
        <v/>
      </c>
      <c r="X897" s="44" t="str">
        <f t="shared" si="108"/>
        <v/>
      </c>
      <c r="Y897" s="44" t="str">
        <f t="shared" si="109"/>
        <v/>
      </c>
      <c r="Z897" s="44" t="str">
        <f t="shared" si="110"/>
        <v/>
      </c>
      <c r="AA897" s="50" t="str">
        <f t="shared" si="111"/>
        <v/>
      </c>
      <c r="AB897" s="50" t="str">
        <f>IF(OR(B897="",C897&lt;&gt;"Expense"),"",IF(E897&gt;IFERROR(AVERAGEIFS($E$8:$E$1007,$I$8:$I$1007,I897,$C$8:$C$1007,"Expense")*SETTINGS!$B$20,0),"Unusually High","Normal"))</f>
        <v/>
      </c>
      <c r="AC897" s="51"/>
      <c r="AD897" s="51"/>
      <c r="AE897" s="51"/>
      <c r="AF897" s="50" t="str">
        <f>IF(A897&lt;&gt;"Yes","No",IF(AND(AC897="Yes",SETTINGS!$B$16="No"),"No","Yes"))</f>
        <v>No</v>
      </c>
      <c r="AG897" s="50" t="str">
        <f>IF(A897&lt;&gt;"Yes","",IF(OR(B897="",D897="",E897&lt;=0,F897="",I897=""),"Check Required Fields",IF(AA897="Possible Duplicate","Possible Duplicate",IF(E897&gt;SETTINGS!$B$22,"Review Extreme Value","OK"))))</f>
        <v/>
      </c>
    </row>
    <row r="898" spans="1:33" ht="14.4">
      <c r="A898" s="9"/>
      <c r="B898" s="13"/>
      <c r="C898" s="9"/>
      <c r="D898" s="9"/>
      <c r="E898" s="11"/>
      <c r="F898" s="9"/>
      <c r="G898" s="9"/>
      <c r="H898" s="44" t="str">
        <f>IF(D898="","",IF(ISNUMBER(SEARCH(SETTINGS!$K$4,D898)),SETTINGS!$L$4,IF(ISNUMBER(SEARCH(SETTINGS!$K$5,D898)),SETTINGS!$L$5,IF(ISNUMBER(SEARCH(SETTINGS!$K$6,D898)),SETTINGS!$L$6,IF(ISNUMBER(SEARCH(SETTINGS!$K$7,D898)),SETTINGS!$L$7,IF(ISNUMBER(SEARCH(SETTINGS!$K$8,D898)),SETTINGS!$L$8,IF(ISNUMBER(SEARCH(SETTINGS!$K$9,D898)),SETTINGS!$L$9,IF(ISNUMBER(SEARCH(SETTINGS!$K$10,D898)),SETTINGS!$L$10,IF(ISNUMBER(SEARCH(SETTINGS!$K$11,D898)),SETTINGS!$L$11,IF(ISNUMBER(SEARCH(SETTINGS!$K$12,D898)),SETTINGS!$L$12,IF(ISNUMBER(SEARCH(SETTINGS!$K$13,D898)),SETTINGS!$L$13,IF(ISNUMBER(SEARCH(SETTINGS!$K$14,D898)),SETTINGS!$L$14,IF(ISNUMBER(SEARCH(SETTINGS!$K$15,D898)),SETTINGS!$L$15,IF(ISNUMBER(SEARCH(SETTINGS!$K$16,D898)),SETTINGS!$L$16,IF(ISNUMBER(SEARCH(SETTINGS!$K$17,D898)),SETTINGS!$L$17,IF(ISNUMBER(SEARCH(SETTINGS!$K$18,D898)),SETTINGS!$L$18,"Miscellaneous"))))))))))))))))</f>
        <v/>
      </c>
      <c r="I898" s="44" t="str">
        <f t="shared" si="104"/>
        <v/>
      </c>
      <c r="J898" s="9"/>
      <c r="K898" s="9"/>
      <c r="L898" s="9"/>
      <c r="M898" s="9"/>
      <c r="N898" s="9"/>
      <c r="O898" s="9"/>
      <c r="P898" s="13"/>
      <c r="Q898" s="9"/>
      <c r="R898" s="9"/>
      <c r="S898" s="9"/>
      <c r="T898" s="11"/>
      <c r="U898" s="44" t="str">
        <f t="shared" si="105"/>
        <v/>
      </c>
      <c r="V898" s="44" t="str">
        <f t="shared" si="106"/>
        <v/>
      </c>
      <c r="W898" s="44" t="str">
        <f t="shared" si="107"/>
        <v/>
      </c>
      <c r="X898" s="44" t="str">
        <f t="shared" si="108"/>
        <v/>
      </c>
      <c r="Y898" s="44" t="str">
        <f t="shared" si="109"/>
        <v/>
      </c>
      <c r="Z898" s="44" t="str">
        <f t="shared" si="110"/>
        <v/>
      </c>
      <c r="AA898" s="50" t="str">
        <f t="shared" si="111"/>
        <v/>
      </c>
      <c r="AB898" s="50" t="str">
        <f>IF(OR(B898="",C898&lt;&gt;"Expense"),"",IF(E898&gt;IFERROR(AVERAGEIFS($E$8:$E$1007,$I$8:$I$1007,I898,$C$8:$C$1007,"Expense")*SETTINGS!$B$20,0),"Unusually High","Normal"))</f>
        <v/>
      </c>
      <c r="AC898" s="51"/>
      <c r="AD898" s="51"/>
      <c r="AE898" s="51"/>
      <c r="AF898" s="50" t="str">
        <f>IF(A898&lt;&gt;"Yes","No",IF(AND(AC898="Yes",SETTINGS!$B$16="No"),"No","Yes"))</f>
        <v>No</v>
      </c>
      <c r="AG898" s="50" t="str">
        <f>IF(A898&lt;&gt;"Yes","",IF(OR(B898="",D898="",E898&lt;=0,F898="",I898=""),"Check Required Fields",IF(AA898="Possible Duplicate","Possible Duplicate",IF(E898&gt;SETTINGS!$B$22,"Review Extreme Value","OK"))))</f>
        <v/>
      </c>
    </row>
    <row r="899" spans="1:33" ht="14.4">
      <c r="A899" s="9"/>
      <c r="B899" s="13"/>
      <c r="C899" s="9"/>
      <c r="D899" s="9"/>
      <c r="E899" s="11"/>
      <c r="F899" s="9"/>
      <c r="G899" s="9"/>
      <c r="H899" s="44" t="str">
        <f>IF(D899="","",IF(ISNUMBER(SEARCH(SETTINGS!$K$4,D899)),SETTINGS!$L$4,IF(ISNUMBER(SEARCH(SETTINGS!$K$5,D899)),SETTINGS!$L$5,IF(ISNUMBER(SEARCH(SETTINGS!$K$6,D899)),SETTINGS!$L$6,IF(ISNUMBER(SEARCH(SETTINGS!$K$7,D899)),SETTINGS!$L$7,IF(ISNUMBER(SEARCH(SETTINGS!$K$8,D899)),SETTINGS!$L$8,IF(ISNUMBER(SEARCH(SETTINGS!$K$9,D899)),SETTINGS!$L$9,IF(ISNUMBER(SEARCH(SETTINGS!$K$10,D899)),SETTINGS!$L$10,IF(ISNUMBER(SEARCH(SETTINGS!$K$11,D899)),SETTINGS!$L$11,IF(ISNUMBER(SEARCH(SETTINGS!$K$12,D899)),SETTINGS!$L$12,IF(ISNUMBER(SEARCH(SETTINGS!$K$13,D899)),SETTINGS!$L$13,IF(ISNUMBER(SEARCH(SETTINGS!$K$14,D899)),SETTINGS!$L$14,IF(ISNUMBER(SEARCH(SETTINGS!$K$15,D899)),SETTINGS!$L$15,IF(ISNUMBER(SEARCH(SETTINGS!$K$16,D899)),SETTINGS!$L$16,IF(ISNUMBER(SEARCH(SETTINGS!$K$17,D899)),SETTINGS!$L$17,IF(ISNUMBER(SEARCH(SETTINGS!$K$18,D899)),SETTINGS!$L$18,"Miscellaneous"))))))))))))))))</f>
        <v/>
      </c>
      <c r="I899" s="44" t="str">
        <f t="shared" si="104"/>
        <v/>
      </c>
      <c r="J899" s="9"/>
      <c r="K899" s="9"/>
      <c r="L899" s="9"/>
      <c r="M899" s="9"/>
      <c r="N899" s="9"/>
      <c r="O899" s="9"/>
      <c r="P899" s="13"/>
      <c r="Q899" s="9"/>
      <c r="R899" s="9"/>
      <c r="S899" s="9"/>
      <c r="T899" s="11"/>
      <c r="U899" s="44" t="str">
        <f t="shared" si="105"/>
        <v/>
      </c>
      <c r="V899" s="44" t="str">
        <f t="shared" si="106"/>
        <v/>
      </c>
      <c r="W899" s="44" t="str">
        <f t="shared" si="107"/>
        <v/>
      </c>
      <c r="X899" s="44" t="str">
        <f t="shared" si="108"/>
        <v/>
      </c>
      <c r="Y899" s="44" t="str">
        <f t="shared" si="109"/>
        <v/>
      </c>
      <c r="Z899" s="44" t="str">
        <f t="shared" si="110"/>
        <v/>
      </c>
      <c r="AA899" s="50" t="str">
        <f t="shared" si="111"/>
        <v/>
      </c>
      <c r="AB899" s="50" t="str">
        <f>IF(OR(B899="",C899&lt;&gt;"Expense"),"",IF(E899&gt;IFERROR(AVERAGEIFS($E$8:$E$1007,$I$8:$I$1007,I899,$C$8:$C$1007,"Expense")*SETTINGS!$B$20,0),"Unusually High","Normal"))</f>
        <v/>
      </c>
      <c r="AC899" s="51"/>
      <c r="AD899" s="51"/>
      <c r="AE899" s="51"/>
      <c r="AF899" s="50" t="str">
        <f>IF(A899&lt;&gt;"Yes","No",IF(AND(AC899="Yes",SETTINGS!$B$16="No"),"No","Yes"))</f>
        <v>No</v>
      </c>
      <c r="AG899" s="50" t="str">
        <f>IF(A899&lt;&gt;"Yes","",IF(OR(B899="",D899="",E899&lt;=0,F899="",I899=""),"Check Required Fields",IF(AA899="Possible Duplicate","Possible Duplicate",IF(E899&gt;SETTINGS!$B$22,"Review Extreme Value","OK"))))</f>
        <v/>
      </c>
    </row>
    <row r="900" spans="1:33" ht="14.4">
      <c r="A900" s="9"/>
      <c r="B900" s="13"/>
      <c r="C900" s="9"/>
      <c r="D900" s="9"/>
      <c r="E900" s="11"/>
      <c r="F900" s="9"/>
      <c r="G900" s="9"/>
      <c r="H900" s="44" t="str">
        <f>IF(D900="","",IF(ISNUMBER(SEARCH(SETTINGS!$K$4,D900)),SETTINGS!$L$4,IF(ISNUMBER(SEARCH(SETTINGS!$K$5,D900)),SETTINGS!$L$5,IF(ISNUMBER(SEARCH(SETTINGS!$K$6,D900)),SETTINGS!$L$6,IF(ISNUMBER(SEARCH(SETTINGS!$K$7,D900)),SETTINGS!$L$7,IF(ISNUMBER(SEARCH(SETTINGS!$K$8,D900)),SETTINGS!$L$8,IF(ISNUMBER(SEARCH(SETTINGS!$K$9,D900)),SETTINGS!$L$9,IF(ISNUMBER(SEARCH(SETTINGS!$K$10,D900)),SETTINGS!$L$10,IF(ISNUMBER(SEARCH(SETTINGS!$K$11,D900)),SETTINGS!$L$11,IF(ISNUMBER(SEARCH(SETTINGS!$K$12,D900)),SETTINGS!$L$12,IF(ISNUMBER(SEARCH(SETTINGS!$K$13,D900)),SETTINGS!$L$13,IF(ISNUMBER(SEARCH(SETTINGS!$K$14,D900)),SETTINGS!$L$14,IF(ISNUMBER(SEARCH(SETTINGS!$K$15,D900)),SETTINGS!$L$15,IF(ISNUMBER(SEARCH(SETTINGS!$K$16,D900)),SETTINGS!$L$16,IF(ISNUMBER(SEARCH(SETTINGS!$K$17,D900)),SETTINGS!$L$17,IF(ISNUMBER(SEARCH(SETTINGS!$K$18,D900)),SETTINGS!$L$18,"Miscellaneous"))))))))))))))))</f>
        <v/>
      </c>
      <c r="I900" s="44" t="str">
        <f t="shared" si="104"/>
        <v/>
      </c>
      <c r="J900" s="9"/>
      <c r="K900" s="9"/>
      <c r="L900" s="9"/>
      <c r="M900" s="9"/>
      <c r="N900" s="9"/>
      <c r="O900" s="9"/>
      <c r="P900" s="13"/>
      <c r="Q900" s="9"/>
      <c r="R900" s="9"/>
      <c r="S900" s="9"/>
      <c r="T900" s="11"/>
      <c r="U900" s="44" t="str">
        <f t="shared" si="105"/>
        <v/>
      </c>
      <c r="V900" s="44" t="str">
        <f t="shared" si="106"/>
        <v/>
      </c>
      <c r="W900" s="44" t="str">
        <f t="shared" si="107"/>
        <v/>
      </c>
      <c r="X900" s="44" t="str">
        <f t="shared" si="108"/>
        <v/>
      </c>
      <c r="Y900" s="44" t="str">
        <f t="shared" si="109"/>
        <v/>
      </c>
      <c r="Z900" s="44" t="str">
        <f t="shared" si="110"/>
        <v/>
      </c>
      <c r="AA900" s="50" t="str">
        <f t="shared" si="111"/>
        <v/>
      </c>
      <c r="AB900" s="50" t="str">
        <f>IF(OR(B900="",C900&lt;&gt;"Expense"),"",IF(E900&gt;IFERROR(AVERAGEIFS($E$8:$E$1007,$I$8:$I$1007,I900,$C$8:$C$1007,"Expense")*SETTINGS!$B$20,0),"Unusually High","Normal"))</f>
        <v/>
      </c>
      <c r="AC900" s="51"/>
      <c r="AD900" s="51"/>
      <c r="AE900" s="51"/>
      <c r="AF900" s="50" t="str">
        <f>IF(A900&lt;&gt;"Yes","No",IF(AND(AC900="Yes",SETTINGS!$B$16="No"),"No","Yes"))</f>
        <v>No</v>
      </c>
      <c r="AG900" s="50" t="str">
        <f>IF(A900&lt;&gt;"Yes","",IF(OR(B900="",D900="",E900&lt;=0,F900="",I900=""),"Check Required Fields",IF(AA900="Possible Duplicate","Possible Duplicate",IF(E900&gt;SETTINGS!$B$22,"Review Extreme Value","OK"))))</f>
        <v/>
      </c>
    </row>
    <row r="901" spans="1:33" ht="14.4">
      <c r="A901" s="9"/>
      <c r="B901" s="13"/>
      <c r="C901" s="9"/>
      <c r="D901" s="9"/>
      <c r="E901" s="11"/>
      <c r="F901" s="9"/>
      <c r="G901" s="9"/>
      <c r="H901" s="44" t="str">
        <f>IF(D901="","",IF(ISNUMBER(SEARCH(SETTINGS!$K$4,D901)),SETTINGS!$L$4,IF(ISNUMBER(SEARCH(SETTINGS!$K$5,D901)),SETTINGS!$L$5,IF(ISNUMBER(SEARCH(SETTINGS!$K$6,D901)),SETTINGS!$L$6,IF(ISNUMBER(SEARCH(SETTINGS!$K$7,D901)),SETTINGS!$L$7,IF(ISNUMBER(SEARCH(SETTINGS!$K$8,D901)),SETTINGS!$L$8,IF(ISNUMBER(SEARCH(SETTINGS!$K$9,D901)),SETTINGS!$L$9,IF(ISNUMBER(SEARCH(SETTINGS!$K$10,D901)),SETTINGS!$L$10,IF(ISNUMBER(SEARCH(SETTINGS!$K$11,D901)),SETTINGS!$L$11,IF(ISNUMBER(SEARCH(SETTINGS!$K$12,D901)),SETTINGS!$L$12,IF(ISNUMBER(SEARCH(SETTINGS!$K$13,D901)),SETTINGS!$L$13,IF(ISNUMBER(SEARCH(SETTINGS!$K$14,D901)),SETTINGS!$L$14,IF(ISNUMBER(SEARCH(SETTINGS!$K$15,D901)),SETTINGS!$L$15,IF(ISNUMBER(SEARCH(SETTINGS!$K$16,D901)),SETTINGS!$L$16,IF(ISNUMBER(SEARCH(SETTINGS!$K$17,D901)),SETTINGS!$L$17,IF(ISNUMBER(SEARCH(SETTINGS!$K$18,D901)),SETTINGS!$L$18,"Miscellaneous"))))))))))))))))</f>
        <v/>
      </c>
      <c r="I901" s="44" t="str">
        <f t="shared" si="104"/>
        <v/>
      </c>
      <c r="J901" s="9"/>
      <c r="K901" s="9"/>
      <c r="L901" s="9"/>
      <c r="M901" s="9"/>
      <c r="N901" s="9"/>
      <c r="O901" s="9"/>
      <c r="P901" s="13"/>
      <c r="Q901" s="9"/>
      <c r="R901" s="9"/>
      <c r="S901" s="9"/>
      <c r="T901" s="11"/>
      <c r="U901" s="44" t="str">
        <f t="shared" si="105"/>
        <v/>
      </c>
      <c r="V901" s="44" t="str">
        <f t="shared" si="106"/>
        <v/>
      </c>
      <c r="W901" s="44" t="str">
        <f t="shared" si="107"/>
        <v/>
      </c>
      <c r="X901" s="44" t="str">
        <f t="shared" si="108"/>
        <v/>
      </c>
      <c r="Y901" s="44" t="str">
        <f t="shared" si="109"/>
        <v/>
      </c>
      <c r="Z901" s="44" t="str">
        <f t="shared" si="110"/>
        <v/>
      </c>
      <c r="AA901" s="50" t="str">
        <f t="shared" si="111"/>
        <v/>
      </c>
      <c r="AB901" s="50" t="str">
        <f>IF(OR(B901="",C901&lt;&gt;"Expense"),"",IF(E901&gt;IFERROR(AVERAGEIFS($E$8:$E$1007,$I$8:$I$1007,I901,$C$8:$C$1007,"Expense")*SETTINGS!$B$20,0),"Unusually High","Normal"))</f>
        <v/>
      </c>
      <c r="AC901" s="51"/>
      <c r="AD901" s="51"/>
      <c r="AE901" s="51"/>
      <c r="AF901" s="50" t="str">
        <f>IF(A901&lt;&gt;"Yes","No",IF(AND(AC901="Yes",SETTINGS!$B$16="No"),"No","Yes"))</f>
        <v>No</v>
      </c>
      <c r="AG901" s="50" t="str">
        <f>IF(A901&lt;&gt;"Yes","",IF(OR(B901="",D901="",E901&lt;=0,F901="",I901=""),"Check Required Fields",IF(AA901="Possible Duplicate","Possible Duplicate",IF(E901&gt;SETTINGS!$B$22,"Review Extreme Value","OK"))))</f>
        <v/>
      </c>
    </row>
    <row r="902" spans="1:33" ht="14.4">
      <c r="A902" s="9"/>
      <c r="B902" s="13"/>
      <c r="C902" s="9"/>
      <c r="D902" s="9"/>
      <c r="E902" s="11"/>
      <c r="F902" s="9"/>
      <c r="G902" s="9"/>
      <c r="H902" s="44" t="str">
        <f>IF(D902="","",IF(ISNUMBER(SEARCH(SETTINGS!$K$4,D902)),SETTINGS!$L$4,IF(ISNUMBER(SEARCH(SETTINGS!$K$5,D902)),SETTINGS!$L$5,IF(ISNUMBER(SEARCH(SETTINGS!$K$6,D902)),SETTINGS!$L$6,IF(ISNUMBER(SEARCH(SETTINGS!$K$7,D902)),SETTINGS!$L$7,IF(ISNUMBER(SEARCH(SETTINGS!$K$8,D902)),SETTINGS!$L$8,IF(ISNUMBER(SEARCH(SETTINGS!$K$9,D902)),SETTINGS!$L$9,IF(ISNUMBER(SEARCH(SETTINGS!$K$10,D902)),SETTINGS!$L$10,IF(ISNUMBER(SEARCH(SETTINGS!$K$11,D902)),SETTINGS!$L$11,IF(ISNUMBER(SEARCH(SETTINGS!$K$12,D902)),SETTINGS!$L$12,IF(ISNUMBER(SEARCH(SETTINGS!$K$13,D902)),SETTINGS!$L$13,IF(ISNUMBER(SEARCH(SETTINGS!$K$14,D902)),SETTINGS!$L$14,IF(ISNUMBER(SEARCH(SETTINGS!$K$15,D902)),SETTINGS!$L$15,IF(ISNUMBER(SEARCH(SETTINGS!$K$16,D902)),SETTINGS!$L$16,IF(ISNUMBER(SEARCH(SETTINGS!$K$17,D902)),SETTINGS!$L$17,IF(ISNUMBER(SEARCH(SETTINGS!$K$18,D902)),SETTINGS!$L$18,"Miscellaneous"))))))))))))))))</f>
        <v/>
      </c>
      <c r="I902" s="44" t="str">
        <f t="shared" si="104"/>
        <v/>
      </c>
      <c r="J902" s="9"/>
      <c r="K902" s="9"/>
      <c r="L902" s="9"/>
      <c r="M902" s="9"/>
      <c r="N902" s="9"/>
      <c r="O902" s="9"/>
      <c r="P902" s="13"/>
      <c r="Q902" s="9"/>
      <c r="R902" s="9"/>
      <c r="S902" s="9"/>
      <c r="T902" s="11"/>
      <c r="U902" s="44" t="str">
        <f t="shared" si="105"/>
        <v/>
      </c>
      <c r="V902" s="44" t="str">
        <f t="shared" si="106"/>
        <v/>
      </c>
      <c r="W902" s="44" t="str">
        <f t="shared" si="107"/>
        <v/>
      </c>
      <c r="X902" s="44" t="str">
        <f t="shared" si="108"/>
        <v/>
      </c>
      <c r="Y902" s="44" t="str">
        <f t="shared" si="109"/>
        <v/>
      </c>
      <c r="Z902" s="44" t="str">
        <f t="shared" si="110"/>
        <v/>
      </c>
      <c r="AA902" s="50" t="str">
        <f t="shared" si="111"/>
        <v/>
      </c>
      <c r="AB902" s="50" t="str">
        <f>IF(OR(B902="",C902&lt;&gt;"Expense"),"",IF(E902&gt;IFERROR(AVERAGEIFS($E$8:$E$1007,$I$8:$I$1007,I902,$C$8:$C$1007,"Expense")*SETTINGS!$B$20,0),"Unusually High","Normal"))</f>
        <v/>
      </c>
      <c r="AC902" s="51"/>
      <c r="AD902" s="51"/>
      <c r="AE902" s="51"/>
      <c r="AF902" s="50" t="str">
        <f>IF(A902&lt;&gt;"Yes","No",IF(AND(AC902="Yes",SETTINGS!$B$16="No"),"No","Yes"))</f>
        <v>No</v>
      </c>
      <c r="AG902" s="50" t="str">
        <f>IF(A902&lt;&gt;"Yes","",IF(OR(B902="",D902="",E902&lt;=0,F902="",I902=""),"Check Required Fields",IF(AA902="Possible Duplicate","Possible Duplicate",IF(E902&gt;SETTINGS!$B$22,"Review Extreme Value","OK"))))</f>
        <v/>
      </c>
    </row>
    <row r="903" spans="1:33" ht="14.4">
      <c r="A903" s="9"/>
      <c r="B903" s="13"/>
      <c r="C903" s="9"/>
      <c r="D903" s="9"/>
      <c r="E903" s="11"/>
      <c r="F903" s="9"/>
      <c r="G903" s="9"/>
      <c r="H903" s="44" t="str">
        <f>IF(D903="","",IF(ISNUMBER(SEARCH(SETTINGS!$K$4,D903)),SETTINGS!$L$4,IF(ISNUMBER(SEARCH(SETTINGS!$K$5,D903)),SETTINGS!$L$5,IF(ISNUMBER(SEARCH(SETTINGS!$K$6,D903)),SETTINGS!$L$6,IF(ISNUMBER(SEARCH(SETTINGS!$K$7,D903)),SETTINGS!$L$7,IF(ISNUMBER(SEARCH(SETTINGS!$K$8,D903)),SETTINGS!$L$8,IF(ISNUMBER(SEARCH(SETTINGS!$K$9,D903)),SETTINGS!$L$9,IF(ISNUMBER(SEARCH(SETTINGS!$K$10,D903)),SETTINGS!$L$10,IF(ISNUMBER(SEARCH(SETTINGS!$K$11,D903)),SETTINGS!$L$11,IF(ISNUMBER(SEARCH(SETTINGS!$K$12,D903)),SETTINGS!$L$12,IF(ISNUMBER(SEARCH(SETTINGS!$K$13,D903)),SETTINGS!$L$13,IF(ISNUMBER(SEARCH(SETTINGS!$K$14,D903)),SETTINGS!$L$14,IF(ISNUMBER(SEARCH(SETTINGS!$K$15,D903)),SETTINGS!$L$15,IF(ISNUMBER(SEARCH(SETTINGS!$K$16,D903)),SETTINGS!$L$16,IF(ISNUMBER(SEARCH(SETTINGS!$K$17,D903)),SETTINGS!$L$17,IF(ISNUMBER(SEARCH(SETTINGS!$K$18,D903)),SETTINGS!$L$18,"Miscellaneous"))))))))))))))))</f>
        <v/>
      </c>
      <c r="I903" s="44" t="str">
        <f t="shared" si="104"/>
        <v/>
      </c>
      <c r="J903" s="9"/>
      <c r="K903" s="9"/>
      <c r="L903" s="9"/>
      <c r="M903" s="9"/>
      <c r="N903" s="9"/>
      <c r="O903" s="9"/>
      <c r="P903" s="13"/>
      <c r="Q903" s="9"/>
      <c r="R903" s="9"/>
      <c r="S903" s="9"/>
      <c r="T903" s="11"/>
      <c r="U903" s="44" t="str">
        <f t="shared" si="105"/>
        <v/>
      </c>
      <c r="V903" s="44" t="str">
        <f t="shared" si="106"/>
        <v/>
      </c>
      <c r="W903" s="44" t="str">
        <f t="shared" si="107"/>
        <v/>
      </c>
      <c r="X903" s="44" t="str">
        <f t="shared" si="108"/>
        <v/>
      </c>
      <c r="Y903" s="44" t="str">
        <f t="shared" si="109"/>
        <v/>
      </c>
      <c r="Z903" s="44" t="str">
        <f t="shared" si="110"/>
        <v/>
      </c>
      <c r="AA903" s="50" t="str">
        <f t="shared" si="111"/>
        <v/>
      </c>
      <c r="AB903" s="50" t="str">
        <f>IF(OR(B903="",C903&lt;&gt;"Expense"),"",IF(E903&gt;IFERROR(AVERAGEIFS($E$8:$E$1007,$I$8:$I$1007,I903,$C$8:$C$1007,"Expense")*SETTINGS!$B$20,0),"Unusually High","Normal"))</f>
        <v/>
      </c>
      <c r="AC903" s="51"/>
      <c r="AD903" s="51"/>
      <c r="AE903" s="51"/>
      <c r="AF903" s="50" t="str">
        <f>IF(A903&lt;&gt;"Yes","No",IF(AND(AC903="Yes",SETTINGS!$B$16="No"),"No","Yes"))</f>
        <v>No</v>
      </c>
      <c r="AG903" s="50" t="str">
        <f>IF(A903&lt;&gt;"Yes","",IF(OR(B903="",D903="",E903&lt;=0,F903="",I903=""),"Check Required Fields",IF(AA903="Possible Duplicate","Possible Duplicate",IF(E903&gt;SETTINGS!$B$22,"Review Extreme Value","OK"))))</f>
        <v/>
      </c>
    </row>
    <row r="904" spans="1:33" ht="14.4">
      <c r="A904" s="9"/>
      <c r="B904" s="13"/>
      <c r="C904" s="9"/>
      <c r="D904" s="9"/>
      <c r="E904" s="11"/>
      <c r="F904" s="9"/>
      <c r="G904" s="9"/>
      <c r="H904" s="44" t="str">
        <f>IF(D904="","",IF(ISNUMBER(SEARCH(SETTINGS!$K$4,D904)),SETTINGS!$L$4,IF(ISNUMBER(SEARCH(SETTINGS!$K$5,D904)),SETTINGS!$L$5,IF(ISNUMBER(SEARCH(SETTINGS!$K$6,D904)),SETTINGS!$L$6,IF(ISNUMBER(SEARCH(SETTINGS!$K$7,D904)),SETTINGS!$L$7,IF(ISNUMBER(SEARCH(SETTINGS!$K$8,D904)),SETTINGS!$L$8,IF(ISNUMBER(SEARCH(SETTINGS!$K$9,D904)),SETTINGS!$L$9,IF(ISNUMBER(SEARCH(SETTINGS!$K$10,D904)),SETTINGS!$L$10,IF(ISNUMBER(SEARCH(SETTINGS!$K$11,D904)),SETTINGS!$L$11,IF(ISNUMBER(SEARCH(SETTINGS!$K$12,D904)),SETTINGS!$L$12,IF(ISNUMBER(SEARCH(SETTINGS!$K$13,D904)),SETTINGS!$L$13,IF(ISNUMBER(SEARCH(SETTINGS!$K$14,D904)),SETTINGS!$L$14,IF(ISNUMBER(SEARCH(SETTINGS!$K$15,D904)),SETTINGS!$L$15,IF(ISNUMBER(SEARCH(SETTINGS!$K$16,D904)),SETTINGS!$L$16,IF(ISNUMBER(SEARCH(SETTINGS!$K$17,D904)),SETTINGS!$L$17,IF(ISNUMBER(SEARCH(SETTINGS!$K$18,D904)),SETTINGS!$L$18,"Miscellaneous"))))))))))))))))</f>
        <v/>
      </c>
      <c r="I904" s="44" t="str">
        <f t="shared" ref="I904:I967" si="112">IF(B904="","",IF(G904&lt;&gt;"",G904,H904))</f>
        <v/>
      </c>
      <c r="J904" s="9"/>
      <c r="K904" s="9"/>
      <c r="L904" s="9"/>
      <c r="M904" s="9"/>
      <c r="N904" s="9"/>
      <c r="O904" s="9"/>
      <c r="P904" s="13"/>
      <c r="Q904" s="9"/>
      <c r="R904" s="9"/>
      <c r="S904" s="9"/>
      <c r="T904" s="11"/>
      <c r="U904" s="44" t="str">
        <f t="shared" ref="U904:U967" si="113">IF(B904="","",IF(C904="Income","INC-",IF(C904="Expense","EXP-","TRX-"))&amp;TEXT(YEAR(B904),"0000")&amp;"-"&amp;TEXT(ROW()-7,"0000"))</f>
        <v/>
      </c>
      <c r="V904" s="44" t="str">
        <f t="shared" ref="V904:V967" si="114">IF(B904="","",TEXT(B904,"mmmm"))</f>
        <v/>
      </c>
      <c r="W904" s="44" t="str">
        <f t="shared" ref="W904:W967" si="115">IF(B904="","",MONTH(B904))</f>
        <v/>
      </c>
      <c r="X904" s="44" t="str">
        <f t="shared" ref="X904:X967" si="116">IF(B904="","",YEAR(B904))</f>
        <v/>
      </c>
      <c r="Y904" s="44" t="str">
        <f t="shared" ref="Y904:Y967" si="117">IF(B904="","",DAY(B904))</f>
        <v/>
      </c>
      <c r="Z904" s="44" t="str">
        <f t="shared" ref="Z904:Z967" si="118">IF(B904="","",IF(WEEKDAY(B904,2)&gt;5,"Weekend","Weekday"))</f>
        <v/>
      </c>
      <c r="AA904" s="50" t="str">
        <f t="shared" ref="AA904:AA967" si="119">IF(B904="","",IF(COUNTIFS($B$8:$B$1007,B904,$E$8:$E$1007,E904,$D$8:$D$1007,D904,$I$8:$I$1007,I904)&gt;1,"Possible Duplicate","OK"))</f>
        <v/>
      </c>
      <c r="AB904" s="50" t="str">
        <f>IF(OR(B904="",C904&lt;&gt;"Expense"),"",IF(E904&gt;IFERROR(AVERAGEIFS($E$8:$E$1007,$I$8:$I$1007,I904,$C$8:$C$1007,"Expense")*SETTINGS!$B$20,0),"Unusually High","Normal"))</f>
        <v/>
      </c>
      <c r="AC904" s="51"/>
      <c r="AD904" s="51"/>
      <c r="AE904" s="51"/>
      <c r="AF904" s="50" t="str">
        <f>IF(A904&lt;&gt;"Yes","No",IF(AND(AC904="Yes",SETTINGS!$B$16="No"),"No","Yes"))</f>
        <v>No</v>
      </c>
      <c r="AG904" s="50" t="str">
        <f>IF(A904&lt;&gt;"Yes","",IF(OR(B904="",D904="",E904&lt;=0,F904="",I904=""),"Check Required Fields",IF(AA904="Possible Duplicate","Possible Duplicate",IF(E904&gt;SETTINGS!$B$22,"Review Extreme Value","OK"))))</f>
        <v/>
      </c>
    </row>
    <row r="905" spans="1:33" ht="14.4">
      <c r="A905" s="9"/>
      <c r="B905" s="13"/>
      <c r="C905" s="9"/>
      <c r="D905" s="9"/>
      <c r="E905" s="11"/>
      <c r="F905" s="9"/>
      <c r="G905" s="9"/>
      <c r="H905" s="44" t="str">
        <f>IF(D905="","",IF(ISNUMBER(SEARCH(SETTINGS!$K$4,D905)),SETTINGS!$L$4,IF(ISNUMBER(SEARCH(SETTINGS!$K$5,D905)),SETTINGS!$L$5,IF(ISNUMBER(SEARCH(SETTINGS!$K$6,D905)),SETTINGS!$L$6,IF(ISNUMBER(SEARCH(SETTINGS!$K$7,D905)),SETTINGS!$L$7,IF(ISNUMBER(SEARCH(SETTINGS!$K$8,D905)),SETTINGS!$L$8,IF(ISNUMBER(SEARCH(SETTINGS!$K$9,D905)),SETTINGS!$L$9,IF(ISNUMBER(SEARCH(SETTINGS!$K$10,D905)),SETTINGS!$L$10,IF(ISNUMBER(SEARCH(SETTINGS!$K$11,D905)),SETTINGS!$L$11,IF(ISNUMBER(SEARCH(SETTINGS!$K$12,D905)),SETTINGS!$L$12,IF(ISNUMBER(SEARCH(SETTINGS!$K$13,D905)),SETTINGS!$L$13,IF(ISNUMBER(SEARCH(SETTINGS!$K$14,D905)),SETTINGS!$L$14,IF(ISNUMBER(SEARCH(SETTINGS!$K$15,D905)),SETTINGS!$L$15,IF(ISNUMBER(SEARCH(SETTINGS!$K$16,D905)),SETTINGS!$L$16,IF(ISNUMBER(SEARCH(SETTINGS!$K$17,D905)),SETTINGS!$L$17,IF(ISNUMBER(SEARCH(SETTINGS!$K$18,D905)),SETTINGS!$L$18,"Miscellaneous"))))))))))))))))</f>
        <v/>
      </c>
      <c r="I905" s="44" t="str">
        <f t="shared" si="112"/>
        <v/>
      </c>
      <c r="J905" s="9"/>
      <c r="K905" s="9"/>
      <c r="L905" s="9"/>
      <c r="M905" s="9"/>
      <c r="N905" s="9"/>
      <c r="O905" s="9"/>
      <c r="P905" s="13"/>
      <c r="Q905" s="9"/>
      <c r="R905" s="9"/>
      <c r="S905" s="9"/>
      <c r="T905" s="11"/>
      <c r="U905" s="44" t="str">
        <f t="shared" si="113"/>
        <v/>
      </c>
      <c r="V905" s="44" t="str">
        <f t="shared" si="114"/>
        <v/>
      </c>
      <c r="W905" s="44" t="str">
        <f t="shared" si="115"/>
        <v/>
      </c>
      <c r="X905" s="44" t="str">
        <f t="shared" si="116"/>
        <v/>
      </c>
      <c r="Y905" s="44" t="str">
        <f t="shared" si="117"/>
        <v/>
      </c>
      <c r="Z905" s="44" t="str">
        <f t="shared" si="118"/>
        <v/>
      </c>
      <c r="AA905" s="50" t="str">
        <f t="shared" si="119"/>
        <v/>
      </c>
      <c r="AB905" s="50" t="str">
        <f>IF(OR(B905="",C905&lt;&gt;"Expense"),"",IF(E905&gt;IFERROR(AVERAGEIFS($E$8:$E$1007,$I$8:$I$1007,I905,$C$8:$C$1007,"Expense")*SETTINGS!$B$20,0),"Unusually High","Normal"))</f>
        <v/>
      </c>
      <c r="AC905" s="51"/>
      <c r="AD905" s="51"/>
      <c r="AE905" s="51"/>
      <c r="AF905" s="50" t="str">
        <f>IF(A905&lt;&gt;"Yes","No",IF(AND(AC905="Yes",SETTINGS!$B$16="No"),"No","Yes"))</f>
        <v>No</v>
      </c>
      <c r="AG905" s="50" t="str">
        <f>IF(A905&lt;&gt;"Yes","",IF(OR(B905="",D905="",E905&lt;=0,F905="",I905=""),"Check Required Fields",IF(AA905="Possible Duplicate","Possible Duplicate",IF(E905&gt;SETTINGS!$B$22,"Review Extreme Value","OK"))))</f>
        <v/>
      </c>
    </row>
    <row r="906" spans="1:33" ht="14.4">
      <c r="A906" s="9"/>
      <c r="B906" s="13"/>
      <c r="C906" s="9"/>
      <c r="D906" s="9"/>
      <c r="E906" s="11"/>
      <c r="F906" s="9"/>
      <c r="G906" s="9"/>
      <c r="H906" s="44" t="str">
        <f>IF(D906="","",IF(ISNUMBER(SEARCH(SETTINGS!$K$4,D906)),SETTINGS!$L$4,IF(ISNUMBER(SEARCH(SETTINGS!$K$5,D906)),SETTINGS!$L$5,IF(ISNUMBER(SEARCH(SETTINGS!$K$6,D906)),SETTINGS!$L$6,IF(ISNUMBER(SEARCH(SETTINGS!$K$7,D906)),SETTINGS!$L$7,IF(ISNUMBER(SEARCH(SETTINGS!$K$8,D906)),SETTINGS!$L$8,IF(ISNUMBER(SEARCH(SETTINGS!$K$9,D906)),SETTINGS!$L$9,IF(ISNUMBER(SEARCH(SETTINGS!$K$10,D906)),SETTINGS!$L$10,IF(ISNUMBER(SEARCH(SETTINGS!$K$11,D906)),SETTINGS!$L$11,IF(ISNUMBER(SEARCH(SETTINGS!$K$12,D906)),SETTINGS!$L$12,IF(ISNUMBER(SEARCH(SETTINGS!$K$13,D906)),SETTINGS!$L$13,IF(ISNUMBER(SEARCH(SETTINGS!$K$14,D906)),SETTINGS!$L$14,IF(ISNUMBER(SEARCH(SETTINGS!$K$15,D906)),SETTINGS!$L$15,IF(ISNUMBER(SEARCH(SETTINGS!$K$16,D906)),SETTINGS!$L$16,IF(ISNUMBER(SEARCH(SETTINGS!$K$17,D906)),SETTINGS!$L$17,IF(ISNUMBER(SEARCH(SETTINGS!$K$18,D906)),SETTINGS!$L$18,"Miscellaneous"))))))))))))))))</f>
        <v/>
      </c>
      <c r="I906" s="44" t="str">
        <f t="shared" si="112"/>
        <v/>
      </c>
      <c r="J906" s="9"/>
      <c r="K906" s="9"/>
      <c r="L906" s="9"/>
      <c r="M906" s="9"/>
      <c r="N906" s="9"/>
      <c r="O906" s="9"/>
      <c r="P906" s="13"/>
      <c r="Q906" s="9"/>
      <c r="R906" s="9"/>
      <c r="S906" s="9"/>
      <c r="T906" s="11"/>
      <c r="U906" s="44" t="str">
        <f t="shared" si="113"/>
        <v/>
      </c>
      <c r="V906" s="44" t="str">
        <f t="shared" si="114"/>
        <v/>
      </c>
      <c r="W906" s="44" t="str">
        <f t="shared" si="115"/>
        <v/>
      </c>
      <c r="X906" s="44" t="str">
        <f t="shared" si="116"/>
        <v/>
      </c>
      <c r="Y906" s="44" t="str">
        <f t="shared" si="117"/>
        <v/>
      </c>
      <c r="Z906" s="44" t="str">
        <f t="shared" si="118"/>
        <v/>
      </c>
      <c r="AA906" s="50" t="str">
        <f t="shared" si="119"/>
        <v/>
      </c>
      <c r="AB906" s="50" t="str">
        <f>IF(OR(B906="",C906&lt;&gt;"Expense"),"",IF(E906&gt;IFERROR(AVERAGEIFS($E$8:$E$1007,$I$8:$I$1007,I906,$C$8:$C$1007,"Expense")*SETTINGS!$B$20,0),"Unusually High","Normal"))</f>
        <v/>
      </c>
      <c r="AC906" s="51"/>
      <c r="AD906" s="51"/>
      <c r="AE906" s="51"/>
      <c r="AF906" s="50" t="str">
        <f>IF(A906&lt;&gt;"Yes","No",IF(AND(AC906="Yes",SETTINGS!$B$16="No"),"No","Yes"))</f>
        <v>No</v>
      </c>
      <c r="AG906" s="50" t="str">
        <f>IF(A906&lt;&gt;"Yes","",IF(OR(B906="",D906="",E906&lt;=0,F906="",I906=""),"Check Required Fields",IF(AA906="Possible Duplicate","Possible Duplicate",IF(E906&gt;SETTINGS!$B$22,"Review Extreme Value","OK"))))</f>
        <v/>
      </c>
    </row>
    <row r="907" spans="1:33" ht="14.4">
      <c r="A907" s="9"/>
      <c r="B907" s="13"/>
      <c r="C907" s="9"/>
      <c r="D907" s="9"/>
      <c r="E907" s="11"/>
      <c r="F907" s="9"/>
      <c r="G907" s="9"/>
      <c r="H907" s="44" t="str">
        <f>IF(D907="","",IF(ISNUMBER(SEARCH(SETTINGS!$K$4,D907)),SETTINGS!$L$4,IF(ISNUMBER(SEARCH(SETTINGS!$K$5,D907)),SETTINGS!$L$5,IF(ISNUMBER(SEARCH(SETTINGS!$K$6,D907)),SETTINGS!$L$6,IF(ISNUMBER(SEARCH(SETTINGS!$K$7,D907)),SETTINGS!$L$7,IF(ISNUMBER(SEARCH(SETTINGS!$K$8,D907)),SETTINGS!$L$8,IF(ISNUMBER(SEARCH(SETTINGS!$K$9,D907)),SETTINGS!$L$9,IF(ISNUMBER(SEARCH(SETTINGS!$K$10,D907)),SETTINGS!$L$10,IF(ISNUMBER(SEARCH(SETTINGS!$K$11,D907)),SETTINGS!$L$11,IF(ISNUMBER(SEARCH(SETTINGS!$K$12,D907)),SETTINGS!$L$12,IF(ISNUMBER(SEARCH(SETTINGS!$K$13,D907)),SETTINGS!$L$13,IF(ISNUMBER(SEARCH(SETTINGS!$K$14,D907)),SETTINGS!$L$14,IF(ISNUMBER(SEARCH(SETTINGS!$K$15,D907)),SETTINGS!$L$15,IF(ISNUMBER(SEARCH(SETTINGS!$K$16,D907)),SETTINGS!$L$16,IF(ISNUMBER(SEARCH(SETTINGS!$K$17,D907)),SETTINGS!$L$17,IF(ISNUMBER(SEARCH(SETTINGS!$K$18,D907)),SETTINGS!$L$18,"Miscellaneous"))))))))))))))))</f>
        <v/>
      </c>
      <c r="I907" s="44" t="str">
        <f t="shared" si="112"/>
        <v/>
      </c>
      <c r="J907" s="9"/>
      <c r="K907" s="9"/>
      <c r="L907" s="9"/>
      <c r="M907" s="9"/>
      <c r="N907" s="9"/>
      <c r="O907" s="9"/>
      <c r="P907" s="13"/>
      <c r="Q907" s="9"/>
      <c r="R907" s="9"/>
      <c r="S907" s="9"/>
      <c r="T907" s="11"/>
      <c r="U907" s="44" t="str">
        <f t="shared" si="113"/>
        <v/>
      </c>
      <c r="V907" s="44" t="str">
        <f t="shared" si="114"/>
        <v/>
      </c>
      <c r="W907" s="44" t="str">
        <f t="shared" si="115"/>
        <v/>
      </c>
      <c r="X907" s="44" t="str">
        <f t="shared" si="116"/>
        <v/>
      </c>
      <c r="Y907" s="44" t="str">
        <f t="shared" si="117"/>
        <v/>
      </c>
      <c r="Z907" s="44" t="str">
        <f t="shared" si="118"/>
        <v/>
      </c>
      <c r="AA907" s="50" t="str">
        <f t="shared" si="119"/>
        <v/>
      </c>
      <c r="AB907" s="50" t="str">
        <f>IF(OR(B907="",C907&lt;&gt;"Expense"),"",IF(E907&gt;IFERROR(AVERAGEIFS($E$8:$E$1007,$I$8:$I$1007,I907,$C$8:$C$1007,"Expense")*SETTINGS!$B$20,0),"Unusually High","Normal"))</f>
        <v/>
      </c>
      <c r="AC907" s="51"/>
      <c r="AD907" s="51"/>
      <c r="AE907" s="51"/>
      <c r="AF907" s="50" t="str">
        <f>IF(A907&lt;&gt;"Yes","No",IF(AND(AC907="Yes",SETTINGS!$B$16="No"),"No","Yes"))</f>
        <v>No</v>
      </c>
      <c r="AG907" s="50" t="str">
        <f>IF(A907&lt;&gt;"Yes","",IF(OR(B907="",D907="",E907&lt;=0,F907="",I907=""),"Check Required Fields",IF(AA907="Possible Duplicate","Possible Duplicate",IF(E907&gt;SETTINGS!$B$22,"Review Extreme Value","OK"))))</f>
        <v/>
      </c>
    </row>
    <row r="908" spans="1:33" ht="14.4">
      <c r="A908" s="9"/>
      <c r="B908" s="13"/>
      <c r="C908" s="9"/>
      <c r="D908" s="9"/>
      <c r="E908" s="11"/>
      <c r="F908" s="9"/>
      <c r="G908" s="9"/>
      <c r="H908" s="44" t="str">
        <f>IF(D908="","",IF(ISNUMBER(SEARCH(SETTINGS!$K$4,D908)),SETTINGS!$L$4,IF(ISNUMBER(SEARCH(SETTINGS!$K$5,D908)),SETTINGS!$L$5,IF(ISNUMBER(SEARCH(SETTINGS!$K$6,D908)),SETTINGS!$L$6,IF(ISNUMBER(SEARCH(SETTINGS!$K$7,D908)),SETTINGS!$L$7,IF(ISNUMBER(SEARCH(SETTINGS!$K$8,D908)),SETTINGS!$L$8,IF(ISNUMBER(SEARCH(SETTINGS!$K$9,D908)),SETTINGS!$L$9,IF(ISNUMBER(SEARCH(SETTINGS!$K$10,D908)),SETTINGS!$L$10,IF(ISNUMBER(SEARCH(SETTINGS!$K$11,D908)),SETTINGS!$L$11,IF(ISNUMBER(SEARCH(SETTINGS!$K$12,D908)),SETTINGS!$L$12,IF(ISNUMBER(SEARCH(SETTINGS!$K$13,D908)),SETTINGS!$L$13,IF(ISNUMBER(SEARCH(SETTINGS!$K$14,D908)),SETTINGS!$L$14,IF(ISNUMBER(SEARCH(SETTINGS!$K$15,D908)),SETTINGS!$L$15,IF(ISNUMBER(SEARCH(SETTINGS!$K$16,D908)),SETTINGS!$L$16,IF(ISNUMBER(SEARCH(SETTINGS!$K$17,D908)),SETTINGS!$L$17,IF(ISNUMBER(SEARCH(SETTINGS!$K$18,D908)),SETTINGS!$L$18,"Miscellaneous"))))))))))))))))</f>
        <v/>
      </c>
      <c r="I908" s="44" t="str">
        <f t="shared" si="112"/>
        <v/>
      </c>
      <c r="J908" s="9"/>
      <c r="K908" s="9"/>
      <c r="L908" s="9"/>
      <c r="M908" s="9"/>
      <c r="N908" s="9"/>
      <c r="O908" s="9"/>
      <c r="P908" s="13"/>
      <c r="Q908" s="9"/>
      <c r="R908" s="9"/>
      <c r="S908" s="9"/>
      <c r="T908" s="11"/>
      <c r="U908" s="44" t="str">
        <f t="shared" si="113"/>
        <v/>
      </c>
      <c r="V908" s="44" t="str">
        <f t="shared" si="114"/>
        <v/>
      </c>
      <c r="W908" s="44" t="str">
        <f t="shared" si="115"/>
        <v/>
      </c>
      <c r="X908" s="44" t="str">
        <f t="shared" si="116"/>
        <v/>
      </c>
      <c r="Y908" s="44" t="str">
        <f t="shared" si="117"/>
        <v/>
      </c>
      <c r="Z908" s="44" t="str">
        <f t="shared" si="118"/>
        <v/>
      </c>
      <c r="AA908" s="50" t="str">
        <f t="shared" si="119"/>
        <v/>
      </c>
      <c r="AB908" s="50" t="str">
        <f>IF(OR(B908="",C908&lt;&gt;"Expense"),"",IF(E908&gt;IFERROR(AVERAGEIFS($E$8:$E$1007,$I$8:$I$1007,I908,$C$8:$C$1007,"Expense")*SETTINGS!$B$20,0),"Unusually High","Normal"))</f>
        <v/>
      </c>
      <c r="AC908" s="51"/>
      <c r="AD908" s="51"/>
      <c r="AE908" s="51"/>
      <c r="AF908" s="50" t="str">
        <f>IF(A908&lt;&gt;"Yes","No",IF(AND(AC908="Yes",SETTINGS!$B$16="No"),"No","Yes"))</f>
        <v>No</v>
      </c>
      <c r="AG908" s="50" t="str">
        <f>IF(A908&lt;&gt;"Yes","",IF(OR(B908="",D908="",E908&lt;=0,F908="",I908=""),"Check Required Fields",IF(AA908="Possible Duplicate","Possible Duplicate",IF(E908&gt;SETTINGS!$B$22,"Review Extreme Value","OK"))))</f>
        <v/>
      </c>
    </row>
    <row r="909" spans="1:33" ht="14.4">
      <c r="A909" s="9"/>
      <c r="B909" s="13"/>
      <c r="C909" s="9"/>
      <c r="D909" s="9"/>
      <c r="E909" s="11"/>
      <c r="F909" s="9"/>
      <c r="G909" s="9"/>
      <c r="H909" s="44" t="str">
        <f>IF(D909="","",IF(ISNUMBER(SEARCH(SETTINGS!$K$4,D909)),SETTINGS!$L$4,IF(ISNUMBER(SEARCH(SETTINGS!$K$5,D909)),SETTINGS!$L$5,IF(ISNUMBER(SEARCH(SETTINGS!$K$6,D909)),SETTINGS!$L$6,IF(ISNUMBER(SEARCH(SETTINGS!$K$7,D909)),SETTINGS!$L$7,IF(ISNUMBER(SEARCH(SETTINGS!$K$8,D909)),SETTINGS!$L$8,IF(ISNUMBER(SEARCH(SETTINGS!$K$9,D909)),SETTINGS!$L$9,IF(ISNUMBER(SEARCH(SETTINGS!$K$10,D909)),SETTINGS!$L$10,IF(ISNUMBER(SEARCH(SETTINGS!$K$11,D909)),SETTINGS!$L$11,IF(ISNUMBER(SEARCH(SETTINGS!$K$12,D909)),SETTINGS!$L$12,IF(ISNUMBER(SEARCH(SETTINGS!$K$13,D909)),SETTINGS!$L$13,IF(ISNUMBER(SEARCH(SETTINGS!$K$14,D909)),SETTINGS!$L$14,IF(ISNUMBER(SEARCH(SETTINGS!$K$15,D909)),SETTINGS!$L$15,IF(ISNUMBER(SEARCH(SETTINGS!$K$16,D909)),SETTINGS!$L$16,IF(ISNUMBER(SEARCH(SETTINGS!$K$17,D909)),SETTINGS!$L$17,IF(ISNUMBER(SEARCH(SETTINGS!$K$18,D909)),SETTINGS!$L$18,"Miscellaneous"))))))))))))))))</f>
        <v/>
      </c>
      <c r="I909" s="44" t="str">
        <f t="shared" si="112"/>
        <v/>
      </c>
      <c r="J909" s="9"/>
      <c r="K909" s="9"/>
      <c r="L909" s="9"/>
      <c r="M909" s="9"/>
      <c r="N909" s="9"/>
      <c r="O909" s="9"/>
      <c r="P909" s="13"/>
      <c r="Q909" s="9"/>
      <c r="R909" s="9"/>
      <c r="S909" s="9"/>
      <c r="T909" s="11"/>
      <c r="U909" s="44" t="str">
        <f t="shared" si="113"/>
        <v/>
      </c>
      <c r="V909" s="44" t="str">
        <f t="shared" si="114"/>
        <v/>
      </c>
      <c r="W909" s="44" t="str">
        <f t="shared" si="115"/>
        <v/>
      </c>
      <c r="X909" s="44" t="str">
        <f t="shared" si="116"/>
        <v/>
      </c>
      <c r="Y909" s="44" t="str">
        <f t="shared" si="117"/>
        <v/>
      </c>
      <c r="Z909" s="44" t="str">
        <f t="shared" si="118"/>
        <v/>
      </c>
      <c r="AA909" s="50" t="str">
        <f t="shared" si="119"/>
        <v/>
      </c>
      <c r="AB909" s="50" t="str">
        <f>IF(OR(B909="",C909&lt;&gt;"Expense"),"",IF(E909&gt;IFERROR(AVERAGEIFS($E$8:$E$1007,$I$8:$I$1007,I909,$C$8:$C$1007,"Expense")*SETTINGS!$B$20,0),"Unusually High","Normal"))</f>
        <v/>
      </c>
      <c r="AC909" s="51"/>
      <c r="AD909" s="51"/>
      <c r="AE909" s="51"/>
      <c r="AF909" s="50" t="str">
        <f>IF(A909&lt;&gt;"Yes","No",IF(AND(AC909="Yes",SETTINGS!$B$16="No"),"No","Yes"))</f>
        <v>No</v>
      </c>
      <c r="AG909" s="50" t="str">
        <f>IF(A909&lt;&gt;"Yes","",IF(OR(B909="",D909="",E909&lt;=0,F909="",I909=""),"Check Required Fields",IF(AA909="Possible Duplicate","Possible Duplicate",IF(E909&gt;SETTINGS!$B$22,"Review Extreme Value","OK"))))</f>
        <v/>
      </c>
    </row>
    <row r="910" spans="1:33" ht="14.4">
      <c r="A910" s="9"/>
      <c r="B910" s="13"/>
      <c r="C910" s="9"/>
      <c r="D910" s="9"/>
      <c r="E910" s="11"/>
      <c r="F910" s="9"/>
      <c r="G910" s="9"/>
      <c r="H910" s="44" t="str">
        <f>IF(D910="","",IF(ISNUMBER(SEARCH(SETTINGS!$K$4,D910)),SETTINGS!$L$4,IF(ISNUMBER(SEARCH(SETTINGS!$K$5,D910)),SETTINGS!$L$5,IF(ISNUMBER(SEARCH(SETTINGS!$K$6,D910)),SETTINGS!$L$6,IF(ISNUMBER(SEARCH(SETTINGS!$K$7,D910)),SETTINGS!$L$7,IF(ISNUMBER(SEARCH(SETTINGS!$K$8,D910)),SETTINGS!$L$8,IF(ISNUMBER(SEARCH(SETTINGS!$K$9,D910)),SETTINGS!$L$9,IF(ISNUMBER(SEARCH(SETTINGS!$K$10,D910)),SETTINGS!$L$10,IF(ISNUMBER(SEARCH(SETTINGS!$K$11,D910)),SETTINGS!$L$11,IF(ISNUMBER(SEARCH(SETTINGS!$K$12,D910)),SETTINGS!$L$12,IF(ISNUMBER(SEARCH(SETTINGS!$K$13,D910)),SETTINGS!$L$13,IF(ISNUMBER(SEARCH(SETTINGS!$K$14,D910)),SETTINGS!$L$14,IF(ISNUMBER(SEARCH(SETTINGS!$K$15,D910)),SETTINGS!$L$15,IF(ISNUMBER(SEARCH(SETTINGS!$K$16,D910)),SETTINGS!$L$16,IF(ISNUMBER(SEARCH(SETTINGS!$K$17,D910)),SETTINGS!$L$17,IF(ISNUMBER(SEARCH(SETTINGS!$K$18,D910)),SETTINGS!$L$18,"Miscellaneous"))))))))))))))))</f>
        <v/>
      </c>
      <c r="I910" s="44" t="str">
        <f t="shared" si="112"/>
        <v/>
      </c>
      <c r="J910" s="9"/>
      <c r="K910" s="9"/>
      <c r="L910" s="9"/>
      <c r="M910" s="9"/>
      <c r="N910" s="9"/>
      <c r="O910" s="9"/>
      <c r="P910" s="13"/>
      <c r="Q910" s="9"/>
      <c r="R910" s="9"/>
      <c r="S910" s="9"/>
      <c r="T910" s="11"/>
      <c r="U910" s="44" t="str">
        <f t="shared" si="113"/>
        <v/>
      </c>
      <c r="V910" s="44" t="str">
        <f t="shared" si="114"/>
        <v/>
      </c>
      <c r="W910" s="44" t="str">
        <f t="shared" si="115"/>
        <v/>
      </c>
      <c r="X910" s="44" t="str">
        <f t="shared" si="116"/>
        <v/>
      </c>
      <c r="Y910" s="44" t="str">
        <f t="shared" si="117"/>
        <v/>
      </c>
      <c r="Z910" s="44" t="str">
        <f t="shared" si="118"/>
        <v/>
      </c>
      <c r="AA910" s="50" t="str">
        <f t="shared" si="119"/>
        <v/>
      </c>
      <c r="AB910" s="50" t="str">
        <f>IF(OR(B910="",C910&lt;&gt;"Expense"),"",IF(E910&gt;IFERROR(AVERAGEIFS($E$8:$E$1007,$I$8:$I$1007,I910,$C$8:$C$1007,"Expense")*SETTINGS!$B$20,0),"Unusually High","Normal"))</f>
        <v/>
      </c>
      <c r="AC910" s="51"/>
      <c r="AD910" s="51"/>
      <c r="AE910" s="51"/>
      <c r="AF910" s="50" t="str">
        <f>IF(A910&lt;&gt;"Yes","No",IF(AND(AC910="Yes",SETTINGS!$B$16="No"),"No","Yes"))</f>
        <v>No</v>
      </c>
      <c r="AG910" s="50" t="str">
        <f>IF(A910&lt;&gt;"Yes","",IF(OR(B910="",D910="",E910&lt;=0,F910="",I910=""),"Check Required Fields",IF(AA910="Possible Duplicate","Possible Duplicate",IF(E910&gt;SETTINGS!$B$22,"Review Extreme Value","OK"))))</f>
        <v/>
      </c>
    </row>
    <row r="911" spans="1:33" ht="14.4">
      <c r="A911" s="9"/>
      <c r="B911" s="13"/>
      <c r="C911" s="9"/>
      <c r="D911" s="9"/>
      <c r="E911" s="11"/>
      <c r="F911" s="9"/>
      <c r="G911" s="9"/>
      <c r="H911" s="44" t="str">
        <f>IF(D911="","",IF(ISNUMBER(SEARCH(SETTINGS!$K$4,D911)),SETTINGS!$L$4,IF(ISNUMBER(SEARCH(SETTINGS!$K$5,D911)),SETTINGS!$L$5,IF(ISNUMBER(SEARCH(SETTINGS!$K$6,D911)),SETTINGS!$L$6,IF(ISNUMBER(SEARCH(SETTINGS!$K$7,D911)),SETTINGS!$L$7,IF(ISNUMBER(SEARCH(SETTINGS!$K$8,D911)),SETTINGS!$L$8,IF(ISNUMBER(SEARCH(SETTINGS!$K$9,D911)),SETTINGS!$L$9,IF(ISNUMBER(SEARCH(SETTINGS!$K$10,D911)),SETTINGS!$L$10,IF(ISNUMBER(SEARCH(SETTINGS!$K$11,D911)),SETTINGS!$L$11,IF(ISNUMBER(SEARCH(SETTINGS!$K$12,D911)),SETTINGS!$L$12,IF(ISNUMBER(SEARCH(SETTINGS!$K$13,D911)),SETTINGS!$L$13,IF(ISNUMBER(SEARCH(SETTINGS!$K$14,D911)),SETTINGS!$L$14,IF(ISNUMBER(SEARCH(SETTINGS!$K$15,D911)),SETTINGS!$L$15,IF(ISNUMBER(SEARCH(SETTINGS!$K$16,D911)),SETTINGS!$L$16,IF(ISNUMBER(SEARCH(SETTINGS!$K$17,D911)),SETTINGS!$L$17,IF(ISNUMBER(SEARCH(SETTINGS!$K$18,D911)),SETTINGS!$L$18,"Miscellaneous"))))))))))))))))</f>
        <v/>
      </c>
      <c r="I911" s="44" t="str">
        <f t="shared" si="112"/>
        <v/>
      </c>
      <c r="J911" s="9"/>
      <c r="K911" s="9"/>
      <c r="L911" s="9"/>
      <c r="M911" s="9"/>
      <c r="N911" s="9"/>
      <c r="O911" s="9"/>
      <c r="P911" s="13"/>
      <c r="Q911" s="9"/>
      <c r="R911" s="9"/>
      <c r="S911" s="9"/>
      <c r="T911" s="11"/>
      <c r="U911" s="44" t="str">
        <f t="shared" si="113"/>
        <v/>
      </c>
      <c r="V911" s="44" t="str">
        <f t="shared" si="114"/>
        <v/>
      </c>
      <c r="W911" s="44" t="str">
        <f t="shared" si="115"/>
        <v/>
      </c>
      <c r="X911" s="44" t="str">
        <f t="shared" si="116"/>
        <v/>
      </c>
      <c r="Y911" s="44" t="str">
        <f t="shared" si="117"/>
        <v/>
      </c>
      <c r="Z911" s="44" t="str">
        <f t="shared" si="118"/>
        <v/>
      </c>
      <c r="AA911" s="50" t="str">
        <f t="shared" si="119"/>
        <v/>
      </c>
      <c r="AB911" s="50" t="str">
        <f>IF(OR(B911="",C911&lt;&gt;"Expense"),"",IF(E911&gt;IFERROR(AVERAGEIFS($E$8:$E$1007,$I$8:$I$1007,I911,$C$8:$C$1007,"Expense")*SETTINGS!$B$20,0),"Unusually High","Normal"))</f>
        <v/>
      </c>
      <c r="AC911" s="51"/>
      <c r="AD911" s="51"/>
      <c r="AE911" s="51"/>
      <c r="AF911" s="50" t="str">
        <f>IF(A911&lt;&gt;"Yes","No",IF(AND(AC911="Yes",SETTINGS!$B$16="No"),"No","Yes"))</f>
        <v>No</v>
      </c>
      <c r="AG911" s="50" t="str">
        <f>IF(A911&lt;&gt;"Yes","",IF(OR(B911="",D911="",E911&lt;=0,F911="",I911=""),"Check Required Fields",IF(AA911="Possible Duplicate","Possible Duplicate",IF(E911&gt;SETTINGS!$B$22,"Review Extreme Value","OK"))))</f>
        <v/>
      </c>
    </row>
    <row r="912" spans="1:33" ht="14.4">
      <c r="A912" s="9"/>
      <c r="B912" s="13"/>
      <c r="C912" s="9"/>
      <c r="D912" s="9"/>
      <c r="E912" s="11"/>
      <c r="F912" s="9"/>
      <c r="G912" s="9"/>
      <c r="H912" s="44" t="str">
        <f>IF(D912="","",IF(ISNUMBER(SEARCH(SETTINGS!$K$4,D912)),SETTINGS!$L$4,IF(ISNUMBER(SEARCH(SETTINGS!$K$5,D912)),SETTINGS!$L$5,IF(ISNUMBER(SEARCH(SETTINGS!$K$6,D912)),SETTINGS!$L$6,IF(ISNUMBER(SEARCH(SETTINGS!$K$7,D912)),SETTINGS!$L$7,IF(ISNUMBER(SEARCH(SETTINGS!$K$8,D912)),SETTINGS!$L$8,IF(ISNUMBER(SEARCH(SETTINGS!$K$9,D912)),SETTINGS!$L$9,IF(ISNUMBER(SEARCH(SETTINGS!$K$10,D912)),SETTINGS!$L$10,IF(ISNUMBER(SEARCH(SETTINGS!$K$11,D912)),SETTINGS!$L$11,IF(ISNUMBER(SEARCH(SETTINGS!$K$12,D912)),SETTINGS!$L$12,IF(ISNUMBER(SEARCH(SETTINGS!$K$13,D912)),SETTINGS!$L$13,IF(ISNUMBER(SEARCH(SETTINGS!$K$14,D912)),SETTINGS!$L$14,IF(ISNUMBER(SEARCH(SETTINGS!$K$15,D912)),SETTINGS!$L$15,IF(ISNUMBER(SEARCH(SETTINGS!$K$16,D912)),SETTINGS!$L$16,IF(ISNUMBER(SEARCH(SETTINGS!$K$17,D912)),SETTINGS!$L$17,IF(ISNUMBER(SEARCH(SETTINGS!$K$18,D912)),SETTINGS!$L$18,"Miscellaneous"))))))))))))))))</f>
        <v/>
      </c>
      <c r="I912" s="44" t="str">
        <f t="shared" si="112"/>
        <v/>
      </c>
      <c r="J912" s="9"/>
      <c r="K912" s="9"/>
      <c r="L912" s="9"/>
      <c r="M912" s="9"/>
      <c r="N912" s="9"/>
      <c r="O912" s="9"/>
      <c r="P912" s="13"/>
      <c r="Q912" s="9"/>
      <c r="R912" s="9"/>
      <c r="S912" s="9"/>
      <c r="T912" s="11"/>
      <c r="U912" s="44" t="str">
        <f t="shared" si="113"/>
        <v/>
      </c>
      <c r="V912" s="44" t="str">
        <f t="shared" si="114"/>
        <v/>
      </c>
      <c r="W912" s="44" t="str">
        <f t="shared" si="115"/>
        <v/>
      </c>
      <c r="X912" s="44" t="str">
        <f t="shared" si="116"/>
        <v/>
      </c>
      <c r="Y912" s="44" t="str">
        <f t="shared" si="117"/>
        <v/>
      </c>
      <c r="Z912" s="44" t="str">
        <f t="shared" si="118"/>
        <v/>
      </c>
      <c r="AA912" s="50" t="str">
        <f t="shared" si="119"/>
        <v/>
      </c>
      <c r="AB912" s="50" t="str">
        <f>IF(OR(B912="",C912&lt;&gt;"Expense"),"",IF(E912&gt;IFERROR(AVERAGEIFS($E$8:$E$1007,$I$8:$I$1007,I912,$C$8:$C$1007,"Expense")*SETTINGS!$B$20,0),"Unusually High","Normal"))</f>
        <v/>
      </c>
      <c r="AC912" s="51"/>
      <c r="AD912" s="51"/>
      <c r="AE912" s="51"/>
      <c r="AF912" s="50" t="str">
        <f>IF(A912&lt;&gt;"Yes","No",IF(AND(AC912="Yes",SETTINGS!$B$16="No"),"No","Yes"))</f>
        <v>No</v>
      </c>
      <c r="AG912" s="50" t="str">
        <f>IF(A912&lt;&gt;"Yes","",IF(OR(B912="",D912="",E912&lt;=0,F912="",I912=""),"Check Required Fields",IF(AA912="Possible Duplicate","Possible Duplicate",IF(E912&gt;SETTINGS!$B$22,"Review Extreme Value","OK"))))</f>
        <v/>
      </c>
    </row>
    <row r="913" spans="1:33" ht="14.4">
      <c r="A913" s="9"/>
      <c r="B913" s="13"/>
      <c r="C913" s="9"/>
      <c r="D913" s="9"/>
      <c r="E913" s="11"/>
      <c r="F913" s="9"/>
      <c r="G913" s="9"/>
      <c r="H913" s="44" t="str">
        <f>IF(D913="","",IF(ISNUMBER(SEARCH(SETTINGS!$K$4,D913)),SETTINGS!$L$4,IF(ISNUMBER(SEARCH(SETTINGS!$K$5,D913)),SETTINGS!$L$5,IF(ISNUMBER(SEARCH(SETTINGS!$K$6,D913)),SETTINGS!$L$6,IF(ISNUMBER(SEARCH(SETTINGS!$K$7,D913)),SETTINGS!$L$7,IF(ISNUMBER(SEARCH(SETTINGS!$K$8,D913)),SETTINGS!$L$8,IF(ISNUMBER(SEARCH(SETTINGS!$K$9,D913)),SETTINGS!$L$9,IF(ISNUMBER(SEARCH(SETTINGS!$K$10,D913)),SETTINGS!$L$10,IF(ISNUMBER(SEARCH(SETTINGS!$K$11,D913)),SETTINGS!$L$11,IF(ISNUMBER(SEARCH(SETTINGS!$K$12,D913)),SETTINGS!$L$12,IF(ISNUMBER(SEARCH(SETTINGS!$K$13,D913)),SETTINGS!$L$13,IF(ISNUMBER(SEARCH(SETTINGS!$K$14,D913)),SETTINGS!$L$14,IF(ISNUMBER(SEARCH(SETTINGS!$K$15,D913)),SETTINGS!$L$15,IF(ISNUMBER(SEARCH(SETTINGS!$K$16,D913)),SETTINGS!$L$16,IF(ISNUMBER(SEARCH(SETTINGS!$K$17,D913)),SETTINGS!$L$17,IF(ISNUMBER(SEARCH(SETTINGS!$K$18,D913)),SETTINGS!$L$18,"Miscellaneous"))))))))))))))))</f>
        <v/>
      </c>
      <c r="I913" s="44" t="str">
        <f t="shared" si="112"/>
        <v/>
      </c>
      <c r="J913" s="9"/>
      <c r="K913" s="9"/>
      <c r="L913" s="9"/>
      <c r="M913" s="9"/>
      <c r="N913" s="9"/>
      <c r="O913" s="9"/>
      <c r="P913" s="13"/>
      <c r="Q913" s="9"/>
      <c r="R913" s="9"/>
      <c r="S913" s="9"/>
      <c r="T913" s="11"/>
      <c r="U913" s="44" t="str">
        <f t="shared" si="113"/>
        <v/>
      </c>
      <c r="V913" s="44" t="str">
        <f t="shared" si="114"/>
        <v/>
      </c>
      <c r="W913" s="44" t="str">
        <f t="shared" si="115"/>
        <v/>
      </c>
      <c r="X913" s="44" t="str">
        <f t="shared" si="116"/>
        <v/>
      </c>
      <c r="Y913" s="44" t="str">
        <f t="shared" si="117"/>
        <v/>
      </c>
      <c r="Z913" s="44" t="str">
        <f t="shared" si="118"/>
        <v/>
      </c>
      <c r="AA913" s="50" t="str">
        <f t="shared" si="119"/>
        <v/>
      </c>
      <c r="AB913" s="50" t="str">
        <f>IF(OR(B913="",C913&lt;&gt;"Expense"),"",IF(E913&gt;IFERROR(AVERAGEIFS($E$8:$E$1007,$I$8:$I$1007,I913,$C$8:$C$1007,"Expense")*SETTINGS!$B$20,0),"Unusually High","Normal"))</f>
        <v/>
      </c>
      <c r="AC913" s="51"/>
      <c r="AD913" s="51"/>
      <c r="AE913" s="51"/>
      <c r="AF913" s="50" t="str">
        <f>IF(A913&lt;&gt;"Yes","No",IF(AND(AC913="Yes",SETTINGS!$B$16="No"),"No","Yes"))</f>
        <v>No</v>
      </c>
      <c r="AG913" s="50" t="str">
        <f>IF(A913&lt;&gt;"Yes","",IF(OR(B913="",D913="",E913&lt;=0,F913="",I913=""),"Check Required Fields",IF(AA913="Possible Duplicate","Possible Duplicate",IF(E913&gt;SETTINGS!$B$22,"Review Extreme Value","OK"))))</f>
        <v/>
      </c>
    </row>
    <row r="914" spans="1:33" ht="14.4">
      <c r="A914" s="9"/>
      <c r="B914" s="13"/>
      <c r="C914" s="9"/>
      <c r="D914" s="9"/>
      <c r="E914" s="11"/>
      <c r="F914" s="9"/>
      <c r="G914" s="9"/>
      <c r="H914" s="44" t="str">
        <f>IF(D914="","",IF(ISNUMBER(SEARCH(SETTINGS!$K$4,D914)),SETTINGS!$L$4,IF(ISNUMBER(SEARCH(SETTINGS!$K$5,D914)),SETTINGS!$L$5,IF(ISNUMBER(SEARCH(SETTINGS!$K$6,D914)),SETTINGS!$L$6,IF(ISNUMBER(SEARCH(SETTINGS!$K$7,D914)),SETTINGS!$L$7,IF(ISNUMBER(SEARCH(SETTINGS!$K$8,D914)),SETTINGS!$L$8,IF(ISNUMBER(SEARCH(SETTINGS!$K$9,D914)),SETTINGS!$L$9,IF(ISNUMBER(SEARCH(SETTINGS!$K$10,D914)),SETTINGS!$L$10,IF(ISNUMBER(SEARCH(SETTINGS!$K$11,D914)),SETTINGS!$L$11,IF(ISNUMBER(SEARCH(SETTINGS!$K$12,D914)),SETTINGS!$L$12,IF(ISNUMBER(SEARCH(SETTINGS!$K$13,D914)),SETTINGS!$L$13,IF(ISNUMBER(SEARCH(SETTINGS!$K$14,D914)),SETTINGS!$L$14,IF(ISNUMBER(SEARCH(SETTINGS!$K$15,D914)),SETTINGS!$L$15,IF(ISNUMBER(SEARCH(SETTINGS!$K$16,D914)),SETTINGS!$L$16,IF(ISNUMBER(SEARCH(SETTINGS!$K$17,D914)),SETTINGS!$L$17,IF(ISNUMBER(SEARCH(SETTINGS!$K$18,D914)),SETTINGS!$L$18,"Miscellaneous"))))))))))))))))</f>
        <v/>
      </c>
      <c r="I914" s="44" t="str">
        <f t="shared" si="112"/>
        <v/>
      </c>
      <c r="J914" s="9"/>
      <c r="K914" s="9"/>
      <c r="L914" s="9"/>
      <c r="M914" s="9"/>
      <c r="N914" s="9"/>
      <c r="O914" s="9"/>
      <c r="P914" s="13"/>
      <c r="Q914" s="9"/>
      <c r="R914" s="9"/>
      <c r="S914" s="9"/>
      <c r="T914" s="11"/>
      <c r="U914" s="44" t="str">
        <f t="shared" si="113"/>
        <v/>
      </c>
      <c r="V914" s="44" t="str">
        <f t="shared" si="114"/>
        <v/>
      </c>
      <c r="W914" s="44" t="str">
        <f t="shared" si="115"/>
        <v/>
      </c>
      <c r="X914" s="44" t="str">
        <f t="shared" si="116"/>
        <v/>
      </c>
      <c r="Y914" s="44" t="str">
        <f t="shared" si="117"/>
        <v/>
      </c>
      <c r="Z914" s="44" t="str">
        <f t="shared" si="118"/>
        <v/>
      </c>
      <c r="AA914" s="50" t="str">
        <f t="shared" si="119"/>
        <v/>
      </c>
      <c r="AB914" s="50" t="str">
        <f>IF(OR(B914="",C914&lt;&gt;"Expense"),"",IF(E914&gt;IFERROR(AVERAGEIFS($E$8:$E$1007,$I$8:$I$1007,I914,$C$8:$C$1007,"Expense")*SETTINGS!$B$20,0),"Unusually High","Normal"))</f>
        <v/>
      </c>
      <c r="AC914" s="51"/>
      <c r="AD914" s="51"/>
      <c r="AE914" s="51"/>
      <c r="AF914" s="50" t="str">
        <f>IF(A914&lt;&gt;"Yes","No",IF(AND(AC914="Yes",SETTINGS!$B$16="No"),"No","Yes"))</f>
        <v>No</v>
      </c>
      <c r="AG914" s="50" t="str">
        <f>IF(A914&lt;&gt;"Yes","",IF(OR(B914="",D914="",E914&lt;=0,F914="",I914=""),"Check Required Fields",IF(AA914="Possible Duplicate","Possible Duplicate",IF(E914&gt;SETTINGS!$B$22,"Review Extreme Value","OK"))))</f>
        <v/>
      </c>
    </row>
    <row r="915" spans="1:33" ht="14.4">
      <c r="A915" s="9"/>
      <c r="B915" s="13"/>
      <c r="C915" s="9"/>
      <c r="D915" s="9"/>
      <c r="E915" s="11"/>
      <c r="F915" s="9"/>
      <c r="G915" s="9"/>
      <c r="H915" s="44" t="str">
        <f>IF(D915="","",IF(ISNUMBER(SEARCH(SETTINGS!$K$4,D915)),SETTINGS!$L$4,IF(ISNUMBER(SEARCH(SETTINGS!$K$5,D915)),SETTINGS!$L$5,IF(ISNUMBER(SEARCH(SETTINGS!$K$6,D915)),SETTINGS!$L$6,IF(ISNUMBER(SEARCH(SETTINGS!$K$7,D915)),SETTINGS!$L$7,IF(ISNUMBER(SEARCH(SETTINGS!$K$8,D915)),SETTINGS!$L$8,IF(ISNUMBER(SEARCH(SETTINGS!$K$9,D915)),SETTINGS!$L$9,IF(ISNUMBER(SEARCH(SETTINGS!$K$10,D915)),SETTINGS!$L$10,IF(ISNUMBER(SEARCH(SETTINGS!$K$11,D915)),SETTINGS!$L$11,IF(ISNUMBER(SEARCH(SETTINGS!$K$12,D915)),SETTINGS!$L$12,IF(ISNUMBER(SEARCH(SETTINGS!$K$13,D915)),SETTINGS!$L$13,IF(ISNUMBER(SEARCH(SETTINGS!$K$14,D915)),SETTINGS!$L$14,IF(ISNUMBER(SEARCH(SETTINGS!$K$15,D915)),SETTINGS!$L$15,IF(ISNUMBER(SEARCH(SETTINGS!$K$16,D915)),SETTINGS!$L$16,IF(ISNUMBER(SEARCH(SETTINGS!$K$17,D915)),SETTINGS!$L$17,IF(ISNUMBER(SEARCH(SETTINGS!$K$18,D915)),SETTINGS!$L$18,"Miscellaneous"))))))))))))))))</f>
        <v/>
      </c>
      <c r="I915" s="44" t="str">
        <f t="shared" si="112"/>
        <v/>
      </c>
      <c r="J915" s="9"/>
      <c r="K915" s="9"/>
      <c r="L915" s="9"/>
      <c r="M915" s="9"/>
      <c r="N915" s="9"/>
      <c r="O915" s="9"/>
      <c r="P915" s="13"/>
      <c r="Q915" s="9"/>
      <c r="R915" s="9"/>
      <c r="S915" s="9"/>
      <c r="T915" s="11"/>
      <c r="U915" s="44" t="str">
        <f t="shared" si="113"/>
        <v/>
      </c>
      <c r="V915" s="44" t="str">
        <f t="shared" si="114"/>
        <v/>
      </c>
      <c r="W915" s="44" t="str">
        <f t="shared" si="115"/>
        <v/>
      </c>
      <c r="X915" s="44" t="str">
        <f t="shared" si="116"/>
        <v/>
      </c>
      <c r="Y915" s="44" t="str">
        <f t="shared" si="117"/>
        <v/>
      </c>
      <c r="Z915" s="44" t="str">
        <f t="shared" si="118"/>
        <v/>
      </c>
      <c r="AA915" s="50" t="str">
        <f t="shared" si="119"/>
        <v/>
      </c>
      <c r="AB915" s="50" t="str">
        <f>IF(OR(B915="",C915&lt;&gt;"Expense"),"",IF(E915&gt;IFERROR(AVERAGEIFS($E$8:$E$1007,$I$8:$I$1007,I915,$C$8:$C$1007,"Expense")*SETTINGS!$B$20,0),"Unusually High","Normal"))</f>
        <v/>
      </c>
      <c r="AC915" s="51"/>
      <c r="AD915" s="51"/>
      <c r="AE915" s="51"/>
      <c r="AF915" s="50" t="str">
        <f>IF(A915&lt;&gt;"Yes","No",IF(AND(AC915="Yes",SETTINGS!$B$16="No"),"No","Yes"))</f>
        <v>No</v>
      </c>
      <c r="AG915" s="50" t="str">
        <f>IF(A915&lt;&gt;"Yes","",IF(OR(B915="",D915="",E915&lt;=0,F915="",I915=""),"Check Required Fields",IF(AA915="Possible Duplicate","Possible Duplicate",IF(E915&gt;SETTINGS!$B$22,"Review Extreme Value","OK"))))</f>
        <v/>
      </c>
    </row>
    <row r="916" spans="1:33" ht="14.4">
      <c r="A916" s="9"/>
      <c r="B916" s="13"/>
      <c r="C916" s="9"/>
      <c r="D916" s="9"/>
      <c r="E916" s="11"/>
      <c r="F916" s="9"/>
      <c r="G916" s="9"/>
      <c r="H916" s="44" t="str">
        <f>IF(D916="","",IF(ISNUMBER(SEARCH(SETTINGS!$K$4,D916)),SETTINGS!$L$4,IF(ISNUMBER(SEARCH(SETTINGS!$K$5,D916)),SETTINGS!$L$5,IF(ISNUMBER(SEARCH(SETTINGS!$K$6,D916)),SETTINGS!$L$6,IF(ISNUMBER(SEARCH(SETTINGS!$K$7,D916)),SETTINGS!$L$7,IF(ISNUMBER(SEARCH(SETTINGS!$K$8,D916)),SETTINGS!$L$8,IF(ISNUMBER(SEARCH(SETTINGS!$K$9,D916)),SETTINGS!$L$9,IF(ISNUMBER(SEARCH(SETTINGS!$K$10,D916)),SETTINGS!$L$10,IF(ISNUMBER(SEARCH(SETTINGS!$K$11,D916)),SETTINGS!$L$11,IF(ISNUMBER(SEARCH(SETTINGS!$K$12,D916)),SETTINGS!$L$12,IF(ISNUMBER(SEARCH(SETTINGS!$K$13,D916)),SETTINGS!$L$13,IF(ISNUMBER(SEARCH(SETTINGS!$K$14,D916)),SETTINGS!$L$14,IF(ISNUMBER(SEARCH(SETTINGS!$K$15,D916)),SETTINGS!$L$15,IF(ISNUMBER(SEARCH(SETTINGS!$K$16,D916)),SETTINGS!$L$16,IF(ISNUMBER(SEARCH(SETTINGS!$K$17,D916)),SETTINGS!$L$17,IF(ISNUMBER(SEARCH(SETTINGS!$K$18,D916)),SETTINGS!$L$18,"Miscellaneous"))))))))))))))))</f>
        <v/>
      </c>
      <c r="I916" s="44" t="str">
        <f t="shared" si="112"/>
        <v/>
      </c>
      <c r="J916" s="9"/>
      <c r="K916" s="9"/>
      <c r="L916" s="9"/>
      <c r="M916" s="9"/>
      <c r="N916" s="9"/>
      <c r="O916" s="9"/>
      <c r="P916" s="13"/>
      <c r="Q916" s="9"/>
      <c r="R916" s="9"/>
      <c r="S916" s="9"/>
      <c r="T916" s="11"/>
      <c r="U916" s="44" t="str">
        <f t="shared" si="113"/>
        <v/>
      </c>
      <c r="V916" s="44" t="str">
        <f t="shared" si="114"/>
        <v/>
      </c>
      <c r="W916" s="44" t="str">
        <f t="shared" si="115"/>
        <v/>
      </c>
      <c r="X916" s="44" t="str">
        <f t="shared" si="116"/>
        <v/>
      </c>
      <c r="Y916" s="44" t="str">
        <f t="shared" si="117"/>
        <v/>
      </c>
      <c r="Z916" s="44" t="str">
        <f t="shared" si="118"/>
        <v/>
      </c>
      <c r="AA916" s="50" t="str">
        <f t="shared" si="119"/>
        <v/>
      </c>
      <c r="AB916" s="50" t="str">
        <f>IF(OR(B916="",C916&lt;&gt;"Expense"),"",IF(E916&gt;IFERROR(AVERAGEIFS($E$8:$E$1007,$I$8:$I$1007,I916,$C$8:$C$1007,"Expense")*SETTINGS!$B$20,0),"Unusually High","Normal"))</f>
        <v/>
      </c>
      <c r="AC916" s="51"/>
      <c r="AD916" s="51"/>
      <c r="AE916" s="51"/>
      <c r="AF916" s="50" t="str">
        <f>IF(A916&lt;&gt;"Yes","No",IF(AND(AC916="Yes",SETTINGS!$B$16="No"),"No","Yes"))</f>
        <v>No</v>
      </c>
      <c r="AG916" s="50" t="str">
        <f>IF(A916&lt;&gt;"Yes","",IF(OR(B916="",D916="",E916&lt;=0,F916="",I916=""),"Check Required Fields",IF(AA916="Possible Duplicate","Possible Duplicate",IF(E916&gt;SETTINGS!$B$22,"Review Extreme Value","OK"))))</f>
        <v/>
      </c>
    </row>
    <row r="917" spans="1:33" ht="14.4">
      <c r="A917" s="9"/>
      <c r="B917" s="13"/>
      <c r="C917" s="9"/>
      <c r="D917" s="9"/>
      <c r="E917" s="11"/>
      <c r="F917" s="9"/>
      <c r="G917" s="9"/>
      <c r="H917" s="44" t="str">
        <f>IF(D917="","",IF(ISNUMBER(SEARCH(SETTINGS!$K$4,D917)),SETTINGS!$L$4,IF(ISNUMBER(SEARCH(SETTINGS!$K$5,D917)),SETTINGS!$L$5,IF(ISNUMBER(SEARCH(SETTINGS!$K$6,D917)),SETTINGS!$L$6,IF(ISNUMBER(SEARCH(SETTINGS!$K$7,D917)),SETTINGS!$L$7,IF(ISNUMBER(SEARCH(SETTINGS!$K$8,D917)),SETTINGS!$L$8,IF(ISNUMBER(SEARCH(SETTINGS!$K$9,D917)),SETTINGS!$L$9,IF(ISNUMBER(SEARCH(SETTINGS!$K$10,D917)),SETTINGS!$L$10,IF(ISNUMBER(SEARCH(SETTINGS!$K$11,D917)),SETTINGS!$L$11,IF(ISNUMBER(SEARCH(SETTINGS!$K$12,D917)),SETTINGS!$L$12,IF(ISNUMBER(SEARCH(SETTINGS!$K$13,D917)),SETTINGS!$L$13,IF(ISNUMBER(SEARCH(SETTINGS!$K$14,D917)),SETTINGS!$L$14,IF(ISNUMBER(SEARCH(SETTINGS!$K$15,D917)),SETTINGS!$L$15,IF(ISNUMBER(SEARCH(SETTINGS!$K$16,D917)),SETTINGS!$L$16,IF(ISNUMBER(SEARCH(SETTINGS!$K$17,D917)),SETTINGS!$L$17,IF(ISNUMBER(SEARCH(SETTINGS!$K$18,D917)),SETTINGS!$L$18,"Miscellaneous"))))))))))))))))</f>
        <v/>
      </c>
      <c r="I917" s="44" t="str">
        <f t="shared" si="112"/>
        <v/>
      </c>
      <c r="J917" s="9"/>
      <c r="K917" s="9"/>
      <c r="L917" s="9"/>
      <c r="M917" s="9"/>
      <c r="N917" s="9"/>
      <c r="O917" s="9"/>
      <c r="P917" s="13"/>
      <c r="Q917" s="9"/>
      <c r="R917" s="9"/>
      <c r="S917" s="9"/>
      <c r="T917" s="11"/>
      <c r="U917" s="44" t="str">
        <f t="shared" si="113"/>
        <v/>
      </c>
      <c r="V917" s="44" t="str">
        <f t="shared" si="114"/>
        <v/>
      </c>
      <c r="W917" s="44" t="str">
        <f t="shared" si="115"/>
        <v/>
      </c>
      <c r="X917" s="44" t="str">
        <f t="shared" si="116"/>
        <v/>
      </c>
      <c r="Y917" s="44" t="str">
        <f t="shared" si="117"/>
        <v/>
      </c>
      <c r="Z917" s="44" t="str">
        <f t="shared" si="118"/>
        <v/>
      </c>
      <c r="AA917" s="50" t="str">
        <f t="shared" si="119"/>
        <v/>
      </c>
      <c r="AB917" s="50" t="str">
        <f>IF(OR(B917="",C917&lt;&gt;"Expense"),"",IF(E917&gt;IFERROR(AVERAGEIFS($E$8:$E$1007,$I$8:$I$1007,I917,$C$8:$C$1007,"Expense")*SETTINGS!$B$20,0),"Unusually High","Normal"))</f>
        <v/>
      </c>
      <c r="AC917" s="51"/>
      <c r="AD917" s="51"/>
      <c r="AE917" s="51"/>
      <c r="AF917" s="50" t="str">
        <f>IF(A917&lt;&gt;"Yes","No",IF(AND(AC917="Yes",SETTINGS!$B$16="No"),"No","Yes"))</f>
        <v>No</v>
      </c>
      <c r="AG917" s="50" t="str">
        <f>IF(A917&lt;&gt;"Yes","",IF(OR(B917="",D917="",E917&lt;=0,F917="",I917=""),"Check Required Fields",IF(AA917="Possible Duplicate","Possible Duplicate",IF(E917&gt;SETTINGS!$B$22,"Review Extreme Value","OK"))))</f>
        <v/>
      </c>
    </row>
    <row r="918" spans="1:33" ht="14.4">
      <c r="A918" s="9"/>
      <c r="B918" s="13"/>
      <c r="C918" s="9"/>
      <c r="D918" s="9"/>
      <c r="E918" s="11"/>
      <c r="F918" s="9"/>
      <c r="G918" s="9"/>
      <c r="H918" s="44" t="str">
        <f>IF(D918="","",IF(ISNUMBER(SEARCH(SETTINGS!$K$4,D918)),SETTINGS!$L$4,IF(ISNUMBER(SEARCH(SETTINGS!$K$5,D918)),SETTINGS!$L$5,IF(ISNUMBER(SEARCH(SETTINGS!$K$6,D918)),SETTINGS!$L$6,IF(ISNUMBER(SEARCH(SETTINGS!$K$7,D918)),SETTINGS!$L$7,IF(ISNUMBER(SEARCH(SETTINGS!$K$8,D918)),SETTINGS!$L$8,IF(ISNUMBER(SEARCH(SETTINGS!$K$9,D918)),SETTINGS!$L$9,IF(ISNUMBER(SEARCH(SETTINGS!$K$10,D918)),SETTINGS!$L$10,IF(ISNUMBER(SEARCH(SETTINGS!$K$11,D918)),SETTINGS!$L$11,IF(ISNUMBER(SEARCH(SETTINGS!$K$12,D918)),SETTINGS!$L$12,IF(ISNUMBER(SEARCH(SETTINGS!$K$13,D918)),SETTINGS!$L$13,IF(ISNUMBER(SEARCH(SETTINGS!$K$14,D918)),SETTINGS!$L$14,IF(ISNUMBER(SEARCH(SETTINGS!$K$15,D918)),SETTINGS!$L$15,IF(ISNUMBER(SEARCH(SETTINGS!$K$16,D918)),SETTINGS!$L$16,IF(ISNUMBER(SEARCH(SETTINGS!$K$17,D918)),SETTINGS!$L$17,IF(ISNUMBER(SEARCH(SETTINGS!$K$18,D918)),SETTINGS!$L$18,"Miscellaneous"))))))))))))))))</f>
        <v/>
      </c>
      <c r="I918" s="44" t="str">
        <f t="shared" si="112"/>
        <v/>
      </c>
      <c r="J918" s="9"/>
      <c r="K918" s="9"/>
      <c r="L918" s="9"/>
      <c r="M918" s="9"/>
      <c r="N918" s="9"/>
      <c r="O918" s="9"/>
      <c r="P918" s="13"/>
      <c r="Q918" s="9"/>
      <c r="R918" s="9"/>
      <c r="S918" s="9"/>
      <c r="T918" s="11"/>
      <c r="U918" s="44" t="str">
        <f t="shared" si="113"/>
        <v/>
      </c>
      <c r="V918" s="44" t="str">
        <f t="shared" si="114"/>
        <v/>
      </c>
      <c r="W918" s="44" t="str">
        <f t="shared" si="115"/>
        <v/>
      </c>
      <c r="X918" s="44" t="str">
        <f t="shared" si="116"/>
        <v/>
      </c>
      <c r="Y918" s="44" t="str">
        <f t="shared" si="117"/>
        <v/>
      </c>
      <c r="Z918" s="44" t="str">
        <f t="shared" si="118"/>
        <v/>
      </c>
      <c r="AA918" s="50" t="str">
        <f t="shared" si="119"/>
        <v/>
      </c>
      <c r="AB918" s="50" t="str">
        <f>IF(OR(B918="",C918&lt;&gt;"Expense"),"",IF(E918&gt;IFERROR(AVERAGEIFS($E$8:$E$1007,$I$8:$I$1007,I918,$C$8:$C$1007,"Expense")*SETTINGS!$B$20,0),"Unusually High","Normal"))</f>
        <v/>
      </c>
      <c r="AC918" s="51"/>
      <c r="AD918" s="51"/>
      <c r="AE918" s="51"/>
      <c r="AF918" s="50" t="str">
        <f>IF(A918&lt;&gt;"Yes","No",IF(AND(AC918="Yes",SETTINGS!$B$16="No"),"No","Yes"))</f>
        <v>No</v>
      </c>
      <c r="AG918" s="50" t="str">
        <f>IF(A918&lt;&gt;"Yes","",IF(OR(B918="",D918="",E918&lt;=0,F918="",I918=""),"Check Required Fields",IF(AA918="Possible Duplicate","Possible Duplicate",IF(E918&gt;SETTINGS!$B$22,"Review Extreme Value","OK"))))</f>
        <v/>
      </c>
    </row>
    <row r="919" spans="1:33" ht="14.4">
      <c r="A919" s="9"/>
      <c r="B919" s="13"/>
      <c r="C919" s="9"/>
      <c r="D919" s="9"/>
      <c r="E919" s="11"/>
      <c r="F919" s="9"/>
      <c r="G919" s="9"/>
      <c r="H919" s="44" t="str">
        <f>IF(D919="","",IF(ISNUMBER(SEARCH(SETTINGS!$K$4,D919)),SETTINGS!$L$4,IF(ISNUMBER(SEARCH(SETTINGS!$K$5,D919)),SETTINGS!$L$5,IF(ISNUMBER(SEARCH(SETTINGS!$K$6,D919)),SETTINGS!$L$6,IF(ISNUMBER(SEARCH(SETTINGS!$K$7,D919)),SETTINGS!$L$7,IF(ISNUMBER(SEARCH(SETTINGS!$K$8,D919)),SETTINGS!$L$8,IF(ISNUMBER(SEARCH(SETTINGS!$K$9,D919)),SETTINGS!$L$9,IF(ISNUMBER(SEARCH(SETTINGS!$K$10,D919)),SETTINGS!$L$10,IF(ISNUMBER(SEARCH(SETTINGS!$K$11,D919)),SETTINGS!$L$11,IF(ISNUMBER(SEARCH(SETTINGS!$K$12,D919)),SETTINGS!$L$12,IF(ISNUMBER(SEARCH(SETTINGS!$K$13,D919)),SETTINGS!$L$13,IF(ISNUMBER(SEARCH(SETTINGS!$K$14,D919)),SETTINGS!$L$14,IF(ISNUMBER(SEARCH(SETTINGS!$K$15,D919)),SETTINGS!$L$15,IF(ISNUMBER(SEARCH(SETTINGS!$K$16,D919)),SETTINGS!$L$16,IF(ISNUMBER(SEARCH(SETTINGS!$K$17,D919)),SETTINGS!$L$17,IF(ISNUMBER(SEARCH(SETTINGS!$K$18,D919)),SETTINGS!$L$18,"Miscellaneous"))))))))))))))))</f>
        <v/>
      </c>
      <c r="I919" s="44" t="str">
        <f t="shared" si="112"/>
        <v/>
      </c>
      <c r="J919" s="9"/>
      <c r="K919" s="9"/>
      <c r="L919" s="9"/>
      <c r="M919" s="9"/>
      <c r="N919" s="9"/>
      <c r="O919" s="9"/>
      <c r="P919" s="13"/>
      <c r="Q919" s="9"/>
      <c r="R919" s="9"/>
      <c r="S919" s="9"/>
      <c r="T919" s="11"/>
      <c r="U919" s="44" t="str">
        <f t="shared" si="113"/>
        <v/>
      </c>
      <c r="V919" s="44" t="str">
        <f t="shared" si="114"/>
        <v/>
      </c>
      <c r="W919" s="44" t="str">
        <f t="shared" si="115"/>
        <v/>
      </c>
      <c r="X919" s="44" t="str">
        <f t="shared" si="116"/>
        <v/>
      </c>
      <c r="Y919" s="44" t="str">
        <f t="shared" si="117"/>
        <v/>
      </c>
      <c r="Z919" s="44" t="str">
        <f t="shared" si="118"/>
        <v/>
      </c>
      <c r="AA919" s="50" t="str">
        <f t="shared" si="119"/>
        <v/>
      </c>
      <c r="AB919" s="50" t="str">
        <f>IF(OR(B919="",C919&lt;&gt;"Expense"),"",IF(E919&gt;IFERROR(AVERAGEIFS($E$8:$E$1007,$I$8:$I$1007,I919,$C$8:$C$1007,"Expense")*SETTINGS!$B$20,0),"Unusually High","Normal"))</f>
        <v/>
      </c>
      <c r="AC919" s="51"/>
      <c r="AD919" s="51"/>
      <c r="AE919" s="51"/>
      <c r="AF919" s="50" t="str">
        <f>IF(A919&lt;&gt;"Yes","No",IF(AND(AC919="Yes",SETTINGS!$B$16="No"),"No","Yes"))</f>
        <v>No</v>
      </c>
      <c r="AG919" s="50" t="str">
        <f>IF(A919&lt;&gt;"Yes","",IF(OR(B919="",D919="",E919&lt;=0,F919="",I919=""),"Check Required Fields",IF(AA919="Possible Duplicate","Possible Duplicate",IF(E919&gt;SETTINGS!$B$22,"Review Extreme Value","OK"))))</f>
        <v/>
      </c>
    </row>
    <row r="920" spans="1:33" ht="14.4">
      <c r="A920" s="9"/>
      <c r="B920" s="13"/>
      <c r="C920" s="9"/>
      <c r="D920" s="9"/>
      <c r="E920" s="11"/>
      <c r="F920" s="9"/>
      <c r="G920" s="9"/>
      <c r="H920" s="44" t="str">
        <f>IF(D920="","",IF(ISNUMBER(SEARCH(SETTINGS!$K$4,D920)),SETTINGS!$L$4,IF(ISNUMBER(SEARCH(SETTINGS!$K$5,D920)),SETTINGS!$L$5,IF(ISNUMBER(SEARCH(SETTINGS!$K$6,D920)),SETTINGS!$L$6,IF(ISNUMBER(SEARCH(SETTINGS!$K$7,D920)),SETTINGS!$L$7,IF(ISNUMBER(SEARCH(SETTINGS!$K$8,D920)),SETTINGS!$L$8,IF(ISNUMBER(SEARCH(SETTINGS!$K$9,D920)),SETTINGS!$L$9,IF(ISNUMBER(SEARCH(SETTINGS!$K$10,D920)),SETTINGS!$L$10,IF(ISNUMBER(SEARCH(SETTINGS!$K$11,D920)),SETTINGS!$L$11,IF(ISNUMBER(SEARCH(SETTINGS!$K$12,D920)),SETTINGS!$L$12,IF(ISNUMBER(SEARCH(SETTINGS!$K$13,D920)),SETTINGS!$L$13,IF(ISNUMBER(SEARCH(SETTINGS!$K$14,D920)),SETTINGS!$L$14,IF(ISNUMBER(SEARCH(SETTINGS!$K$15,D920)),SETTINGS!$L$15,IF(ISNUMBER(SEARCH(SETTINGS!$K$16,D920)),SETTINGS!$L$16,IF(ISNUMBER(SEARCH(SETTINGS!$K$17,D920)),SETTINGS!$L$17,IF(ISNUMBER(SEARCH(SETTINGS!$K$18,D920)),SETTINGS!$L$18,"Miscellaneous"))))))))))))))))</f>
        <v/>
      </c>
      <c r="I920" s="44" t="str">
        <f t="shared" si="112"/>
        <v/>
      </c>
      <c r="J920" s="9"/>
      <c r="K920" s="9"/>
      <c r="L920" s="9"/>
      <c r="M920" s="9"/>
      <c r="N920" s="9"/>
      <c r="O920" s="9"/>
      <c r="P920" s="13"/>
      <c r="Q920" s="9"/>
      <c r="R920" s="9"/>
      <c r="S920" s="9"/>
      <c r="T920" s="11"/>
      <c r="U920" s="44" t="str">
        <f t="shared" si="113"/>
        <v/>
      </c>
      <c r="V920" s="44" t="str">
        <f t="shared" si="114"/>
        <v/>
      </c>
      <c r="W920" s="44" t="str">
        <f t="shared" si="115"/>
        <v/>
      </c>
      <c r="X920" s="44" t="str">
        <f t="shared" si="116"/>
        <v/>
      </c>
      <c r="Y920" s="44" t="str">
        <f t="shared" si="117"/>
        <v/>
      </c>
      <c r="Z920" s="44" t="str">
        <f t="shared" si="118"/>
        <v/>
      </c>
      <c r="AA920" s="50" t="str">
        <f t="shared" si="119"/>
        <v/>
      </c>
      <c r="AB920" s="50" t="str">
        <f>IF(OR(B920="",C920&lt;&gt;"Expense"),"",IF(E920&gt;IFERROR(AVERAGEIFS($E$8:$E$1007,$I$8:$I$1007,I920,$C$8:$C$1007,"Expense")*SETTINGS!$B$20,0),"Unusually High","Normal"))</f>
        <v/>
      </c>
      <c r="AC920" s="51"/>
      <c r="AD920" s="51"/>
      <c r="AE920" s="51"/>
      <c r="AF920" s="50" t="str">
        <f>IF(A920&lt;&gt;"Yes","No",IF(AND(AC920="Yes",SETTINGS!$B$16="No"),"No","Yes"))</f>
        <v>No</v>
      </c>
      <c r="AG920" s="50" t="str">
        <f>IF(A920&lt;&gt;"Yes","",IF(OR(B920="",D920="",E920&lt;=0,F920="",I920=""),"Check Required Fields",IF(AA920="Possible Duplicate","Possible Duplicate",IF(E920&gt;SETTINGS!$B$22,"Review Extreme Value","OK"))))</f>
        <v/>
      </c>
    </row>
    <row r="921" spans="1:33" ht="14.4">
      <c r="A921" s="9"/>
      <c r="B921" s="13"/>
      <c r="C921" s="9"/>
      <c r="D921" s="9"/>
      <c r="E921" s="11"/>
      <c r="F921" s="9"/>
      <c r="G921" s="9"/>
      <c r="H921" s="44" t="str">
        <f>IF(D921="","",IF(ISNUMBER(SEARCH(SETTINGS!$K$4,D921)),SETTINGS!$L$4,IF(ISNUMBER(SEARCH(SETTINGS!$K$5,D921)),SETTINGS!$L$5,IF(ISNUMBER(SEARCH(SETTINGS!$K$6,D921)),SETTINGS!$L$6,IF(ISNUMBER(SEARCH(SETTINGS!$K$7,D921)),SETTINGS!$L$7,IF(ISNUMBER(SEARCH(SETTINGS!$K$8,D921)),SETTINGS!$L$8,IF(ISNUMBER(SEARCH(SETTINGS!$K$9,D921)),SETTINGS!$L$9,IF(ISNUMBER(SEARCH(SETTINGS!$K$10,D921)),SETTINGS!$L$10,IF(ISNUMBER(SEARCH(SETTINGS!$K$11,D921)),SETTINGS!$L$11,IF(ISNUMBER(SEARCH(SETTINGS!$K$12,D921)),SETTINGS!$L$12,IF(ISNUMBER(SEARCH(SETTINGS!$K$13,D921)),SETTINGS!$L$13,IF(ISNUMBER(SEARCH(SETTINGS!$K$14,D921)),SETTINGS!$L$14,IF(ISNUMBER(SEARCH(SETTINGS!$K$15,D921)),SETTINGS!$L$15,IF(ISNUMBER(SEARCH(SETTINGS!$K$16,D921)),SETTINGS!$L$16,IF(ISNUMBER(SEARCH(SETTINGS!$K$17,D921)),SETTINGS!$L$17,IF(ISNUMBER(SEARCH(SETTINGS!$K$18,D921)),SETTINGS!$L$18,"Miscellaneous"))))))))))))))))</f>
        <v/>
      </c>
      <c r="I921" s="44" t="str">
        <f t="shared" si="112"/>
        <v/>
      </c>
      <c r="J921" s="9"/>
      <c r="K921" s="9"/>
      <c r="L921" s="9"/>
      <c r="M921" s="9"/>
      <c r="N921" s="9"/>
      <c r="O921" s="9"/>
      <c r="P921" s="13"/>
      <c r="Q921" s="9"/>
      <c r="R921" s="9"/>
      <c r="S921" s="9"/>
      <c r="T921" s="11"/>
      <c r="U921" s="44" t="str">
        <f t="shared" si="113"/>
        <v/>
      </c>
      <c r="V921" s="44" t="str">
        <f t="shared" si="114"/>
        <v/>
      </c>
      <c r="W921" s="44" t="str">
        <f t="shared" si="115"/>
        <v/>
      </c>
      <c r="X921" s="44" t="str">
        <f t="shared" si="116"/>
        <v/>
      </c>
      <c r="Y921" s="44" t="str">
        <f t="shared" si="117"/>
        <v/>
      </c>
      <c r="Z921" s="44" t="str">
        <f t="shared" si="118"/>
        <v/>
      </c>
      <c r="AA921" s="50" t="str">
        <f t="shared" si="119"/>
        <v/>
      </c>
      <c r="AB921" s="50" t="str">
        <f>IF(OR(B921="",C921&lt;&gt;"Expense"),"",IF(E921&gt;IFERROR(AVERAGEIFS($E$8:$E$1007,$I$8:$I$1007,I921,$C$8:$C$1007,"Expense")*SETTINGS!$B$20,0),"Unusually High","Normal"))</f>
        <v/>
      </c>
      <c r="AC921" s="51"/>
      <c r="AD921" s="51"/>
      <c r="AE921" s="51"/>
      <c r="AF921" s="50" t="str">
        <f>IF(A921&lt;&gt;"Yes","No",IF(AND(AC921="Yes",SETTINGS!$B$16="No"),"No","Yes"))</f>
        <v>No</v>
      </c>
      <c r="AG921" s="50" t="str">
        <f>IF(A921&lt;&gt;"Yes","",IF(OR(B921="",D921="",E921&lt;=0,F921="",I921=""),"Check Required Fields",IF(AA921="Possible Duplicate","Possible Duplicate",IF(E921&gt;SETTINGS!$B$22,"Review Extreme Value","OK"))))</f>
        <v/>
      </c>
    </row>
    <row r="922" spans="1:33" ht="14.4">
      <c r="A922" s="9"/>
      <c r="B922" s="13"/>
      <c r="C922" s="9"/>
      <c r="D922" s="9"/>
      <c r="E922" s="11"/>
      <c r="F922" s="9"/>
      <c r="G922" s="9"/>
      <c r="H922" s="44" t="str">
        <f>IF(D922="","",IF(ISNUMBER(SEARCH(SETTINGS!$K$4,D922)),SETTINGS!$L$4,IF(ISNUMBER(SEARCH(SETTINGS!$K$5,D922)),SETTINGS!$L$5,IF(ISNUMBER(SEARCH(SETTINGS!$K$6,D922)),SETTINGS!$L$6,IF(ISNUMBER(SEARCH(SETTINGS!$K$7,D922)),SETTINGS!$L$7,IF(ISNUMBER(SEARCH(SETTINGS!$K$8,D922)),SETTINGS!$L$8,IF(ISNUMBER(SEARCH(SETTINGS!$K$9,D922)),SETTINGS!$L$9,IF(ISNUMBER(SEARCH(SETTINGS!$K$10,D922)),SETTINGS!$L$10,IF(ISNUMBER(SEARCH(SETTINGS!$K$11,D922)),SETTINGS!$L$11,IF(ISNUMBER(SEARCH(SETTINGS!$K$12,D922)),SETTINGS!$L$12,IF(ISNUMBER(SEARCH(SETTINGS!$K$13,D922)),SETTINGS!$L$13,IF(ISNUMBER(SEARCH(SETTINGS!$K$14,D922)),SETTINGS!$L$14,IF(ISNUMBER(SEARCH(SETTINGS!$K$15,D922)),SETTINGS!$L$15,IF(ISNUMBER(SEARCH(SETTINGS!$K$16,D922)),SETTINGS!$L$16,IF(ISNUMBER(SEARCH(SETTINGS!$K$17,D922)),SETTINGS!$L$17,IF(ISNUMBER(SEARCH(SETTINGS!$K$18,D922)),SETTINGS!$L$18,"Miscellaneous"))))))))))))))))</f>
        <v/>
      </c>
      <c r="I922" s="44" t="str">
        <f t="shared" si="112"/>
        <v/>
      </c>
      <c r="J922" s="9"/>
      <c r="K922" s="9"/>
      <c r="L922" s="9"/>
      <c r="M922" s="9"/>
      <c r="N922" s="9"/>
      <c r="O922" s="9"/>
      <c r="P922" s="13"/>
      <c r="Q922" s="9"/>
      <c r="R922" s="9"/>
      <c r="S922" s="9"/>
      <c r="T922" s="11"/>
      <c r="U922" s="44" t="str">
        <f t="shared" si="113"/>
        <v/>
      </c>
      <c r="V922" s="44" t="str">
        <f t="shared" si="114"/>
        <v/>
      </c>
      <c r="W922" s="44" t="str">
        <f t="shared" si="115"/>
        <v/>
      </c>
      <c r="X922" s="44" t="str">
        <f t="shared" si="116"/>
        <v/>
      </c>
      <c r="Y922" s="44" t="str">
        <f t="shared" si="117"/>
        <v/>
      </c>
      <c r="Z922" s="44" t="str">
        <f t="shared" si="118"/>
        <v/>
      </c>
      <c r="AA922" s="50" t="str">
        <f t="shared" si="119"/>
        <v/>
      </c>
      <c r="AB922" s="50" t="str">
        <f>IF(OR(B922="",C922&lt;&gt;"Expense"),"",IF(E922&gt;IFERROR(AVERAGEIFS($E$8:$E$1007,$I$8:$I$1007,I922,$C$8:$C$1007,"Expense")*SETTINGS!$B$20,0),"Unusually High","Normal"))</f>
        <v/>
      </c>
      <c r="AC922" s="51"/>
      <c r="AD922" s="51"/>
      <c r="AE922" s="51"/>
      <c r="AF922" s="50" t="str">
        <f>IF(A922&lt;&gt;"Yes","No",IF(AND(AC922="Yes",SETTINGS!$B$16="No"),"No","Yes"))</f>
        <v>No</v>
      </c>
      <c r="AG922" s="50" t="str">
        <f>IF(A922&lt;&gt;"Yes","",IF(OR(B922="",D922="",E922&lt;=0,F922="",I922=""),"Check Required Fields",IF(AA922="Possible Duplicate","Possible Duplicate",IF(E922&gt;SETTINGS!$B$22,"Review Extreme Value","OK"))))</f>
        <v/>
      </c>
    </row>
    <row r="923" spans="1:33" ht="14.4">
      <c r="A923" s="9"/>
      <c r="B923" s="13"/>
      <c r="C923" s="9"/>
      <c r="D923" s="9"/>
      <c r="E923" s="11"/>
      <c r="F923" s="9"/>
      <c r="G923" s="9"/>
      <c r="H923" s="44" t="str">
        <f>IF(D923="","",IF(ISNUMBER(SEARCH(SETTINGS!$K$4,D923)),SETTINGS!$L$4,IF(ISNUMBER(SEARCH(SETTINGS!$K$5,D923)),SETTINGS!$L$5,IF(ISNUMBER(SEARCH(SETTINGS!$K$6,D923)),SETTINGS!$L$6,IF(ISNUMBER(SEARCH(SETTINGS!$K$7,D923)),SETTINGS!$L$7,IF(ISNUMBER(SEARCH(SETTINGS!$K$8,D923)),SETTINGS!$L$8,IF(ISNUMBER(SEARCH(SETTINGS!$K$9,D923)),SETTINGS!$L$9,IF(ISNUMBER(SEARCH(SETTINGS!$K$10,D923)),SETTINGS!$L$10,IF(ISNUMBER(SEARCH(SETTINGS!$K$11,D923)),SETTINGS!$L$11,IF(ISNUMBER(SEARCH(SETTINGS!$K$12,D923)),SETTINGS!$L$12,IF(ISNUMBER(SEARCH(SETTINGS!$K$13,D923)),SETTINGS!$L$13,IF(ISNUMBER(SEARCH(SETTINGS!$K$14,D923)),SETTINGS!$L$14,IF(ISNUMBER(SEARCH(SETTINGS!$K$15,D923)),SETTINGS!$L$15,IF(ISNUMBER(SEARCH(SETTINGS!$K$16,D923)),SETTINGS!$L$16,IF(ISNUMBER(SEARCH(SETTINGS!$K$17,D923)),SETTINGS!$L$17,IF(ISNUMBER(SEARCH(SETTINGS!$K$18,D923)),SETTINGS!$L$18,"Miscellaneous"))))))))))))))))</f>
        <v/>
      </c>
      <c r="I923" s="44" t="str">
        <f t="shared" si="112"/>
        <v/>
      </c>
      <c r="J923" s="9"/>
      <c r="K923" s="9"/>
      <c r="L923" s="9"/>
      <c r="M923" s="9"/>
      <c r="N923" s="9"/>
      <c r="O923" s="9"/>
      <c r="P923" s="13"/>
      <c r="Q923" s="9"/>
      <c r="R923" s="9"/>
      <c r="S923" s="9"/>
      <c r="T923" s="11"/>
      <c r="U923" s="44" t="str">
        <f t="shared" si="113"/>
        <v/>
      </c>
      <c r="V923" s="44" t="str">
        <f t="shared" si="114"/>
        <v/>
      </c>
      <c r="W923" s="44" t="str">
        <f t="shared" si="115"/>
        <v/>
      </c>
      <c r="X923" s="44" t="str">
        <f t="shared" si="116"/>
        <v/>
      </c>
      <c r="Y923" s="44" t="str">
        <f t="shared" si="117"/>
        <v/>
      </c>
      <c r="Z923" s="44" t="str">
        <f t="shared" si="118"/>
        <v/>
      </c>
      <c r="AA923" s="50" t="str">
        <f t="shared" si="119"/>
        <v/>
      </c>
      <c r="AB923" s="50" t="str">
        <f>IF(OR(B923="",C923&lt;&gt;"Expense"),"",IF(E923&gt;IFERROR(AVERAGEIFS($E$8:$E$1007,$I$8:$I$1007,I923,$C$8:$C$1007,"Expense")*SETTINGS!$B$20,0),"Unusually High","Normal"))</f>
        <v/>
      </c>
      <c r="AC923" s="51"/>
      <c r="AD923" s="51"/>
      <c r="AE923" s="51"/>
      <c r="AF923" s="50" t="str">
        <f>IF(A923&lt;&gt;"Yes","No",IF(AND(AC923="Yes",SETTINGS!$B$16="No"),"No","Yes"))</f>
        <v>No</v>
      </c>
      <c r="AG923" s="50" t="str">
        <f>IF(A923&lt;&gt;"Yes","",IF(OR(B923="",D923="",E923&lt;=0,F923="",I923=""),"Check Required Fields",IF(AA923="Possible Duplicate","Possible Duplicate",IF(E923&gt;SETTINGS!$B$22,"Review Extreme Value","OK"))))</f>
        <v/>
      </c>
    </row>
    <row r="924" spans="1:33" ht="14.4">
      <c r="A924" s="9"/>
      <c r="B924" s="13"/>
      <c r="C924" s="9"/>
      <c r="D924" s="9"/>
      <c r="E924" s="11"/>
      <c r="F924" s="9"/>
      <c r="G924" s="9"/>
      <c r="H924" s="44" t="str">
        <f>IF(D924="","",IF(ISNUMBER(SEARCH(SETTINGS!$K$4,D924)),SETTINGS!$L$4,IF(ISNUMBER(SEARCH(SETTINGS!$K$5,D924)),SETTINGS!$L$5,IF(ISNUMBER(SEARCH(SETTINGS!$K$6,D924)),SETTINGS!$L$6,IF(ISNUMBER(SEARCH(SETTINGS!$K$7,D924)),SETTINGS!$L$7,IF(ISNUMBER(SEARCH(SETTINGS!$K$8,D924)),SETTINGS!$L$8,IF(ISNUMBER(SEARCH(SETTINGS!$K$9,D924)),SETTINGS!$L$9,IF(ISNUMBER(SEARCH(SETTINGS!$K$10,D924)),SETTINGS!$L$10,IF(ISNUMBER(SEARCH(SETTINGS!$K$11,D924)),SETTINGS!$L$11,IF(ISNUMBER(SEARCH(SETTINGS!$K$12,D924)),SETTINGS!$L$12,IF(ISNUMBER(SEARCH(SETTINGS!$K$13,D924)),SETTINGS!$L$13,IF(ISNUMBER(SEARCH(SETTINGS!$K$14,D924)),SETTINGS!$L$14,IF(ISNUMBER(SEARCH(SETTINGS!$K$15,D924)),SETTINGS!$L$15,IF(ISNUMBER(SEARCH(SETTINGS!$K$16,D924)),SETTINGS!$L$16,IF(ISNUMBER(SEARCH(SETTINGS!$K$17,D924)),SETTINGS!$L$17,IF(ISNUMBER(SEARCH(SETTINGS!$K$18,D924)),SETTINGS!$L$18,"Miscellaneous"))))))))))))))))</f>
        <v/>
      </c>
      <c r="I924" s="44" t="str">
        <f t="shared" si="112"/>
        <v/>
      </c>
      <c r="J924" s="9"/>
      <c r="K924" s="9"/>
      <c r="L924" s="9"/>
      <c r="M924" s="9"/>
      <c r="N924" s="9"/>
      <c r="O924" s="9"/>
      <c r="P924" s="13"/>
      <c r="Q924" s="9"/>
      <c r="R924" s="9"/>
      <c r="S924" s="9"/>
      <c r="T924" s="11"/>
      <c r="U924" s="44" t="str">
        <f t="shared" si="113"/>
        <v/>
      </c>
      <c r="V924" s="44" t="str">
        <f t="shared" si="114"/>
        <v/>
      </c>
      <c r="W924" s="44" t="str">
        <f t="shared" si="115"/>
        <v/>
      </c>
      <c r="X924" s="44" t="str">
        <f t="shared" si="116"/>
        <v/>
      </c>
      <c r="Y924" s="44" t="str">
        <f t="shared" si="117"/>
        <v/>
      </c>
      <c r="Z924" s="44" t="str">
        <f t="shared" si="118"/>
        <v/>
      </c>
      <c r="AA924" s="50" t="str">
        <f t="shared" si="119"/>
        <v/>
      </c>
      <c r="AB924" s="50" t="str">
        <f>IF(OR(B924="",C924&lt;&gt;"Expense"),"",IF(E924&gt;IFERROR(AVERAGEIFS($E$8:$E$1007,$I$8:$I$1007,I924,$C$8:$C$1007,"Expense")*SETTINGS!$B$20,0),"Unusually High","Normal"))</f>
        <v/>
      </c>
      <c r="AC924" s="51"/>
      <c r="AD924" s="51"/>
      <c r="AE924" s="51"/>
      <c r="AF924" s="50" t="str">
        <f>IF(A924&lt;&gt;"Yes","No",IF(AND(AC924="Yes",SETTINGS!$B$16="No"),"No","Yes"))</f>
        <v>No</v>
      </c>
      <c r="AG924" s="50" t="str">
        <f>IF(A924&lt;&gt;"Yes","",IF(OR(B924="",D924="",E924&lt;=0,F924="",I924=""),"Check Required Fields",IF(AA924="Possible Duplicate","Possible Duplicate",IF(E924&gt;SETTINGS!$B$22,"Review Extreme Value","OK"))))</f>
        <v/>
      </c>
    </row>
    <row r="925" spans="1:33" ht="14.4">
      <c r="A925" s="9"/>
      <c r="B925" s="13"/>
      <c r="C925" s="9"/>
      <c r="D925" s="9"/>
      <c r="E925" s="11"/>
      <c r="F925" s="9"/>
      <c r="G925" s="9"/>
      <c r="H925" s="44" t="str">
        <f>IF(D925="","",IF(ISNUMBER(SEARCH(SETTINGS!$K$4,D925)),SETTINGS!$L$4,IF(ISNUMBER(SEARCH(SETTINGS!$K$5,D925)),SETTINGS!$L$5,IF(ISNUMBER(SEARCH(SETTINGS!$K$6,D925)),SETTINGS!$L$6,IF(ISNUMBER(SEARCH(SETTINGS!$K$7,D925)),SETTINGS!$L$7,IF(ISNUMBER(SEARCH(SETTINGS!$K$8,D925)),SETTINGS!$L$8,IF(ISNUMBER(SEARCH(SETTINGS!$K$9,D925)),SETTINGS!$L$9,IF(ISNUMBER(SEARCH(SETTINGS!$K$10,D925)),SETTINGS!$L$10,IF(ISNUMBER(SEARCH(SETTINGS!$K$11,D925)),SETTINGS!$L$11,IF(ISNUMBER(SEARCH(SETTINGS!$K$12,D925)),SETTINGS!$L$12,IF(ISNUMBER(SEARCH(SETTINGS!$K$13,D925)),SETTINGS!$L$13,IF(ISNUMBER(SEARCH(SETTINGS!$K$14,D925)),SETTINGS!$L$14,IF(ISNUMBER(SEARCH(SETTINGS!$K$15,D925)),SETTINGS!$L$15,IF(ISNUMBER(SEARCH(SETTINGS!$K$16,D925)),SETTINGS!$L$16,IF(ISNUMBER(SEARCH(SETTINGS!$K$17,D925)),SETTINGS!$L$17,IF(ISNUMBER(SEARCH(SETTINGS!$K$18,D925)),SETTINGS!$L$18,"Miscellaneous"))))))))))))))))</f>
        <v/>
      </c>
      <c r="I925" s="44" t="str">
        <f t="shared" si="112"/>
        <v/>
      </c>
      <c r="J925" s="9"/>
      <c r="K925" s="9"/>
      <c r="L925" s="9"/>
      <c r="M925" s="9"/>
      <c r="N925" s="9"/>
      <c r="O925" s="9"/>
      <c r="P925" s="13"/>
      <c r="Q925" s="9"/>
      <c r="R925" s="9"/>
      <c r="S925" s="9"/>
      <c r="T925" s="11"/>
      <c r="U925" s="44" t="str">
        <f t="shared" si="113"/>
        <v/>
      </c>
      <c r="V925" s="44" t="str">
        <f t="shared" si="114"/>
        <v/>
      </c>
      <c r="W925" s="44" t="str">
        <f t="shared" si="115"/>
        <v/>
      </c>
      <c r="X925" s="44" t="str">
        <f t="shared" si="116"/>
        <v/>
      </c>
      <c r="Y925" s="44" t="str">
        <f t="shared" si="117"/>
        <v/>
      </c>
      <c r="Z925" s="44" t="str">
        <f t="shared" si="118"/>
        <v/>
      </c>
      <c r="AA925" s="50" t="str">
        <f t="shared" si="119"/>
        <v/>
      </c>
      <c r="AB925" s="50" t="str">
        <f>IF(OR(B925="",C925&lt;&gt;"Expense"),"",IF(E925&gt;IFERROR(AVERAGEIFS($E$8:$E$1007,$I$8:$I$1007,I925,$C$8:$C$1007,"Expense")*SETTINGS!$B$20,0),"Unusually High","Normal"))</f>
        <v/>
      </c>
      <c r="AC925" s="51"/>
      <c r="AD925" s="51"/>
      <c r="AE925" s="51"/>
      <c r="AF925" s="50" t="str">
        <f>IF(A925&lt;&gt;"Yes","No",IF(AND(AC925="Yes",SETTINGS!$B$16="No"),"No","Yes"))</f>
        <v>No</v>
      </c>
      <c r="AG925" s="50" t="str">
        <f>IF(A925&lt;&gt;"Yes","",IF(OR(B925="",D925="",E925&lt;=0,F925="",I925=""),"Check Required Fields",IF(AA925="Possible Duplicate","Possible Duplicate",IF(E925&gt;SETTINGS!$B$22,"Review Extreme Value","OK"))))</f>
        <v/>
      </c>
    </row>
    <row r="926" spans="1:33" ht="14.4">
      <c r="A926" s="9"/>
      <c r="B926" s="13"/>
      <c r="C926" s="9"/>
      <c r="D926" s="9"/>
      <c r="E926" s="11"/>
      <c r="F926" s="9"/>
      <c r="G926" s="9"/>
      <c r="H926" s="44" t="str">
        <f>IF(D926="","",IF(ISNUMBER(SEARCH(SETTINGS!$K$4,D926)),SETTINGS!$L$4,IF(ISNUMBER(SEARCH(SETTINGS!$K$5,D926)),SETTINGS!$L$5,IF(ISNUMBER(SEARCH(SETTINGS!$K$6,D926)),SETTINGS!$L$6,IF(ISNUMBER(SEARCH(SETTINGS!$K$7,D926)),SETTINGS!$L$7,IF(ISNUMBER(SEARCH(SETTINGS!$K$8,D926)),SETTINGS!$L$8,IF(ISNUMBER(SEARCH(SETTINGS!$K$9,D926)),SETTINGS!$L$9,IF(ISNUMBER(SEARCH(SETTINGS!$K$10,D926)),SETTINGS!$L$10,IF(ISNUMBER(SEARCH(SETTINGS!$K$11,D926)),SETTINGS!$L$11,IF(ISNUMBER(SEARCH(SETTINGS!$K$12,D926)),SETTINGS!$L$12,IF(ISNUMBER(SEARCH(SETTINGS!$K$13,D926)),SETTINGS!$L$13,IF(ISNUMBER(SEARCH(SETTINGS!$K$14,D926)),SETTINGS!$L$14,IF(ISNUMBER(SEARCH(SETTINGS!$K$15,D926)),SETTINGS!$L$15,IF(ISNUMBER(SEARCH(SETTINGS!$K$16,D926)),SETTINGS!$L$16,IF(ISNUMBER(SEARCH(SETTINGS!$K$17,D926)),SETTINGS!$L$17,IF(ISNUMBER(SEARCH(SETTINGS!$K$18,D926)),SETTINGS!$L$18,"Miscellaneous"))))))))))))))))</f>
        <v/>
      </c>
      <c r="I926" s="44" t="str">
        <f t="shared" si="112"/>
        <v/>
      </c>
      <c r="J926" s="9"/>
      <c r="K926" s="9"/>
      <c r="L926" s="9"/>
      <c r="M926" s="9"/>
      <c r="N926" s="9"/>
      <c r="O926" s="9"/>
      <c r="P926" s="13"/>
      <c r="Q926" s="9"/>
      <c r="R926" s="9"/>
      <c r="S926" s="9"/>
      <c r="T926" s="11"/>
      <c r="U926" s="44" t="str">
        <f t="shared" si="113"/>
        <v/>
      </c>
      <c r="V926" s="44" t="str">
        <f t="shared" si="114"/>
        <v/>
      </c>
      <c r="W926" s="44" t="str">
        <f t="shared" si="115"/>
        <v/>
      </c>
      <c r="X926" s="44" t="str">
        <f t="shared" si="116"/>
        <v/>
      </c>
      <c r="Y926" s="44" t="str">
        <f t="shared" si="117"/>
        <v/>
      </c>
      <c r="Z926" s="44" t="str">
        <f t="shared" si="118"/>
        <v/>
      </c>
      <c r="AA926" s="50" t="str">
        <f t="shared" si="119"/>
        <v/>
      </c>
      <c r="AB926" s="50" t="str">
        <f>IF(OR(B926="",C926&lt;&gt;"Expense"),"",IF(E926&gt;IFERROR(AVERAGEIFS($E$8:$E$1007,$I$8:$I$1007,I926,$C$8:$C$1007,"Expense")*SETTINGS!$B$20,0),"Unusually High","Normal"))</f>
        <v/>
      </c>
      <c r="AC926" s="51"/>
      <c r="AD926" s="51"/>
      <c r="AE926" s="51"/>
      <c r="AF926" s="50" t="str">
        <f>IF(A926&lt;&gt;"Yes","No",IF(AND(AC926="Yes",SETTINGS!$B$16="No"),"No","Yes"))</f>
        <v>No</v>
      </c>
      <c r="AG926" s="50" t="str">
        <f>IF(A926&lt;&gt;"Yes","",IF(OR(B926="",D926="",E926&lt;=0,F926="",I926=""),"Check Required Fields",IF(AA926="Possible Duplicate","Possible Duplicate",IF(E926&gt;SETTINGS!$B$22,"Review Extreme Value","OK"))))</f>
        <v/>
      </c>
    </row>
    <row r="927" spans="1:33" ht="14.4">
      <c r="A927" s="9"/>
      <c r="B927" s="13"/>
      <c r="C927" s="9"/>
      <c r="D927" s="9"/>
      <c r="E927" s="11"/>
      <c r="F927" s="9"/>
      <c r="G927" s="9"/>
      <c r="H927" s="44" t="str">
        <f>IF(D927="","",IF(ISNUMBER(SEARCH(SETTINGS!$K$4,D927)),SETTINGS!$L$4,IF(ISNUMBER(SEARCH(SETTINGS!$K$5,D927)),SETTINGS!$L$5,IF(ISNUMBER(SEARCH(SETTINGS!$K$6,D927)),SETTINGS!$L$6,IF(ISNUMBER(SEARCH(SETTINGS!$K$7,D927)),SETTINGS!$L$7,IF(ISNUMBER(SEARCH(SETTINGS!$K$8,D927)),SETTINGS!$L$8,IF(ISNUMBER(SEARCH(SETTINGS!$K$9,D927)),SETTINGS!$L$9,IF(ISNUMBER(SEARCH(SETTINGS!$K$10,D927)),SETTINGS!$L$10,IF(ISNUMBER(SEARCH(SETTINGS!$K$11,D927)),SETTINGS!$L$11,IF(ISNUMBER(SEARCH(SETTINGS!$K$12,D927)),SETTINGS!$L$12,IF(ISNUMBER(SEARCH(SETTINGS!$K$13,D927)),SETTINGS!$L$13,IF(ISNUMBER(SEARCH(SETTINGS!$K$14,D927)),SETTINGS!$L$14,IF(ISNUMBER(SEARCH(SETTINGS!$K$15,D927)),SETTINGS!$L$15,IF(ISNUMBER(SEARCH(SETTINGS!$K$16,D927)),SETTINGS!$L$16,IF(ISNUMBER(SEARCH(SETTINGS!$K$17,D927)),SETTINGS!$L$17,IF(ISNUMBER(SEARCH(SETTINGS!$K$18,D927)),SETTINGS!$L$18,"Miscellaneous"))))))))))))))))</f>
        <v/>
      </c>
      <c r="I927" s="44" t="str">
        <f t="shared" si="112"/>
        <v/>
      </c>
      <c r="J927" s="9"/>
      <c r="K927" s="9"/>
      <c r="L927" s="9"/>
      <c r="M927" s="9"/>
      <c r="N927" s="9"/>
      <c r="O927" s="9"/>
      <c r="P927" s="13"/>
      <c r="Q927" s="9"/>
      <c r="R927" s="9"/>
      <c r="S927" s="9"/>
      <c r="T927" s="11"/>
      <c r="U927" s="44" t="str">
        <f t="shared" si="113"/>
        <v/>
      </c>
      <c r="V927" s="44" t="str">
        <f t="shared" si="114"/>
        <v/>
      </c>
      <c r="W927" s="44" t="str">
        <f t="shared" si="115"/>
        <v/>
      </c>
      <c r="X927" s="44" t="str">
        <f t="shared" si="116"/>
        <v/>
      </c>
      <c r="Y927" s="44" t="str">
        <f t="shared" si="117"/>
        <v/>
      </c>
      <c r="Z927" s="44" t="str">
        <f t="shared" si="118"/>
        <v/>
      </c>
      <c r="AA927" s="50" t="str">
        <f t="shared" si="119"/>
        <v/>
      </c>
      <c r="AB927" s="50" t="str">
        <f>IF(OR(B927="",C927&lt;&gt;"Expense"),"",IF(E927&gt;IFERROR(AVERAGEIFS($E$8:$E$1007,$I$8:$I$1007,I927,$C$8:$C$1007,"Expense")*SETTINGS!$B$20,0),"Unusually High","Normal"))</f>
        <v/>
      </c>
      <c r="AC927" s="51"/>
      <c r="AD927" s="51"/>
      <c r="AE927" s="51"/>
      <c r="AF927" s="50" t="str">
        <f>IF(A927&lt;&gt;"Yes","No",IF(AND(AC927="Yes",SETTINGS!$B$16="No"),"No","Yes"))</f>
        <v>No</v>
      </c>
      <c r="AG927" s="50" t="str">
        <f>IF(A927&lt;&gt;"Yes","",IF(OR(B927="",D927="",E927&lt;=0,F927="",I927=""),"Check Required Fields",IF(AA927="Possible Duplicate","Possible Duplicate",IF(E927&gt;SETTINGS!$B$22,"Review Extreme Value","OK"))))</f>
        <v/>
      </c>
    </row>
    <row r="928" spans="1:33" ht="14.4">
      <c r="A928" s="9"/>
      <c r="B928" s="13"/>
      <c r="C928" s="9"/>
      <c r="D928" s="9"/>
      <c r="E928" s="11"/>
      <c r="F928" s="9"/>
      <c r="G928" s="9"/>
      <c r="H928" s="44" t="str">
        <f>IF(D928="","",IF(ISNUMBER(SEARCH(SETTINGS!$K$4,D928)),SETTINGS!$L$4,IF(ISNUMBER(SEARCH(SETTINGS!$K$5,D928)),SETTINGS!$L$5,IF(ISNUMBER(SEARCH(SETTINGS!$K$6,D928)),SETTINGS!$L$6,IF(ISNUMBER(SEARCH(SETTINGS!$K$7,D928)),SETTINGS!$L$7,IF(ISNUMBER(SEARCH(SETTINGS!$K$8,D928)),SETTINGS!$L$8,IF(ISNUMBER(SEARCH(SETTINGS!$K$9,D928)),SETTINGS!$L$9,IF(ISNUMBER(SEARCH(SETTINGS!$K$10,D928)),SETTINGS!$L$10,IF(ISNUMBER(SEARCH(SETTINGS!$K$11,D928)),SETTINGS!$L$11,IF(ISNUMBER(SEARCH(SETTINGS!$K$12,D928)),SETTINGS!$L$12,IF(ISNUMBER(SEARCH(SETTINGS!$K$13,D928)),SETTINGS!$L$13,IF(ISNUMBER(SEARCH(SETTINGS!$K$14,D928)),SETTINGS!$L$14,IF(ISNUMBER(SEARCH(SETTINGS!$K$15,D928)),SETTINGS!$L$15,IF(ISNUMBER(SEARCH(SETTINGS!$K$16,D928)),SETTINGS!$L$16,IF(ISNUMBER(SEARCH(SETTINGS!$K$17,D928)),SETTINGS!$L$17,IF(ISNUMBER(SEARCH(SETTINGS!$K$18,D928)),SETTINGS!$L$18,"Miscellaneous"))))))))))))))))</f>
        <v/>
      </c>
      <c r="I928" s="44" t="str">
        <f t="shared" si="112"/>
        <v/>
      </c>
      <c r="J928" s="9"/>
      <c r="K928" s="9"/>
      <c r="L928" s="9"/>
      <c r="M928" s="9"/>
      <c r="N928" s="9"/>
      <c r="O928" s="9"/>
      <c r="P928" s="13"/>
      <c r="Q928" s="9"/>
      <c r="R928" s="9"/>
      <c r="S928" s="9"/>
      <c r="T928" s="11"/>
      <c r="U928" s="44" t="str">
        <f t="shared" si="113"/>
        <v/>
      </c>
      <c r="V928" s="44" t="str">
        <f t="shared" si="114"/>
        <v/>
      </c>
      <c r="W928" s="44" t="str">
        <f t="shared" si="115"/>
        <v/>
      </c>
      <c r="X928" s="44" t="str">
        <f t="shared" si="116"/>
        <v/>
      </c>
      <c r="Y928" s="44" t="str">
        <f t="shared" si="117"/>
        <v/>
      </c>
      <c r="Z928" s="44" t="str">
        <f t="shared" si="118"/>
        <v/>
      </c>
      <c r="AA928" s="50" t="str">
        <f t="shared" si="119"/>
        <v/>
      </c>
      <c r="AB928" s="50" t="str">
        <f>IF(OR(B928="",C928&lt;&gt;"Expense"),"",IF(E928&gt;IFERROR(AVERAGEIFS($E$8:$E$1007,$I$8:$I$1007,I928,$C$8:$C$1007,"Expense")*SETTINGS!$B$20,0),"Unusually High","Normal"))</f>
        <v/>
      </c>
      <c r="AC928" s="51"/>
      <c r="AD928" s="51"/>
      <c r="AE928" s="51"/>
      <c r="AF928" s="50" t="str">
        <f>IF(A928&lt;&gt;"Yes","No",IF(AND(AC928="Yes",SETTINGS!$B$16="No"),"No","Yes"))</f>
        <v>No</v>
      </c>
      <c r="AG928" s="50" t="str">
        <f>IF(A928&lt;&gt;"Yes","",IF(OR(B928="",D928="",E928&lt;=0,F928="",I928=""),"Check Required Fields",IF(AA928="Possible Duplicate","Possible Duplicate",IF(E928&gt;SETTINGS!$B$22,"Review Extreme Value","OK"))))</f>
        <v/>
      </c>
    </row>
    <row r="929" spans="1:33" ht="14.4">
      <c r="A929" s="9"/>
      <c r="B929" s="13"/>
      <c r="C929" s="9"/>
      <c r="D929" s="9"/>
      <c r="E929" s="11"/>
      <c r="F929" s="9"/>
      <c r="G929" s="9"/>
      <c r="H929" s="44" t="str">
        <f>IF(D929="","",IF(ISNUMBER(SEARCH(SETTINGS!$K$4,D929)),SETTINGS!$L$4,IF(ISNUMBER(SEARCH(SETTINGS!$K$5,D929)),SETTINGS!$L$5,IF(ISNUMBER(SEARCH(SETTINGS!$K$6,D929)),SETTINGS!$L$6,IF(ISNUMBER(SEARCH(SETTINGS!$K$7,D929)),SETTINGS!$L$7,IF(ISNUMBER(SEARCH(SETTINGS!$K$8,D929)),SETTINGS!$L$8,IF(ISNUMBER(SEARCH(SETTINGS!$K$9,D929)),SETTINGS!$L$9,IF(ISNUMBER(SEARCH(SETTINGS!$K$10,D929)),SETTINGS!$L$10,IF(ISNUMBER(SEARCH(SETTINGS!$K$11,D929)),SETTINGS!$L$11,IF(ISNUMBER(SEARCH(SETTINGS!$K$12,D929)),SETTINGS!$L$12,IF(ISNUMBER(SEARCH(SETTINGS!$K$13,D929)),SETTINGS!$L$13,IF(ISNUMBER(SEARCH(SETTINGS!$K$14,D929)),SETTINGS!$L$14,IF(ISNUMBER(SEARCH(SETTINGS!$K$15,D929)),SETTINGS!$L$15,IF(ISNUMBER(SEARCH(SETTINGS!$K$16,D929)),SETTINGS!$L$16,IF(ISNUMBER(SEARCH(SETTINGS!$K$17,D929)),SETTINGS!$L$17,IF(ISNUMBER(SEARCH(SETTINGS!$K$18,D929)),SETTINGS!$L$18,"Miscellaneous"))))))))))))))))</f>
        <v/>
      </c>
      <c r="I929" s="44" t="str">
        <f t="shared" si="112"/>
        <v/>
      </c>
      <c r="J929" s="9"/>
      <c r="K929" s="9"/>
      <c r="L929" s="9"/>
      <c r="M929" s="9"/>
      <c r="N929" s="9"/>
      <c r="O929" s="9"/>
      <c r="P929" s="13"/>
      <c r="Q929" s="9"/>
      <c r="R929" s="9"/>
      <c r="S929" s="9"/>
      <c r="T929" s="11"/>
      <c r="U929" s="44" t="str">
        <f t="shared" si="113"/>
        <v/>
      </c>
      <c r="V929" s="44" t="str">
        <f t="shared" si="114"/>
        <v/>
      </c>
      <c r="W929" s="44" t="str">
        <f t="shared" si="115"/>
        <v/>
      </c>
      <c r="X929" s="44" t="str">
        <f t="shared" si="116"/>
        <v/>
      </c>
      <c r="Y929" s="44" t="str">
        <f t="shared" si="117"/>
        <v/>
      </c>
      <c r="Z929" s="44" t="str">
        <f t="shared" si="118"/>
        <v/>
      </c>
      <c r="AA929" s="50" t="str">
        <f t="shared" si="119"/>
        <v/>
      </c>
      <c r="AB929" s="50" t="str">
        <f>IF(OR(B929="",C929&lt;&gt;"Expense"),"",IF(E929&gt;IFERROR(AVERAGEIFS($E$8:$E$1007,$I$8:$I$1007,I929,$C$8:$C$1007,"Expense")*SETTINGS!$B$20,0),"Unusually High","Normal"))</f>
        <v/>
      </c>
      <c r="AC929" s="51"/>
      <c r="AD929" s="51"/>
      <c r="AE929" s="51"/>
      <c r="AF929" s="50" t="str">
        <f>IF(A929&lt;&gt;"Yes","No",IF(AND(AC929="Yes",SETTINGS!$B$16="No"),"No","Yes"))</f>
        <v>No</v>
      </c>
      <c r="AG929" s="50" t="str">
        <f>IF(A929&lt;&gt;"Yes","",IF(OR(B929="",D929="",E929&lt;=0,F929="",I929=""),"Check Required Fields",IF(AA929="Possible Duplicate","Possible Duplicate",IF(E929&gt;SETTINGS!$B$22,"Review Extreme Value","OK"))))</f>
        <v/>
      </c>
    </row>
    <row r="930" spans="1:33" ht="14.4">
      <c r="A930" s="9"/>
      <c r="B930" s="13"/>
      <c r="C930" s="9"/>
      <c r="D930" s="9"/>
      <c r="E930" s="11"/>
      <c r="F930" s="9"/>
      <c r="G930" s="9"/>
      <c r="H930" s="44" t="str">
        <f>IF(D930="","",IF(ISNUMBER(SEARCH(SETTINGS!$K$4,D930)),SETTINGS!$L$4,IF(ISNUMBER(SEARCH(SETTINGS!$K$5,D930)),SETTINGS!$L$5,IF(ISNUMBER(SEARCH(SETTINGS!$K$6,D930)),SETTINGS!$L$6,IF(ISNUMBER(SEARCH(SETTINGS!$K$7,D930)),SETTINGS!$L$7,IF(ISNUMBER(SEARCH(SETTINGS!$K$8,D930)),SETTINGS!$L$8,IF(ISNUMBER(SEARCH(SETTINGS!$K$9,D930)),SETTINGS!$L$9,IF(ISNUMBER(SEARCH(SETTINGS!$K$10,D930)),SETTINGS!$L$10,IF(ISNUMBER(SEARCH(SETTINGS!$K$11,D930)),SETTINGS!$L$11,IF(ISNUMBER(SEARCH(SETTINGS!$K$12,D930)),SETTINGS!$L$12,IF(ISNUMBER(SEARCH(SETTINGS!$K$13,D930)),SETTINGS!$L$13,IF(ISNUMBER(SEARCH(SETTINGS!$K$14,D930)),SETTINGS!$L$14,IF(ISNUMBER(SEARCH(SETTINGS!$K$15,D930)),SETTINGS!$L$15,IF(ISNUMBER(SEARCH(SETTINGS!$K$16,D930)),SETTINGS!$L$16,IF(ISNUMBER(SEARCH(SETTINGS!$K$17,D930)),SETTINGS!$L$17,IF(ISNUMBER(SEARCH(SETTINGS!$K$18,D930)),SETTINGS!$L$18,"Miscellaneous"))))))))))))))))</f>
        <v/>
      </c>
      <c r="I930" s="44" t="str">
        <f t="shared" si="112"/>
        <v/>
      </c>
      <c r="J930" s="9"/>
      <c r="K930" s="9"/>
      <c r="L930" s="9"/>
      <c r="M930" s="9"/>
      <c r="N930" s="9"/>
      <c r="O930" s="9"/>
      <c r="P930" s="13"/>
      <c r="Q930" s="9"/>
      <c r="R930" s="9"/>
      <c r="S930" s="9"/>
      <c r="T930" s="11"/>
      <c r="U930" s="44" t="str">
        <f t="shared" si="113"/>
        <v/>
      </c>
      <c r="V930" s="44" t="str">
        <f t="shared" si="114"/>
        <v/>
      </c>
      <c r="W930" s="44" t="str">
        <f t="shared" si="115"/>
        <v/>
      </c>
      <c r="X930" s="44" t="str">
        <f t="shared" si="116"/>
        <v/>
      </c>
      <c r="Y930" s="44" t="str">
        <f t="shared" si="117"/>
        <v/>
      </c>
      <c r="Z930" s="44" t="str">
        <f t="shared" si="118"/>
        <v/>
      </c>
      <c r="AA930" s="50" t="str">
        <f t="shared" si="119"/>
        <v/>
      </c>
      <c r="AB930" s="50" t="str">
        <f>IF(OR(B930="",C930&lt;&gt;"Expense"),"",IF(E930&gt;IFERROR(AVERAGEIFS($E$8:$E$1007,$I$8:$I$1007,I930,$C$8:$C$1007,"Expense")*SETTINGS!$B$20,0),"Unusually High","Normal"))</f>
        <v/>
      </c>
      <c r="AC930" s="51"/>
      <c r="AD930" s="51"/>
      <c r="AE930" s="51"/>
      <c r="AF930" s="50" t="str">
        <f>IF(A930&lt;&gt;"Yes","No",IF(AND(AC930="Yes",SETTINGS!$B$16="No"),"No","Yes"))</f>
        <v>No</v>
      </c>
      <c r="AG930" s="50" t="str">
        <f>IF(A930&lt;&gt;"Yes","",IF(OR(B930="",D930="",E930&lt;=0,F930="",I930=""),"Check Required Fields",IF(AA930="Possible Duplicate","Possible Duplicate",IF(E930&gt;SETTINGS!$B$22,"Review Extreme Value","OK"))))</f>
        <v/>
      </c>
    </row>
    <row r="931" spans="1:33" ht="14.4">
      <c r="A931" s="9"/>
      <c r="B931" s="13"/>
      <c r="C931" s="9"/>
      <c r="D931" s="9"/>
      <c r="E931" s="11"/>
      <c r="F931" s="9"/>
      <c r="G931" s="9"/>
      <c r="H931" s="44" t="str">
        <f>IF(D931="","",IF(ISNUMBER(SEARCH(SETTINGS!$K$4,D931)),SETTINGS!$L$4,IF(ISNUMBER(SEARCH(SETTINGS!$K$5,D931)),SETTINGS!$L$5,IF(ISNUMBER(SEARCH(SETTINGS!$K$6,D931)),SETTINGS!$L$6,IF(ISNUMBER(SEARCH(SETTINGS!$K$7,D931)),SETTINGS!$L$7,IF(ISNUMBER(SEARCH(SETTINGS!$K$8,D931)),SETTINGS!$L$8,IF(ISNUMBER(SEARCH(SETTINGS!$K$9,D931)),SETTINGS!$L$9,IF(ISNUMBER(SEARCH(SETTINGS!$K$10,D931)),SETTINGS!$L$10,IF(ISNUMBER(SEARCH(SETTINGS!$K$11,D931)),SETTINGS!$L$11,IF(ISNUMBER(SEARCH(SETTINGS!$K$12,D931)),SETTINGS!$L$12,IF(ISNUMBER(SEARCH(SETTINGS!$K$13,D931)),SETTINGS!$L$13,IF(ISNUMBER(SEARCH(SETTINGS!$K$14,D931)),SETTINGS!$L$14,IF(ISNUMBER(SEARCH(SETTINGS!$K$15,D931)),SETTINGS!$L$15,IF(ISNUMBER(SEARCH(SETTINGS!$K$16,D931)),SETTINGS!$L$16,IF(ISNUMBER(SEARCH(SETTINGS!$K$17,D931)),SETTINGS!$L$17,IF(ISNUMBER(SEARCH(SETTINGS!$K$18,D931)),SETTINGS!$L$18,"Miscellaneous"))))))))))))))))</f>
        <v/>
      </c>
      <c r="I931" s="44" t="str">
        <f t="shared" si="112"/>
        <v/>
      </c>
      <c r="J931" s="9"/>
      <c r="K931" s="9"/>
      <c r="L931" s="9"/>
      <c r="M931" s="9"/>
      <c r="N931" s="9"/>
      <c r="O931" s="9"/>
      <c r="P931" s="13"/>
      <c r="Q931" s="9"/>
      <c r="R931" s="9"/>
      <c r="S931" s="9"/>
      <c r="T931" s="11"/>
      <c r="U931" s="44" t="str">
        <f t="shared" si="113"/>
        <v/>
      </c>
      <c r="V931" s="44" t="str">
        <f t="shared" si="114"/>
        <v/>
      </c>
      <c r="W931" s="44" t="str">
        <f t="shared" si="115"/>
        <v/>
      </c>
      <c r="X931" s="44" t="str">
        <f t="shared" si="116"/>
        <v/>
      </c>
      <c r="Y931" s="44" t="str">
        <f t="shared" si="117"/>
        <v/>
      </c>
      <c r="Z931" s="44" t="str">
        <f t="shared" si="118"/>
        <v/>
      </c>
      <c r="AA931" s="50" t="str">
        <f t="shared" si="119"/>
        <v/>
      </c>
      <c r="AB931" s="50" t="str">
        <f>IF(OR(B931="",C931&lt;&gt;"Expense"),"",IF(E931&gt;IFERROR(AVERAGEIFS($E$8:$E$1007,$I$8:$I$1007,I931,$C$8:$C$1007,"Expense")*SETTINGS!$B$20,0),"Unusually High","Normal"))</f>
        <v/>
      </c>
      <c r="AC931" s="51"/>
      <c r="AD931" s="51"/>
      <c r="AE931" s="51"/>
      <c r="AF931" s="50" t="str">
        <f>IF(A931&lt;&gt;"Yes","No",IF(AND(AC931="Yes",SETTINGS!$B$16="No"),"No","Yes"))</f>
        <v>No</v>
      </c>
      <c r="AG931" s="50" t="str">
        <f>IF(A931&lt;&gt;"Yes","",IF(OR(B931="",D931="",E931&lt;=0,F931="",I931=""),"Check Required Fields",IF(AA931="Possible Duplicate","Possible Duplicate",IF(E931&gt;SETTINGS!$B$22,"Review Extreme Value","OK"))))</f>
        <v/>
      </c>
    </row>
    <row r="932" spans="1:33" ht="14.4">
      <c r="A932" s="9"/>
      <c r="B932" s="13"/>
      <c r="C932" s="9"/>
      <c r="D932" s="9"/>
      <c r="E932" s="11"/>
      <c r="F932" s="9"/>
      <c r="G932" s="9"/>
      <c r="H932" s="44" t="str">
        <f>IF(D932="","",IF(ISNUMBER(SEARCH(SETTINGS!$K$4,D932)),SETTINGS!$L$4,IF(ISNUMBER(SEARCH(SETTINGS!$K$5,D932)),SETTINGS!$L$5,IF(ISNUMBER(SEARCH(SETTINGS!$K$6,D932)),SETTINGS!$L$6,IF(ISNUMBER(SEARCH(SETTINGS!$K$7,D932)),SETTINGS!$L$7,IF(ISNUMBER(SEARCH(SETTINGS!$K$8,D932)),SETTINGS!$L$8,IF(ISNUMBER(SEARCH(SETTINGS!$K$9,D932)),SETTINGS!$L$9,IF(ISNUMBER(SEARCH(SETTINGS!$K$10,D932)),SETTINGS!$L$10,IF(ISNUMBER(SEARCH(SETTINGS!$K$11,D932)),SETTINGS!$L$11,IF(ISNUMBER(SEARCH(SETTINGS!$K$12,D932)),SETTINGS!$L$12,IF(ISNUMBER(SEARCH(SETTINGS!$K$13,D932)),SETTINGS!$L$13,IF(ISNUMBER(SEARCH(SETTINGS!$K$14,D932)),SETTINGS!$L$14,IF(ISNUMBER(SEARCH(SETTINGS!$K$15,D932)),SETTINGS!$L$15,IF(ISNUMBER(SEARCH(SETTINGS!$K$16,D932)),SETTINGS!$L$16,IF(ISNUMBER(SEARCH(SETTINGS!$K$17,D932)),SETTINGS!$L$17,IF(ISNUMBER(SEARCH(SETTINGS!$K$18,D932)),SETTINGS!$L$18,"Miscellaneous"))))))))))))))))</f>
        <v/>
      </c>
      <c r="I932" s="44" t="str">
        <f t="shared" si="112"/>
        <v/>
      </c>
      <c r="J932" s="9"/>
      <c r="K932" s="9"/>
      <c r="L932" s="9"/>
      <c r="M932" s="9"/>
      <c r="N932" s="9"/>
      <c r="O932" s="9"/>
      <c r="P932" s="13"/>
      <c r="Q932" s="9"/>
      <c r="R932" s="9"/>
      <c r="S932" s="9"/>
      <c r="T932" s="11"/>
      <c r="U932" s="44" t="str">
        <f t="shared" si="113"/>
        <v/>
      </c>
      <c r="V932" s="44" t="str">
        <f t="shared" si="114"/>
        <v/>
      </c>
      <c r="W932" s="44" t="str">
        <f t="shared" si="115"/>
        <v/>
      </c>
      <c r="X932" s="44" t="str">
        <f t="shared" si="116"/>
        <v/>
      </c>
      <c r="Y932" s="44" t="str">
        <f t="shared" si="117"/>
        <v/>
      </c>
      <c r="Z932" s="44" t="str">
        <f t="shared" si="118"/>
        <v/>
      </c>
      <c r="AA932" s="50" t="str">
        <f t="shared" si="119"/>
        <v/>
      </c>
      <c r="AB932" s="50" t="str">
        <f>IF(OR(B932="",C932&lt;&gt;"Expense"),"",IF(E932&gt;IFERROR(AVERAGEIFS($E$8:$E$1007,$I$8:$I$1007,I932,$C$8:$C$1007,"Expense")*SETTINGS!$B$20,0),"Unusually High","Normal"))</f>
        <v/>
      </c>
      <c r="AC932" s="51"/>
      <c r="AD932" s="51"/>
      <c r="AE932" s="51"/>
      <c r="AF932" s="50" t="str">
        <f>IF(A932&lt;&gt;"Yes","No",IF(AND(AC932="Yes",SETTINGS!$B$16="No"),"No","Yes"))</f>
        <v>No</v>
      </c>
      <c r="AG932" s="50" t="str">
        <f>IF(A932&lt;&gt;"Yes","",IF(OR(B932="",D932="",E932&lt;=0,F932="",I932=""),"Check Required Fields",IF(AA932="Possible Duplicate","Possible Duplicate",IF(E932&gt;SETTINGS!$B$22,"Review Extreme Value","OK"))))</f>
        <v/>
      </c>
    </row>
    <row r="933" spans="1:33" ht="14.4">
      <c r="A933" s="9"/>
      <c r="B933" s="13"/>
      <c r="C933" s="9"/>
      <c r="D933" s="9"/>
      <c r="E933" s="11"/>
      <c r="F933" s="9"/>
      <c r="G933" s="9"/>
      <c r="H933" s="44" t="str">
        <f>IF(D933="","",IF(ISNUMBER(SEARCH(SETTINGS!$K$4,D933)),SETTINGS!$L$4,IF(ISNUMBER(SEARCH(SETTINGS!$K$5,D933)),SETTINGS!$L$5,IF(ISNUMBER(SEARCH(SETTINGS!$K$6,D933)),SETTINGS!$L$6,IF(ISNUMBER(SEARCH(SETTINGS!$K$7,D933)),SETTINGS!$L$7,IF(ISNUMBER(SEARCH(SETTINGS!$K$8,D933)),SETTINGS!$L$8,IF(ISNUMBER(SEARCH(SETTINGS!$K$9,D933)),SETTINGS!$L$9,IF(ISNUMBER(SEARCH(SETTINGS!$K$10,D933)),SETTINGS!$L$10,IF(ISNUMBER(SEARCH(SETTINGS!$K$11,D933)),SETTINGS!$L$11,IF(ISNUMBER(SEARCH(SETTINGS!$K$12,D933)),SETTINGS!$L$12,IF(ISNUMBER(SEARCH(SETTINGS!$K$13,D933)),SETTINGS!$L$13,IF(ISNUMBER(SEARCH(SETTINGS!$K$14,D933)),SETTINGS!$L$14,IF(ISNUMBER(SEARCH(SETTINGS!$K$15,D933)),SETTINGS!$L$15,IF(ISNUMBER(SEARCH(SETTINGS!$K$16,D933)),SETTINGS!$L$16,IF(ISNUMBER(SEARCH(SETTINGS!$K$17,D933)),SETTINGS!$L$17,IF(ISNUMBER(SEARCH(SETTINGS!$K$18,D933)),SETTINGS!$L$18,"Miscellaneous"))))))))))))))))</f>
        <v/>
      </c>
      <c r="I933" s="44" t="str">
        <f t="shared" si="112"/>
        <v/>
      </c>
      <c r="J933" s="9"/>
      <c r="K933" s="9"/>
      <c r="L933" s="9"/>
      <c r="M933" s="9"/>
      <c r="N933" s="9"/>
      <c r="O933" s="9"/>
      <c r="P933" s="13"/>
      <c r="Q933" s="9"/>
      <c r="R933" s="9"/>
      <c r="S933" s="9"/>
      <c r="T933" s="11"/>
      <c r="U933" s="44" t="str">
        <f t="shared" si="113"/>
        <v/>
      </c>
      <c r="V933" s="44" t="str">
        <f t="shared" si="114"/>
        <v/>
      </c>
      <c r="W933" s="44" t="str">
        <f t="shared" si="115"/>
        <v/>
      </c>
      <c r="X933" s="44" t="str">
        <f t="shared" si="116"/>
        <v/>
      </c>
      <c r="Y933" s="44" t="str">
        <f t="shared" si="117"/>
        <v/>
      </c>
      <c r="Z933" s="44" t="str">
        <f t="shared" si="118"/>
        <v/>
      </c>
      <c r="AA933" s="50" t="str">
        <f t="shared" si="119"/>
        <v/>
      </c>
      <c r="AB933" s="50" t="str">
        <f>IF(OR(B933="",C933&lt;&gt;"Expense"),"",IF(E933&gt;IFERROR(AVERAGEIFS($E$8:$E$1007,$I$8:$I$1007,I933,$C$8:$C$1007,"Expense")*SETTINGS!$B$20,0),"Unusually High","Normal"))</f>
        <v/>
      </c>
      <c r="AC933" s="51"/>
      <c r="AD933" s="51"/>
      <c r="AE933" s="51"/>
      <c r="AF933" s="50" t="str">
        <f>IF(A933&lt;&gt;"Yes","No",IF(AND(AC933="Yes",SETTINGS!$B$16="No"),"No","Yes"))</f>
        <v>No</v>
      </c>
      <c r="AG933" s="50" t="str">
        <f>IF(A933&lt;&gt;"Yes","",IF(OR(B933="",D933="",E933&lt;=0,F933="",I933=""),"Check Required Fields",IF(AA933="Possible Duplicate","Possible Duplicate",IF(E933&gt;SETTINGS!$B$22,"Review Extreme Value","OK"))))</f>
        <v/>
      </c>
    </row>
    <row r="934" spans="1:33" ht="14.4">
      <c r="A934" s="9"/>
      <c r="B934" s="13"/>
      <c r="C934" s="9"/>
      <c r="D934" s="9"/>
      <c r="E934" s="11"/>
      <c r="F934" s="9"/>
      <c r="G934" s="9"/>
      <c r="H934" s="44" t="str">
        <f>IF(D934="","",IF(ISNUMBER(SEARCH(SETTINGS!$K$4,D934)),SETTINGS!$L$4,IF(ISNUMBER(SEARCH(SETTINGS!$K$5,D934)),SETTINGS!$L$5,IF(ISNUMBER(SEARCH(SETTINGS!$K$6,D934)),SETTINGS!$L$6,IF(ISNUMBER(SEARCH(SETTINGS!$K$7,D934)),SETTINGS!$L$7,IF(ISNUMBER(SEARCH(SETTINGS!$K$8,D934)),SETTINGS!$L$8,IF(ISNUMBER(SEARCH(SETTINGS!$K$9,D934)),SETTINGS!$L$9,IF(ISNUMBER(SEARCH(SETTINGS!$K$10,D934)),SETTINGS!$L$10,IF(ISNUMBER(SEARCH(SETTINGS!$K$11,D934)),SETTINGS!$L$11,IF(ISNUMBER(SEARCH(SETTINGS!$K$12,D934)),SETTINGS!$L$12,IF(ISNUMBER(SEARCH(SETTINGS!$K$13,D934)),SETTINGS!$L$13,IF(ISNUMBER(SEARCH(SETTINGS!$K$14,D934)),SETTINGS!$L$14,IF(ISNUMBER(SEARCH(SETTINGS!$K$15,D934)),SETTINGS!$L$15,IF(ISNUMBER(SEARCH(SETTINGS!$K$16,D934)),SETTINGS!$L$16,IF(ISNUMBER(SEARCH(SETTINGS!$K$17,D934)),SETTINGS!$L$17,IF(ISNUMBER(SEARCH(SETTINGS!$K$18,D934)),SETTINGS!$L$18,"Miscellaneous"))))))))))))))))</f>
        <v/>
      </c>
      <c r="I934" s="44" t="str">
        <f t="shared" si="112"/>
        <v/>
      </c>
      <c r="J934" s="9"/>
      <c r="K934" s="9"/>
      <c r="L934" s="9"/>
      <c r="M934" s="9"/>
      <c r="N934" s="9"/>
      <c r="O934" s="9"/>
      <c r="P934" s="13"/>
      <c r="Q934" s="9"/>
      <c r="R934" s="9"/>
      <c r="S934" s="9"/>
      <c r="T934" s="11"/>
      <c r="U934" s="44" t="str">
        <f t="shared" si="113"/>
        <v/>
      </c>
      <c r="V934" s="44" t="str">
        <f t="shared" si="114"/>
        <v/>
      </c>
      <c r="W934" s="44" t="str">
        <f t="shared" si="115"/>
        <v/>
      </c>
      <c r="X934" s="44" t="str">
        <f t="shared" si="116"/>
        <v/>
      </c>
      <c r="Y934" s="44" t="str">
        <f t="shared" si="117"/>
        <v/>
      </c>
      <c r="Z934" s="44" t="str">
        <f t="shared" si="118"/>
        <v/>
      </c>
      <c r="AA934" s="50" t="str">
        <f t="shared" si="119"/>
        <v/>
      </c>
      <c r="AB934" s="50" t="str">
        <f>IF(OR(B934="",C934&lt;&gt;"Expense"),"",IF(E934&gt;IFERROR(AVERAGEIFS($E$8:$E$1007,$I$8:$I$1007,I934,$C$8:$C$1007,"Expense")*SETTINGS!$B$20,0),"Unusually High","Normal"))</f>
        <v/>
      </c>
      <c r="AC934" s="51"/>
      <c r="AD934" s="51"/>
      <c r="AE934" s="51"/>
      <c r="AF934" s="50" t="str">
        <f>IF(A934&lt;&gt;"Yes","No",IF(AND(AC934="Yes",SETTINGS!$B$16="No"),"No","Yes"))</f>
        <v>No</v>
      </c>
      <c r="AG934" s="50" t="str">
        <f>IF(A934&lt;&gt;"Yes","",IF(OR(B934="",D934="",E934&lt;=0,F934="",I934=""),"Check Required Fields",IF(AA934="Possible Duplicate","Possible Duplicate",IF(E934&gt;SETTINGS!$B$22,"Review Extreme Value","OK"))))</f>
        <v/>
      </c>
    </row>
    <row r="935" spans="1:33" ht="14.4">
      <c r="A935" s="9"/>
      <c r="B935" s="13"/>
      <c r="C935" s="9"/>
      <c r="D935" s="9"/>
      <c r="E935" s="11"/>
      <c r="F935" s="9"/>
      <c r="G935" s="9"/>
      <c r="H935" s="44" t="str">
        <f>IF(D935="","",IF(ISNUMBER(SEARCH(SETTINGS!$K$4,D935)),SETTINGS!$L$4,IF(ISNUMBER(SEARCH(SETTINGS!$K$5,D935)),SETTINGS!$L$5,IF(ISNUMBER(SEARCH(SETTINGS!$K$6,D935)),SETTINGS!$L$6,IF(ISNUMBER(SEARCH(SETTINGS!$K$7,D935)),SETTINGS!$L$7,IF(ISNUMBER(SEARCH(SETTINGS!$K$8,D935)),SETTINGS!$L$8,IF(ISNUMBER(SEARCH(SETTINGS!$K$9,D935)),SETTINGS!$L$9,IF(ISNUMBER(SEARCH(SETTINGS!$K$10,D935)),SETTINGS!$L$10,IF(ISNUMBER(SEARCH(SETTINGS!$K$11,D935)),SETTINGS!$L$11,IF(ISNUMBER(SEARCH(SETTINGS!$K$12,D935)),SETTINGS!$L$12,IF(ISNUMBER(SEARCH(SETTINGS!$K$13,D935)),SETTINGS!$L$13,IF(ISNUMBER(SEARCH(SETTINGS!$K$14,D935)),SETTINGS!$L$14,IF(ISNUMBER(SEARCH(SETTINGS!$K$15,D935)),SETTINGS!$L$15,IF(ISNUMBER(SEARCH(SETTINGS!$K$16,D935)),SETTINGS!$L$16,IF(ISNUMBER(SEARCH(SETTINGS!$K$17,D935)),SETTINGS!$L$17,IF(ISNUMBER(SEARCH(SETTINGS!$K$18,D935)),SETTINGS!$L$18,"Miscellaneous"))))))))))))))))</f>
        <v/>
      </c>
      <c r="I935" s="44" t="str">
        <f t="shared" si="112"/>
        <v/>
      </c>
      <c r="J935" s="9"/>
      <c r="K935" s="9"/>
      <c r="L935" s="9"/>
      <c r="M935" s="9"/>
      <c r="N935" s="9"/>
      <c r="O935" s="9"/>
      <c r="P935" s="13"/>
      <c r="Q935" s="9"/>
      <c r="R935" s="9"/>
      <c r="S935" s="9"/>
      <c r="T935" s="11"/>
      <c r="U935" s="44" t="str">
        <f t="shared" si="113"/>
        <v/>
      </c>
      <c r="V935" s="44" t="str">
        <f t="shared" si="114"/>
        <v/>
      </c>
      <c r="W935" s="44" t="str">
        <f t="shared" si="115"/>
        <v/>
      </c>
      <c r="X935" s="44" t="str">
        <f t="shared" si="116"/>
        <v/>
      </c>
      <c r="Y935" s="44" t="str">
        <f t="shared" si="117"/>
        <v/>
      </c>
      <c r="Z935" s="44" t="str">
        <f t="shared" si="118"/>
        <v/>
      </c>
      <c r="AA935" s="50" t="str">
        <f t="shared" si="119"/>
        <v/>
      </c>
      <c r="AB935" s="50" t="str">
        <f>IF(OR(B935="",C935&lt;&gt;"Expense"),"",IF(E935&gt;IFERROR(AVERAGEIFS($E$8:$E$1007,$I$8:$I$1007,I935,$C$8:$C$1007,"Expense")*SETTINGS!$B$20,0),"Unusually High","Normal"))</f>
        <v/>
      </c>
      <c r="AC935" s="51"/>
      <c r="AD935" s="51"/>
      <c r="AE935" s="51"/>
      <c r="AF935" s="50" t="str">
        <f>IF(A935&lt;&gt;"Yes","No",IF(AND(AC935="Yes",SETTINGS!$B$16="No"),"No","Yes"))</f>
        <v>No</v>
      </c>
      <c r="AG935" s="50" t="str">
        <f>IF(A935&lt;&gt;"Yes","",IF(OR(B935="",D935="",E935&lt;=0,F935="",I935=""),"Check Required Fields",IF(AA935="Possible Duplicate","Possible Duplicate",IF(E935&gt;SETTINGS!$B$22,"Review Extreme Value","OK"))))</f>
        <v/>
      </c>
    </row>
    <row r="936" spans="1:33" ht="14.4">
      <c r="A936" s="9"/>
      <c r="B936" s="13"/>
      <c r="C936" s="9"/>
      <c r="D936" s="9"/>
      <c r="E936" s="11"/>
      <c r="F936" s="9"/>
      <c r="G936" s="9"/>
      <c r="H936" s="44" t="str">
        <f>IF(D936="","",IF(ISNUMBER(SEARCH(SETTINGS!$K$4,D936)),SETTINGS!$L$4,IF(ISNUMBER(SEARCH(SETTINGS!$K$5,D936)),SETTINGS!$L$5,IF(ISNUMBER(SEARCH(SETTINGS!$K$6,D936)),SETTINGS!$L$6,IF(ISNUMBER(SEARCH(SETTINGS!$K$7,D936)),SETTINGS!$L$7,IF(ISNUMBER(SEARCH(SETTINGS!$K$8,D936)),SETTINGS!$L$8,IF(ISNUMBER(SEARCH(SETTINGS!$K$9,D936)),SETTINGS!$L$9,IF(ISNUMBER(SEARCH(SETTINGS!$K$10,D936)),SETTINGS!$L$10,IF(ISNUMBER(SEARCH(SETTINGS!$K$11,D936)),SETTINGS!$L$11,IF(ISNUMBER(SEARCH(SETTINGS!$K$12,D936)),SETTINGS!$L$12,IF(ISNUMBER(SEARCH(SETTINGS!$K$13,D936)),SETTINGS!$L$13,IF(ISNUMBER(SEARCH(SETTINGS!$K$14,D936)),SETTINGS!$L$14,IF(ISNUMBER(SEARCH(SETTINGS!$K$15,D936)),SETTINGS!$L$15,IF(ISNUMBER(SEARCH(SETTINGS!$K$16,D936)),SETTINGS!$L$16,IF(ISNUMBER(SEARCH(SETTINGS!$K$17,D936)),SETTINGS!$L$17,IF(ISNUMBER(SEARCH(SETTINGS!$K$18,D936)),SETTINGS!$L$18,"Miscellaneous"))))))))))))))))</f>
        <v/>
      </c>
      <c r="I936" s="44" t="str">
        <f t="shared" si="112"/>
        <v/>
      </c>
      <c r="J936" s="9"/>
      <c r="K936" s="9"/>
      <c r="L936" s="9"/>
      <c r="M936" s="9"/>
      <c r="N936" s="9"/>
      <c r="O936" s="9"/>
      <c r="P936" s="13"/>
      <c r="Q936" s="9"/>
      <c r="R936" s="9"/>
      <c r="S936" s="9"/>
      <c r="T936" s="11"/>
      <c r="U936" s="44" t="str">
        <f t="shared" si="113"/>
        <v/>
      </c>
      <c r="V936" s="44" t="str">
        <f t="shared" si="114"/>
        <v/>
      </c>
      <c r="W936" s="44" t="str">
        <f t="shared" si="115"/>
        <v/>
      </c>
      <c r="X936" s="44" t="str">
        <f t="shared" si="116"/>
        <v/>
      </c>
      <c r="Y936" s="44" t="str">
        <f t="shared" si="117"/>
        <v/>
      </c>
      <c r="Z936" s="44" t="str">
        <f t="shared" si="118"/>
        <v/>
      </c>
      <c r="AA936" s="50" t="str">
        <f t="shared" si="119"/>
        <v/>
      </c>
      <c r="AB936" s="50" t="str">
        <f>IF(OR(B936="",C936&lt;&gt;"Expense"),"",IF(E936&gt;IFERROR(AVERAGEIFS($E$8:$E$1007,$I$8:$I$1007,I936,$C$8:$C$1007,"Expense")*SETTINGS!$B$20,0),"Unusually High","Normal"))</f>
        <v/>
      </c>
      <c r="AC936" s="51"/>
      <c r="AD936" s="51"/>
      <c r="AE936" s="51"/>
      <c r="AF936" s="50" t="str">
        <f>IF(A936&lt;&gt;"Yes","No",IF(AND(AC936="Yes",SETTINGS!$B$16="No"),"No","Yes"))</f>
        <v>No</v>
      </c>
      <c r="AG936" s="50" t="str">
        <f>IF(A936&lt;&gt;"Yes","",IF(OR(B936="",D936="",E936&lt;=0,F936="",I936=""),"Check Required Fields",IF(AA936="Possible Duplicate","Possible Duplicate",IF(E936&gt;SETTINGS!$B$22,"Review Extreme Value","OK"))))</f>
        <v/>
      </c>
    </row>
    <row r="937" spans="1:33" ht="14.4">
      <c r="A937" s="9"/>
      <c r="B937" s="13"/>
      <c r="C937" s="9"/>
      <c r="D937" s="9"/>
      <c r="E937" s="11"/>
      <c r="F937" s="9"/>
      <c r="G937" s="9"/>
      <c r="H937" s="44" t="str">
        <f>IF(D937="","",IF(ISNUMBER(SEARCH(SETTINGS!$K$4,D937)),SETTINGS!$L$4,IF(ISNUMBER(SEARCH(SETTINGS!$K$5,D937)),SETTINGS!$L$5,IF(ISNUMBER(SEARCH(SETTINGS!$K$6,D937)),SETTINGS!$L$6,IF(ISNUMBER(SEARCH(SETTINGS!$K$7,D937)),SETTINGS!$L$7,IF(ISNUMBER(SEARCH(SETTINGS!$K$8,D937)),SETTINGS!$L$8,IF(ISNUMBER(SEARCH(SETTINGS!$K$9,D937)),SETTINGS!$L$9,IF(ISNUMBER(SEARCH(SETTINGS!$K$10,D937)),SETTINGS!$L$10,IF(ISNUMBER(SEARCH(SETTINGS!$K$11,D937)),SETTINGS!$L$11,IF(ISNUMBER(SEARCH(SETTINGS!$K$12,D937)),SETTINGS!$L$12,IF(ISNUMBER(SEARCH(SETTINGS!$K$13,D937)),SETTINGS!$L$13,IF(ISNUMBER(SEARCH(SETTINGS!$K$14,D937)),SETTINGS!$L$14,IF(ISNUMBER(SEARCH(SETTINGS!$K$15,D937)),SETTINGS!$L$15,IF(ISNUMBER(SEARCH(SETTINGS!$K$16,D937)),SETTINGS!$L$16,IF(ISNUMBER(SEARCH(SETTINGS!$K$17,D937)),SETTINGS!$L$17,IF(ISNUMBER(SEARCH(SETTINGS!$K$18,D937)),SETTINGS!$L$18,"Miscellaneous"))))))))))))))))</f>
        <v/>
      </c>
      <c r="I937" s="44" t="str">
        <f t="shared" si="112"/>
        <v/>
      </c>
      <c r="J937" s="9"/>
      <c r="K937" s="9"/>
      <c r="L937" s="9"/>
      <c r="M937" s="9"/>
      <c r="N937" s="9"/>
      <c r="O937" s="9"/>
      <c r="P937" s="13"/>
      <c r="Q937" s="9"/>
      <c r="R937" s="9"/>
      <c r="S937" s="9"/>
      <c r="T937" s="11"/>
      <c r="U937" s="44" t="str">
        <f t="shared" si="113"/>
        <v/>
      </c>
      <c r="V937" s="44" t="str">
        <f t="shared" si="114"/>
        <v/>
      </c>
      <c r="W937" s="44" t="str">
        <f t="shared" si="115"/>
        <v/>
      </c>
      <c r="X937" s="44" t="str">
        <f t="shared" si="116"/>
        <v/>
      </c>
      <c r="Y937" s="44" t="str">
        <f t="shared" si="117"/>
        <v/>
      </c>
      <c r="Z937" s="44" t="str">
        <f t="shared" si="118"/>
        <v/>
      </c>
      <c r="AA937" s="50" t="str">
        <f t="shared" si="119"/>
        <v/>
      </c>
      <c r="AB937" s="50" t="str">
        <f>IF(OR(B937="",C937&lt;&gt;"Expense"),"",IF(E937&gt;IFERROR(AVERAGEIFS($E$8:$E$1007,$I$8:$I$1007,I937,$C$8:$C$1007,"Expense")*SETTINGS!$B$20,0),"Unusually High","Normal"))</f>
        <v/>
      </c>
      <c r="AC937" s="51"/>
      <c r="AD937" s="51"/>
      <c r="AE937" s="51"/>
      <c r="AF937" s="50" t="str">
        <f>IF(A937&lt;&gt;"Yes","No",IF(AND(AC937="Yes",SETTINGS!$B$16="No"),"No","Yes"))</f>
        <v>No</v>
      </c>
      <c r="AG937" s="50" t="str">
        <f>IF(A937&lt;&gt;"Yes","",IF(OR(B937="",D937="",E937&lt;=0,F937="",I937=""),"Check Required Fields",IF(AA937="Possible Duplicate","Possible Duplicate",IF(E937&gt;SETTINGS!$B$22,"Review Extreme Value","OK"))))</f>
        <v/>
      </c>
    </row>
    <row r="938" spans="1:33" ht="14.4">
      <c r="A938" s="9"/>
      <c r="B938" s="13"/>
      <c r="C938" s="9"/>
      <c r="D938" s="9"/>
      <c r="E938" s="11"/>
      <c r="F938" s="9"/>
      <c r="G938" s="9"/>
      <c r="H938" s="44" t="str">
        <f>IF(D938="","",IF(ISNUMBER(SEARCH(SETTINGS!$K$4,D938)),SETTINGS!$L$4,IF(ISNUMBER(SEARCH(SETTINGS!$K$5,D938)),SETTINGS!$L$5,IF(ISNUMBER(SEARCH(SETTINGS!$K$6,D938)),SETTINGS!$L$6,IF(ISNUMBER(SEARCH(SETTINGS!$K$7,D938)),SETTINGS!$L$7,IF(ISNUMBER(SEARCH(SETTINGS!$K$8,D938)),SETTINGS!$L$8,IF(ISNUMBER(SEARCH(SETTINGS!$K$9,D938)),SETTINGS!$L$9,IF(ISNUMBER(SEARCH(SETTINGS!$K$10,D938)),SETTINGS!$L$10,IF(ISNUMBER(SEARCH(SETTINGS!$K$11,D938)),SETTINGS!$L$11,IF(ISNUMBER(SEARCH(SETTINGS!$K$12,D938)),SETTINGS!$L$12,IF(ISNUMBER(SEARCH(SETTINGS!$K$13,D938)),SETTINGS!$L$13,IF(ISNUMBER(SEARCH(SETTINGS!$K$14,D938)),SETTINGS!$L$14,IF(ISNUMBER(SEARCH(SETTINGS!$K$15,D938)),SETTINGS!$L$15,IF(ISNUMBER(SEARCH(SETTINGS!$K$16,D938)),SETTINGS!$L$16,IF(ISNUMBER(SEARCH(SETTINGS!$K$17,D938)),SETTINGS!$L$17,IF(ISNUMBER(SEARCH(SETTINGS!$K$18,D938)),SETTINGS!$L$18,"Miscellaneous"))))))))))))))))</f>
        <v/>
      </c>
      <c r="I938" s="44" t="str">
        <f t="shared" si="112"/>
        <v/>
      </c>
      <c r="J938" s="9"/>
      <c r="K938" s="9"/>
      <c r="L938" s="9"/>
      <c r="M938" s="9"/>
      <c r="N938" s="9"/>
      <c r="O938" s="9"/>
      <c r="P938" s="13"/>
      <c r="Q938" s="9"/>
      <c r="R938" s="9"/>
      <c r="S938" s="9"/>
      <c r="T938" s="11"/>
      <c r="U938" s="44" t="str">
        <f t="shared" si="113"/>
        <v/>
      </c>
      <c r="V938" s="44" t="str">
        <f t="shared" si="114"/>
        <v/>
      </c>
      <c r="W938" s="44" t="str">
        <f t="shared" si="115"/>
        <v/>
      </c>
      <c r="X938" s="44" t="str">
        <f t="shared" si="116"/>
        <v/>
      </c>
      <c r="Y938" s="44" t="str">
        <f t="shared" si="117"/>
        <v/>
      </c>
      <c r="Z938" s="44" t="str">
        <f t="shared" si="118"/>
        <v/>
      </c>
      <c r="AA938" s="50" t="str">
        <f t="shared" si="119"/>
        <v/>
      </c>
      <c r="AB938" s="50" t="str">
        <f>IF(OR(B938="",C938&lt;&gt;"Expense"),"",IF(E938&gt;IFERROR(AVERAGEIFS($E$8:$E$1007,$I$8:$I$1007,I938,$C$8:$C$1007,"Expense")*SETTINGS!$B$20,0),"Unusually High","Normal"))</f>
        <v/>
      </c>
      <c r="AC938" s="51"/>
      <c r="AD938" s="51"/>
      <c r="AE938" s="51"/>
      <c r="AF938" s="50" t="str">
        <f>IF(A938&lt;&gt;"Yes","No",IF(AND(AC938="Yes",SETTINGS!$B$16="No"),"No","Yes"))</f>
        <v>No</v>
      </c>
      <c r="AG938" s="50" t="str">
        <f>IF(A938&lt;&gt;"Yes","",IF(OR(B938="",D938="",E938&lt;=0,F938="",I938=""),"Check Required Fields",IF(AA938="Possible Duplicate","Possible Duplicate",IF(E938&gt;SETTINGS!$B$22,"Review Extreme Value","OK"))))</f>
        <v/>
      </c>
    </row>
    <row r="939" spans="1:33" ht="14.4">
      <c r="A939" s="9"/>
      <c r="B939" s="13"/>
      <c r="C939" s="9"/>
      <c r="D939" s="9"/>
      <c r="E939" s="11"/>
      <c r="F939" s="9"/>
      <c r="G939" s="9"/>
      <c r="H939" s="44" t="str">
        <f>IF(D939="","",IF(ISNUMBER(SEARCH(SETTINGS!$K$4,D939)),SETTINGS!$L$4,IF(ISNUMBER(SEARCH(SETTINGS!$K$5,D939)),SETTINGS!$L$5,IF(ISNUMBER(SEARCH(SETTINGS!$K$6,D939)),SETTINGS!$L$6,IF(ISNUMBER(SEARCH(SETTINGS!$K$7,D939)),SETTINGS!$L$7,IF(ISNUMBER(SEARCH(SETTINGS!$K$8,D939)),SETTINGS!$L$8,IF(ISNUMBER(SEARCH(SETTINGS!$K$9,D939)),SETTINGS!$L$9,IF(ISNUMBER(SEARCH(SETTINGS!$K$10,D939)),SETTINGS!$L$10,IF(ISNUMBER(SEARCH(SETTINGS!$K$11,D939)),SETTINGS!$L$11,IF(ISNUMBER(SEARCH(SETTINGS!$K$12,D939)),SETTINGS!$L$12,IF(ISNUMBER(SEARCH(SETTINGS!$K$13,D939)),SETTINGS!$L$13,IF(ISNUMBER(SEARCH(SETTINGS!$K$14,D939)),SETTINGS!$L$14,IF(ISNUMBER(SEARCH(SETTINGS!$K$15,D939)),SETTINGS!$L$15,IF(ISNUMBER(SEARCH(SETTINGS!$K$16,D939)),SETTINGS!$L$16,IF(ISNUMBER(SEARCH(SETTINGS!$K$17,D939)),SETTINGS!$L$17,IF(ISNUMBER(SEARCH(SETTINGS!$K$18,D939)),SETTINGS!$L$18,"Miscellaneous"))))))))))))))))</f>
        <v/>
      </c>
      <c r="I939" s="44" t="str">
        <f t="shared" si="112"/>
        <v/>
      </c>
      <c r="J939" s="9"/>
      <c r="K939" s="9"/>
      <c r="L939" s="9"/>
      <c r="M939" s="9"/>
      <c r="N939" s="9"/>
      <c r="O939" s="9"/>
      <c r="P939" s="13"/>
      <c r="Q939" s="9"/>
      <c r="R939" s="9"/>
      <c r="S939" s="9"/>
      <c r="T939" s="11"/>
      <c r="U939" s="44" t="str">
        <f t="shared" si="113"/>
        <v/>
      </c>
      <c r="V939" s="44" t="str">
        <f t="shared" si="114"/>
        <v/>
      </c>
      <c r="W939" s="44" t="str">
        <f t="shared" si="115"/>
        <v/>
      </c>
      <c r="X939" s="44" t="str">
        <f t="shared" si="116"/>
        <v/>
      </c>
      <c r="Y939" s="44" t="str">
        <f t="shared" si="117"/>
        <v/>
      </c>
      <c r="Z939" s="44" t="str">
        <f t="shared" si="118"/>
        <v/>
      </c>
      <c r="AA939" s="50" t="str">
        <f t="shared" si="119"/>
        <v/>
      </c>
      <c r="AB939" s="50" t="str">
        <f>IF(OR(B939="",C939&lt;&gt;"Expense"),"",IF(E939&gt;IFERROR(AVERAGEIFS($E$8:$E$1007,$I$8:$I$1007,I939,$C$8:$C$1007,"Expense")*SETTINGS!$B$20,0),"Unusually High","Normal"))</f>
        <v/>
      </c>
      <c r="AC939" s="51"/>
      <c r="AD939" s="51"/>
      <c r="AE939" s="51"/>
      <c r="AF939" s="50" t="str">
        <f>IF(A939&lt;&gt;"Yes","No",IF(AND(AC939="Yes",SETTINGS!$B$16="No"),"No","Yes"))</f>
        <v>No</v>
      </c>
      <c r="AG939" s="50" t="str">
        <f>IF(A939&lt;&gt;"Yes","",IF(OR(B939="",D939="",E939&lt;=0,F939="",I939=""),"Check Required Fields",IF(AA939="Possible Duplicate","Possible Duplicate",IF(E939&gt;SETTINGS!$B$22,"Review Extreme Value","OK"))))</f>
        <v/>
      </c>
    </row>
    <row r="940" spans="1:33" ht="14.4">
      <c r="A940" s="9"/>
      <c r="B940" s="13"/>
      <c r="C940" s="9"/>
      <c r="D940" s="9"/>
      <c r="E940" s="11"/>
      <c r="F940" s="9"/>
      <c r="G940" s="9"/>
      <c r="H940" s="44" t="str">
        <f>IF(D940="","",IF(ISNUMBER(SEARCH(SETTINGS!$K$4,D940)),SETTINGS!$L$4,IF(ISNUMBER(SEARCH(SETTINGS!$K$5,D940)),SETTINGS!$L$5,IF(ISNUMBER(SEARCH(SETTINGS!$K$6,D940)),SETTINGS!$L$6,IF(ISNUMBER(SEARCH(SETTINGS!$K$7,D940)),SETTINGS!$L$7,IF(ISNUMBER(SEARCH(SETTINGS!$K$8,D940)),SETTINGS!$L$8,IF(ISNUMBER(SEARCH(SETTINGS!$K$9,D940)),SETTINGS!$L$9,IF(ISNUMBER(SEARCH(SETTINGS!$K$10,D940)),SETTINGS!$L$10,IF(ISNUMBER(SEARCH(SETTINGS!$K$11,D940)),SETTINGS!$L$11,IF(ISNUMBER(SEARCH(SETTINGS!$K$12,D940)),SETTINGS!$L$12,IF(ISNUMBER(SEARCH(SETTINGS!$K$13,D940)),SETTINGS!$L$13,IF(ISNUMBER(SEARCH(SETTINGS!$K$14,D940)),SETTINGS!$L$14,IF(ISNUMBER(SEARCH(SETTINGS!$K$15,D940)),SETTINGS!$L$15,IF(ISNUMBER(SEARCH(SETTINGS!$K$16,D940)),SETTINGS!$L$16,IF(ISNUMBER(SEARCH(SETTINGS!$K$17,D940)),SETTINGS!$L$17,IF(ISNUMBER(SEARCH(SETTINGS!$K$18,D940)),SETTINGS!$L$18,"Miscellaneous"))))))))))))))))</f>
        <v/>
      </c>
      <c r="I940" s="44" t="str">
        <f t="shared" si="112"/>
        <v/>
      </c>
      <c r="J940" s="9"/>
      <c r="K940" s="9"/>
      <c r="L940" s="9"/>
      <c r="M940" s="9"/>
      <c r="N940" s="9"/>
      <c r="O940" s="9"/>
      <c r="P940" s="13"/>
      <c r="Q940" s="9"/>
      <c r="R940" s="9"/>
      <c r="S940" s="9"/>
      <c r="T940" s="11"/>
      <c r="U940" s="44" t="str">
        <f t="shared" si="113"/>
        <v/>
      </c>
      <c r="V940" s="44" t="str">
        <f t="shared" si="114"/>
        <v/>
      </c>
      <c r="W940" s="44" t="str">
        <f t="shared" si="115"/>
        <v/>
      </c>
      <c r="X940" s="44" t="str">
        <f t="shared" si="116"/>
        <v/>
      </c>
      <c r="Y940" s="44" t="str">
        <f t="shared" si="117"/>
        <v/>
      </c>
      <c r="Z940" s="44" t="str">
        <f t="shared" si="118"/>
        <v/>
      </c>
      <c r="AA940" s="50" t="str">
        <f t="shared" si="119"/>
        <v/>
      </c>
      <c r="AB940" s="50" t="str">
        <f>IF(OR(B940="",C940&lt;&gt;"Expense"),"",IF(E940&gt;IFERROR(AVERAGEIFS($E$8:$E$1007,$I$8:$I$1007,I940,$C$8:$C$1007,"Expense")*SETTINGS!$B$20,0),"Unusually High","Normal"))</f>
        <v/>
      </c>
      <c r="AC940" s="51"/>
      <c r="AD940" s="51"/>
      <c r="AE940" s="51"/>
      <c r="AF940" s="50" t="str">
        <f>IF(A940&lt;&gt;"Yes","No",IF(AND(AC940="Yes",SETTINGS!$B$16="No"),"No","Yes"))</f>
        <v>No</v>
      </c>
      <c r="AG940" s="50" t="str">
        <f>IF(A940&lt;&gt;"Yes","",IF(OR(B940="",D940="",E940&lt;=0,F940="",I940=""),"Check Required Fields",IF(AA940="Possible Duplicate","Possible Duplicate",IF(E940&gt;SETTINGS!$B$22,"Review Extreme Value","OK"))))</f>
        <v/>
      </c>
    </row>
    <row r="941" spans="1:33" ht="14.4">
      <c r="A941" s="9"/>
      <c r="B941" s="13"/>
      <c r="C941" s="9"/>
      <c r="D941" s="9"/>
      <c r="E941" s="11"/>
      <c r="F941" s="9"/>
      <c r="G941" s="9"/>
      <c r="H941" s="44" t="str">
        <f>IF(D941="","",IF(ISNUMBER(SEARCH(SETTINGS!$K$4,D941)),SETTINGS!$L$4,IF(ISNUMBER(SEARCH(SETTINGS!$K$5,D941)),SETTINGS!$L$5,IF(ISNUMBER(SEARCH(SETTINGS!$K$6,D941)),SETTINGS!$L$6,IF(ISNUMBER(SEARCH(SETTINGS!$K$7,D941)),SETTINGS!$L$7,IF(ISNUMBER(SEARCH(SETTINGS!$K$8,D941)),SETTINGS!$L$8,IF(ISNUMBER(SEARCH(SETTINGS!$K$9,D941)),SETTINGS!$L$9,IF(ISNUMBER(SEARCH(SETTINGS!$K$10,D941)),SETTINGS!$L$10,IF(ISNUMBER(SEARCH(SETTINGS!$K$11,D941)),SETTINGS!$L$11,IF(ISNUMBER(SEARCH(SETTINGS!$K$12,D941)),SETTINGS!$L$12,IF(ISNUMBER(SEARCH(SETTINGS!$K$13,D941)),SETTINGS!$L$13,IF(ISNUMBER(SEARCH(SETTINGS!$K$14,D941)),SETTINGS!$L$14,IF(ISNUMBER(SEARCH(SETTINGS!$K$15,D941)),SETTINGS!$L$15,IF(ISNUMBER(SEARCH(SETTINGS!$K$16,D941)),SETTINGS!$L$16,IF(ISNUMBER(SEARCH(SETTINGS!$K$17,D941)),SETTINGS!$L$17,IF(ISNUMBER(SEARCH(SETTINGS!$K$18,D941)),SETTINGS!$L$18,"Miscellaneous"))))))))))))))))</f>
        <v/>
      </c>
      <c r="I941" s="44" t="str">
        <f t="shared" si="112"/>
        <v/>
      </c>
      <c r="J941" s="9"/>
      <c r="K941" s="9"/>
      <c r="L941" s="9"/>
      <c r="M941" s="9"/>
      <c r="N941" s="9"/>
      <c r="O941" s="9"/>
      <c r="P941" s="13"/>
      <c r="Q941" s="9"/>
      <c r="R941" s="9"/>
      <c r="S941" s="9"/>
      <c r="T941" s="11"/>
      <c r="U941" s="44" t="str">
        <f t="shared" si="113"/>
        <v/>
      </c>
      <c r="V941" s="44" t="str">
        <f t="shared" si="114"/>
        <v/>
      </c>
      <c r="W941" s="44" t="str">
        <f t="shared" si="115"/>
        <v/>
      </c>
      <c r="X941" s="44" t="str">
        <f t="shared" si="116"/>
        <v/>
      </c>
      <c r="Y941" s="44" t="str">
        <f t="shared" si="117"/>
        <v/>
      </c>
      <c r="Z941" s="44" t="str">
        <f t="shared" si="118"/>
        <v/>
      </c>
      <c r="AA941" s="50" t="str">
        <f t="shared" si="119"/>
        <v/>
      </c>
      <c r="AB941" s="50" t="str">
        <f>IF(OR(B941="",C941&lt;&gt;"Expense"),"",IF(E941&gt;IFERROR(AVERAGEIFS($E$8:$E$1007,$I$8:$I$1007,I941,$C$8:$C$1007,"Expense")*SETTINGS!$B$20,0),"Unusually High","Normal"))</f>
        <v/>
      </c>
      <c r="AC941" s="51"/>
      <c r="AD941" s="51"/>
      <c r="AE941" s="51"/>
      <c r="AF941" s="50" t="str">
        <f>IF(A941&lt;&gt;"Yes","No",IF(AND(AC941="Yes",SETTINGS!$B$16="No"),"No","Yes"))</f>
        <v>No</v>
      </c>
      <c r="AG941" s="50" t="str">
        <f>IF(A941&lt;&gt;"Yes","",IF(OR(B941="",D941="",E941&lt;=0,F941="",I941=""),"Check Required Fields",IF(AA941="Possible Duplicate","Possible Duplicate",IF(E941&gt;SETTINGS!$B$22,"Review Extreme Value","OK"))))</f>
        <v/>
      </c>
    </row>
    <row r="942" spans="1:33" ht="14.4">
      <c r="A942" s="9"/>
      <c r="B942" s="13"/>
      <c r="C942" s="9"/>
      <c r="D942" s="9"/>
      <c r="E942" s="11"/>
      <c r="F942" s="9"/>
      <c r="G942" s="9"/>
      <c r="H942" s="44" t="str">
        <f>IF(D942="","",IF(ISNUMBER(SEARCH(SETTINGS!$K$4,D942)),SETTINGS!$L$4,IF(ISNUMBER(SEARCH(SETTINGS!$K$5,D942)),SETTINGS!$L$5,IF(ISNUMBER(SEARCH(SETTINGS!$K$6,D942)),SETTINGS!$L$6,IF(ISNUMBER(SEARCH(SETTINGS!$K$7,D942)),SETTINGS!$L$7,IF(ISNUMBER(SEARCH(SETTINGS!$K$8,D942)),SETTINGS!$L$8,IF(ISNUMBER(SEARCH(SETTINGS!$K$9,D942)),SETTINGS!$L$9,IF(ISNUMBER(SEARCH(SETTINGS!$K$10,D942)),SETTINGS!$L$10,IF(ISNUMBER(SEARCH(SETTINGS!$K$11,D942)),SETTINGS!$L$11,IF(ISNUMBER(SEARCH(SETTINGS!$K$12,D942)),SETTINGS!$L$12,IF(ISNUMBER(SEARCH(SETTINGS!$K$13,D942)),SETTINGS!$L$13,IF(ISNUMBER(SEARCH(SETTINGS!$K$14,D942)),SETTINGS!$L$14,IF(ISNUMBER(SEARCH(SETTINGS!$K$15,D942)),SETTINGS!$L$15,IF(ISNUMBER(SEARCH(SETTINGS!$K$16,D942)),SETTINGS!$L$16,IF(ISNUMBER(SEARCH(SETTINGS!$K$17,D942)),SETTINGS!$L$17,IF(ISNUMBER(SEARCH(SETTINGS!$K$18,D942)),SETTINGS!$L$18,"Miscellaneous"))))))))))))))))</f>
        <v/>
      </c>
      <c r="I942" s="44" t="str">
        <f t="shared" si="112"/>
        <v/>
      </c>
      <c r="J942" s="9"/>
      <c r="K942" s="9"/>
      <c r="L942" s="9"/>
      <c r="M942" s="9"/>
      <c r="N942" s="9"/>
      <c r="O942" s="9"/>
      <c r="P942" s="13"/>
      <c r="Q942" s="9"/>
      <c r="R942" s="9"/>
      <c r="S942" s="9"/>
      <c r="T942" s="11"/>
      <c r="U942" s="44" t="str">
        <f t="shared" si="113"/>
        <v/>
      </c>
      <c r="V942" s="44" t="str">
        <f t="shared" si="114"/>
        <v/>
      </c>
      <c r="W942" s="44" t="str">
        <f t="shared" si="115"/>
        <v/>
      </c>
      <c r="X942" s="44" t="str">
        <f t="shared" si="116"/>
        <v/>
      </c>
      <c r="Y942" s="44" t="str">
        <f t="shared" si="117"/>
        <v/>
      </c>
      <c r="Z942" s="44" t="str">
        <f t="shared" si="118"/>
        <v/>
      </c>
      <c r="AA942" s="50" t="str">
        <f t="shared" si="119"/>
        <v/>
      </c>
      <c r="AB942" s="50" t="str">
        <f>IF(OR(B942="",C942&lt;&gt;"Expense"),"",IF(E942&gt;IFERROR(AVERAGEIFS($E$8:$E$1007,$I$8:$I$1007,I942,$C$8:$C$1007,"Expense")*SETTINGS!$B$20,0),"Unusually High","Normal"))</f>
        <v/>
      </c>
      <c r="AC942" s="51"/>
      <c r="AD942" s="51"/>
      <c r="AE942" s="51"/>
      <c r="AF942" s="50" t="str">
        <f>IF(A942&lt;&gt;"Yes","No",IF(AND(AC942="Yes",SETTINGS!$B$16="No"),"No","Yes"))</f>
        <v>No</v>
      </c>
      <c r="AG942" s="50" t="str">
        <f>IF(A942&lt;&gt;"Yes","",IF(OR(B942="",D942="",E942&lt;=0,F942="",I942=""),"Check Required Fields",IF(AA942="Possible Duplicate","Possible Duplicate",IF(E942&gt;SETTINGS!$B$22,"Review Extreme Value","OK"))))</f>
        <v/>
      </c>
    </row>
    <row r="943" spans="1:33" ht="14.4">
      <c r="A943" s="9"/>
      <c r="B943" s="13"/>
      <c r="C943" s="9"/>
      <c r="D943" s="9"/>
      <c r="E943" s="11"/>
      <c r="F943" s="9"/>
      <c r="G943" s="9"/>
      <c r="H943" s="44" t="str">
        <f>IF(D943="","",IF(ISNUMBER(SEARCH(SETTINGS!$K$4,D943)),SETTINGS!$L$4,IF(ISNUMBER(SEARCH(SETTINGS!$K$5,D943)),SETTINGS!$L$5,IF(ISNUMBER(SEARCH(SETTINGS!$K$6,D943)),SETTINGS!$L$6,IF(ISNUMBER(SEARCH(SETTINGS!$K$7,D943)),SETTINGS!$L$7,IF(ISNUMBER(SEARCH(SETTINGS!$K$8,D943)),SETTINGS!$L$8,IF(ISNUMBER(SEARCH(SETTINGS!$K$9,D943)),SETTINGS!$L$9,IF(ISNUMBER(SEARCH(SETTINGS!$K$10,D943)),SETTINGS!$L$10,IF(ISNUMBER(SEARCH(SETTINGS!$K$11,D943)),SETTINGS!$L$11,IF(ISNUMBER(SEARCH(SETTINGS!$K$12,D943)),SETTINGS!$L$12,IF(ISNUMBER(SEARCH(SETTINGS!$K$13,D943)),SETTINGS!$L$13,IF(ISNUMBER(SEARCH(SETTINGS!$K$14,D943)),SETTINGS!$L$14,IF(ISNUMBER(SEARCH(SETTINGS!$K$15,D943)),SETTINGS!$L$15,IF(ISNUMBER(SEARCH(SETTINGS!$K$16,D943)),SETTINGS!$L$16,IF(ISNUMBER(SEARCH(SETTINGS!$K$17,D943)),SETTINGS!$L$17,IF(ISNUMBER(SEARCH(SETTINGS!$K$18,D943)),SETTINGS!$L$18,"Miscellaneous"))))))))))))))))</f>
        <v/>
      </c>
      <c r="I943" s="44" t="str">
        <f t="shared" si="112"/>
        <v/>
      </c>
      <c r="J943" s="9"/>
      <c r="K943" s="9"/>
      <c r="L943" s="9"/>
      <c r="M943" s="9"/>
      <c r="N943" s="9"/>
      <c r="O943" s="9"/>
      <c r="P943" s="13"/>
      <c r="Q943" s="9"/>
      <c r="R943" s="9"/>
      <c r="S943" s="9"/>
      <c r="T943" s="11"/>
      <c r="U943" s="44" t="str">
        <f t="shared" si="113"/>
        <v/>
      </c>
      <c r="V943" s="44" t="str">
        <f t="shared" si="114"/>
        <v/>
      </c>
      <c r="W943" s="44" t="str">
        <f t="shared" si="115"/>
        <v/>
      </c>
      <c r="X943" s="44" t="str">
        <f t="shared" si="116"/>
        <v/>
      </c>
      <c r="Y943" s="44" t="str">
        <f t="shared" si="117"/>
        <v/>
      </c>
      <c r="Z943" s="44" t="str">
        <f t="shared" si="118"/>
        <v/>
      </c>
      <c r="AA943" s="50" t="str">
        <f t="shared" si="119"/>
        <v/>
      </c>
      <c r="AB943" s="50" t="str">
        <f>IF(OR(B943="",C943&lt;&gt;"Expense"),"",IF(E943&gt;IFERROR(AVERAGEIFS($E$8:$E$1007,$I$8:$I$1007,I943,$C$8:$C$1007,"Expense")*SETTINGS!$B$20,0),"Unusually High","Normal"))</f>
        <v/>
      </c>
      <c r="AC943" s="51"/>
      <c r="AD943" s="51"/>
      <c r="AE943" s="51"/>
      <c r="AF943" s="50" t="str">
        <f>IF(A943&lt;&gt;"Yes","No",IF(AND(AC943="Yes",SETTINGS!$B$16="No"),"No","Yes"))</f>
        <v>No</v>
      </c>
      <c r="AG943" s="50" t="str">
        <f>IF(A943&lt;&gt;"Yes","",IF(OR(B943="",D943="",E943&lt;=0,F943="",I943=""),"Check Required Fields",IF(AA943="Possible Duplicate","Possible Duplicate",IF(E943&gt;SETTINGS!$B$22,"Review Extreme Value","OK"))))</f>
        <v/>
      </c>
    </row>
    <row r="944" spans="1:33" ht="14.4">
      <c r="A944" s="9"/>
      <c r="B944" s="13"/>
      <c r="C944" s="9"/>
      <c r="D944" s="9"/>
      <c r="E944" s="11"/>
      <c r="F944" s="9"/>
      <c r="G944" s="9"/>
      <c r="H944" s="44" t="str">
        <f>IF(D944="","",IF(ISNUMBER(SEARCH(SETTINGS!$K$4,D944)),SETTINGS!$L$4,IF(ISNUMBER(SEARCH(SETTINGS!$K$5,D944)),SETTINGS!$L$5,IF(ISNUMBER(SEARCH(SETTINGS!$K$6,D944)),SETTINGS!$L$6,IF(ISNUMBER(SEARCH(SETTINGS!$K$7,D944)),SETTINGS!$L$7,IF(ISNUMBER(SEARCH(SETTINGS!$K$8,D944)),SETTINGS!$L$8,IF(ISNUMBER(SEARCH(SETTINGS!$K$9,D944)),SETTINGS!$L$9,IF(ISNUMBER(SEARCH(SETTINGS!$K$10,D944)),SETTINGS!$L$10,IF(ISNUMBER(SEARCH(SETTINGS!$K$11,D944)),SETTINGS!$L$11,IF(ISNUMBER(SEARCH(SETTINGS!$K$12,D944)),SETTINGS!$L$12,IF(ISNUMBER(SEARCH(SETTINGS!$K$13,D944)),SETTINGS!$L$13,IF(ISNUMBER(SEARCH(SETTINGS!$K$14,D944)),SETTINGS!$L$14,IF(ISNUMBER(SEARCH(SETTINGS!$K$15,D944)),SETTINGS!$L$15,IF(ISNUMBER(SEARCH(SETTINGS!$K$16,D944)),SETTINGS!$L$16,IF(ISNUMBER(SEARCH(SETTINGS!$K$17,D944)),SETTINGS!$L$17,IF(ISNUMBER(SEARCH(SETTINGS!$K$18,D944)),SETTINGS!$L$18,"Miscellaneous"))))))))))))))))</f>
        <v/>
      </c>
      <c r="I944" s="44" t="str">
        <f t="shared" si="112"/>
        <v/>
      </c>
      <c r="J944" s="9"/>
      <c r="K944" s="9"/>
      <c r="L944" s="9"/>
      <c r="M944" s="9"/>
      <c r="N944" s="9"/>
      <c r="O944" s="9"/>
      <c r="P944" s="13"/>
      <c r="Q944" s="9"/>
      <c r="R944" s="9"/>
      <c r="S944" s="9"/>
      <c r="T944" s="11"/>
      <c r="U944" s="44" t="str">
        <f t="shared" si="113"/>
        <v/>
      </c>
      <c r="V944" s="44" t="str">
        <f t="shared" si="114"/>
        <v/>
      </c>
      <c r="W944" s="44" t="str">
        <f t="shared" si="115"/>
        <v/>
      </c>
      <c r="X944" s="44" t="str">
        <f t="shared" si="116"/>
        <v/>
      </c>
      <c r="Y944" s="44" t="str">
        <f t="shared" si="117"/>
        <v/>
      </c>
      <c r="Z944" s="44" t="str">
        <f t="shared" si="118"/>
        <v/>
      </c>
      <c r="AA944" s="50" t="str">
        <f t="shared" si="119"/>
        <v/>
      </c>
      <c r="AB944" s="50" t="str">
        <f>IF(OR(B944="",C944&lt;&gt;"Expense"),"",IF(E944&gt;IFERROR(AVERAGEIFS($E$8:$E$1007,$I$8:$I$1007,I944,$C$8:$C$1007,"Expense")*SETTINGS!$B$20,0),"Unusually High","Normal"))</f>
        <v/>
      </c>
      <c r="AC944" s="51"/>
      <c r="AD944" s="51"/>
      <c r="AE944" s="51"/>
      <c r="AF944" s="50" t="str">
        <f>IF(A944&lt;&gt;"Yes","No",IF(AND(AC944="Yes",SETTINGS!$B$16="No"),"No","Yes"))</f>
        <v>No</v>
      </c>
      <c r="AG944" s="50" t="str">
        <f>IF(A944&lt;&gt;"Yes","",IF(OR(B944="",D944="",E944&lt;=0,F944="",I944=""),"Check Required Fields",IF(AA944="Possible Duplicate","Possible Duplicate",IF(E944&gt;SETTINGS!$B$22,"Review Extreme Value","OK"))))</f>
        <v/>
      </c>
    </row>
    <row r="945" spans="1:33" ht="14.4">
      <c r="A945" s="9"/>
      <c r="B945" s="13"/>
      <c r="C945" s="9"/>
      <c r="D945" s="9"/>
      <c r="E945" s="11"/>
      <c r="F945" s="9"/>
      <c r="G945" s="9"/>
      <c r="H945" s="44" t="str">
        <f>IF(D945="","",IF(ISNUMBER(SEARCH(SETTINGS!$K$4,D945)),SETTINGS!$L$4,IF(ISNUMBER(SEARCH(SETTINGS!$K$5,D945)),SETTINGS!$L$5,IF(ISNUMBER(SEARCH(SETTINGS!$K$6,D945)),SETTINGS!$L$6,IF(ISNUMBER(SEARCH(SETTINGS!$K$7,D945)),SETTINGS!$L$7,IF(ISNUMBER(SEARCH(SETTINGS!$K$8,D945)),SETTINGS!$L$8,IF(ISNUMBER(SEARCH(SETTINGS!$K$9,D945)),SETTINGS!$L$9,IF(ISNUMBER(SEARCH(SETTINGS!$K$10,D945)),SETTINGS!$L$10,IF(ISNUMBER(SEARCH(SETTINGS!$K$11,D945)),SETTINGS!$L$11,IF(ISNUMBER(SEARCH(SETTINGS!$K$12,D945)),SETTINGS!$L$12,IF(ISNUMBER(SEARCH(SETTINGS!$K$13,D945)),SETTINGS!$L$13,IF(ISNUMBER(SEARCH(SETTINGS!$K$14,D945)),SETTINGS!$L$14,IF(ISNUMBER(SEARCH(SETTINGS!$K$15,D945)),SETTINGS!$L$15,IF(ISNUMBER(SEARCH(SETTINGS!$K$16,D945)),SETTINGS!$L$16,IF(ISNUMBER(SEARCH(SETTINGS!$K$17,D945)),SETTINGS!$L$17,IF(ISNUMBER(SEARCH(SETTINGS!$K$18,D945)),SETTINGS!$L$18,"Miscellaneous"))))))))))))))))</f>
        <v/>
      </c>
      <c r="I945" s="44" t="str">
        <f t="shared" si="112"/>
        <v/>
      </c>
      <c r="J945" s="9"/>
      <c r="K945" s="9"/>
      <c r="L945" s="9"/>
      <c r="M945" s="9"/>
      <c r="N945" s="9"/>
      <c r="O945" s="9"/>
      <c r="P945" s="13"/>
      <c r="Q945" s="9"/>
      <c r="R945" s="9"/>
      <c r="S945" s="9"/>
      <c r="T945" s="11"/>
      <c r="U945" s="44" t="str">
        <f t="shared" si="113"/>
        <v/>
      </c>
      <c r="V945" s="44" t="str">
        <f t="shared" si="114"/>
        <v/>
      </c>
      <c r="W945" s="44" t="str">
        <f t="shared" si="115"/>
        <v/>
      </c>
      <c r="X945" s="44" t="str">
        <f t="shared" si="116"/>
        <v/>
      </c>
      <c r="Y945" s="44" t="str">
        <f t="shared" si="117"/>
        <v/>
      </c>
      <c r="Z945" s="44" t="str">
        <f t="shared" si="118"/>
        <v/>
      </c>
      <c r="AA945" s="50" t="str">
        <f t="shared" si="119"/>
        <v/>
      </c>
      <c r="AB945" s="50" t="str">
        <f>IF(OR(B945="",C945&lt;&gt;"Expense"),"",IF(E945&gt;IFERROR(AVERAGEIFS($E$8:$E$1007,$I$8:$I$1007,I945,$C$8:$C$1007,"Expense")*SETTINGS!$B$20,0),"Unusually High","Normal"))</f>
        <v/>
      </c>
      <c r="AC945" s="51"/>
      <c r="AD945" s="51"/>
      <c r="AE945" s="51"/>
      <c r="AF945" s="50" t="str">
        <f>IF(A945&lt;&gt;"Yes","No",IF(AND(AC945="Yes",SETTINGS!$B$16="No"),"No","Yes"))</f>
        <v>No</v>
      </c>
      <c r="AG945" s="50" t="str">
        <f>IF(A945&lt;&gt;"Yes","",IF(OR(B945="",D945="",E945&lt;=0,F945="",I945=""),"Check Required Fields",IF(AA945="Possible Duplicate","Possible Duplicate",IF(E945&gt;SETTINGS!$B$22,"Review Extreme Value","OK"))))</f>
        <v/>
      </c>
    </row>
    <row r="946" spans="1:33" ht="14.4">
      <c r="A946" s="9"/>
      <c r="B946" s="13"/>
      <c r="C946" s="9"/>
      <c r="D946" s="9"/>
      <c r="E946" s="11"/>
      <c r="F946" s="9"/>
      <c r="G946" s="9"/>
      <c r="H946" s="44" t="str">
        <f>IF(D946="","",IF(ISNUMBER(SEARCH(SETTINGS!$K$4,D946)),SETTINGS!$L$4,IF(ISNUMBER(SEARCH(SETTINGS!$K$5,D946)),SETTINGS!$L$5,IF(ISNUMBER(SEARCH(SETTINGS!$K$6,D946)),SETTINGS!$L$6,IF(ISNUMBER(SEARCH(SETTINGS!$K$7,D946)),SETTINGS!$L$7,IF(ISNUMBER(SEARCH(SETTINGS!$K$8,D946)),SETTINGS!$L$8,IF(ISNUMBER(SEARCH(SETTINGS!$K$9,D946)),SETTINGS!$L$9,IF(ISNUMBER(SEARCH(SETTINGS!$K$10,D946)),SETTINGS!$L$10,IF(ISNUMBER(SEARCH(SETTINGS!$K$11,D946)),SETTINGS!$L$11,IF(ISNUMBER(SEARCH(SETTINGS!$K$12,D946)),SETTINGS!$L$12,IF(ISNUMBER(SEARCH(SETTINGS!$K$13,D946)),SETTINGS!$L$13,IF(ISNUMBER(SEARCH(SETTINGS!$K$14,D946)),SETTINGS!$L$14,IF(ISNUMBER(SEARCH(SETTINGS!$K$15,D946)),SETTINGS!$L$15,IF(ISNUMBER(SEARCH(SETTINGS!$K$16,D946)),SETTINGS!$L$16,IF(ISNUMBER(SEARCH(SETTINGS!$K$17,D946)),SETTINGS!$L$17,IF(ISNUMBER(SEARCH(SETTINGS!$K$18,D946)),SETTINGS!$L$18,"Miscellaneous"))))))))))))))))</f>
        <v/>
      </c>
      <c r="I946" s="44" t="str">
        <f t="shared" si="112"/>
        <v/>
      </c>
      <c r="J946" s="9"/>
      <c r="K946" s="9"/>
      <c r="L946" s="9"/>
      <c r="M946" s="9"/>
      <c r="N946" s="9"/>
      <c r="O946" s="9"/>
      <c r="P946" s="13"/>
      <c r="Q946" s="9"/>
      <c r="R946" s="9"/>
      <c r="S946" s="9"/>
      <c r="T946" s="11"/>
      <c r="U946" s="44" t="str">
        <f t="shared" si="113"/>
        <v/>
      </c>
      <c r="V946" s="44" t="str">
        <f t="shared" si="114"/>
        <v/>
      </c>
      <c r="W946" s="44" t="str">
        <f t="shared" si="115"/>
        <v/>
      </c>
      <c r="X946" s="44" t="str">
        <f t="shared" si="116"/>
        <v/>
      </c>
      <c r="Y946" s="44" t="str">
        <f t="shared" si="117"/>
        <v/>
      </c>
      <c r="Z946" s="44" t="str">
        <f t="shared" si="118"/>
        <v/>
      </c>
      <c r="AA946" s="50" t="str">
        <f t="shared" si="119"/>
        <v/>
      </c>
      <c r="AB946" s="50" t="str">
        <f>IF(OR(B946="",C946&lt;&gt;"Expense"),"",IF(E946&gt;IFERROR(AVERAGEIFS($E$8:$E$1007,$I$8:$I$1007,I946,$C$8:$C$1007,"Expense")*SETTINGS!$B$20,0),"Unusually High","Normal"))</f>
        <v/>
      </c>
      <c r="AC946" s="51"/>
      <c r="AD946" s="51"/>
      <c r="AE946" s="51"/>
      <c r="AF946" s="50" t="str">
        <f>IF(A946&lt;&gt;"Yes","No",IF(AND(AC946="Yes",SETTINGS!$B$16="No"),"No","Yes"))</f>
        <v>No</v>
      </c>
      <c r="AG946" s="50" t="str">
        <f>IF(A946&lt;&gt;"Yes","",IF(OR(B946="",D946="",E946&lt;=0,F946="",I946=""),"Check Required Fields",IF(AA946="Possible Duplicate","Possible Duplicate",IF(E946&gt;SETTINGS!$B$22,"Review Extreme Value","OK"))))</f>
        <v/>
      </c>
    </row>
    <row r="947" spans="1:33" ht="14.4">
      <c r="A947" s="9"/>
      <c r="B947" s="13"/>
      <c r="C947" s="9"/>
      <c r="D947" s="9"/>
      <c r="E947" s="11"/>
      <c r="F947" s="9"/>
      <c r="G947" s="9"/>
      <c r="H947" s="44" t="str">
        <f>IF(D947="","",IF(ISNUMBER(SEARCH(SETTINGS!$K$4,D947)),SETTINGS!$L$4,IF(ISNUMBER(SEARCH(SETTINGS!$K$5,D947)),SETTINGS!$L$5,IF(ISNUMBER(SEARCH(SETTINGS!$K$6,D947)),SETTINGS!$L$6,IF(ISNUMBER(SEARCH(SETTINGS!$K$7,D947)),SETTINGS!$L$7,IF(ISNUMBER(SEARCH(SETTINGS!$K$8,D947)),SETTINGS!$L$8,IF(ISNUMBER(SEARCH(SETTINGS!$K$9,D947)),SETTINGS!$L$9,IF(ISNUMBER(SEARCH(SETTINGS!$K$10,D947)),SETTINGS!$L$10,IF(ISNUMBER(SEARCH(SETTINGS!$K$11,D947)),SETTINGS!$L$11,IF(ISNUMBER(SEARCH(SETTINGS!$K$12,D947)),SETTINGS!$L$12,IF(ISNUMBER(SEARCH(SETTINGS!$K$13,D947)),SETTINGS!$L$13,IF(ISNUMBER(SEARCH(SETTINGS!$K$14,D947)),SETTINGS!$L$14,IF(ISNUMBER(SEARCH(SETTINGS!$K$15,D947)),SETTINGS!$L$15,IF(ISNUMBER(SEARCH(SETTINGS!$K$16,D947)),SETTINGS!$L$16,IF(ISNUMBER(SEARCH(SETTINGS!$K$17,D947)),SETTINGS!$L$17,IF(ISNUMBER(SEARCH(SETTINGS!$K$18,D947)),SETTINGS!$L$18,"Miscellaneous"))))))))))))))))</f>
        <v/>
      </c>
      <c r="I947" s="44" t="str">
        <f t="shared" si="112"/>
        <v/>
      </c>
      <c r="J947" s="9"/>
      <c r="K947" s="9"/>
      <c r="L947" s="9"/>
      <c r="M947" s="9"/>
      <c r="N947" s="9"/>
      <c r="O947" s="9"/>
      <c r="P947" s="13"/>
      <c r="Q947" s="9"/>
      <c r="R947" s="9"/>
      <c r="S947" s="9"/>
      <c r="T947" s="11"/>
      <c r="U947" s="44" t="str">
        <f t="shared" si="113"/>
        <v/>
      </c>
      <c r="V947" s="44" t="str">
        <f t="shared" si="114"/>
        <v/>
      </c>
      <c r="W947" s="44" t="str">
        <f t="shared" si="115"/>
        <v/>
      </c>
      <c r="X947" s="44" t="str">
        <f t="shared" si="116"/>
        <v/>
      </c>
      <c r="Y947" s="44" t="str">
        <f t="shared" si="117"/>
        <v/>
      </c>
      <c r="Z947" s="44" t="str">
        <f t="shared" si="118"/>
        <v/>
      </c>
      <c r="AA947" s="50" t="str">
        <f t="shared" si="119"/>
        <v/>
      </c>
      <c r="AB947" s="50" t="str">
        <f>IF(OR(B947="",C947&lt;&gt;"Expense"),"",IF(E947&gt;IFERROR(AVERAGEIFS($E$8:$E$1007,$I$8:$I$1007,I947,$C$8:$C$1007,"Expense")*SETTINGS!$B$20,0),"Unusually High","Normal"))</f>
        <v/>
      </c>
      <c r="AC947" s="51"/>
      <c r="AD947" s="51"/>
      <c r="AE947" s="51"/>
      <c r="AF947" s="50" t="str">
        <f>IF(A947&lt;&gt;"Yes","No",IF(AND(AC947="Yes",SETTINGS!$B$16="No"),"No","Yes"))</f>
        <v>No</v>
      </c>
      <c r="AG947" s="50" t="str">
        <f>IF(A947&lt;&gt;"Yes","",IF(OR(B947="",D947="",E947&lt;=0,F947="",I947=""),"Check Required Fields",IF(AA947="Possible Duplicate","Possible Duplicate",IF(E947&gt;SETTINGS!$B$22,"Review Extreme Value","OK"))))</f>
        <v/>
      </c>
    </row>
    <row r="948" spans="1:33" ht="14.4">
      <c r="A948" s="9"/>
      <c r="B948" s="13"/>
      <c r="C948" s="9"/>
      <c r="D948" s="9"/>
      <c r="E948" s="11"/>
      <c r="F948" s="9"/>
      <c r="G948" s="9"/>
      <c r="H948" s="44" t="str">
        <f>IF(D948="","",IF(ISNUMBER(SEARCH(SETTINGS!$K$4,D948)),SETTINGS!$L$4,IF(ISNUMBER(SEARCH(SETTINGS!$K$5,D948)),SETTINGS!$L$5,IF(ISNUMBER(SEARCH(SETTINGS!$K$6,D948)),SETTINGS!$L$6,IF(ISNUMBER(SEARCH(SETTINGS!$K$7,D948)),SETTINGS!$L$7,IF(ISNUMBER(SEARCH(SETTINGS!$K$8,D948)),SETTINGS!$L$8,IF(ISNUMBER(SEARCH(SETTINGS!$K$9,D948)),SETTINGS!$L$9,IF(ISNUMBER(SEARCH(SETTINGS!$K$10,D948)),SETTINGS!$L$10,IF(ISNUMBER(SEARCH(SETTINGS!$K$11,D948)),SETTINGS!$L$11,IF(ISNUMBER(SEARCH(SETTINGS!$K$12,D948)),SETTINGS!$L$12,IF(ISNUMBER(SEARCH(SETTINGS!$K$13,D948)),SETTINGS!$L$13,IF(ISNUMBER(SEARCH(SETTINGS!$K$14,D948)),SETTINGS!$L$14,IF(ISNUMBER(SEARCH(SETTINGS!$K$15,D948)),SETTINGS!$L$15,IF(ISNUMBER(SEARCH(SETTINGS!$K$16,D948)),SETTINGS!$L$16,IF(ISNUMBER(SEARCH(SETTINGS!$K$17,D948)),SETTINGS!$L$17,IF(ISNUMBER(SEARCH(SETTINGS!$K$18,D948)),SETTINGS!$L$18,"Miscellaneous"))))))))))))))))</f>
        <v/>
      </c>
      <c r="I948" s="44" t="str">
        <f t="shared" si="112"/>
        <v/>
      </c>
      <c r="J948" s="9"/>
      <c r="K948" s="9"/>
      <c r="L948" s="9"/>
      <c r="M948" s="9"/>
      <c r="N948" s="9"/>
      <c r="O948" s="9"/>
      <c r="P948" s="13"/>
      <c r="Q948" s="9"/>
      <c r="R948" s="9"/>
      <c r="S948" s="9"/>
      <c r="T948" s="11"/>
      <c r="U948" s="44" t="str">
        <f t="shared" si="113"/>
        <v/>
      </c>
      <c r="V948" s="44" t="str">
        <f t="shared" si="114"/>
        <v/>
      </c>
      <c r="W948" s="44" t="str">
        <f t="shared" si="115"/>
        <v/>
      </c>
      <c r="X948" s="44" t="str">
        <f t="shared" si="116"/>
        <v/>
      </c>
      <c r="Y948" s="44" t="str">
        <f t="shared" si="117"/>
        <v/>
      </c>
      <c r="Z948" s="44" t="str">
        <f t="shared" si="118"/>
        <v/>
      </c>
      <c r="AA948" s="50" t="str">
        <f t="shared" si="119"/>
        <v/>
      </c>
      <c r="AB948" s="50" t="str">
        <f>IF(OR(B948="",C948&lt;&gt;"Expense"),"",IF(E948&gt;IFERROR(AVERAGEIFS($E$8:$E$1007,$I$8:$I$1007,I948,$C$8:$C$1007,"Expense")*SETTINGS!$B$20,0),"Unusually High","Normal"))</f>
        <v/>
      </c>
      <c r="AC948" s="51"/>
      <c r="AD948" s="51"/>
      <c r="AE948" s="51"/>
      <c r="AF948" s="50" t="str">
        <f>IF(A948&lt;&gt;"Yes","No",IF(AND(AC948="Yes",SETTINGS!$B$16="No"),"No","Yes"))</f>
        <v>No</v>
      </c>
      <c r="AG948" s="50" t="str">
        <f>IF(A948&lt;&gt;"Yes","",IF(OR(B948="",D948="",E948&lt;=0,F948="",I948=""),"Check Required Fields",IF(AA948="Possible Duplicate","Possible Duplicate",IF(E948&gt;SETTINGS!$B$22,"Review Extreme Value","OK"))))</f>
        <v/>
      </c>
    </row>
    <row r="949" spans="1:33" ht="14.4">
      <c r="A949" s="9"/>
      <c r="B949" s="13"/>
      <c r="C949" s="9"/>
      <c r="D949" s="9"/>
      <c r="E949" s="11"/>
      <c r="F949" s="9"/>
      <c r="G949" s="9"/>
      <c r="H949" s="44" t="str">
        <f>IF(D949="","",IF(ISNUMBER(SEARCH(SETTINGS!$K$4,D949)),SETTINGS!$L$4,IF(ISNUMBER(SEARCH(SETTINGS!$K$5,D949)),SETTINGS!$L$5,IF(ISNUMBER(SEARCH(SETTINGS!$K$6,D949)),SETTINGS!$L$6,IF(ISNUMBER(SEARCH(SETTINGS!$K$7,D949)),SETTINGS!$L$7,IF(ISNUMBER(SEARCH(SETTINGS!$K$8,D949)),SETTINGS!$L$8,IF(ISNUMBER(SEARCH(SETTINGS!$K$9,D949)),SETTINGS!$L$9,IF(ISNUMBER(SEARCH(SETTINGS!$K$10,D949)),SETTINGS!$L$10,IF(ISNUMBER(SEARCH(SETTINGS!$K$11,D949)),SETTINGS!$L$11,IF(ISNUMBER(SEARCH(SETTINGS!$K$12,D949)),SETTINGS!$L$12,IF(ISNUMBER(SEARCH(SETTINGS!$K$13,D949)),SETTINGS!$L$13,IF(ISNUMBER(SEARCH(SETTINGS!$K$14,D949)),SETTINGS!$L$14,IF(ISNUMBER(SEARCH(SETTINGS!$K$15,D949)),SETTINGS!$L$15,IF(ISNUMBER(SEARCH(SETTINGS!$K$16,D949)),SETTINGS!$L$16,IF(ISNUMBER(SEARCH(SETTINGS!$K$17,D949)),SETTINGS!$L$17,IF(ISNUMBER(SEARCH(SETTINGS!$K$18,D949)),SETTINGS!$L$18,"Miscellaneous"))))))))))))))))</f>
        <v/>
      </c>
      <c r="I949" s="44" t="str">
        <f t="shared" si="112"/>
        <v/>
      </c>
      <c r="J949" s="9"/>
      <c r="K949" s="9"/>
      <c r="L949" s="9"/>
      <c r="M949" s="9"/>
      <c r="N949" s="9"/>
      <c r="O949" s="9"/>
      <c r="P949" s="13"/>
      <c r="Q949" s="9"/>
      <c r="R949" s="9"/>
      <c r="S949" s="9"/>
      <c r="T949" s="11"/>
      <c r="U949" s="44" t="str">
        <f t="shared" si="113"/>
        <v/>
      </c>
      <c r="V949" s="44" t="str">
        <f t="shared" si="114"/>
        <v/>
      </c>
      <c r="W949" s="44" t="str">
        <f t="shared" si="115"/>
        <v/>
      </c>
      <c r="X949" s="44" t="str">
        <f t="shared" si="116"/>
        <v/>
      </c>
      <c r="Y949" s="44" t="str">
        <f t="shared" si="117"/>
        <v/>
      </c>
      <c r="Z949" s="44" t="str">
        <f t="shared" si="118"/>
        <v/>
      </c>
      <c r="AA949" s="50" t="str">
        <f t="shared" si="119"/>
        <v/>
      </c>
      <c r="AB949" s="50" t="str">
        <f>IF(OR(B949="",C949&lt;&gt;"Expense"),"",IF(E949&gt;IFERROR(AVERAGEIFS($E$8:$E$1007,$I$8:$I$1007,I949,$C$8:$C$1007,"Expense")*SETTINGS!$B$20,0),"Unusually High","Normal"))</f>
        <v/>
      </c>
      <c r="AC949" s="51"/>
      <c r="AD949" s="51"/>
      <c r="AE949" s="51"/>
      <c r="AF949" s="50" t="str">
        <f>IF(A949&lt;&gt;"Yes","No",IF(AND(AC949="Yes",SETTINGS!$B$16="No"),"No","Yes"))</f>
        <v>No</v>
      </c>
      <c r="AG949" s="50" t="str">
        <f>IF(A949&lt;&gt;"Yes","",IF(OR(B949="",D949="",E949&lt;=0,F949="",I949=""),"Check Required Fields",IF(AA949="Possible Duplicate","Possible Duplicate",IF(E949&gt;SETTINGS!$B$22,"Review Extreme Value","OK"))))</f>
        <v/>
      </c>
    </row>
    <row r="950" spans="1:33" ht="14.4">
      <c r="A950" s="9"/>
      <c r="B950" s="13"/>
      <c r="C950" s="9"/>
      <c r="D950" s="9"/>
      <c r="E950" s="11"/>
      <c r="F950" s="9"/>
      <c r="G950" s="9"/>
      <c r="H950" s="44" t="str">
        <f>IF(D950="","",IF(ISNUMBER(SEARCH(SETTINGS!$K$4,D950)),SETTINGS!$L$4,IF(ISNUMBER(SEARCH(SETTINGS!$K$5,D950)),SETTINGS!$L$5,IF(ISNUMBER(SEARCH(SETTINGS!$K$6,D950)),SETTINGS!$L$6,IF(ISNUMBER(SEARCH(SETTINGS!$K$7,D950)),SETTINGS!$L$7,IF(ISNUMBER(SEARCH(SETTINGS!$K$8,D950)),SETTINGS!$L$8,IF(ISNUMBER(SEARCH(SETTINGS!$K$9,D950)),SETTINGS!$L$9,IF(ISNUMBER(SEARCH(SETTINGS!$K$10,D950)),SETTINGS!$L$10,IF(ISNUMBER(SEARCH(SETTINGS!$K$11,D950)),SETTINGS!$L$11,IF(ISNUMBER(SEARCH(SETTINGS!$K$12,D950)),SETTINGS!$L$12,IF(ISNUMBER(SEARCH(SETTINGS!$K$13,D950)),SETTINGS!$L$13,IF(ISNUMBER(SEARCH(SETTINGS!$K$14,D950)),SETTINGS!$L$14,IF(ISNUMBER(SEARCH(SETTINGS!$K$15,D950)),SETTINGS!$L$15,IF(ISNUMBER(SEARCH(SETTINGS!$K$16,D950)),SETTINGS!$L$16,IF(ISNUMBER(SEARCH(SETTINGS!$K$17,D950)),SETTINGS!$L$17,IF(ISNUMBER(SEARCH(SETTINGS!$K$18,D950)),SETTINGS!$L$18,"Miscellaneous"))))))))))))))))</f>
        <v/>
      </c>
      <c r="I950" s="44" t="str">
        <f t="shared" si="112"/>
        <v/>
      </c>
      <c r="J950" s="9"/>
      <c r="K950" s="9"/>
      <c r="L950" s="9"/>
      <c r="M950" s="9"/>
      <c r="N950" s="9"/>
      <c r="O950" s="9"/>
      <c r="P950" s="13"/>
      <c r="Q950" s="9"/>
      <c r="R950" s="9"/>
      <c r="S950" s="9"/>
      <c r="T950" s="11"/>
      <c r="U950" s="44" t="str">
        <f t="shared" si="113"/>
        <v/>
      </c>
      <c r="V950" s="44" t="str">
        <f t="shared" si="114"/>
        <v/>
      </c>
      <c r="W950" s="44" t="str">
        <f t="shared" si="115"/>
        <v/>
      </c>
      <c r="X950" s="44" t="str">
        <f t="shared" si="116"/>
        <v/>
      </c>
      <c r="Y950" s="44" t="str">
        <f t="shared" si="117"/>
        <v/>
      </c>
      <c r="Z950" s="44" t="str">
        <f t="shared" si="118"/>
        <v/>
      </c>
      <c r="AA950" s="50" t="str">
        <f t="shared" si="119"/>
        <v/>
      </c>
      <c r="AB950" s="50" t="str">
        <f>IF(OR(B950="",C950&lt;&gt;"Expense"),"",IF(E950&gt;IFERROR(AVERAGEIFS($E$8:$E$1007,$I$8:$I$1007,I950,$C$8:$C$1007,"Expense")*SETTINGS!$B$20,0),"Unusually High","Normal"))</f>
        <v/>
      </c>
      <c r="AC950" s="51"/>
      <c r="AD950" s="51"/>
      <c r="AE950" s="51"/>
      <c r="AF950" s="50" t="str">
        <f>IF(A950&lt;&gt;"Yes","No",IF(AND(AC950="Yes",SETTINGS!$B$16="No"),"No","Yes"))</f>
        <v>No</v>
      </c>
      <c r="AG950" s="50" t="str">
        <f>IF(A950&lt;&gt;"Yes","",IF(OR(B950="",D950="",E950&lt;=0,F950="",I950=""),"Check Required Fields",IF(AA950="Possible Duplicate","Possible Duplicate",IF(E950&gt;SETTINGS!$B$22,"Review Extreme Value","OK"))))</f>
        <v/>
      </c>
    </row>
    <row r="951" spans="1:33" ht="14.4">
      <c r="A951" s="9"/>
      <c r="B951" s="13"/>
      <c r="C951" s="9"/>
      <c r="D951" s="9"/>
      <c r="E951" s="11"/>
      <c r="F951" s="9"/>
      <c r="G951" s="9"/>
      <c r="H951" s="44" t="str">
        <f>IF(D951="","",IF(ISNUMBER(SEARCH(SETTINGS!$K$4,D951)),SETTINGS!$L$4,IF(ISNUMBER(SEARCH(SETTINGS!$K$5,D951)),SETTINGS!$L$5,IF(ISNUMBER(SEARCH(SETTINGS!$K$6,D951)),SETTINGS!$L$6,IF(ISNUMBER(SEARCH(SETTINGS!$K$7,D951)),SETTINGS!$L$7,IF(ISNUMBER(SEARCH(SETTINGS!$K$8,D951)),SETTINGS!$L$8,IF(ISNUMBER(SEARCH(SETTINGS!$K$9,D951)),SETTINGS!$L$9,IF(ISNUMBER(SEARCH(SETTINGS!$K$10,D951)),SETTINGS!$L$10,IF(ISNUMBER(SEARCH(SETTINGS!$K$11,D951)),SETTINGS!$L$11,IF(ISNUMBER(SEARCH(SETTINGS!$K$12,D951)),SETTINGS!$L$12,IF(ISNUMBER(SEARCH(SETTINGS!$K$13,D951)),SETTINGS!$L$13,IF(ISNUMBER(SEARCH(SETTINGS!$K$14,D951)),SETTINGS!$L$14,IF(ISNUMBER(SEARCH(SETTINGS!$K$15,D951)),SETTINGS!$L$15,IF(ISNUMBER(SEARCH(SETTINGS!$K$16,D951)),SETTINGS!$L$16,IF(ISNUMBER(SEARCH(SETTINGS!$K$17,D951)),SETTINGS!$L$17,IF(ISNUMBER(SEARCH(SETTINGS!$K$18,D951)),SETTINGS!$L$18,"Miscellaneous"))))))))))))))))</f>
        <v/>
      </c>
      <c r="I951" s="44" t="str">
        <f t="shared" si="112"/>
        <v/>
      </c>
      <c r="J951" s="9"/>
      <c r="K951" s="9"/>
      <c r="L951" s="9"/>
      <c r="M951" s="9"/>
      <c r="N951" s="9"/>
      <c r="O951" s="9"/>
      <c r="P951" s="13"/>
      <c r="Q951" s="9"/>
      <c r="R951" s="9"/>
      <c r="S951" s="9"/>
      <c r="T951" s="11"/>
      <c r="U951" s="44" t="str">
        <f t="shared" si="113"/>
        <v/>
      </c>
      <c r="V951" s="44" t="str">
        <f t="shared" si="114"/>
        <v/>
      </c>
      <c r="W951" s="44" t="str">
        <f t="shared" si="115"/>
        <v/>
      </c>
      <c r="X951" s="44" t="str">
        <f t="shared" si="116"/>
        <v/>
      </c>
      <c r="Y951" s="44" t="str">
        <f t="shared" si="117"/>
        <v/>
      </c>
      <c r="Z951" s="44" t="str">
        <f t="shared" si="118"/>
        <v/>
      </c>
      <c r="AA951" s="50" t="str">
        <f t="shared" si="119"/>
        <v/>
      </c>
      <c r="AB951" s="50" t="str">
        <f>IF(OR(B951="",C951&lt;&gt;"Expense"),"",IF(E951&gt;IFERROR(AVERAGEIFS($E$8:$E$1007,$I$8:$I$1007,I951,$C$8:$C$1007,"Expense")*SETTINGS!$B$20,0),"Unusually High","Normal"))</f>
        <v/>
      </c>
      <c r="AC951" s="51"/>
      <c r="AD951" s="51"/>
      <c r="AE951" s="51"/>
      <c r="AF951" s="50" t="str">
        <f>IF(A951&lt;&gt;"Yes","No",IF(AND(AC951="Yes",SETTINGS!$B$16="No"),"No","Yes"))</f>
        <v>No</v>
      </c>
      <c r="AG951" s="50" t="str">
        <f>IF(A951&lt;&gt;"Yes","",IF(OR(B951="",D951="",E951&lt;=0,F951="",I951=""),"Check Required Fields",IF(AA951="Possible Duplicate","Possible Duplicate",IF(E951&gt;SETTINGS!$B$22,"Review Extreme Value","OK"))))</f>
        <v/>
      </c>
    </row>
    <row r="952" spans="1:33" ht="14.4">
      <c r="A952" s="9"/>
      <c r="B952" s="13"/>
      <c r="C952" s="9"/>
      <c r="D952" s="9"/>
      <c r="E952" s="11"/>
      <c r="F952" s="9"/>
      <c r="G952" s="9"/>
      <c r="H952" s="44" t="str">
        <f>IF(D952="","",IF(ISNUMBER(SEARCH(SETTINGS!$K$4,D952)),SETTINGS!$L$4,IF(ISNUMBER(SEARCH(SETTINGS!$K$5,D952)),SETTINGS!$L$5,IF(ISNUMBER(SEARCH(SETTINGS!$K$6,D952)),SETTINGS!$L$6,IF(ISNUMBER(SEARCH(SETTINGS!$K$7,D952)),SETTINGS!$L$7,IF(ISNUMBER(SEARCH(SETTINGS!$K$8,D952)),SETTINGS!$L$8,IF(ISNUMBER(SEARCH(SETTINGS!$K$9,D952)),SETTINGS!$L$9,IF(ISNUMBER(SEARCH(SETTINGS!$K$10,D952)),SETTINGS!$L$10,IF(ISNUMBER(SEARCH(SETTINGS!$K$11,D952)),SETTINGS!$L$11,IF(ISNUMBER(SEARCH(SETTINGS!$K$12,D952)),SETTINGS!$L$12,IF(ISNUMBER(SEARCH(SETTINGS!$K$13,D952)),SETTINGS!$L$13,IF(ISNUMBER(SEARCH(SETTINGS!$K$14,D952)),SETTINGS!$L$14,IF(ISNUMBER(SEARCH(SETTINGS!$K$15,D952)),SETTINGS!$L$15,IF(ISNUMBER(SEARCH(SETTINGS!$K$16,D952)),SETTINGS!$L$16,IF(ISNUMBER(SEARCH(SETTINGS!$K$17,D952)),SETTINGS!$L$17,IF(ISNUMBER(SEARCH(SETTINGS!$K$18,D952)),SETTINGS!$L$18,"Miscellaneous"))))))))))))))))</f>
        <v/>
      </c>
      <c r="I952" s="44" t="str">
        <f t="shared" si="112"/>
        <v/>
      </c>
      <c r="J952" s="9"/>
      <c r="K952" s="9"/>
      <c r="L952" s="9"/>
      <c r="M952" s="9"/>
      <c r="N952" s="9"/>
      <c r="O952" s="9"/>
      <c r="P952" s="13"/>
      <c r="Q952" s="9"/>
      <c r="R952" s="9"/>
      <c r="S952" s="9"/>
      <c r="T952" s="11"/>
      <c r="U952" s="44" t="str">
        <f t="shared" si="113"/>
        <v/>
      </c>
      <c r="V952" s="44" t="str">
        <f t="shared" si="114"/>
        <v/>
      </c>
      <c r="W952" s="44" t="str">
        <f t="shared" si="115"/>
        <v/>
      </c>
      <c r="X952" s="44" t="str">
        <f t="shared" si="116"/>
        <v/>
      </c>
      <c r="Y952" s="44" t="str">
        <f t="shared" si="117"/>
        <v/>
      </c>
      <c r="Z952" s="44" t="str">
        <f t="shared" si="118"/>
        <v/>
      </c>
      <c r="AA952" s="50" t="str">
        <f t="shared" si="119"/>
        <v/>
      </c>
      <c r="AB952" s="50" t="str">
        <f>IF(OR(B952="",C952&lt;&gt;"Expense"),"",IF(E952&gt;IFERROR(AVERAGEIFS($E$8:$E$1007,$I$8:$I$1007,I952,$C$8:$C$1007,"Expense")*SETTINGS!$B$20,0),"Unusually High","Normal"))</f>
        <v/>
      </c>
      <c r="AC952" s="51"/>
      <c r="AD952" s="51"/>
      <c r="AE952" s="51"/>
      <c r="AF952" s="50" t="str">
        <f>IF(A952&lt;&gt;"Yes","No",IF(AND(AC952="Yes",SETTINGS!$B$16="No"),"No","Yes"))</f>
        <v>No</v>
      </c>
      <c r="AG952" s="50" t="str">
        <f>IF(A952&lt;&gt;"Yes","",IF(OR(B952="",D952="",E952&lt;=0,F952="",I952=""),"Check Required Fields",IF(AA952="Possible Duplicate","Possible Duplicate",IF(E952&gt;SETTINGS!$B$22,"Review Extreme Value","OK"))))</f>
        <v/>
      </c>
    </row>
    <row r="953" spans="1:33" ht="14.4">
      <c r="A953" s="9"/>
      <c r="B953" s="13"/>
      <c r="C953" s="9"/>
      <c r="D953" s="9"/>
      <c r="E953" s="11"/>
      <c r="F953" s="9"/>
      <c r="G953" s="9"/>
      <c r="H953" s="44" t="str">
        <f>IF(D953="","",IF(ISNUMBER(SEARCH(SETTINGS!$K$4,D953)),SETTINGS!$L$4,IF(ISNUMBER(SEARCH(SETTINGS!$K$5,D953)),SETTINGS!$L$5,IF(ISNUMBER(SEARCH(SETTINGS!$K$6,D953)),SETTINGS!$L$6,IF(ISNUMBER(SEARCH(SETTINGS!$K$7,D953)),SETTINGS!$L$7,IF(ISNUMBER(SEARCH(SETTINGS!$K$8,D953)),SETTINGS!$L$8,IF(ISNUMBER(SEARCH(SETTINGS!$K$9,D953)),SETTINGS!$L$9,IF(ISNUMBER(SEARCH(SETTINGS!$K$10,D953)),SETTINGS!$L$10,IF(ISNUMBER(SEARCH(SETTINGS!$K$11,D953)),SETTINGS!$L$11,IF(ISNUMBER(SEARCH(SETTINGS!$K$12,D953)),SETTINGS!$L$12,IF(ISNUMBER(SEARCH(SETTINGS!$K$13,D953)),SETTINGS!$L$13,IF(ISNUMBER(SEARCH(SETTINGS!$K$14,D953)),SETTINGS!$L$14,IF(ISNUMBER(SEARCH(SETTINGS!$K$15,D953)),SETTINGS!$L$15,IF(ISNUMBER(SEARCH(SETTINGS!$K$16,D953)),SETTINGS!$L$16,IF(ISNUMBER(SEARCH(SETTINGS!$K$17,D953)),SETTINGS!$L$17,IF(ISNUMBER(SEARCH(SETTINGS!$K$18,D953)),SETTINGS!$L$18,"Miscellaneous"))))))))))))))))</f>
        <v/>
      </c>
      <c r="I953" s="44" t="str">
        <f t="shared" si="112"/>
        <v/>
      </c>
      <c r="J953" s="9"/>
      <c r="K953" s="9"/>
      <c r="L953" s="9"/>
      <c r="M953" s="9"/>
      <c r="N953" s="9"/>
      <c r="O953" s="9"/>
      <c r="P953" s="13"/>
      <c r="Q953" s="9"/>
      <c r="R953" s="9"/>
      <c r="S953" s="9"/>
      <c r="T953" s="11"/>
      <c r="U953" s="44" t="str">
        <f t="shared" si="113"/>
        <v/>
      </c>
      <c r="V953" s="44" t="str">
        <f t="shared" si="114"/>
        <v/>
      </c>
      <c r="W953" s="44" t="str">
        <f t="shared" si="115"/>
        <v/>
      </c>
      <c r="X953" s="44" t="str">
        <f t="shared" si="116"/>
        <v/>
      </c>
      <c r="Y953" s="44" t="str">
        <f t="shared" si="117"/>
        <v/>
      </c>
      <c r="Z953" s="44" t="str">
        <f t="shared" si="118"/>
        <v/>
      </c>
      <c r="AA953" s="50" t="str">
        <f t="shared" si="119"/>
        <v/>
      </c>
      <c r="AB953" s="50" t="str">
        <f>IF(OR(B953="",C953&lt;&gt;"Expense"),"",IF(E953&gt;IFERROR(AVERAGEIFS($E$8:$E$1007,$I$8:$I$1007,I953,$C$8:$C$1007,"Expense")*SETTINGS!$B$20,0),"Unusually High","Normal"))</f>
        <v/>
      </c>
      <c r="AC953" s="51"/>
      <c r="AD953" s="51"/>
      <c r="AE953" s="51"/>
      <c r="AF953" s="50" t="str">
        <f>IF(A953&lt;&gt;"Yes","No",IF(AND(AC953="Yes",SETTINGS!$B$16="No"),"No","Yes"))</f>
        <v>No</v>
      </c>
      <c r="AG953" s="50" t="str">
        <f>IF(A953&lt;&gt;"Yes","",IF(OR(B953="",D953="",E953&lt;=0,F953="",I953=""),"Check Required Fields",IF(AA953="Possible Duplicate","Possible Duplicate",IF(E953&gt;SETTINGS!$B$22,"Review Extreme Value","OK"))))</f>
        <v/>
      </c>
    </row>
    <row r="954" spans="1:33" ht="14.4">
      <c r="A954" s="9"/>
      <c r="B954" s="13"/>
      <c r="C954" s="9"/>
      <c r="D954" s="9"/>
      <c r="E954" s="11"/>
      <c r="F954" s="9"/>
      <c r="G954" s="9"/>
      <c r="H954" s="44" t="str">
        <f>IF(D954="","",IF(ISNUMBER(SEARCH(SETTINGS!$K$4,D954)),SETTINGS!$L$4,IF(ISNUMBER(SEARCH(SETTINGS!$K$5,D954)),SETTINGS!$L$5,IF(ISNUMBER(SEARCH(SETTINGS!$K$6,D954)),SETTINGS!$L$6,IF(ISNUMBER(SEARCH(SETTINGS!$K$7,D954)),SETTINGS!$L$7,IF(ISNUMBER(SEARCH(SETTINGS!$K$8,D954)),SETTINGS!$L$8,IF(ISNUMBER(SEARCH(SETTINGS!$K$9,D954)),SETTINGS!$L$9,IF(ISNUMBER(SEARCH(SETTINGS!$K$10,D954)),SETTINGS!$L$10,IF(ISNUMBER(SEARCH(SETTINGS!$K$11,D954)),SETTINGS!$L$11,IF(ISNUMBER(SEARCH(SETTINGS!$K$12,D954)),SETTINGS!$L$12,IF(ISNUMBER(SEARCH(SETTINGS!$K$13,D954)),SETTINGS!$L$13,IF(ISNUMBER(SEARCH(SETTINGS!$K$14,D954)),SETTINGS!$L$14,IF(ISNUMBER(SEARCH(SETTINGS!$K$15,D954)),SETTINGS!$L$15,IF(ISNUMBER(SEARCH(SETTINGS!$K$16,D954)),SETTINGS!$L$16,IF(ISNUMBER(SEARCH(SETTINGS!$K$17,D954)),SETTINGS!$L$17,IF(ISNUMBER(SEARCH(SETTINGS!$K$18,D954)),SETTINGS!$L$18,"Miscellaneous"))))))))))))))))</f>
        <v/>
      </c>
      <c r="I954" s="44" t="str">
        <f t="shared" si="112"/>
        <v/>
      </c>
      <c r="J954" s="9"/>
      <c r="K954" s="9"/>
      <c r="L954" s="9"/>
      <c r="M954" s="9"/>
      <c r="N954" s="9"/>
      <c r="O954" s="9"/>
      <c r="P954" s="13"/>
      <c r="Q954" s="9"/>
      <c r="R954" s="9"/>
      <c r="S954" s="9"/>
      <c r="T954" s="11"/>
      <c r="U954" s="44" t="str">
        <f t="shared" si="113"/>
        <v/>
      </c>
      <c r="V954" s="44" t="str">
        <f t="shared" si="114"/>
        <v/>
      </c>
      <c r="W954" s="44" t="str">
        <f t="shared" si="115"/>
        <v/>
      </c>
      <c r="X954" s="44" t="str">
        <f t="shared" si="116"/>
        <v/>
      </c>
      <c r="Y954" s="44" t="str">
        <f t="shared" si="117"/>
        <v/>
      </c>
      <c r="Z954" s="44" t="str">
        <f t="shared" si="118"/>
        <v/>
      </c>
      <c r="AA954" s="50" t="str">
        <f t="shared" si="119"/>
        <v/>
      </c>
      <c r="AB954" s="50" t="str">
        <f>IF(OR(B954="",C954&lt;&gt;"Expense"),"",IF(E954&gt;IFERROR(AVERAGEIFS($E$8:$E$1007,$I$8:$I$1007,I954,$C$8:$C$1007,"Expense")*SETTINGS!$B$20,0),"Unusually High","Normal"))</f>
        <v/>
      </c>
      <c r="AC954" s="51"/>
      <c r="AD954" s="51"/>
      <c r="AE954" s="51"/>
      <c r="AF954" s="50" t="str">
        <f>IF(A954&lt;&gt;"Yes","No",IF(AND(AC954="Yes",SETTINGS!$B$16="No"),"No","Yes"))</f>
        <v>No</v>
      </c>
      <c r="AG954" s="50" t="str">
        <f>IF(A954&lt;&gt;"Yes","",IF(OR(B954="",D954="",E954&lt;=0,F954="",I954=""),"Check Required Fields",IF(AA954="Possible Duplicate","Possible Duplicate",IF(E954&gt;SETTINGS!$B$22,"Review Extreme Value","OK"))))</f>
        <v/>
      </c>
    </row>
    <row r="955" spans="1:33" ht="14.4">
      <c r="A955" s="9"/>
      <c r="B955" s="13"/>
      <c r="C955" s="9"/>
      <c r="D955" s="9"/>
      <c r="E955" s="11"/>
      <c r="F955" s="9"/>
      <c r="G955" s="9"/>
      <c r="H955" s="44" t="str">
        <f>IF(D955="","",IF(ISNUMBER(SEARCH(SETTINGS!$K$4,D955)),SETTINGS!$L$4,IF(ISNUMBER(SEARCH(SETTINGS!$K$5,D955)),SETTINGS!$L$5,IF(ISNUMBER(SEARCH(SETTINGS!$K$6,D955)),SETTINGS!$L$6,IF(ISNUMBER(SEARCH(SETTINGS!$K$7,D955)),SETTINGS!$L$7,IF(ISNUMBER(SEARCH(SETTINGS!$K$8,D955)),SETTINGS!$L$8,IF(ISNUMBER(SEARCH(SETTINGS!$K$9,D955)),SETTINGS!$L$9,IF(ISNUMBER(SEARCH(SETTINGS!$K$10,D955)),SETTINGS!$L$10,IF(ISNUMBER(SEARCH(SETTINGS!$K$11,D955)),SETTINGS!$L$11,IF(ISNUMBER(SEARCH(SETTINGS!$K$12,D955)),SETTINGS!$L$12,IF(ISNUMBER(SEARCH(SETTINGS!$K$13,D955)),SETTINGS!$L$13,IF(ISNUMBER(SEARCH(SETTINGS!$K$14,D955)),SETTINGS!$L$14,IF(ISNUMBER(SEARCH(SETTINGS!$K$15,D955)),SETTINGS!$L$15,IF(ISNUMBER(SEARCH(SETTINGS!$K$16,D955)),SETTINGS!$L$16,IF(ISNUMBER(SEARCH(SETTINGS!$K$17,D955)),SETTINGS!$L$17,IF(ISNUMBER(SEARCH(SETTINGS!$K$18,D955)),SETTINGS!$L$18,"Miscellaneous"))))))))))))))))</f>
        <v/>
      </c>
      <c r="I955" s="44" t="str">
        <f t="shared" si="112"/>
        <v/>
      </c>
      <c r="J955" s="9"/>
      <c r="K955" s="9"/>
      <c r="L955" s="9"/>
      <c r="M955" s="9"/>
      <c r="N955" s="9"/>
      <c r="O955" s="9"/>
      <c r="P955" s="13"/>
      <c r="Q955" s="9"/>
      <c r="R955" s="9"/>
      <c r="S955" s="9"/>
      <c r="T955" s="11"/>
      <c r="U955" s="44" t="str">
        <f t="shared" si="113"/>
        <v/>
      </c>
      <c r="V955" s="44" t="str">
        <f t="shared" si="114"/>
        <v/>
      </c>
      <c r="W955" s="44" t="str">
        <f t="shared" si="115"/>
        <v/>
      </c>
      <c r="X955" s="44" t="str">
        <f t="shared" si="116"/>
        <v/>
      </c>
      <c r="Y955" s="44" t="str">
        <f t="shared" si="117"/>
        <v/>
      </c>
      <c r="Z955" s="44" t="str">
        <f t="shared" si="118"/>
        <v/>
      </c>
      <c r="AA955" s="50" t="str">
        <f t="shared" si="119"/>
        <v/>
      </c>
      <c r="AB955" s="50" t="str">
        <f>IF(OR(B955="",C955&lt;&gt;"Expense"),"",IF(E955&gt;IFERROR(AVERAGEIFS($E$8:$E$1007,$I$8:$I$1007,I955,$C$8:$C$1007,"Expense")*SETTINGS!$B$20,0),"Unusually High","Normal"))</f>
        <v/>
      </c>
      <c r="AC955" s="51"/>
      <c r="AD955" s="51"/>
      <c r="AE955" s="51"/>
      <c r="AF955" s="50" t="str">
        <f>IF(A955&lt;&gt;"Yes","No",IF(AND(AC955="Yes",SETTINGS!$B$16="No"),"No","Yes"))</f>
        <v>No</v>
      </c>
      <c r="AG955" s="50" t="str">
        <f>IF(A955&lt;&gt;"Yes","",IF(OR(B955="",D955="",E955&lt;=0,F955="",I955=""),"Check Required Fields",IF(AA955="Possible Duplicate","Possible Duplicate",IF(E955&gt;SETTINGS!$B$22,"Review Extreme Value","OK"))))</f>
        <v/>
      </c>
    </row>
    <row r="956" spans="1:33" ht="14.4">
      <c r="A956" s="9"/>
      <c r="B956" s="13"/>
      <c r="C956" s="9"/>
      <c r="D956" s="9"/>
      <c r="E956" s="11"/>
      <c r="F956" s="9"/>
      <c r="G956" s="9"/>
      <c r="H956" s="44" t="str">
        <f>IF(D956="","",IF(ISNUMBER(SEARCH(SETTINGS!$K$4,D956)),SETTINGS!$L$4,IF(ISNUMBER(SEARCH(SETTINGS!$K$5,D956)),SETTINGS!$L$5,IF(ISNUMBER(SEARCH(SETTINGS!$K$6,D956)),SETTINGS!$L$6,IF(ISNUMBER(SEARCH(SETTINGS!$K$7,D956)),SETTINGS!$L$7,IF(ISNUMBER(SEARCH(SETTINGS!$K$8,D956)),SETTINGS!$L$8,IF(ISNUMBER(SEARCH(SETTINGS!$K$9,D956)),SETTINGS!$L$9,IF(ISNUMBER(SEARCH(SETTINGS!$K$10,D956)),SETTINGS!$L$10,IF(ISNUMBER(SEARCH(SETTINGS!$K$11,D956)),SETTINGS!$L$11,IF(ISNUMBER(SEARCH(SETTINGS!$K$12,D956)),SETTINGS!$L$12,IF(ISNUMBER(SEARCH(SETTINGS!$K$13,D956)),SETTINGS!$L$13,IF(ISNUMBER(SEARCH(SETTINGS!$K$14,D956)),SETTINGS!$L$14,IF(ISNUMBER(SEARCH(SETTINGS!$K$15,D956)),SETTINGS!$L$15,IF(ISNUMBER(SEARCH(SETTINGS!$K$16,D956)),SETTINGS!$L$16,IF(ISNUMBER(SEARCH(SETTINGS!$K$17,D956)),SETTINGS!$L$17,IF(ISNUMBER(SEARCH(SETTINGS!$K$18,D956)),SETTINGS!$L$18,"Miscellaneous"))))))))))))))))</f>
        <v/>
      </c>
      <c r="I956" s="44" t="str">
        <f t="shared" si="112"/>
        <v/>
      </c>
      <c r="J956" s="9"/>
      <c r="K956" s="9"/>
      <c r="L956" s="9"/>
      <c r="M956" s="9"/>
      <c r="N956" s="9"/>
      <c r="O956" s="9"/>
      <c r="P956" s="13"/>
      <c r="Q956" s="9"/>
      <c r="R956" s="9"/>
      <c r="S956" s="9"/>
      <c r="T956" s="11"/>
      <c r="U956" s="44" t="str">
        <f t="shared" si="113"/>
        <v/>
      </c>
      <c r="V956" s="44" t="str">
        <f t="shared" si="114"/>
        <v/>
      </c>
      <c r="W956" s="44" t="str">
        <f t="shared" si="115"/>
        <v/>
      </c>
      <c r="X956" s="44" t="str">
        <f t="shared" si="116"/>
        <v/>
      </c>
      <c r="Y956" s="44" t="str">
        <f t="shared" si="117"/>
        <v/>
      </c>
      <c r="Z956" s="44" t="str">
        <f t="shared" si="118"/>
        <v/>
      </c>
      <c r="AA956" s="50" t="str">
        <f t="shared" si="119"/>
        <v/>
      </c>
      <c r="AB956" s="50" t="str">
        <f>IF(OR(B956="",C956&lt;&gt;"Expense"),"",IF(E956&gt;IFERROR(AVERAGEIFS($E$8:$E$1007,$I$8:$I$1007,I956,$C$8:$C$1007,"Expense")*SETTINGS!$B$20,0),"Unusually High","Normal"))</f>
        <v/>
      </c>
      <c r="AC956" s="51"/>
      <c r="AD956" s="51"/>
      <c r="AE956" s="51"/>
      <c r="AF956" s="50" t="str">
        <f>IF(A956&lt;&gt;"Yes","No",IF(AND(AC956="Yes",SETTINGS!$B$16="No"),"No","Yes"))</f>
        <v>No</v>
      </c>
      <c r="AG956" s="50" t="str">
        <f>IF(A956&lt;&gt;"Yes","",IF(OR(B956="",D956="",E956&lt;=0,F956="",I956=""),"Check Required Fields",IF(AA956="Possible Duplicate","Possible Duplicate",IF(E956&gt;SETTINGS!$B$22,"Review Extreme Value","OK"))))</f>
        <v/>
      </c>
    </row>
    <row r="957" spans="1:33" ht="14.4">
      <c r="A957" s="9"/>
      <c r="B957" s="13"/>
      <c r="C957" s="9"/>
      <c r="D957" s="9"/>
      <c r="E957" s="11"/>
      <c r="F957" s="9"/>
      <c r="G957" s="9"/>
      <c r="H957" s="44" t="str">
        <f>IF(D957="","",IF(ISNUMBER(SEARCH(SETTINGS!$K$4,D957)),SETTINGS!$L$4,IF(ISNUMBER(SEARCH(SETTINGS!$K$5,D957)),SETTINGS!$L$5,IF(ISNUMBER(SEARCH(SETTINGS!$K$6,D957)),SETTINGS!$L$6,IF(ISNUMBER(SEARCH(SETTINGS!$K$7,D957)),SETTINGS!$L$7,IF(ISNUMBER(SEARCH(SETTINGS!$K$8,D957)),SETTINGS!$L$8,IF(ISNUMBER(SEARCH(SETTINGS!$K$9,D957)),SETTINGS!$L$9,IF(ISNUMBER(SEARCH(SETTINGS!$K$10,D957)),SETTINGS!$L$10,IF(ISNUMBER(SEARCH(SETTINGS!$K$11,D957)),SETTINGS!$L$11,IF(ISNUMBER(SEARCH(SETTINGS!$K$12,D957)),SETTINGS!$L$12,IF(ISNUMBER(SEARCH(SETTINGS!$K$13,D957)),SETTINGS!$L$13,IF(ISNUMBER(SEARCH(SETTINGS!$K$14,D957)),SETTINGS!$L$14,IF(ISNUMBER(SEARCH(SETTINGS!$K$15,D957)),SETTINGS!$L$15,IF(ISNUMBER(SEARCH(SETTINGS!$K$16,D957)),SETTINGS!$L$16,IF(ISNUMBER(SEARCH(SETTINGS!$K$17,D957)),SETTINGS!$L$17,IF(ISNUMBER(SEARCH(SETTINGS!$K$18,D957)),SETTINGS!$L$18,"Miscellaneous"))))))))))))))))</f>
        <v/>
      </c>
      <c r="I957" s="44" t="str">
        <f t="shared" si="112"/>
        <v/>
      </c>
      <c r="J957" s="9"/>
      <c r="K957" s="9"/>
      <c r="L957" s="9"/>
      <c r="M957" s="9"/>
      <c r="N957" s="9"/>
      <c r="O957" s="9"/>
      <c r="P957" s="13"/>
      <c r="Q957" s="9"/>
      <c r="R957" s="9"/>
      <c r="S957" s="9"/>
      <c r="T957" s="11"/>
      <c r="U957" s="44" t="str">
        <f t="shared" si="113"/>
        <v/>
      </c>
      <c r="V957" s="44" t="str">
        <f t="shared" si="114"/>
        <v/>
      </c>
      <c r="W957" s="44" t="str">
        <f t="shared" si="115"/>
        <v/>
      </c>
      <c r="X957" s="44" t="str">
        <f t="shared" si="116"/>
        <v/>
      </c>
      <c r="Y957" s="44" t="str">
        <f t="shared" si="117"/>
        <v/>
      </c>
      <c r="Z957" s="44" t="str">
        <f t="shared" si="118"/>
        <v/>
      </c>
      <c r="AA957" s="50" t="str">
        <f t="shared" si="119"/>
        <v/>
      </c>
      <c r="AB957" s="50" t="str">
        <f>IF(OR(B957="",C957&lt;&gt;"Expense"),"",IF(E957&gt;IFERROR(AVERAGEIFS($E$8:$E$1007,$I$8:$I$1007,I957,$C$8:$C$1007,"Expense")*SETTINGS!$B$20,0),"Unusually High","Normal"))</f>
        <v/>
      </c>
      <c r="AC957" s="51"/>
      <c r="AD957" s="51"/>
      <c r="AE957" s="51"/>
      <c r="AF957" s="50" t="str">
        <f>IF(A957&lt;&gt;"Yes","No",IF(AND(AC957="Yes",SETTINGS!$B$16="No"),"No","Yes"))</f>
        <v>No</v>
      </c>
      <c r="AG957" s="50" t="str">
        <f>IF(A957&lt;&gt;"Yes","",IF(OR(B957="",D957="",E957&lt;=0,F957="",I957=""),"Check Required Fields",IF(AA957="Possible Duplicate","Possible Duplicate",IF(E957&gt;SETTINGS!$B$22,"Review Extreme Value","OK"))))</f>
        <v/>
      </c>
    </row>
    <row r="958" spans="1:33" ht="14.4">
      <c r="A958" s="9"/>
      <c r="B958" s="13"/>
      <c r="C958" s="9"/>
      <c r="D958" s="9"/>
      <c r="E958" s="11"/>
      <c r="F958" s="9"/>
      <c r="G958" s="9"/>
      <c r="H958" s="44" t="str">
        <f>IF(D958="","",IF(ISNUMBER(SEARCH(SETTINGS!$K$4,D958)),SETTINGS!$L$4,IF(ISNUMBER(SEARCH(SETTINGS!$K$5,D958)),SETTINGS!$L$5,IF(ISNUMBER(SEARCH(SETTINGS!$K$6,D958)),SETTINGS!$L$6,IF(ISNUMBER(SEARCH(SETTINGS!$K$7,D958)),SETTINGS!$L$7,IF(ISNUMBER(SEARCH(SETTINGS!$K$8,D958)),SETTINGS!$L$8,IF(ISNUMBER(SEARCH(SETTINGS!$K$9,D958)),SETTINGS!$L$9,IF(ISNUMBER(SEARCH(SETTINGS!$K$10,D958)),SETTINGS!$L$10,IF(ISNUMBER(SEARCH(SETTINGS!$K$11,D958)),SETTINGS!$L$11,IF(ISNUMBER(SEARCH(SETTINGS!$K$12,D958)),SETTINGS!$L$12,IF(ISNUMBER(SEARCH(SETTINGS!$K$13,D958)),SETTINGS!$L$13,IF(ISNUMBER(SEARCH(SETTINGS!$K$14,D958)),SETTINGS!$L$14,IF(ISNUMBER(SEARCH(SETTINGS!$K$15,D958)),SETTINGS!$L$15,IF(ISNUMBER(SEARCH(SETTINGS!$K$16,D958)),SETTINGS!$L$16,IF(ISNUMBER(SEARCH(SETTINGS!$K$17,D958)),SETTINGS!$L$17,IF(ISNUMBER(SEARCH(SETTINGS!$K$18,D958)),SETTINGS!$L$18,"Miscellaneous"))))))))))))))))</f>
        <v/>
      </c>
      <c r="I958" s="44" t="str">
        <f t="shared" si="112"/>
        <v/>
      </c>
      <c r="J958" s="9"/>
      <c r="K958" s="9"/>
      <c r="L958" s="9"/>
      <c r="M958" s="9"/>
      <c r="N958" s="9"/>
      <c r="O958" s="9"/>
      <c r="P958" s="13"/>
      <c r="Q958" s="9"/>
      <c r="R958" s="9"/>
      <c r="S958" s="9"/>
      <c r="T958" s="11"/>
      <c r="U958" s="44" t="str">
        <f t="shared" si="113"/>
        <v/>
      </c>
      <c r="V958" s="44" t="str">
        <f t="shared" si="114"/>
        <v/>
      </c>
      <c r="W958" s="44" t="str">
        <f t="shared" si="115"/>
        <v/>
      </c>
      <c r="X958" s="44" t="str">
        <f t="shared" si="116"/>
        <v/>
      </c>
      <c r="Y958" s="44" t="str">
        <f t="shared" si="117"/>
        <v/>
      </c>
      <c r="Z958" s="44" t="str">
        <f t="shared" si="118"/>
        <v/>
      </c>
      <c r="AA958" s="50" t="str">
        <f t="shared" si="119"/>
        <v/>
      </c>
      <c r="AB958" s="50" t="str">
        <f>IF(OR(B958="",C958&lt;&gt;"Expense"),"",IF(E958&gt;IFERROR(AVERAGEIFS($E$8:$E$1007,$I$8:$I$1007,I958,$C$8:$C$1007,"Expense")*SETTINGS!$B$20,0),"Unusually High","Normal"))</f>
        <v/>
      </c>
      <c r="AC958" s="51"/>
      <c r="AD958" s="51"/>
      <c r="AE958" s="51"/>
      <c r="AF958" s="50" t="str">
        <f>IF(A958&lt;&gt;"Yes","No",IF(AND(AC958="Yes",SETTINGS!$B$16="No"),"No","Yes"))</f>
        <v>No</v>
      </c>
      <c r="AG958" s="50" t="str">
        <f>IF(A958&lt;&gt;"Yes","",IF(OR(B958="",D958="",E958&lt;=0,F958="",I958=""),"Check Required Fields",IF(AA958="Possible Duplicate","Possible Duplicate",IF(E958&gt;SETTINGS!$B$22,"Review Extreme Value","OK"))))</f>
        <v/>
      </c>
    </row>
    <row r="959" spans="1:33" ht="14.4">
      <c r="A959" s="9"/>
      <c r="B959" s="13"/>
      <c r="C959" s="9"/>
      <c r="D959" s="9"/>
      <c r="E959" s="11"/>
      <c r="F959" s="9"/>
      <c r="G959" s="9"/>
      <c r="H959" s="44" t="str">
        <f>IF(D959="","",IF(ISNUMBER(SEARCH(SETTINGS!$K$4,D959)),SETTINGS!$L$4,IF(ISNUMBER(SEARCH(SETTINGS!$K$5,D959)),SETTINGS!$L$5,IF(ISNUMBER(SEARCH(SETTINGS!$K$6,D959)),SETTINGS!$L$6,IF(ISNUMBER(SEARCH(SETTINGS!$K$7,D959)),SETTINGS!$L$7,IF(ISNUMBER(SEARCH(SETTINGS!$K$8,D959)),SETTINGS!$L$8,IF(ISNUMBER(SEARCH(SETTINGS!$K$9,D959)),SETTINGS!$L$9,IF(ISNUMBER(SEARCH(SETTINGS!$K$10,D959)),SETTINGS!$L$10,IF(ISNUMBER(SEARCH(SETTINGS!$K$11,D959)),SETTINGS!$L$11,IF(ISNUMBER(SEARCH(SETTINGS!$K$12,D959)),SETTINGS!$L$12,IF(ISNUMBER(SEARCH(SETTINGS!$K$13,D959)),SETTINGS!$L$13,IF(ISNUMBER(SEARCH(SETTINGS!$K$14,D959)),SETTINGS!$L$14,IF(ISNUMBER(SEARCH(SETTINGS!$K$15,D959)),SETTINGS!$L$15,IF(ISNUMBER(SEARCH(SETTINGS!$K$16,D959)),SETTINGS!$L$16,IF(ISNUMBER(SEARCH(SETTINGS!$K$17,D959)),SETTINGS!$L$17,IF(ISNUMBER(SEARCH(SETTINGS!$K$18,D959)),SETTINGS!$L$18,"Miscellaneous"))))))))))))))))</f>
        <v/>
      </c>
      <c r="I959" s="44" t="str">
        <f t="shared" si="112"/>
        <v/>
      </c>
      <c r="J959" s="9"/>
      <c r="K959" s="9"/>
      <c r="L959" s="9"/>
      <c r="M959" s="9"/>
      <c r="N959" s="9"/>
      <c r="O959" s="9"/>
      <c r="P959" s="13"/>
      <c r="Q959" s="9"/>
      <c r="R959" s="9"/>
      <c r="S959" s="9"/>
      <c r="T959" s="11"/>
      <c r="U959" s="44" t="str">
        <f t="shared" si="113"/>
        <v/>
      </c>
      <c r="V959" s="44" t="str">
        <f t="shared" si="114"/>
        <v/>
      </c>
      <c r="W959" s="44" t="str">
        <f t="shared" si="115"/>
        <v/>
      </c>
      <c r="X959" s="44" t="str">
        <f t="shared" si="116"/>
        <v/>
      </c>
      <c r="Y959" s="44" t="str">
        <f t="shared" si="117"/>
        <v/>
      </c>
      <c r="Z959" s="44" t="str">
        <f t="shared" si="118"/>
        <v/>
      </c>
      <c r="AA959" s="50" t="str">
        <f t="shared" si="119"/>
        <v/>
      </c>
      <c r="AB959" s="50" t="str">
        <f>IF(OR(B959="",C959&lt;&gt;"Expense"),"",IF(E959&gt;IFERROR(AVERAGEIFS($E$8:$E$1007,$I$8:$I$1007,I959,$C$8:$C$1007,"Expense")*SETTINGS!$B$20,0),"Unusually High","Normal"))</f>
        <v/>
      </c>
      <c r="AC959" s="51"/>
      <c r="AD959" s="51"/>
      <c r="AE959" s="51"/>
      <c r="AF959" s="50" t="str">
        <f>IF(A959&lt;&gt;"Yes","No",IF(AND(AC959="Yes",SETTINGS!$B$16="No"),"No","Yes"))</f>
        <v>No</v>
      </c>
      <c r="AG959" s="50" t="str">
        <f>IF(A959&lt;&gt;"Yes","",IF(OR(B959="",D959="",E959&lt;=0,F959="",I959=""),"Check Required Fields",IF(AA959="Possible Duplicate","Possible Duplicate",IF(E959&gt;SETTINGS!$B$22,"Review Extreme Value","OK"))))</f>
        <v/>
      </c>
    </row>
    <row r="960" spans="1:33" ht="14.4">
      <c r="A960" s="9"/>
      <c r="B960" s="13"/>
      <c r="C960" s="9"/>
      <c r="D960" s="9"/>
      <c r="E960" s="11"/>
      <c r="F960" s="9"/>
      <c r="G960" s="9"/>
      <c r="H960" s="44" t="str">
        <f>IF(D960="","",IF(ISNUMBER(SEARCH(SETTINGS!$K$4,D960)),SETTINGS!$L$4,IF(ISNUMBER(SEARCH(SETTINGS!$K$5,D960)),SETTINGS!$L$5,IF(ISNUMBER(SEARCH(SETTINGS!$K$6,D960)),SETTINGS!$L$6,IF(ISNUMBER(SEARCH(SETTINGS!$K$7,D960)),SETTINGS!$L$7,IF(ISNUMBER(SEARCH(SETTINGS!$K$8,D960)),SETTINGS!$L$8,IF(ISNUMBER(SEARCH(SETTINGS!$K$9,D960)),SETTINGS!$L$9,IF(ISNUMBER(SEARCH(SETTINGS!$K$10,D960)),SETTINGS!$L$10,IF(ISNUMBER(SEARCH(SETTINGS!$K$11,D960)),SETTINGS!$L$11,IF(ISNUMBER(SEARCH(SETTINGS!$K$12,D960)),SETTINGS!$L$12,IF(ISNUMBER(SEARCH(SETTINGS!$K$13,D960)),SETTINGS!$L$13,IF(ISNUMBER(SEARCH(SETTINGS!$K$14,D960)),SETTINGS!$L$14,IF(ISNUMBER(SEARCH(SETTINGS!$K$15,D960)),SETTINGS!$L$15,IF(ISNUMBER(SEARCH(SETTINGS!$K$16,D960)),SETTINGS!$L$16,IF(ISNUMBER(SEARCH(SETTINGS!$K$17,D960)),SETTINGS!$L$17,IF(ISNUMBER(SEARCH(SETTINGS!$K$18,D960)),SETTINGS!$L$18,"Miscellaneous"))))))))))))))))</f>
        <v/>
      </c>
      <c r="I960" s="44" t="str">
        <f t="shared" si="112"/>
        <v/>
      </c>
      <c r="J960" s="9"/>
      <c r="K960" s="9"/>
      <c r="L960" s="9"/>
      <c r="M960" s="9"/>
      <c r="N960" s="9"/>
      <c r="O960" s="9"/>
      <c r="P960" s="13"/>
      <c r="Q960" s="9"/>
      <c r="R960" s="9"/>
      <c r="S960" s="9"/>
      <c r="T960" s="11"/>
      <c r="U960" s="44" t="str">
        <f t="shared" si="113"/>
        <v/>
      </c>
      <c r="V960" s="44" t="str">
        <f t="shared" si="114"/>
        <v/>
      </c>
      <c r="W960" s="44" t="str">
        <f t="shared" si="115"/>
        <v/>
      </c>
      <c r="X960" s="44" t="str">
        <f t="shared" si="116"/>
        <v/>
      </c>
      <c r="Y960" s="44" t="str">
        <f t="shared" si="117"/>
        <v/>
      </c>
      <c r="Z960" s="44" t="str">
        <f t="shared" si="118"/>
        <v/>
      </c>
      <c r="AA960" s="50" t="str">
        <f t="shared" si="119"/>
        <v/>
      </c>
      <c r="AB960" s="50" t="str">
        <f>IF(OR(B960="",C960&lt;&gt;"Expense"),"",IF(E960&gt;IFERROR(AVERAGEIFS($E$8:$E$1007,$I$8:$I$1007,I960,$C$8:$C$1007,"Expense")*SETTINGS!$B$20,0),"Unusually High","Normal"))</f>
        <v/>
      </c>
      <c r="AC960" s="51"/>
      <c r="AD960" s="51"/>
      <c r="AE960" s="51"/>
      <c r="AF960" s="50" t="str">
        <f>IF(A960&lt;&gt;"Yes","No",IF(AND(AC960="Yes",SETTINGS!$B$16="No"),"No","Yes"))</f>
        <v>No</v>
      </c>
      <c r="AG960" s="50" t="str">
        <f>IF(A960&lt;&gt;"Yes","",IF(OR(B960="",D960="",E960&lt;=0,F960="",I960=""),"Check Required Fields",IF(AA960="Possible Duplicate","Possible Duplicate",IF(E960&gt;SETTINGS!$B$22,"Review Extreme Value","OK"))))</f>
        <v/>
      </c>
    </row>
    <row r="961" spans="1:33" ht="14.4">
      <c r="A961" s="9"/>
      <c r="B961" s="13"/>
      <c r="C961" s="9"/>
      <c r="D961" s="9"/>
      <c r="E961" s="11"/>
      <c r="F961" s="9"/>
      <c r="G961" s="9"/>
      <c r="H961" s="44" t="str">
        <f>IF(D961="","",IF(ISNUMBER(SEARCH(SETTINGS!$K$4,D961)),SETTINGS!$L$4,IF(ISNUMBER(SEARCH(SETTINGS!$K$5,D961)),SETTINGS!$L$5,IF(ISNUMBER(SEARCH(SETTINGS!$K$6,D961)),SETTINGS!$L$6,IF(ISNUMBER(SEARCH(SETTINGS!$K$7,D961)),SETTINGS!$L$7,IF(ISNUMBER(SEARCH(SETTINGS!$K$8,D961)),SETTINGS!$L$8,IF(ISNUMBER(SEARCH(SETTINGS!$K$9,D961)),SETTINGS!$L$9,IF(ISNUMBER(SEARCH(SETTINGS!$K$10,D961)),SETTINGS!$L$10,IF(ISNUMBER(SEARCH(SETTINGS!$K$11,D961)),SETTINGS!$L$11,IF(ISNUMBER(SEARCH(SETTINGS!$K$12,D961)),SETTINGS!$L$12,IF(ISNUMBER(SEARCH(SETTINGS!$K$13,D961)),SETTINGS!$L$13,IF(ISNUMBER(SEARCH(SETTINGS!$K$14,D961)),SETTINGS!$L$14,IF(ISNUMBER(SEARCH(SETTINGS!$K$15,D961)),SETTINGS!$L$15,IF(ISNUMBER(SEARCH(SETTINGS!$K$16,D961)),SETTINGS!$L$16,IF(ISNUMBER(SEARCH(SETTINGS!$K$17,D961)),SETTINGS!$L$17,IF(ISNUMBER(SEARCH(SETTINGS!$K$18,D961)),SETTINGS!$L$18,"Miscellaneous"))))))))))))))))</f>
        <v/>
      </c>
      <c r="I961" s="44" t="str">
        <f t="shared" si="112"/>
        <v/>
      </c>
      <c r="J961" s="9"/>
      <c r="K961" s="9"/>
      <c r="L961" s="9"/>
      <c r="M961" s="9"/>
      <c r="N961" s="9"/>
      <c r="O961" s="9"/>
      <c r="P961" s="13"/>
      <c r="Q961" s="9"/>
      <c r="R961" s="9"/>
      <c r="S961" s="9"/>
      <c r="T961" s="11"/>
      <c r="U961" s="44" t="str">
        <f t="shared" si="113"/>
        <v/>
      </c>
      <c r="V961" s="44" t="str">
        <f t="shared" si="114"/>
        <v/>
      </c>
      <c r="W961" s="44" t="str">
        <f t="shared" si="115"/>
        <v/>
      </c>
      <c r="X961" s="44" t="str">
        <f t="shared" si="116"/>
        <v/>
      </c>
      <c r="Y961" s="44" t="str">
        <f t="shared" si="117"/>
        <v/>
      </c>
      <c r="Z961" s="44" t="str">
        <f t="shared" si="118"/>
        <v/>
      </c>
      <c r="AA961" s="50" t="str">
        <f t="shared" si="119"/>
        <v/>
      </c>
      <c r="AB961" s="50" t="str">
        <f>IF(OR(B961="",C961&lt;&gt;"Expense"),"",IF(E961&gt;IFERROR(AVERAGEIFS($E$8:$E$1007,$I$8:$I$1007,I961,$C$8:$C$1007,"Expense")*SETTINGS!$B$20,0),"Unusually High","Normal"))</f>
        <v/>
      </c>
      <c r="AC961" s="51"/>
      <c r="AD961" s="51"/>
      <c r="AE961" s="51"/>
      <c r="AF961" s="50" t="str">
        <f>IF(A961&lt;&gt;"Yes","No",IF(AND(AC961="Yes",SETTINGS!$B$16="No"),"No","Yes"))</f>
        <v>No</v>
      </c>
      <c r="AG961" s="50" t="str">
        <f>IF(A961&lt;&gt;"Yes","",IF(OR(B961="",D961="",E961&lt;=0,F961="",I961=""),"Check Required Fields",IF(AA961="Possible Duplicate","Possible Duplicate",IF(E961&gt;SETTINGS!$B$22,"Review Extreme Value","OK"))))</f>
        <v/>
      </c>
    </row>
    <row r="962" spans="1:33" ht="14.4">
      <c r="A962" s="9"/>
      <c r="B962" s="13"/>
      <c r="C962" s="9"/>
      <c r="D962" s="9"/>
      <c r="E962" s="11"/>
      <c r="F962" s="9"/>
      <c r="G962" s="9"/>
      <c r="H962" s="44" t="str">
        <f>IF(D962="","",IF(ISNUMBER(SEARCH(SETTINGS!$K$4,D962)),SETTINGS!$L$4,IF(ISNUMBER(SEARCH(SETTINGS!$K$5,D962)),SETTINGS!$L$5,IF(ISNUMBER(SEARCH(SETTINGS!$K$6,D962)),SETTINGS!$L$6,IF(ISNUMBER(SEARCH(SETTINGS!$K$7,D962)),SETTINGS!$L$7,IF(ISNUMBER(SEARCH(SETTINGS!$K$8,D962)),SETTINGS!$L$8,IF(ISNUMBER(SEARCH(SETTINGS!$K$9,D962)),SETTINGS!$L$9,IF(ISNUMBER(SEARCH(SETTINGS!$K$10,D962)),SETTINGS!$L$10,IF(ISNUMBER(SEARCH(SETTINGS!$K$11,D962)),SETTINGS!$L$11,IF(ISNUMBER(SEARCH(SETTINGS!$K$12,D962)),SETTINGS!$L$12,IF(ISNUMBER(SEARCH(SETTINGS!$K$13,D962)),SETTINGS!$L$13,IF(ISNUMBER(SEARCH(SETTINGS!$K$14,D962)),SETTINGS!$L$14,IF(ISNUMBER(SEARCH(SETTINGS!$K$15,D962)),SETTINGS!$L$15,IF(ISNUMBER(SEARCH(SETTINGS!$K$16,D962)),SETTINGS!$L$16,IF(ISNUMBER(SEARCH(SETTINGS!$K$17,D962)),SETTINGS!$L$17,IF(ISNUMBER(SEARCH(SETTINGS!$K$18,D962)),SETTINGS!$L$18,"Miscellaneous"))))))))))))))))</f>
        <v/>
      </c>
      <c r="I962" s="44" t="str">
        <f t="shared" si="112"/>
        <v/>
      </c>
      <c r="J962" s="9"/>
      <c r="K962" s="9"/>
      <c r="L962" s="9"/>
      <c r="M962" s="9"/>
      <c r="N962" s="9"/>
      <c r="O962" s="9"/>
      <c r="P962" s="13"/>
      <c r="Q962" s="9"/>
      <c r="R962" s="9"/>
      <c r="S962" s="9"/>
      <c r="T962" s="11"/>
      <c r="U962" s="44" t="str">
        <f t="shared" si="113"/>
        <v/>
      </c>
      <c r="V962" s="44" t="str">
        <f t="shared" si="114"/>
        <v/>
      </c>
      <c r="W962" s="44" t="str">
        <f t="shared" si="115"/>
        <v/>
      </c>
      <c r="X962" s="44" t="str">
        <f t="shared" si="116"/>
        <v/>
      </c>
      <c r="Y962" s="44" t="str">
        <f t="shared" si="117"/>
        <v/>
      </c>
      <c r="Z962" s="44" t="str">
        <f t="shared" si="118"/>
        <v/>
      </c>
      <c r="AA962" s="50" t="str">
        <f t="shared" si="119"/>
        <v/>
      </c>
      <c r="AB962" s="50" t="str">
        <f>IF(OR(B962="",C962&lt;&gt;"Expense"),"",IF(E962&gt;IFERROR(AVERAGEIFS($E$8:$E$1007,$I$8:$I$1007,I962,$C$8:$C$1007,"Expense")*SETTINGS!$B$20,0),"Unusually High","Normal"))</f>
        <v/>
      </c>
      <c r="AC962" s="51"/>
      <c r="AD962" s="51"/>
      <c r="AE962" s="51"/>
      <c r="AF962" s="50" t="str">
        <f>IF(A962&lt;&gt;"Yes","No",IF(AND(AC962="Yes",SETTINGS!$B$16="No"),"No","Yes"))</f>
        <v>No</v>
      </c>
      <c r="AG962" s="50" t="str">
        <f>IF(A962&lt;&gt;"Yes","",IF(OR(B962="",D962="",E962&lt;=0,F962="",I962=""),"Check Required Fields",IF(AA962="Possible Duplicate","Possible Duplicate",IF(E962&gt;SETTINGS!$B$22,"Review Extreme Value","OK"))))</f>
        <v/>
      </c>
    </row>
    <row r="963" spans="1:33" ht="14.4">
      <c r="A963" s="9"/>
      <c r="B963" s="13"/>
      <c r="C963" s="9"/>
      <c r="D963" s="9"/>
      <c r="E963" s="11"/>
      <c r="F963" s="9"/>
      <c r="G963" s="9"/>
      <c r="H963" s="44" t="str">
        <f>IF(D963="","",IF(ISNUMBER(SEARCH(SETTINGS!$K$4,D963)),SETTINGS!$L$4,IF(ISNUMBER(SEARCH(SETTINGS!$K$5,D963)),SETTINGS!$L$5,IF(ISNUMBER(SEARCH(SETTINGS!$K$6,D963)),SETTINGS!$L$6,IF(ISNUMBER(SEARCH(SETTINGS!$K$7,D963)),SETTINGS!$L$7,IF(ISNUMBER(SEARCH(SETTINGS!$K$8,D963)),SETTINGS!$L$8,IF(ISNUMBER(SEARCH(SETTINGS!$K$9,D963)),SETTINGS!$L$9,IF(ISNUMBER(SEARCH(SETTINGS!$K$10,D963)),SETTINGS!$L$10,IF(ISNUMBER(SEARCH(SETTINGS!$K$11,D963)),SETTINGS!$L$11,IF(ISNUMBER(SEARCH(SETTINGS!$K$12,D963)),SETTINGS!$L$12,IF(ISNUMBER(SEARCH(SETTINGS!$K$13,D963)),SETTINGS!$L$13,IF(ISNUMBER(SEARCH(SETTINGS!$K$14,D963)),SETTINGS!$L$14,IF(ISNUMBER(SEARCH(SETTINGS!$K$15,D963)),SETTINGS!$L$15,IF(ISNUMBER(SEARCH(SETTINGS!$K$16,D963)),SETTINGS!$L$16,IF(ISNUMBER(SEARCH(SETTINGS!$K$17,D963)),SETTINGS!$L$17,IF(ISNUMBER(SEARCH(SETTINGS!$K$18,D963)),SETTINGS!$L$18,"Miscellaneous"))))))))))))))))</f>
        <v/>
      </c>
      <c r="I963" s="44" t="str">
        <f t="shared" si="112"/>
        <v/>
      </c>
      <c r="J963" s="9"/>
      <c r="K963" s="9"/>
      <c r="L963" s="9"/>
      <c r="M963" s="9"/>
      <c r="N963" s="9"/>
      <c r="O963" s="9"/>
      <c r="P963" s="13"/>
      <c r="Q963" s="9"/>
      <c r="R963" s="9"/>
      <c r="S963" s="9"/>
      <c r="T963" s="11"/>
      <c r="U963" s="44" t="str">
        <f t="shared" si="113"/>
        <v/>
      </c>
      <c r="V963" s="44" t="str">
        <f t="shared" si="114"/>
        <v/>
      </c>
      <c r="W963" s="44" t="str">
        <f t="shared" si="115"/>
        <v/>
      </c>
      <c r="X963" s="44" t="str">
        <f t="shared" si="116"/>
        <v/>
      </c>
      <c r="Y963" s="44" t="str">
        <f t="shared" si="117"/>
        <v/>
      </c>
      <c r="Z963" s="44" t="str">
        <f t="shared" si="118"/>
        <v/>
      </c>
      <c r="AA963" s="50" t="str">
        <f t="shared" si="119"/>
        <v/>
      </c>
      <c r="AB963" s="50" t="str">
        <f>IF(OR(B963="",C963&lt;&gt;"Expense"),"",IF(E963&gt;IFERROR(AVERAGEIFS($E$8:$E$1007,$I$8:$I$1007,I963,$C$8:$C$1007,"Expense")*SETTINGS!$B$20,0),"Unusually High","Normal"))</f>
        <v/>
      </c>
      <c r="AC963" s="51"/>
      <c r="AD963" s="51"/>
      <c r="AE963" s="51"/>
      <c r="AF963" s="50" t="str">
        <f>IF(A963&lt;&gt;"Yes","No",IF(AND(AC963="Yes",SETTINGS!$B$16="No"),"No","Yes"))</f>
        <v>No</v>
      </c>
      <c r="AG963" s="50" t="str">
        <f>IF(A963&lt;&gt;"Yes","",IF(OR(B963="",D963="",E963&lt;=0,F963="",I963=""),"Check Required Fields",IF(AA963="Possible Duplicate","Possible Duplicate",IF(E963&gt;SETTINGS!$B$22,"Review Extreme Value","OK"))))</f>
        <v/>
      </c>
    </row>
    <row r="964" spans="1:33" ht="14.4">
      <c r="A964" s="9"/>
      <c r="B964" s="13"/>
      <c r="C964" s="9"/>
      <c r="D964" s="9"/>
      <c r="E964" s="11"/>
      <c r="F964" s="9"/>
      <c r="G964" s="9"/>
      <c r="H964" s="44" t="str">
        <f>IF(D964="","",IF(ISNUMBER(SEARCH(SETTINGS!$K$4,D964)),SETTINGS!$L$4,IF(ISNUMBER(SEARCH(SETTINGS!$K$5,D964)),SETTINGS!$L$5,IF(ISNUMBER(SEARCH(SETTINGS!$K$6,D964)),SETTINGS!$L$6,IF(ISNUMBER(SEARCH(SETTINGS!$K$7,D964)),SETTINGS!$L$7,IF(ISNUMBER(SEARCH(SETTINGS!$K$8,D964)),SETTINGS!$L$8,IF(ISNUMBER(SEARCH(SETTINGS!$K$9,D964)),SETTINGS!$L$9,IF(ISNUMBER(SEARCH(SETTINGS!$K$10,D964)),SETTINGS!$L$10,IF(ISNUMBER(SEARCH(SETTINGS!$K$11,D964)),SETTINGS!$L$11,IF(ISNUMBER(SEARCH(SETTINGS!$K$12,D964)),SETTINGS!$L$12,IF(ISNUMBER(SEARCH(SETTINGS!$K$13,D964)),SETTINGS!$L$13,IF(ISNUMBER(SEARCH(SETTINGS!$K$14,D964)),SETTINGS!$L$14,IF(ISNUMBER(SEARCH(SETTINGS!$K$15,D964)),SETTINGS!$L$15,IF(ISNUMBER(SEARCH(SETTINGS!$K$16,D964)),SETTINGS!$L$16,IF(ISNUMBER(SEARCH(SETTINGS!$K$17,D964)),SETTINGS!$L$17,IF(ISNUMBER(SEARCH(SETTINGS!$K$18,D964)),SETTINGS!$L$18,"Miscellaneous"))))))))))))))))</f>
        <v/>
      </c>
      <c r="I964" s="44" t="str">
        <f t="shared" si="112"/>
        <v/>
      </c>
      <c r="J964" s="9"/>
      <c r="K964" s="9"/>
      <c r="L964" s="9"/>
      <c r="M964" s="9"/>
      <c r="N964" s="9"/>
      <c r="O964" s="9"/>
      <c r="P964" s="13"/>
      <c r="Q964" s="9"/>
      <c r="R964" s="9"/>
      <c r="S964" s="9"/>
      <c r="T964" s="11"/>
      <c r="U964" s="44" t="str">
        <f t="shared" si="113"/>
        <v/>
      </c>
      <c r="V964" s="44" t="str">
        <f t="shared" si="114"/>
        <v/>
      </c>
      <c r="W964" s="44" t="str">
        <f t="shared" si="115"/>
        <v/>
      </c>
      <c r="X964" s="44" t="str">
        <f t="shared" si="116"/>
        <v/>
      </c>
      <c r="Y964" s="44" t="str">
        <f t="shared" si="117"/>
        <v/>
      </c>
      <c r="Z964" s="44" t="str">
        <f t="shared" si="118"/>
        <v/>
      </c>
      <c r="AA964" s="50" t="str">
        <f t="shared" si="119"/>
        <v/>
      </c>
      <c r="AB964" s="50" t="str">
        <f>IF(OR(B964="",C964&lt;&gt;"Expense"),"",IF(E964&gt;IFERROR(AVERAGEIFS($E$8:$E$1007,$I$8:$I$1007,I964,$C$8:$C$1007,"Expense")*SETTINGS!$B$20,0),"Unusually High","Normal"))</f>
        <v/>
      </c>
      <c r="AC964" s="51"/>
      <c r="AD964" s="51"/>
      <c r="AE964" s="51"/>
      <c r="AF964" s="50" t="str">
        <f>IF(A964&lt;&gt;"Yes","No",IF(AND(AC964="Yes",SETTINGS!$B$16="No"),"No","Yes"))</f>
        <v>No</v>
      </c>
      <c r="AG964" s="50" t="str">
        <f>IF(A964&lt;&gt;"Yes","",IF(OR(B964="",D964="",E964&lt;=0,F964="",I964=""),"Check Required Fields",IF(AA964="Possible Duplicate","Possible Duplicate",IF(E964&gt;SETTINGS!$B$22,"Review Extreme Value","OK"))))</f>
        <v/>
      </c>
    </row>
    <row r="965" spans="1:33" ht="14.4">
      <c r="A965" s="9"/>
      <c r="B965" s="13"/>
      <c r="C965" s="9"/>
      <c r="D965" s="9"/>
      <c r="E965" s="11"/>
      <c r="F965" s="9"/>
      <c r="G965" s="9"/>
      <c r="H965" s="44" t="str">
        <f>IF(D965="","",IF(ISNUMBER(SEARCH(SETTINGS!$K$4,D965)),SETTINGS!$L$4,IF(ISNUMBER(SEARCH(SETTINGS!$K$5,D965)),SETTINGS!$L$5,IF(ISNUMBER(SEARCH(SETTINGS!$K$6,D965)),SETTINGS!$L$6,IF(ISNUMBER(SEARCH(SETTINGS!$K$7,D965)),SETTINGS!$L$7,IF(ISNUMBER(SEARCH(SETTINGS!$K$8,D965)),SETTINGS!$L$8,IF(ISNUMBER(SEARCH(SETTINGS!$K$9,D965)),SETTINGS!$L$9,IF(ISNUMBER(SEARCH(SETTINGS!$K$10,D965)),SETTINGS!$L$10,IF(ISNUMBER(SEARCH(SETTINGS!$K$11,D965)),SETTINGS!$L$11,IF(ISNUMBER(SEARCH(SETTINGS!$K$12,D965)),SETTINGS!$L$12,IF(ISNUMBER(SEARCH(SETTINGS!$K$13,D965)),SETTINGS!$L$13,IF(ISNUMBER(SEARCH(SETTINGS!$K$14,D965)),SETTINGS!$L$14,IF(ISNUMBER(SEARCH(SETTINGS!$K$15,D965)),SETTINGS!$L$15,IF(ISNUMBER(SEARCH(SETTINGS!$K$16,D965)),SETTINGS!$L$16,IF(ISNUMBER(SEARCH(SETTINGS!$K$17,D965)),SETTINGS!$L$17,IF(ISNUMBER(SEARCH(SETTINGS!$K$18,D965)),SETTINGS!$L$18,"Miscellaneous"))))))))))))))))</f>
        <v/>
      </c>
      <c r="I965" s="44" t="str">
        <f t="shared" si="112"/>
        <v/>
      </c>
      <c r="J965" s="9"/>
      <c r="K965" s="9"/>
      <c r="L965" s="9"/>
      <c r="M965" s="9"/>
      <c r="N965" s="9"/>
      <c r="O965" s="9"/>
      <c r="P965" s="13"/>
      <c r="Q965" s="9"/>
      <c r="R965" s="9"/>
      <c r="S965" s="9"/>
      <c r="T965" s="11"/>
      <c r="U965" s="44" t="str">
        <f t="shared" si="113"/>
        <v/>
      </c>
      <c r="V965" s="44" t="str">
        <f t="shared" si="114"/>
        <v/>
      </c>
      <c r="W965" s="44" t="str">
        <f t="shared" si="115"/>
        <v/>
      </c>
      <c r="X965" s="44" t="str">
        <f t="shared" si="116"/>
        <v/>
      </c>
      <c r="Y965" s="44" t="str">
        <f t="shared" si="117"/>
        <v/>
      </c>
      <c r="Z965" s="44" t="str">
        <f t="shared" si="118"/>
        <v/>
      </c>
      <c r="AA965" s="50" t="str">
        <f t="shared" si="119"/>
        <v/>
      </c>
      <c r="AB965" s="50" t="str">
        <f>IF(OR(B965="",C965&lt;&gt;"Expense"),"",IF(E965&gt;IFERROR(AVERAGEIFS($E$8:$E$1007,$I$8:$I$1007,I965,$C$8:$C$1007,"Expense")*SETTINGS!$B$20,0),"Unusually High","Normal"))</f>
        <v/>
      </c>
      <c r="AC965" s="51"/>
      <c r="AD965" s="51"/>
      <c r="AE965" s="51"/>
      <c r="AF965" s="50" t="str">
        <f>IF(A965&lt;&gt;"Yes","No",IF(AND(AC965="Yes",SETTINGS!$B$16="No"),"No","Yes"))</f>
        <v>No</v>
      </c>
      <c r="AG965" s="50" t="str">
        <f>IF(A965&lt;&gt;"Yes","",IF(OR(B965="",D965="",E965&lt;=0,F965="",I965=""),"Check Required Fields",IF(AA965="Possible Duplicate","Possible Duplicate",IF(E965&gt;SETTINGS!$B$22,"Review Extreme Value","OK"))))</f>
        <v/>
      </c>
    </row>
    <row r="966" spans="1:33" ht="14.4">
      <c r="A966" s="9"/>
      <c r="B966" s="13"/>
      <c r="C966" s="9"/>
      <c r="D966" s="9"/>
      <c r="E966" s="11"/>
      <c r="F966" s="9"/>
      <c r="G966" s="9"/>
      <c r="H966" s="44" t="str">
        <f>IF(D966="","",IF(ISNUMBER(SEARCH(SETTINGS!$K$4,D966)),SETTINGS!$L$4,IF(ISNUMBER(SEARCH(SETTINGS!$K$5,D966)),SETTINGS!$L$5,IF(ISNUMBER(SEARCH(SETTINGS!$K$6,D966)),SETTINGS!$L$6,IF(ISNUMBER(SEARCH(SETTINGS!$K$7,D966)),SETTINGS!$L$7,IF(ISNUMBER(SEARCH(SETTINGS!$K$8,D966)),SETTINGS!$L$8,IF(ISNUMBER(SEARCH(SETTINGS!$K$9,D966)),SETTINGS!$L$9,IF(ISNUMBER(SEARCH(SETTINGS!$K$10,D966)),SETTINGS!$L$10,IF(ISNUMBER(SEARCH(SETTINGS!$K$11,D966)),SETTINGS!$L$11,IF(ISNUMBER(SEARCH(SETTINGS!$K$12,D966)),SETTINGS!$L$12,IF(ISNUMBER(SEARCH(SETTINGS!$K$13,D966)),SETTINGS!$L$13,IF(ISNUMBER(SEARCH(SETTINGS!$K$14,D966)),SETTINGS!$L$14,IF(ISNUMBER(SEARCH(SETTINGS!$K$15,D966)),SETTINGS!$L$15,IF(ISNUMBER(SEARCH(SETTINGS!$K$16,D966)),SETTINGS!$L$16,IF(ISNUMBER(SEARCH(SETTINGS!$K$17,D966)),SETTINGS!$L$17,IF(ISNUMBER(SEARCH(SETTINGS!$K$18,D966)),SETTINGS!$L$18,"Miscellaneous"))))))))))))))))</f>
        <v/>
      </c>
      <c r="I966" s="44" t="str">
        <f t="shared" si="112"/>
        <v/>
      </c>
      <c r="J966" s="9"/>
      <c r="K966" s="9"/>
      <c r="L966" s="9"/>
      <c r="M966" s="9"/>
      <c r="N966" s="9"/>
      <c r="O966" s="9"/>
      <c r="P966" s="13"/>
      <c r="Q966" s="9"/>
      <c r="R966" s="9"/>
      <c r="S966" s="9"/>
      <c r="T966" s="11"/>
      <c r="U966" s="44" t="str">
        <f t="shared" si="113"/>
        <v/>
      </c>
      <c r="V966" s="44" t="str">
        <f t="shared" si="114"/>
        <v/>
      </c>
      <c r="W966" s="44" t="str">
        <f t="shared" si="115"/>
        <v/>
      </c>
      <c r="X966" s="44" t="str">
        <f t="shared" si="116"/>
        <v/>
      </c>
      <c r="Y966" s="44" t="str">
        <f t="shared" si="117"/>
        <v/>
      </c>
      <c r="Z966" s="44" t="str">
        <f t="shared" si="118"/>
        <v/>
      </c>
      <c r="AA966" s="50" t="str">
        <f t="shared" si="119"/>
        <v/>
      </c>
      <c r="AB966" s="50" t="str">
        <f>IF(OR(B966="",C966&lt;&gt;"Expense"),"",IF(E966&gt;IFERROR(AVERAGEIFS($E$8:$E$1007,$I$8:$I$1007,I966,$C$8:$C$1007,"Expense")*SETTINGS!$B$20,0),"Unusually High","Normal"))</f>
        <v/>
      </c>
      <c r="AC966" s="51"/>
      <c r="AD966" s="51"/>
      <c r="AE966" s="51"/>
      <c r="AF966" s="50" t="str">
        <f>IF(A966&lt;&gt;"Yes","No",IF(AND(AC966="Yes",SETTINGS!$B$16="No"),"No","Yes"))</f>
        <v>No</v>
      </c>
      <c r="AG966" s="50" t="str">
        <f>IF(A966&lt;&gt;"Yes","",IF(OR(B966="",D966="",E966&lt;=0,F966="",I966=""),"Check Required Fields",IF(AA966="Possible Duplicate","Possible Duplicate",IF(E966&gt;SETTINGS!$B$22,"Review Extreme Value","OK"))))</f>
        <v/>
      </c>
    </row>
    <row r="967" spans="1:33" ht="14.4">
      <c r="A967" s="9"/>
      <c r="B967" s="13"/>
      <c r="C967" s="9"/>
      <c r="D967" s="9"/>
      <c r="E967" s="11"/>
      <c r="F967" s="9"/>
      <c r="G967" s="9"/>
      <c r="H967" s="44" t="str">
        <f>IF(D967="","",IF(ISNUMBER(SEARCH(SETTINGS!$K$4,D967)),SETTINGS!$L$4,IF(ISNUMBER(SEARCH(SETTINGS!$K$5,D967)),SETTINGS!$L$5,IF(ISNUMBER(SEARCH(SETTINGS!$K$6,D967)),SETTINGS!$L$6,IF(ISNUMBER(SEARCH(SETTINGS!$K$7,D967)),SETTINGS!$L$7,IF(ISNUMBER(SEARCH(SETTINGS!$K$8,D967)),SETTINGS!$L$8,IF(ISNUMBER(SEARCH(SETTINGS!$K$9,D967)),SETTINGS!$L$9,IF(ISNUMBER(SEARCH(SETTINGS!$K$10,D967)),SETTINGS!$L$10,IF(ISNUMBER(SEARCH(SETTINGS!$K$11,D967)),SETTINGS!$L$11,IF(ISNUMBER(SEARCH(SETTINGS!$K$12,D967)),SETTINGS!$L$12,IF(ISNUMBER(SEARCH(SETTINGS!$K$13,D967)),SETTINGS!$L$13,IF(ISNUMBER(SEARCH(SETTINGS!$K$14,D967)),SETTINGS!$L$14,IF(ISNUMBER(SEARCH(SETTINGS!$K$15,D967)),SETTINGS!$L$15,IF(ISNUMBER(SEARCH(SETTINGS!$K$16,D967)),SETTINGS!$L$16,IF(ISNUMBER(SEARCH(SETTINGS!$K$17,D967)),SETTINGS!$L$17,IF(ISNUMBER(SEARCH(SETTINGS!$K$18,D967)),SETTINGS!$L$18,"Miscellaneous"))))))))))))))))</f>
        <v/>
      </c>
      <c r="I967" s="44" t="str">
        <f t="shared" si="112"/>
        <v/>
      </c>
      <c r="J967" s="9"/>
      <c r="K967" s="9"/>
      <c r="L967" s="9"/>
      <c r="M967" s="9"/>
      <c r="N967" s="9"/>
      <c r="O967" s="9"/>
      <c r="P967" s="13"/>
      <c r="Q967" s="9"/>
      <c r="R967" s="9"/>
      <c r="S967" s="9"/>
      <c r="T967" s="11"/>
      <c r="U967" s="44" t="str">
        <f t="shared" si="113"/>
        <v/>
      </c>
      <c r="V967" s="44" t="str">
        <f t="shared" si="114"/>
        <v/>
      </c>
      <c r="W967" s="44" t="str">
        <f t="shared" si="115"/>
        <v/>
      </c>
      <c r="X967" s="44" t="str">
        <f t="shared" si="116"/>
        <v/>
      </c>
      <c r="Y967" s="44" t="str">
        <f t="shared" si="117"/>
        <v/>
      </c>
      <c r="Z967" s="44" t="str">
        <f t="shared" si="118"/>
        <v/>
      </c>
      <c r="AA967" s="50" t="str">
        <f t="shared" si="119"/>
        <v/>
      </c>
      <c r="AB967" s="50" t="str">
        <f>IF(OR(B967="",C967&lt;&gt;"Expense"),"",IF(E967&gt;IFERROR(AVERAGEIFS($E$8:$E$1007,$I$8:$I$1007,I967,$C$8:$C$1007,"Expense")*SETTINGS!$B$20,0),"Unusually High","Normal"))</f>
        <v/>
      </c>
      <c r="AC967" s="51"/>
      <c r="AD967" s="51"/>
      <c r="AE967" s="51"/>
      <c r="AF967" s="50" t="str">
        <f>IF(A967&lt;&gt;"Yes","No",IF(AND(AC967="Yes",SETTINGS!$B$16="No"),"No","Yes"))</f>
        <v>No</v>
      </c>
      <c r="AG967" s="50" t="str">
        <f>IF(A967&lt;&gt;"Yes","",IF(OR(B967="",D967="",E967&lt;=0,F967="",I967=""),"Check Required Fields",IF(AA967="Possible Duplicate","Possible Duplicate",IF(E967&gt;SETTINGS!$B$22,"Review Extreme Value","OK"))))</f>
        <v/>
      </c>
    </row>
    <row r="968" spans="1:33" ht="14.4">
      <c r="A968" s="9"/>
      <c r="B968" s="13"/>
      <c r="C968" s="9"/>
      <c r="D968" s="9"/>
      <c r="E968" s="11"/>
      <c r="F968" s="9"/>
      <c r="G968" s="9"/>
      <c r="H968" s="44" t="str">
        <f>IF(D968="","",IF(ISNUMBER(SEARCH(SETTINGS!$K$4,D968)),SETTINGS!$L$4,IF(ISNUMBER(SEARCH(SETTINGS!$K$5,D968)),SETTINGS!$L$5,IF(ISNUMBER(SEARCH(SETTINGS!$K$6,D968)),SETTINGS!$L$6,IF(ISNUMBER(SEARCH(SETTINGS!$K$7,D968)),SETTINGS!$L$7,IF(ISNUMBER(SEARCH(SETTINGS!$K$8,D968)),SETTINGS!$L$8,IF(ISNUMBER(SEARCH(SETTINGS!$K$9,D968)),SETTINGS!$L$9,IF(ISNUMBER(SEARCH(SETTINGS!$K$10,D968)),SETTINGS!$L$10,IF(ISNUMBER(SEARCH(SETTINGS!$K$11,D968)),SETTINGS!$L$11,IF(ISNUMBER(SEARCH(SETTINGS!$K$12,D968)),SETTINGS!$L$12,IF(ISNUMBER(SEARCH(SETTINGS!$K$13,D968)),SETTINGS!$L$13,IF(ISNUMBER(SEARCH(SETTINGS!$K$14,D968)),SETTINGS!$L$14,IF(ISNUMBER(SEARCH(SETTINGS!$K$15,D968)),SETTINGS!$L$15,IF(ISNUMBER(SEARCH(SETTINGS!$K$16,D968)),SETTINGS!$L$16,IF(ISNUMBER(SEARCH(SETTINGS!$K$17,D968)),SETTINGS!$L$17,IF(ISNUMBER(SEARCH(SETTINGS!$K$18,D968)),SETTINGS!$L$18,"Miscellaneous"))))))))))))))))</f>
        <v/>
      </c>
      <c r="I968" s="44" t="str">
        <f t="shared" ref="I968:I1031" si="120">IF(B968="","",IF(G968&lt;&gt;"",G968,H968))</f>
        <v/>
      </c>
      <c r="J968" s="9"/>
      <c r="K968" s="9"/>
      <c r="L968" s="9"/>
      <c r="M968" s="9"/>
      <c r="N968" s="9"/>
      <c r="O968" s="9"/>
      <c r="P968" s="13"/>
      <c r="Q968" s="9"/>
      <c r="R968" s="9"/>
      <c r="S968" s="9"/>
      <c r="T968" s="11"/>
      <c r="U968" s="44" t="str">
        <f t="shared" ref="U968:U1007" si="121">IF(B968="","",IF(C968="Income","INC-",IF(C968="Expense","EXP-","TRX-"))&amp;TEXT(YEAR(B968),"0000")&amp;"-"&amp;TEXT(ROW()-7,"0000"))</f>
        <v/>
      </c>
      <c r="V968" s="44" t="str">
        <f t="shared" ref="V968:V1007" si="122">IF(B968="","",TEXT(B968,"mmmm"))</f>
        <v/>
      </c>
      <c r="W968" s="44" t="str">
        <f t="shared" ref="W968:W1007" si="123">IF(B968="","",MONTH(B968))</f>
        <v/>
      </c>
      <c r="X968" s="44" t="str">
        <f t="shared" ref="X968:X1007" si="124">IF(B968="","",YEAR(B968))</f>
        <v/>
      </c>
      <c r="Y968" s="44" t="str">
        <f t="shared" ref="Y968:Y1007" si="125">IF(B968="","",DAY(B968))</f>
        <v/>
      </c>
      <c r="Z968" s="44" t="str">
        <f t="shared" ref="Z968:Z1007" si="126">IF(B968="","",IF(WEEKDAY(B968,2)&gt;5,"Weekend","Weekday"))</f>
        <v/>
      </c>
      <c r="AA968" s="50" t="str">
        <f t="shared" ref="AA968:AA1007" si="127">IF(B968="","",IF(COUNTIFS($B$8:$B$1007,B968,$E$8:$E$1007,E968,$D$8:$D$1007,D968,$I$8:$I$1007,I968)&gt;1,"Possible Duplicate","OK"))</f>
        <v/>
      </c>
      <c r="AB968" s="50" t="str">
        <f>IF(OR(B968="",C968&lt;&gt;"Expense"),"",IF(E968&gt;IFERROR(AVERAGEIFS($E$8:$E$1007,$I$8:$I$1007,I968,$C$8:$C$1007,"Expense")*SETTINGS!$B$20,0),"Unusually High","Normal"))</f>
        <v/>
      </c>
      <c r="AC968" s="51"/>
      <c r="AD968" s="51"/>
      <c r="AE968" s="51"/>
      <c r="AF968" s="50" t="str">
        <f>IF(A968&lt;&gt;"Yes","No",IF(AND(AC968="Yes",SETTINGS!$B$16="No"),"No","Yes"))</f>
        <v>No</v>
      </c>
      <c r="AG968" s="50" t="str">
        <f>IF(A968&lt;&gt;"Yes","",IF(OR(B968="",D968="",E968&lt;=0,F968="",I968=""),"Check Required Fields",IF(AA968="Possible Duplicate","Possible Duplicate",IF(E968&gt;SETTINGS!$B$22,"Review Extreme Value","OK"))))</f>
        <v/>
      </c>
    </row>
    <row r="969" spans="1:33" ht="14.4">
      <c r="A969" s="9"/>
      <c r="B969" s="13"/>
      <c r="C969" s="9"/>
      <c r="D969" s="9"/>
      <c r="E969" s="11"/>
      <c r="F969" s="9"/>
      <c r="G969" s="9"/>
      <c r="H969" s="44" t="str">
        <f>IF(D969="","",IF(ISNUMBER(SEARCH(SETTINGS!$K$4,D969)),SETTINGS!$L$4,IF(ISNUMBER(SEARCH(SETTINGS!$K$5,D969)),SETTINGS!$L$5,IF(ISNUMBER(SEARCH(SETTINGS!$K$6,D969)),SETTINGS!$L$6,IF(ISNUMBER(SEARCH(SETTINGS!$K$7,D969)),SETTINGS!$L$7,IF(ISNUMBER(SEARCH(SETTINGS!$K$8,D969)),SETTINGS!$L$8,IF(ISNUMBER(SEARCH(SETTINGS!$K$9,D969)),SETTINGS!$L$9,IF(ISNUMBER(SEARCH(SETTINGS!$K$10,D969)),SETTINGS!$L$10,IF(ISNUMBER(SEARCH(SETTINGS!$K$11,D969)),SETTINGS!$L$11,IF(ISNUMBER(SEARCH(SETTINGS!$K$12,D969)),SETTINGS!$L$12,IF(ISNUMBER(SEARCH(SETTINGS!$K$13,D969)),SETTINGS!$L$13,IF(ISNUMBER(SEARCH(SETTINGS!$K$14,D969)),SETTINGS!$L$14,IF(ISNUMBER(SEARCH(SETTINGS!$K$15,D969)),SETTINGS!$L$15,IF(ISNUMBER(SEARCH(SETTINGS!$K$16,D969)),SETTINGS!$L$16,IF(ISNUMBER(SEARCH(SETTINGS!$K$17,D969)),SETTINGS!$L$17,IF(ISNUMBER(SEARCH(SETTINGS!$K$18,D969)),SETTINGS!$L$18,"Miscellaneous"))))))))))))))))</f>
        <v/>
      </c>
      <c r="I969" s="44" t="str">
        <f t="shared" si="120"/>
        <v/>
      </c>
      <c r="J969" s="9"/>
      <c r="K969" s="9"/>
      <c r="L969" s="9"/>
      <c r="M969" s="9"/>
      <c r="N969" s="9"/>
      <c r="O969" s="9"/>
      <c r="P969" s="13"/>
      <c r="Q969" s="9"/>
      <c r="R969" s="9"/>
      <c r="S969" s="9"/>
      <c r="T969" s="11"/>
      <c r="U969" s="44" t="str">
        <f t="shared" si="121"/>
        <v/>
      </c>
      <c r="V969" s="44" t="str">
        <f t="shared" si="122"/>
        <v/>
      </c>
      <c r="W969" s="44" t="str">
        <f t="shared" si="123"/>
        <v/>
      </c>
      <c r="X969" s="44" t="str">
        <f t="shared" si="124"/>
        <v/>
      </c>
      <c r="Y969" s="44" t="str">
        <f t="shared" si="125"/>
        <v/>
      </c>
      <c r="Z969" s="44" t="str">
        <f t="shared" si="126"/>
        <v/>
      </c>
      <c r="AA969" s="50" t="str">
        <f t="shared" si="127"/>
        <v/>
      </c>
      <c r="AB969" s="50" t="str">
        <f>IF(OR(B969="",C969&lt;&gt;"Expense"),"",IF(E969&gt;IFERROR(AVERAGEIFS($E$8:$E$1007,$I$8:$I$1007,I969,$C$8:$C$1007,"Expense")*SETTINGS!$B$20,0),"Unusually High","Normal"))</f>
        <v/>
      </c>
      <c r="AC969" s="51"/>
      <c r="AD969" s="51"/>
      <c r="AE969" s="51"/>
      <c r="AF969" s="50" t="str">
        <f>IF(A969&lt;&gt;"Yes","No",IF(AND(AC969="Yes",SETTINGS!$B$16="No"),"No","Yes"))</f>
        <v>No</v>
      </c>
      <c r="AG969" s="50" t="str">
        <f>IF(A969&lt;&gt;"Yes","",IF(OR(B969="",D969="",E969&lt;=0,F969="",I969=""),"Check Required Fields",IF(AA969="Possible Duplicate","Possible Duplicate",IF(E969&gt;SETTINGS!$B$22,"Review Extreme Value","OK"))))</f>
        <v/>
      </c>
    </row>
    <row r="970" spans="1:33" ht="14.4">
      <c r="A970" s="9"/>
      <c r="B970" s="13"/>
      <c r="C970" s="9"/>
      <c r="D970" s="9"/>
      <c r="E970" s="11"/>
      <c r="F970" s="9"/>
      <c r="G970" s="9"/>
      <c r="H970" s="44" t="str">
        <f>IF(D970="","",IF(ISNUMBER(SEARCH(SETTINGS!$K$4,D970)),SETTINGS!$L$4,IF(ISNUMBER(SEARCH(SETTINGS!$K$5,D970)),SETTINGS!$L$5,IF(ISNUMBER(SEARCH(SETTINGS!$K$6,D970)),SETTINGS!$L$6,IF(ISNUMBER(SEARCH(SETTINGS!$K$7,D970)),SETTINGS!$L$7,IF(ISNUMBER(SEARCH(SETTINGS!$K$8,D970)),SETTINGS!$L$8,IF(ISNUMBER(SEARCH(SETTINGS!$K$9,D970)),SETTINGS!$L$9,IF(ISNUMBER(SEARCH(SETTINGS!$K$10,D970)),SETTINGS!$L$10,IF(ISNUMBER(SEARCH(SETTINGS!$K$11,D970)),SETTINGS!$L$11,IF(ISNUMBER(SEARCH(SETTINGS!$K$12,D970)),SETTINGS!$L$12,IF(ISNUMBER(SEARCH(SETTINGS!$K$13,D970)),SETTINGS!$L$13,IF(ISNUMBER(SEARCH(SETTINGS!$K$14,D970)),SETTINGS!$L$14,IF(ISNUMBER(SEARCH(SETTINGS!$K$15,D970)),SETTINGS!$L$15,IF(ISNUMBER(SEARCH(SETTINGS!$K$16,D970)),SETTINGS!$L$16,IF(ISNUMBER(SEARCH(SETTINGS!$K$17,D970)),SETTINGS!$L$17,IF(ISNUMBER(SEARCH(SETTINGS!$K$18,D970)),SETTINGS!$L$18,"Miscellaneous"))))))))))))))))</f>
        <v/>
      </c>
      <c r="I970" s="44" t="str">
        <f t="shared" si="120"/>
        <v/>
      </c>
      <c r="J970" s="9"/>
      <c r="K970" s="9"/>
      <c r="L970" s="9"/>
      <c r="M970" s="9"/>
      <c r="N970" s="9"/>
      <c r="O970" s="9"/>
      <c r="P970" s="13"/>
      <c r="Q970" s="9"/>
      <c r="R970" s="9"/>
      <c r="S970" s="9"/>
      <c r="T970" s="11"/>
      <c r="U970" s="44" t="str">
        <f t="shared" si="121"/>
        <v/>
      </c>
      <c r="V970" s="44" t="str">
        <f t="shared" si="122"/>
        <v/>
      </c>
      <c r="W970" s="44" t="str">
        <f t="shared" si="123"/>
        <v/>
      </c>
      <c r="X970" s="44" t="str">
        <f t="shared" si="124"/>
        <v/>
      </c>
      <c r="Y970" s="44" t="str">
        <f t="shared" si="125"/>
        <v/>
      </c>
      <c r="Z970" s="44" t="str">
        <f t="shared" si="126"/>
        <v/>
      </c>
      <c r="AA970" s="50" t="str">
        <f t="shared" si="127"/>
        <v/>
      </c>
      <c r="AB970" s="50" t="str">
        <f>IF(OR(B970="",C970&lt;&gt;"Expense"),"",IF(E970&gt;IFERROR(AVERAGEIFS($E$8:$E$1007,$I$8:$I$1007,I970,$C$8:$C$1007,"Expense")*SETTINGS!$B$20,0),"Unusually High","Normal"))</f>
        <v/>
      </c>
      <c r="AC970" s="51"/>
      <c r="AD970" s="51"/>
      <c r="AE970" s="51"/>
      <c r="AF970" s="50" t="str">
        <f>IF(A970&lt;&gt;"Yes","No",IF(AND(AC970="Yes",SETTINGS!$B$16="No"),"No","Yes"))</f>
        <v>No</v>
      </c>
      <c r="AG970" s="50" t="str">
        <f>IF(A970&lt;&gt;"Yes","",IF(OR(B970="",D970="",E970&lt;=0,F970="",I970=""),"Check Required Fields",IF(AA970="Possible Duplicate","Possible Duplicate",IF(E970&gt;SETTINGS!$B$22,"Review Extreme Value","OK"))))</f>
        <v/>
      </c>
    </row>
    <row r="971" spans="1:33" ht="14.4">
      <c r="A971" s="9"/>
      <c r="B971" s="13"/>
      <c r="C971" s="9"/>
      <c r="D971" s="9"/>
      <c r="E971" s="11"/>
      <c r="F971" s="9"/>
      <c r="G971" s="9"/>
      <c r="H971" s="44" t="str">
        <f>IF(D971="","",IF(ISNUMBER(SEARCH(SETTINGS!$K$4,D971)),SETTINGS!$L$4,IF(ISNUMBER(SEARCH(SETTINGS!$K$5,D971)),SETTINGS!$L$5,IF(ISNUMBER(SEARCH(SETTINGS!$K$6,D971)),SETTINGS!$L$6,IF(ISNUMBER(SEARCH(SETTINGS!$K$7,D971)),SETTINGS!$L$7,IF(ISNUMBER(SEARCH(SETTINGS!$K$8,D971)),SETTINGS!$L$8,IF(ISNUMBER(SEARCH(SETTINGS!$K$9,D971)),SETTINGS!$L$9,IF(ISNUMBER(SEARCH(SETTINGS!$K$10,D971)),SETTINGS!$L$10,IF(ISNUMBER(SEARCH(SETTINGS!$K$11,D971)),SETTINGS!$L$11,IF(ISNUMBER(SEARCH(SETTINGS!$K$12,D971)),SETTINGS!$L$12,IF(ISNUMBER(SEARCH(SETTINGS!$K$13,D971)),SETTINGS!$L$13,IF(ISNUMBER(SEARCH(SETTINGS!$K$14,D971)),SETTINGS!$L$14,IF(ISNUMBER(SEARCH(SETTINGS!$K$15,D971)),SETTINGS!$L$15,IF(ISNUMBER(SEARCH(SETTINGS!$K$16,D971)),SETTINGS!$L$16,IF(ISNUMBER(SEARCH(SETTINGS!$K$17,D971)),SETTINGS!$L$17,IF(ISNUMBER(SEARCH(SETTINGS!$K$18,D971)),SETTINGS!$L$18,"Miscellaneous"))))))))))))))))</f>
        <v/>
      </c>
      <c r="I971" s="44" t="str">
        <f t="shared" si="120"/>
        <v/>
      </c>
      <c r="J971" s="9"/>
      <c r="K971" s="9"/>
      <c r="L971" s="9"/>
      <c r="M971" s="9"/>
      <c r="N971" s="9"/>
      <c r="O971" s="9"/>
      <c r="P971" s="13"/>
      <c r="Q971" s="9"/>
      <c r="R971" s="9"/>
      <c r="S971" s="9"/>
      <c r="T971" s="11"/>
      <c r="U971" s="44" t="str">
        <f t="shared" si="121"/>
        <v/>
      </c>
      <c r="V971" s="44" t="str">
        <f t="shared" si="122"/>
        <v/>
      </c>
      <c r="W971" s="44" t="str">
        <f t="shared" si="123"/>
        <v/>
      </c>
      <c r="X971" s="44" t="str">
        <f t="shared" si="124"/>
        <v/>
      </c>
      <c r="Y971" s="44" t="str">
        <f t="shared" si="125"/>
        <v/>
      </c>
      <c r="Z971" s="44" t="str">
        <f t="shared" si="126"/>
        <v/>
      </c>
      <c r="AA971" s="50" t="str">
        <f t="shared" si="127"/>
        <v/>
      </c>
      <c r="AB971" s="50" t="str">
        <f>IF(OR(B971="",C971&lt;&gt;"Expense"),"",IF(E971&gt;IFERROR(AVERAGEIFS($E$8:$E$1007,$I$8:$I$1007,I971,$C$8:$C$1007,"Expense")*SETTINGS!$B$20,0),"Unusually High","Normal"))</f>
        <v/>
      </c>
      <c r="AC971" s="51"/>
      <c r="AD971" s="51"/>
      <c r="AE971" s="51"/>
      <c r="AF971" s="50" t="str">
        <f>IF(A971&lt;&gt;"Yes","No",IF(AND(AC971="Yes",SETTINGS!$B$16="No"),"No","Yes"))</f>
        <v>No</v>
      </c>
      <c r="AG971" s="50" t="str">
        <f>IF(A971&lt;&gt;"Yes","",IF(OR(B971="",D971="",E971&lt;=0,F971="",I971=""),"Check Required Fields",IF(AA971="Possible Duplicate","Possible Duplicate",IF(E971&gt;SETTINGS!$B$22,"Review Extreme Value","OK"))))</f>
        <v/>
      </c>
    </row>
    <row r="972" spans="1:33" ht="14.4">
      <c r="A972" s="9"/>
      <c r="B972" s="13"/>
      <c r="C972" s="9"/>
      <c r="D972" s="9"/>
      <c r="E972" s="11"/>
      <c r="F972" s="9"/>
      <c r="G972" s="9"/>
      <c r="H972" s="44" t="str">
        <f>IF(D972="","",IF(ISNUMBER(SEARCH(SETTINGS!$K$4,D972)),SETTINGS!$L$4,IF(ISNUMBER(SEARCH(SETTINGS!$K$5,D972)),SETTINGS!$L$5,IF(ISNUMBER(SEARCH(SETTINGS!$K$6,D972)),SETTINGS!$L$6,IF(ISNUMBER(SEARCH(SETTINGS!$K$7,D972)),SETTINGS!$L$7,IF(ISNUMBER(SEARCH(SETTINGS!$K$8,D972)),SETTINGS!$L$8,IF(ISNUMBER(SEARCH(SETTINGS!$K$9,D972)),SETTINGS!$L$9,IF(ISNUMBER(SEARCH(SETTINGS!$K$10,D972)),SETTINGS!$L$10,IF(ISNUMBER(SEARCH(SETTINGS!$K$11,D972)),SETTINGS!$L$11,IF(ISNUMBER(SEARCH(SETTINGS!$K$12,D972)),SETTINGS!$L$12,IF(ISNUMBER(SEARCH(SETTINGS!$K$13,D972)),SETTINGS!$L$13,IF(ISNUMBER(SEARCH(SETTINGS!$K$14,D972)),SETTINGS!$L$14,IF(ISNUMBER(SEARCH(SETTINGS!$K$15,D972)),SETTINGS!$L$15,IF(ISNUMBER(SEARCH(SETTINGS!$K$16,D972)),SETTINGS!$L$16,IF(ISNUMBER(SEARCH(SETTINGS!$K$17,D972)),SETTINGS!$L$17,IF(ISNUMBER(SEARCH(SETTINGS!$K$18,D972)),SETTINGS!$L$18,"Miscellaneous"))))))))))))))))</f>
        <v/>
      </c>
      <c r="I972" s="44" t="str">
        <f t="shared" si="120"/>
        <v/>
      </c>
      <c r="J972" s="9"/>
      <c r="K972" s="9"/>
      <c r="L972" s="9"/>
      <c r="M972" s="9"/>
      <c r="N972" s="9"/>
      <c r="O972" s="9"/>
      <c r="P972" s="13"/>
      <c r="Q972" s="9"/>
      <c r="R972" s="9"/>
      <c r="S972" s="9"/>
      <c r="T972" s="11"/>
      <c r="U972" s="44" t="str">
        <f t="shared" si="121"/>
        <v/>
      </c>
      <c r="V972" s="44" t="str">
        <f t="shared" si="122"/>
        <v/>
      </c>
      <c r="W972" s="44" t="str">
        <f t="shared" si="123"/>
        <v/>
      </c>
      <c r="X972" s="44" t="str">
        <f t="shared" si="124"/>
        <v/>
      </c>
      <c r="Y972" s="44" t="str">
        <f t="shared" si="125"/>
        <v/>
      </c>
      <c r="Z972" s="44" t="str">
        <f t="shared" si="126"/>
        <v/>
      </c>
      <c r="AA972" s="50" t="str">
        <f t="shared" si="127"/>
        <v/>
      </c>
      <c r="AB972" s="50" t="str">
        <f>IF(OR(B972="",C972&lt;&gt;"Expense"),"",IF(E972&gt;IFERROR(AVERAGEIFS($E$8:$E$1007,$I$8:$I$1007,I972,$C$8:$C$1007,"Expense")*SETTINGS!$B$20,0),"Unusually High","Normal"))</f>
        <v/>
      </c>
      <c r="AC972" s="51"/>
      <c r="AD972" s="51"/>
      <c r="AE972" s="51"/>
      <c r="AF972" s="50" t="str">
        <f>IF(A972&lt;&gt;"Yes","No",IF(AND(AC972="Yes",SETTINGS!$B$16="No"),"No","Yes"))</f>
        <v>No</v>
      </c>
      <c r="AG972" s="50" t="str">
        <f>IF(A972&lt;&gt;"Yes","",IF(OR(B972="",D972="",E972&lt;=0,F972="",I972=""),"Check Required Fields",IF(AA972="Possible Duplicate","Possible Duplicate",IF(E972&gt;SETTINGS!$B$22,"Review Extreme Value","OK"))))</f>
        <v/>
      </c>
    </row>
    <row r="973" spans="1:33" ht="14.4">
      <c r="A973" s="9"/>
      <c r="B973" s="13"/>
      <c r="C973" s="9"/>
      <c r="D973" s="9"/>
      <c r="E973" s="11"/>
      <c r="F973" s="9"/>
      <c r="G973" s="9"/>
      <c r="H973" s="44" t="str">
        <f>IF(D973="","",IF(ISNUMBER(SEARCH(SETTINGS!$K$4,D973)),SETTINGS!$L$4,IF(ISNUMBER(SEARCH(SETTINGS!$K$5,D973)),SETTINGS!$L$5,IF(ISNUMBER(SEARCH(SETTINGS!$K$6,D973)),SETTINGS!$L$6,IF(ISNUMBER(SEARCH(SETTINGS!$K$7,D973)),SETTINGS!$L$7,IF(ISNUMBER(SEARCH(SETTINGS!$K$8,D973)),SETTINGS!$L$8,IF(ISNUMBER(SEARCH(SETTINGS!$K$9,D973)),SETTINGS!$L$9,IF(ISNUMBER(SEARCH(SETTINGS!$K$10,D973)),SETTINGS!$L$10,IF(ISNUMBER(SEARCH(SETTINGS!$K$11,D973)),SETTINGS!$L$11,IF(ISNUMBER(SEARCH(SETTINGS!$K$12,D973)),SETTINGS!$L$12,IF(ISNUMBER(SEARCH(SETTINGS!$K$13,D973)),SETTINGS!$L$13,IF(ISNUMBER(SEARCH(SETTINGS!$K$14,D973)),SETTINGS!$L$14,IF(ISNUMBER(SEARCH(SETTINGS!$K$15,D973)),SETTINGS!$L$15,IF(ISNUMBER(SEARCH(SETTINGS!$K$16,D973)),SETTINGS!$L$16,IF(ISNUMBER(SEARCH(SETTINGS!$K$17,D973)),SETTINGS!$L$17,IF(ISNUMBER(SEARCH(SETTINGS!$K$18,D973)),SETTINGS!$L$18,"Miscellaneous"))))))))))))))))</f>
        <v/>
      </c>
      <c r="I973" s="44" t="str">
        <f t="shared" si="120"/>
        <v/>
      </c>
      <c r="J973" s="9"/>
      <c r="K973" s="9"/>
      <c r="L973" s="9"/>
      <c r="M973" s="9"/>
      <c r="N973" s="9"/>
      <c r="O973" s="9"/>
      <c r="P973" s="13"/>
      <c r="Q973" s="9"/>
      <c r="R973" s="9"/>
      <c r="S973" s="9"/>
      <c r="T973" s="11"/>
      <c r="U973" s="44" t="str">
        <f t="shared" si="121"/>
        <v/>
      </c>
      <c r="V973" s="44" t="str">
        <f t="shared" si="122"/>
        <v/>
      </c>
      <c r="W973" s="44" t="str">
        <f t="shared" si="123"/>
        <v/>
      </c>
      <c r="X973" s="44" t="str">
        <f t="shared" si="124"/>
        <v/>
      </c>
      <c r="Y973" s="44" t="str">
        <f t="shared" si="125"/>
        <v/>
      </c>
      <c r="Z973" s="44" t="str">
        <f t="shared" si="126"/>
        <v/>
      </c>
      <c r="AA973" s="50" t="str">
        <f t="shared" si="127"/>
        <v/>
      </c>
      <c r="AB973" s="50" t="str">
        <f>IF(OR(B973="",C973&lt;&gt;"Expense"),"",IF(E973&gt;IFERROR(AVERAGEIFS($E$8:$E$1007,$I$8:$I$1007,I973,$C$8:$C$1007,"Expense")*SETTINGS!$B$20,0),"Unusually High","Normal"))</f>
        <v/>
      </c>
      <c r="AC973" s="51"/>
      <c r="AD973" s="51"/>
      <c r="AE973" s="51"/>
      <c r="AF973" s="50" t="str">
        <f>IF(A973&lt;&gt;"Yes","No",IF(AND(AC973="Yes",SETTINGS!$B$16="No"),"No","Yes"))</f>
        <v>No</v>
      </c>
      <c r="AG973" s="50" t="str">
        <f>IF(A973&lt;&gt;"Yes","",IF(OR(B973="",D973="",E973&lt;=0,F973="",I973=""),"Check Required Fields",IF(AA973="Possible Duplicate","Possible Duplicate",IF(E973&gt;SETTINGS!$B$22,"Review Extreme Value","OK"))))</f>
        <v/>
      </c>
    </row>
    <row r="974" spans="1:33" ht="14.4">
      <c r="A974" s="9"/>
      <c r="B974" s="13"/>
      <c r="C974" s="9"/>
      <c r="D974" s="9"/>
      <c r="E974" s="11"/>
      <c r="F974" s="9"/>
      <c r="G974" s="9"/>
      <c r="H974" s="44" t="str">
        <f>IF(D974="","",IF(ISNUMBER(SEARCH(SETTINGS!$K$4,D974)),SETTINGS!$L$4,IF(ISNUMBER(SEARCH(SETTINGS!$K$5,D974)),SETTINGS!$L$5,IF(ISNUMBER(SEARCH(SETTINGS!$K$6,D974)),SETTINGS!$L$6,IF(ISNUMBER(SEARCH(SETTINGS!$K$7,D974)),SETTINGS!$L$7,IF(ISNUMBER(SEARCH(SETTINGS!$K$8,D974)),SETTINGS!$L$8,IF(ISNUMBER(SEARCH(SETTINGS!$K$9,D974)),SETTINGS!$L$9,IF(ISNUMBER(SEARCH(SETTINGS!$K$10,D974)),SETTINGS!$L$10,IF(ISNUMBER(SEARCH(SETTINGS!$K$11,D974)),SETTINGS!$L$11,IF(ISNUMBER(SEARCH(SETTINGS!$K$12,D974)),SETTINGS!$L$12,IF(ISNUMBER(SEARCH(SETTINGS!$K$13,D974)),SETTINGS!$L$13,IF(ISNUMBER(SEARCH(SETTINGS!$K$14,D974)),SETTINGS!$L$14,IF(ISNUMBER(SEARCH(SETTINGS!$K$15,D974)),SETTINGS!$L$15,IF(ISNUMBER(SEARCH(SETTINGS!$K$16,D974)),SETTINGS!$L$16,IF(ISNUMBER(SEARCH(SETTINGS!$K$17,D974)),SETTINGS!$L$17,IF(ISNUMBER(SEARCH(SETTINGS!$K$18,D974)),SETTINGS!$L$18,"Miscellaneous"))))))))))))))))</f>
        <v/>
      </c>
      <c r="I974" s="44" t="str">
        <f t="shared" si="120"/>
        <v/>
      </c>
      <c r="J974" s="9"/>
      <c r="K974" s="9"/>
      <c r="L974" s="9"/>
      <c r="M974" s="9"/>
      <c r="N974" s="9"/>
      <c r="O974" s="9"/>
      <c r="P974" s="13"/>
      <c r="Q974" s="9"/>
      <c r="R974" s="9"/>
      <c r="S974" s="9"/>
      <c r="T974" s="11"/>
      <c r="U974" s="44" t="str">
        <f t="shared" si="121"/>
        <v/>
      </c>
      <c r="V974" s="44" t="str">
        <f t="shared" si="122"/>
        <v/>
      </c>
      <c r="W974" s="44" t="str">
        <f t="shared" si="123"/>
        <v/>
      </c>
      <c r="X974" s="44" t="str">
        <f t="shared" si="124"/>
        <v/>
      </c>
      <c r="Y974" s="44" t="str">
        <f t="shared" si="125"/>
        <v/>
      </c>
      <c r="Z974" s="44" t="str">
        <f t="shared" si="126"/>
        <v/>
      </c>
      <c r="AA974" s="50" t="str">
        <f t="shared" si="127"/>
        <v/>
      </c>
      <c r="AB974" s="50" t="str">
        <f>IF(OR(B974="",C974&lt;&gt;"Expense"),"",IF(E974&gt;IFERROR(AVERAGEIFS($E$8:$E$1007,$I$8:$I$1007,I974,$C$8:$C$1007,"Expense")*SETTINGS!$B$20,0),"Unusually High","Normal"))</f>
        <v/>
      </c>
      <c r="AC974" s="51"/>
      <c r="AD974" s="51"/>
      <c r="AE974" s="51"/>
      <c r="AF974" s="50" t="str">
        <f>IF(A974&lt;&gt;"Yes","No",IF(AND(AC974="Yes",SETTINGS!$B$16="No"),"No","Yes"))</f>
        <v>No</v>
      </c>
      <c r="AG974" s="50" t="str">
        <f>IF(A974&lt;&gt;"Yes","",IF(OR(B974="",D974="",E974&lt;=0,F974="",I974=""),"Check Required Fields",IF(AA974="Possible Duplicate","Possible Duplicate",IF(E974&gt;SETTINGS!$B$22,"Review Extreme Value","OK"))))</f>
        <v/>
      </c>
    </row>
    <row r="975" spans="1:33" ht="14.4">
      <c r="A975" s="9"/>
      <c r="B975" s="13"/>
      <c r="C975" s="9"/>
      <c r="D975" s="9"/>
      <c r="E975" s="11"/>
      <c r="F975" s="9"/>
      <c r="G975" s="9"/>
      <c r="H975" s="44" t="str">
        <f>IF(D975="","",IF(ISNUMBER(SEARCH(SETTINGS!$K$4,D975)),SETTINGS!$L$4,IF(ISNUMBER(SEARCH(SETTINGS!$K$5,D975)),SETTINGS!$L$5,IF(ISNUMBER(SEARCH(SETTINGS!$K$6,D975)),SETTINGS!$L$6,IF(ISNUMBER(SEARCH(SETTINGS!$K$7,D975)),SETTINGS!$L$7,IF(ISNUMBER(SEARCH(SETTINGS!$K$8,D975)),SETTINGS!$L$8,IF(ISNUMBER(SEARCH(SETTINGS!$K$9,D975)),SETTINGS!$L$9,IF(ISNUMBER(SEARCH(SETTINGS!$K$10,D975)),SETTINGS!$L$10,IF(ISNUMBER(SEARCH(SETTINGS!$K$11,D975)),SETTINGS!$L$11,IF(ISNUMBER(SEARCH(SETTINGS!$K$12,D975)),SETTINGS!$L$12,IF(ISNUMBER(SEARCH(SETTINGS!$K$13,D975)),SETTINGS!$L$13,IF(ISNUMBER(SEARCH(SETTINGS!$K$14,D975)),SETTINGS!$L$14,IF(ISNUMBER(SEARCH(SETTINGS!$K$15,D975)),SETTINGS!$L$15,IF(ISNUMBER(SEARCH(SETTINGS!$K$16,D975)),SETTINGS!$L$16,IF(ISNUMBER(SEARCH(SETTINGS!$K$17,D975)),SETTINGS!$L$17,IF(ISNUMBER(SEARCH(SETTINGS!$K$18,D975)),SETTINGS!$L$18,"Miscellaneous"))))))))))))))))</f>
        <v/>
      </c>
      <c r="I975" s="44" t="str">
        <f t="shared" si="120"/>
        <v/>
      </c>
      <c r="J975" s="9"/>
      <c r="K975" s="9"/>
      <c r="L975" s="9"/>
      <c r="M975" s="9"/>
      <c r="N975" s="9"/>
      <c r="O975" s="9"/>
      <c r="P975" s="13"/>
      <c r="Q975" s="9"/>
      <c r="R975" s="9"/>
      <c r="S975" s="9"/>
      <c r="T975" s="11"/>
      <c r="U975" s="44" t="str">
        <f t="shared" si="121"/>
        <v/>
      </c>
      <c r="V975" s="44" t="str">
        <f t="shared" si="122"/>
        <v/>
      </c>
      <c r="W975" s="44" t="str">
        <f t="shared" si="123"/>
        <v/>
      </c>
      <c r="X975" s="44" t="str">
        <f t="shared" si="124"/>
        <v/>
      </c>
      <c r="Y975" s="44" t="str">
        <f t="shared" si="125"/>
        <v/>
      </c>
      <c r="Z975" s="44" t="str">
        <f t="shared" si="126"/>
        <v/>
      </c>
      <c r="AA975" s="50" t="str">
        <f t="shared" si="127"/>
        <v/>
      </c>
      <c r="AB975" s="50" t="str">
        <f>IF(OR(B975="",C975&lt;&gt;"Expense"),"",IF(E975&gt;IFERROR(AVERAGEIFS($E$8:$E$1007,$I$8:$I$1007,I975,$C$8:$C$1007,"Expense")*SETTINGS!$B$20,0),"Unusually High","Normal"))</f>
        <v/>
      </c>
      <c r="AC975" s="51"/>
      <c r="AD975" s="51"/>
      <c r="AE975" s="51"/>
      <c r="AF975" s="50" t="str">
        <f>IF(A975&lt;&gt;"Yes","No",IF(AND(AC975="Yes",SETTINGS!$B$16="No"),"No","Yes"))</f>
        <v>No</v>
      </c>
      <c r="AG975" s="50" t="str">
        <f>IF(A975&lt;&gt;"Yes","",IF(OR(B975="",D975="",E975&lt;=0,F975="",I975=""),"Check Required Fields",IF(AA975="Possible Duplicate","Possible Duplicate",IF(E975&gt;SETTINGS!$B$22,"Review Extreme Value","OK"))))</f>
        <v/>
      </c>
    </row>
    <row r="976" spans="1:33" ht="14.4">
      <c r="A976" s="9"/>
      <c r="B976" s="13"/>
      <c r="C976" s="9"/>
      <c r="D976" s="9"/>
      <c r="E976" s="11"/>
      <c r="F976" s="9"/>
      <c r="G976" s="9"/>
      <c r="H976" s="44" t="str">
        <f>IF(D976="","",IF(ISNUMBER(SEARCH(SETTINGS!$K$4,D976)),SETTINGS!$L$4,IF(ISNUMBER(SEARCH(SETTINGS!$K$5,D976)),SETTINGS!$L$5,IF(ISNUMBER(SEARCH(SETTINGS!$K$6,D976)),SETTINGS!$L$6,IF(ISNUMBER(SEARCH(SETTINGS!$K$7,D976)),SETTINGS!$L$7,IF(ISNUMBER(SEARCH(SETTINGS!$K$8,D976)),SETTINGS!$L$8,IF(ISNUMBER(SEARCH(SETTINGS!$K$9,D976)),SETTINGS!$L$9,IF(ISNUMBER(SEARCH(SETTINGS!$K$10,D976)),SETTINGS!$L$10,IF(ISNUMBER(SEARCH(SETTINGS!$K$11,D976)),SETTINGS!$L$11,IF(ISNUMBER(SEARCH(SETTINGS!$K$12,D976)),SETTINGS!$L$12,IF(ISNUMBER(SEARCH(SETTINGS!$K$13,D976)),SETTINGS!$L$13,IF(ISNUMBER(SEARCH(SETTINGS!$K$14,D976)),SETTINGS!$L$14,IF(ISNUMBER(SEARCH(SETTINGS!$K$15,D976)),SETTINGS!$L$15,IF(ISNUMBER(SEARCH(SETTINGS!$K$16,D976)),SETTINGS!$L$16,IF(ISNUMBER(SEARCH(SETTINGS!$K$17,D976)),SETTINGS!$L$17,IF(ISNUMBER(SEARCH(SETTINGS!$K$18,D976)),SETTINGS!$L$18,"Miscellaneous"))))))))))))))))</f>
        <v/>
      </c>
      <c r="I976" s="44" t="str">
        <f t="shared" si="120"/>
        <v/>
      </c>
      <c r="J976" s="9"/>
      <c r="K976" s="9"/>
      <c r="L976" s="9"/>
      <c r="M976" s="9"/>
      <c r="N976" s="9"/>
      <c r="O976" s="9"/>
      <c r="P976" s="13"/>
      <c r="Q976" s="9"/>
      <c r="R976" s="9"/>
      <c r="S976" s="9"/>
      <c r="T976" s="11"/>
      <c r="U976" s="44" t="str">
        <f t="shared" si="121"/>
        <v/>
      </c>
      <c r="V976" s="44" t="str">
        <f t="shared" si="122"/>
        <v/>
      </c>
      <c r="W976" s="44" t="str">
        <f t="shared" si="123"/>
        <v/>
      </c>
      <c r="X976" s="44" t="str">
        <f t="shared" si="124"/>
        <v/>
      </c>
      <c r="Y976" s="44" t="str">
        <f t="shared" si="125"/>
        <v/>
      </c>
      <c r="Z976" s="44" t="str">
        <f t="shared" si="126"/>
        <v/>
      </c>
      <c r="AA976" s="50" t="str">
        <f t="shared" si="127"/>
        <v/>
      </c>
      <c r="AB976" s="50" t="str">
        <f>IF(OR(B976="",C976&lt;&gt;"Expense"),"",IF(E976&gt;IFERROR(AVERAGEIFS($E$8:$E$1007,$I$8:$I$1007,I976,$C$8:$C$1007,"Expense")*SETTINGS!$B$20,0),"Unusually High","Normal"))</f>
        <v/>
      </c>
      <c r="AC976" s="51"/>
      <c r="AD976" s="51"/>
      <c r="AE976" s="51"/>
      <c r="AF976" s="50" t="str">
        <f>IF(A976&lt;&gt;"Yes","No",IF(AND(AC976="Yes",SETTINGS!$B$16="No"),"No","Yes"))</f>
        <v>No</v>
      </c>
      <c r="AG976" s="50" t="str">
        <f>IF(A976&lt;&gt;"Yes","",IF(OR(B976="",D976="",E976&lt;=0,F976="",I976=""),"Check Required Fields",IF(AA976="Possible Duplicate","Possible Duplicate",IF(E976&gt;SETTINGS!$B$22,"Review Extreme Value","OK"))))</f>
        <v/>
      </c>
    </row>
    <row r="977" spans="1:33" ht="14.4">
      <c r="A977" s="9"/>
      <c r="B977" s="13"/>
      <c r="C977" s="9"/>
      <c r="D977" s="9"/>
      <c r="E977" s="11"/>
      <c r="F977" s="9"/>
      <c r="G977" s="9"/>
      <c r="H977" s="44" t="str">
        <f>IF(D977="","",IF(ISNUMBER(SEARCH(SETTINGS!$K$4,D977)),SETTINGS!$L$4,IF(ISNUMBER(SEARCH(SETTINGS!$K$5,D977)),SETTINGS!$L$5,IF(ISNUMBER(SEARCH(SETTINGS!$K$6,D977)),SETTINGS!$L$6,IF(ISNUMBER(SEARCH(SETTINGS!$K$7,D977)),SETTINGS!$L$7,IF(ISNUMBER(SEARCH(SETTINGS!$K$8,D977)),SETTINGS!$L$8,IF(ISNUMBER(SEARCH(SETTINGS!$K$9,D977)),SETTINGS!$L$9,IF(ISNUMBER(SEARCH(SETTINGS!$K$10,D977)),SETTINGS!$L$10,IF(ISNUMBER(SEARCH(SETTINGS!$K$11,D977)),SETTINGS!$L$11,IF(ISNUMBER(SEARCH(SETTINGS!$K$12,D977)),SETTINGS!$L$12,IF(ISNUMBER(SEARCH(SETTINGS!$K$13,D977)),SETTINGS!$L$13,IF(ISNUMBER(SEARCH(SETTINGS!$K$14,D977)),SETTINGS!$L$14,IF(ISNUMBER(SEARCH(SETTINGS!$K$15,D977)),SETTINGS!$L$15,IF(ISNUMBER(SEARCH(SETTINGS!$K$16,D977)),SETTINGS!$L$16,IF(ISNUMBER(SEARCH(SETTINGS!$K$17,D977)),SETTINGS!$L$17,IF(ISNUMBER(SEARCH(SETTINGS!$K$18,D977)),SETTINGS!$L$18,"Miscellaneous"))))))))))))))))</f>
        <v/>
      </c>
      <c r="I977" s="44" t="str">
        <f t="shared" si="120"/>
        <v/>
      </c>
      <c r="J977" s="9"/>
      <c r="K977" s="9"/>
      <c r="L977" s="9"/>
      <c r="M977" s="9"/>
      <c r="N977" s="9"/>
      <c r="O977" s="9"/>
      <c r="P977" s="13"/>
      <c r="Q977" s="9"/>
      <c r="R977" s="9"/>
      <c r="S977" s="9"/>
      <c r="T977" s="11"/>
      <c r="U977" s="44" t="str">
        <f t="shared" si="121"/>
        <v/>
      </c>
      <c r="V977" s="44" t="str">
        <f t="shared" si="122"/>
        <v/>
      </c>
      <c r="W977" s="44" t="str">
        <f t="shared" si="123"/>
        <v/>
      </c>
      <c r="X977" s="44" t="str">
        <f t="shared" si="124"/>
        <v/>
      </c>
      <c r="Y977" s="44" t="str">
        <f t="shared" si="125"/>
        <v/>
      </c>
      <c r="Z977" s="44" t="str">
        <f t="shared" si="126"/>
        <v/>
      </c>
      <c r="AA977" s="50" t="str">
        <f t="shared" si="127"/>
        <v/>
      </c>
      <c r="AB977" s="50" t="str">
        <f>IF(OR(B977="",C977&lt;&gt;"Expense"),"",IF(E977&gt;IFERROR(AVERAGEIFS($E$8:$E$1007,$I$8:$I$1007,I977,$C$8:$C$1007,"Expense")*SETTINGS!$B$20,0),"Unusually High","Normal"))</f>
        <v/>
      </c>
      <c r="AC977" s="51"/>
      <c r="AD977" s="51"/>
      <c r="AE977" s="51"/>
      <c r="AF977" s="50" t="str">
        <f>IF(A977&lt;&gt;"Yes","No",IF(AND(AC977="Yes",SETTINGS!$B$16="No"),"No","Yes"))</f>
        <v>No</v>
      </c>
      <c r="AG977" s="50" t="str">
        <f>IF(A977&lt;&gt;"Yes","",IF(OR(B977="",D977="",E977&lt;=0,F977="",I977=""),"Check Required Fields",IF(AA977="Possible Duplicate","Possible Duplicate",IF(E977&gt;SETTINGS!$B$22,"Review Extreme Value","OK"))))</f>
        <v/>
      </c>
    </row>
    <row r="978" spans="1:33" ht="14.4">
      <c r="A978" s="9"/>
      <c r="B978" s="13"/>
      <c r="C978" s="9"/>
      <c r="D978" s="9"/>
      <c r="E978" s="11"/>
      <c r="F978" s="9"/>
      <c r="G978" s="9"/>
      <c r="H978" s="44" t="str">
        <f>IF(D978="","",IF(ISNUMBER(SEARCH(SETTINGS!$K$4,D978)),SETTINGS!$L$4,IF(ISNUMBER(SEARCH(SETTINGS!$K$5,D978)),SETTINGS!$L$5,IF(ISNUMBER(SEARCH(SETTINGS!$K$6,D978)),SETTINGS!$L$6,IF(ISNUMBER(SEARCH(SETTINGS!$K$7,D978)),SETTINGS!$L$7,IF(ISNUMBER(SEARCH(SETTINGS!$K$8,D978)),SETTINGS!$L$8,IF(ISNUMBER(SEARCH(SETTINGS!$K$9,D978)),SETTINGS!$L$9,IF(ISNUMBER(SEARCH(SETTINGS!$K$10,D978)),SETTINGS!$L$10,IF(ISNUMBER(SEARCH(SETTINGS!$K$11,D978)),SETTINGS!$L$11,IF(ISNUMBER(SEARCH(SETTINGS!$K$12,D978)),SETTINGS!$L$12,IF(ISNUMBER(SEARCH(SETTINGS!$K$13,D978)),SETTINGS!$L$13,IF(ISNUMBER(SEARCH(SETTINGS!$K$14,D978)),SETTINGS!$L$14,IF(ISNUMBER(SEARCH(SETTINGS!$K$15,D978)),SETTINGS!$L$15,IF(ISNUMBER(SEARCH(SETTINGS!$K$16,D978)),SETTINGS!$L$16,IF(ISNUMBER(SEARCH(SETTINGS!$K$17,D978)),SETTINGS!$L$17,IF(ISNUMBER(SEARCH(SETTINGS!$K$18,D978)),SETTINGS!$L$18,"Miscellaneous"))))))))))))))))</f>
        <v/>
      </c>
      <c r="I978" s="44" t="str">
        <f t="shared" si="120"/>
        <v/>
      </c>
      <c r="J978" s="9"/>
      <c r="K978" s="9"/>
      <c r="L978" s="9"/>
      <c r="M978" s="9"/>
      <c r="N978" s="9"/>
      <c r="O978" s="9"/>
      <c r="P978" s="13"/>
      <c r="Q978" s="9"/>
      <c r="R978" s="9"/>
      <c r="S978" s="9"/>
      <c r="T978" s="11"/>
      <c r="U978" s="44" t="str">
        <f t="shared" si="121"/>
        <v/>
      </c>
      <c r="V978" s="44" t="str">
        <f t="shared" si="122"/>
        <v/>
      </c>
      <c r="W978" s="44" t="str">
        <f t="shared" si="123"/>
        <v/>
      </c>
      <c r="X978" s="44" t="str">
        <f t="shared" si="124"/>
        <v/>
      </c>
      <c r="Y978" s="44" t="str">
        <f t="shared" si="125"/>
        <v/>
      </c>
      <c r="Z978" s="44" t="str">
        <f t="shared" si="126"/>
        <v/>
      </c>
      <c r="AA978" s="50" t="str">
        <f t="shared" si="127"/>
        <v/>
      </c>
      <c r="AB978" s="50" t="str">
        <f>IF(OR(B978="",C978&lt;&gt;"Expense"),"",IF(E978&gt;IFERROR(AVERAGEIFS($E$8:$E$1007,$I$8:$I$1007,I978,$C$8:$C$1007,"Expense")*SETTINGS!$B$20,0),"Unusually High","Normal"))</f>
        <v/>
      </c>
      <c r="AC978" s="51"/>
      <c r="AD978" s="51"/>
      <c r="AE978" s="51"/>
      <c r="AF978" s="50" t="str">
        <f>IF(A978&lt;&gt;"Yes","No",IF(AND(AC978="Yes",SETTINGS!$B$16="No"),"No","Yes"))</f>
        <v>No</v>
      </c>
      <c r="AG978" s="50" t="str">
        <f>IF(A978&lt;&gt;"Yes","",IF(OR(B978="",D978="",E978&lt;=0,F978="",I978=""),"Check Required Fields",IF(AA978="Possible Duplicate","Possible Duplicate",IF(E978&gt;SETTINGS!$B$22,"Review Extreme Value","OK"))))</f>
        <v/>
      </c>
    </row>
    <row r="979" spans="1:33" ht="14.4">
      <c r="A979" s="9"/>
      <c r="B979" s="13"/>
      <c r="C979" s="9"/>
      <c r="D979" s="9"/>
      <c r="E979" s="11"/>
      <c r="F979" s="9"/>
      <c r="G979" s="9"/>
      <c r="H979" s="44" t="str">
        <f>IF(D979="","",IF(ISNUMBER(SEARCH(SETTINGS!$K$4,D979)),SETTINGS!$L$4,IF(ISNUMBER(SEARCH(SETTINGS!$K$5,D979)),SETTINGS!$L$5,IF(ISNUMBER(SEARCH(SETTINGS!$K$6,D979)),SETTINGS!$L$6,IF(ISNUMBER(SEARCH(SETTINGS!$K$7,D979)),SETTINGS!$L$7,IF(ISNUMBER(SEARCH(SETTINGS!$K$8,D979)),SETTINGS!$L$8,IF(ISNUMBER(SEARCH(SETTINGS!$K$9,D979)),SETTINGS!$L$9,IF(ISNUMBER(SEARCH(SETTINGS!$K$10,D979)),SETTINGS!$L$10,IF(ISNUMBER(SEARCH(SETTINGS!$K$11,D979)),SETTINGS!$L$11,IF(ISNUMBER(SEARCH(SETTINGS!$K$12,D979)),SETTINGS!$L$12,IF(ISNUMBER(SEARCH(SETTINGS!$K$13,D979)),SETTINGS!$L$13,IF(ISNUMBER(SEARCH(SETTINGS!$K$14,D979)),SETTINGS!$L$14,IF(ISNUMBER(SEARCH(SETTINGS!$K$15,D979)),SETTINGS!$L$15,IF(ISNUMBER(SEARCH(SETTINGS!$K$16,D979)),SETTINGS!$L$16,IF(ISNUMBER(SEARCH(SETTINGS!$K$17,D979)),SETTINGS!$L$17,IF(ISNUMBER(SEARCH(SETTINGS!$K$18,D979)),SETTINGS!$L$18,"Miscellaneous"))))))))))))))))</f>
        <v/>
      </c>
      <c r="I979" s="44" t="str">
        <f t="shared" si="120"/>
        <v/>
      </c>
      <c r="J979" s="9"/>
      <c r="K979" s="9"/>
      <c r="L979" s="9"/>
      <c r="M979" s="9"/>
      <c r="N979" s="9"/>
      <c r="O979" s="9"/>
      <c r="P979" s="13"/>
      <c r="Q979" s="9"/>
      <c r="R979" s="9"/>
      <c r="S979" s="9"/>
      <c r="T979" s="11"/>
      <c r="U979" s="44" t="str">
        <f t="shared" si="121"/>
        <v/>
      </c>
      <c r="V979" s="44" t="str">
        <f t="shared" si="122"/>
        <v/>
      </c>
      <c r="W979" s="44" t="str">
        <f t="shared" si="123"/>
        <v/>
      </c>
      <c r="X979" s="44" t="str">
        <f t="shared" si="124"/>
        <v/>
      </c>
      <c r="Y979" s="44" t="str">
        <f t="shared" si="125"/>
        <v/>
      </c>
      <c r="Z979" s="44" t="str">
        <f t="shared" si="126"/>
        <v/>
      </c>
      <c r="AA979" s="50" t="str">
        <f t="shared" si="127"/>
        <v/>
      </c>
      <c r="AB979" s="50" t="str">
        <f>IF(OR(B979="",C979&lt;&gt;"Expense"),"",IF(E979&gt;IFERROR(AVERAGEIFS($E$8:$E$1007,$I$8:$I$1007,I979,$C$8:$C$1007,"Expense")*SETTINGS!$B$20,0),"Unusually High","Normal"))</f>
        <v/>
      </c>
      <c r="AC979" s="51"/>
      <c r="AD979" s="51"/>
      <c r="AE979" s="51"/>
      <c r="AF979" s="50" t="str">
        <f>IF(A979&lt;&gt;"Yes","No",IF(AND(AC979="Yes",SETTINGS!$B$16="No"),"No","Yes"))</f>
        <v>No</v>
      </c>
      <c r="AG979" s="50" t="str">
        <f>IF(A979&lt;&gt;"Yes","",IF(OR(B979="",D979="",E979&lt;=0,F979="",I979=""),"Check Required Fields",IF(AA979="Possible Duplicate","Possible Duplicate",IF(E979&gt;SETTINGS!$B$22,"Review Extreme Value","OK"))))</f>
        <v/>
      </c>
    </row>
    <row r="980" spans="1:33" ht="14.4">
      <c r="A980" s="9"/>
      <c r="B980" s="13"/>
      <c r="C980" s="9"/>
      <c r="D980" s="9"/>
      <c r="E980" s="11"/>
      <c r="F980" s="9"/>
      <c r="G980" s="9"/>
      <c r="H980" s="44" t="str">
        <f>IF(D980="","",IF(ISNUMBER(SEARCH(SETTINGS!$K$4,D980)),SETTINGS!$L$4,IF(ISNUMBER(SEARCH(SETTINGS!$K$5,D980)),SETTINGS!$L$5,IF(ISNUMBER(SEARCH(SETTINGS!$K$6,D980)),SETTINGS!$L$6,IF(ISNUMBER(SEARCH(SETTINGS!$K$7,D980)),SETTINGS!$L$7,IF(ISNUMBER(SEARCH(SETTINGS!$K$8,D980)),SETTINGS!$L$8,IF(ISNUMBER(SEARCH(SETTINGS!$K$9,D980)),SETTINGS!$L$9,IF(ISNUMBER(SEARCH(SETTINGS!$K$10,D980)),SETTINGS!$L$10,IF(ISNUMBER(SEARCH(SETTINGS!$K$11,D980)),SETTINGS!$L$11,IF(ISNUMBER(SEARCH(SETTINGS!$K$12,D980)),SETTINGS!$L$12,IF(ISNUMBER(SEARCH(SETTINGS!$K$13,D980)),SETTINGS!$L$13,IF(ISNUMBER(SEARCH(SETTINGS!$K$14,D980)),SETTINGS!$L$14,IF(ISNUMBER(SEARCH(SETTINGS!$K$15,D980)),SETTINGS!$L$15,IF(ISNUMBER(SEARCH(SETTINGS!$K$16,D980)),SETTINGS!$L$16,IF(ISNUMBER(SEARCH(SETTINGS!$K$17,D980)),SETTINGS!$L$17,IF(ISNUMBER(SEARCH(SETTINGS!$K$18,D980)),SETTINGS!$L$18,"Miscellaneous"))))))))))))))))</f>
        <v/>
      </c>
      <c r="I980" s="44" t="str">
        <f t="shared" si="120"/>
        <v/>
      </c>
      <c r="J980" s="9"/>
      <c r="K980" s="9"/>
      <c r="L980" s="9"/>
      <c r="M980" s="9"/>
      <c r="N980" s="9"/>
      <c r="O980" s="9"/>
      <c r="P980" s="13"/>
      <c r="Q980" s="9"/>
      <c r="R980" s="9"/>
      <c r="S980" s="9"/>
      <c r="T980" s="11"/>
      <c r="U980" s="44" t="str">
        <f t="shared" si="121"/>
        <v/>
      </c>
      <c r="V980" s="44" t="str">
        <f t="shared" si="122"/>
        <v/>
      </c>
      <c r="W980" s="44" t="str">
        <f t="shared" si="123"/>
        <v/>
      </c>
      <c r="X980" s="44" t="str">
        <f t="shared" si="124"/>
        <v/>
      </c>
      <c r="Y980" s="44" t="str">
        <f t="shared" si="125"/>
        <v/>
      </c>
      <c r="Z980" s="44" t="str">
        <f t="shared" si="126"/>
        <v/>
      </c>
      <c r="AA980" s="50" t="str">
        <f t="shared" si="127"/>
        <v/>
      </c>
      <c r="AB980" s="50" t="str">
        <f>IF(OR(B980="",C980&lt;&gt;"Expense"),"",IF(E980&gt;IFERROR(AVERAGEIFS($E$8:$E$1007,$I$8:$I$1007,I980,$C$8:$C$1007,"Expense")*SETTINGS!$B$20,0),"Unusually High","Normal"))</f>
        <v/>
      </c>
      <c r="AC980" s="51"/>
      <c r="AD980" s="51"/>
      <c r="AE980" s="51"/>
      <c r="AF980" s="50" t="str">
        <f>IF(A980&lt;&gt;"Yes","No",IF(AND(AC980="Yes",SETTINGS!$B$16="No"),"No","Yes"))</f>
        <v>No</v>
      </c>
      <c r="AG980" s="50" t="str">
        <f>IF(A980&lt;&gt;"Yes","",IF(OR(B980="",D980="",E980&lt;=0,F980="",I980=""),"Check Required Fields",IF(AA980="Possible Duplicate","Possible Duplicate",IF(E980&gt;SETTINGS!$B$22,"Review Extreme Value","OK"))))</f>
        <v/>
      </c>
    </row>
    <row r="981" spans="1:33" ht="14.4">
      <c r="A981" s="9"/>
      <c r="B981" s="13"/>
      <c r="C981" s="9"/>
      <c r="D981" s="9"/>
      <c r="E981" s="11"/>
      <c r="F981" s="9"/>
      <c r="G981" s="9"/>
      <c r="H981" s="44" t="str">
        <f>IF(D981="","",IF(ISNUMBER(SEARCH(SETTINGS!$K$4,D981)),SETTINGS!$L$4,IF(ISNUMBER(SEARCH(SETTINGS!$K$5,D981)),SETTINGS!$L$5,IF(ISNUMBER(SEARCH(SETTINGS!$K$6,D981)),SETTINGS!$L$6,IF(ISNUMBER(SEARCH(SETTINGS!$K$7,D981)),SETTINGS!$L$7,IF(ISNUMBER(SEARCH(SETTINGS!$K$8,D981)),SETTINGS!$L$8,IF(ISNUMBER(SEARCH(SETTINGS!$K$9,D981)),SETTINGS!$L$9,IF(ISNUMBER(SEARCH(SETTINGS!$K$10,D981)),SETTINGS!$L$10,IF(ISNUMBER(SEARCH(SETTINGS!$K$11,D981)),SETTINGS!$L$11,IF(ISNUMBER(SEARCH(SETTINGS!$K$12,D981)),SETTINGS!$L$12,IF(ISNUMBER(SEARCH(SETTINGS!$K$13,D981)),SETTINGS!$L$13,IF(ISNUMBER(SEARCH(SETTINGS!$K$14,D981)),SETTINGS!$L$14,IF(ISNUMBER(SEARCH(SETTINGS!$K$15,D981)),SETTINGS!$L$15,IF(ISNUMBER(SEARCH(SETTINGS!$K$16,D981)),SETTINGS!$L$16,IF(ISNUMBER(SEARCH(SETTINGS!$K$17,D981)),SETTINGS!$L$17,IF(ISNUMBER(SEARCH(SETTINGS!$K$18,D981)),SETTINGS!$L$18,"Miscellaneous"))))))))))))))))</f>
        <v/>
      </c>
      <c r="I981" s="44" t="str">
        <f t="shared" si="120"/>
        <v/>
      </c>
      <c r="J981" s="9"/>
      <c r="K981" s="9"/>
      <c r="L981" s="9"/>
      <c r="M981" s="9"/>
      <c r="N981" s="9"/>
      <c r="O981" s="9"/>
      <c r="P981" s="13"/>
      <c r="Q981" s="9"/>
      <c r="R981" s="9"/>
      <c r="S981" s="9"/>
      <c r="T981" s="11"/>
      <c r="U981" s="44" t="str">
        <f t="shared" si="121"/>
        <v/>
      </c>
      <c r="V981" s="44" t="str">
        <f t="shared" si="122"/>
        <v/>
      </c>
      <c r="W981" s="44" t="str">
        <f t="shared" si="123"/>
        <v/>
      </c>
      <c r="X981" s="44" t="str">
        <f t="shared" si="124"/>
        <v/>
      </c>
      <c r="Y981" s="44" t="str">
        <f t="shared" si="125"/>
        <v/>
      </c>
      <c r="Z981" s="44" t="str">
        <f t="shared" si="126"/>
        <v/>
      </c>
      <c r="AA981" s="50" t="str">
        <f t="shared" si="127"/>
        <v/>
      </c>
      <c r="AB981" s="50" t="str">
        <f>IF(OR(B981="",C981&lt;&gt;"Expense"),"",IF(E981&gt;IFERROR(AVERAGEIFS($E$8:$E$1007,$I$8:$I$1007,I981,$C$8:$C$1007,"Expense")*SETTINGS!$B$20,0),"Unusually High","Normal"))</f>
        <v/>
      </c>
      <c r="AC981" s="51"/>
      <c r="AD981" s="51"/>
      <c r="AE981" s="51"/>
      <c r="AF981" s="50" t="str">
        <f>IF(A981&lt;&gt;"Yes","No",IF(AND(AC981="Yes",SETTINGS!$B$16="No"),"No","Yes"))</f>
        <v>No</v>
      </c>
      <c r="AG981" s="50" t="str">
        <f>IF(A981&lt;&gt;"Yes","",IF(OR(B981="",D981="",E981&lt;=0,F981="",I981=""),"Check Required Fields",IF(AA981="Possible Duplicate","Possible Duplicate",IF(E981&gt;SETTINGS!$B$22,"Review Extreme Value","OK"))))</f>
        <v/>
      </c>
    </row>
    <row r="982" spans="1:33" ht="14.4">
      <c r="A982" s="9"/>
      <c r="B982" s="13"/>
      <c r="C982" s="9"/>
      <c r="D982" s="9"/>
      <c r="E982" s="11"/>
      <c r="F982" s="9"/>
      <c r="G982" s="9"/>
      <c r="H982" s="44" t="str">
        <f>IF(D982="","",IF(ISNUMBER(SEARCH(SETTINGS!$K$4,D982)),SETTINGS!$L$4,IF(ISNUMBER(SEARCH(SETTINGS!$K$5,D982)),SETTINGS!$L$5,IF(ISNUMBER(SEARCH(SETTINGS!$K$6,D982)),SETTINGS!$L$6,IF(ISNUMBER(SEARCH(SETTINGS!$K$7,D982)),SETTINGS!$L$7,IF(ISNUMBER(SEARCH(SETTINGS!$K$8,D982)),SETTINGS!$L$8,IF(ISNUMBER(SEARCH(SETTINGS!$K$9,D982)),SETTINGS!$L$9,IF(ISNUMBER(SEARCH(SETTINGS!$K$10,D982)),SETTINGS!$L$10,IF(ISNUMBER(SEARCH(SETTINGS!$K$11,D982)),SETTINGS!$L$11,IF(ISNUMBER(SEARCH(SETTINGS!$K$12,D982)),SETTINGS!$L$12,IF(ISNUMBER(SEARCH(SETTINGS!$K$13,D982)),SETTINGS!$L$13,IF(ISNUMBER(SEARCH(SETTINGS!$K$14,D982)),SETTINGS!$L$14,IF(ISNUMBER(SEARCH(SETTINGS!$K$15,D982)),SETTINGS!$L$15,IF(ISNUMBER(SEARCH(SETTINGS!$K$16,D982)),SETTINGS!$L$16,IF(ISNUMBER(SEARCH(SETTINGS!$K$17,D982)),SETTINGS!$L$17,IF(ISNUMBER(SEARCH(SETTINGS!$K$18,D982)),SETTINGS!$L$18,"Miscellaneous"))))))))))))))))</f>
        <v/>
      </c>
      <c r="I982" s="44" t="str">
        <f t="shared" si="120"/>
        <v/>
      </c>
      <c r="J982" s="9"/>
      <c r="K982" s="9"/>
      <c r="L982" s="9"/>
      <c r="M982" s="9"/>
      <c r="N982" s="9"/>
      <c r="O982" s="9"/>
      <c r="P982" s="13"/>
      <c r="Q982" s="9"/>
      <c r="R982" s="9"/>
      <c r="S982" s="9"/>
      <c r="T982" s="11"/>
      <c r="U982" s="44" t="str">
        <f t="shared" si="121"/>
        <v/>
      </c>
      <c r="V982" s="44" t="str">
        <f t="shared" si="122"/>
        <v/>
      </c>
      <c r="W982" s="44" t="str">
        <f t="shared" si="123"/>
        <v/>
      </c>
      <c r="X982" s="44" t="str">
        <f t="shared" si="124"/>
        <v/>
      </c>
      <c r="Y982" s="44" t="str">
        <f t="shared" si="125"/>
        <v/>
      </c>
      <c r="Z982" s="44" t="str">
        <f t="shared" si="126"/>
        <v/>
      </c>
      <c r="AA982" s="50" t="str">
        <f t="shared" si="127"/>
        <v/>
      </c>
      <c r="AB982" s="50" t="str">
        <f>IF(OR(B982="",C982&lt;&gt;"Expense"),"",IF(E982&gt;IFERROR(AVERAGEIFS($E$8:$E$1007,$I$8:$I$1007,I982,$C$8:$C$1007,"Expense")*SETTINGS!$B$20,0),"Unusually High","Normal"))</f>
        <v/>
      </c>
      <c r="AC982" s="51"/>
      <c r="AD982" s="51"/>
      <c r="AE982" s="51"/>
      <c r="AF982" s="50" t="str">
        <f>IF(A982&lt;&gt;"Yes","No",IF(AND(AC982="Yes",SETTINGS!$B$16="No"),"No","Yes"))</f>
        <v>No</v>
      </c>
      <c r="AG982" s="50" t="str">
        <f>IF(A982&lt;&gt;"Yes","",IF(OR(B982="",D982="",E982&lt;=0,F982="",I982=""),"Check Required Fields",IF(AA982="Possible Duplicate","Possible Duplicate",IF(E982&gt;SETTINGS!$B$22,"Review Extreme Value","OK"))))</f>
        <v/>
      </c>
    </row>
    <row r="983" spans="1:33" ht="14.4">
      <c r="A983" s="9"/>
      <c r="B983" s="13"/>
      <c r="C983" s="9"/>
      <c r="D983" s="9"/>
      <c r="E983" s="11"/>
      <c r="F983" s="9"/>
      <c r="G983" s="9"/>
      <c r="H983" s="44" t="str">
        <f>IF(D983="","",IF(ISNUMBER(SEARCH(SETTINGS!$K$4,D983)),SETTINGS!$L$4,IF(ISNUMBER(SEARCH(SETTINGS!$K$5,D983)),SETTINGS!$L$5,IF(ISNUMBER(SEARCH(SETTINGS!$K$6,D983)),SETTINGS!$L$6,IF(ISNUMBER(SEARCH(SETTINGS!$K$7,D983)),SETTINGS!$L$7,IF(ISNUMBER(SEARCH(SETTINGS!$K$8,D983)),SETTINGS!$L$8,IF(ISNUMBER(SEARCH(SETTINGS!$K$9,D983)),SETTINGS!$L$9,IF(ISNUMBER(SEARCH(SETTINGS!$K$10,D983)),SETTINGS!$L$10,IF(ISNUMBER(SEARCH(SETTINGS!$K$11,D983)),SETTINGS!$L$11,IF(ISNUMBER(SEARCH(SETTINGS!$K$12,D983)),SETTINGS!$L$12,IF(ISNUMBER(SEARCH(SETTINGS!$K$13,D983)),SETTINGS!$L$13,IF(ISNUMBER(SEARCH(SETTINGS!$K$14,D983)),SETTINGS!$L$14,IF(ISNUMBER(SEARCH(SETTINGS!$K$15,D983)),SETTINGS!$L$15,IF(ISNUMBER(SEARCH(SETTINGS!$K$16,D983)),SETTINGS!$L$16,IF(ISNUMBER(SEARCH(SETTINGS!$K$17,D983)),SETTINGS!$L$17,IF(ISNUMBER(SEARCH(SETTINGS!$K$18,D983)),SETTINGS!$L$18,"Miscellaneous"))))))))))))))))</f>
        <v/>
      </c>
      <c r="I983" s="44" t="str">
        <f t="shared" si="120"/>
        <v/>
      </c>
      <c r="J983" s="9"/>
      <c r="K983" s="9"/>
      <c r="L983" s="9"/>
      <c r="M983" s="9"/>
      <c r="N983" s="9"/>
      <c r="O983" s="9"/>
      <c r="P983" s="13"/>
      <c r="Q983" s="9"/>
      <c r="R983" s="9"/>
      <c r="S983" s="9"/>
      <c r="T983" s="11"/>
      <c r="U983" s="44" t="str">
        <f t="shared" si="121"/>
        <v/>
      </c>
      <c r="V983" s="44" t="str">
        <f t="shared" si="122"/>
        <v/>
      </c>
      <c r="W983" s="44" t="str">
        <f t="shared" si="123"/>
        <v/>
      </c>
      <c r="X983" s="44" t="str">
        <f t="shared" si="124"/>
        <v/>
      </c>
      <c r="Y983" s="44" t="str">
        <f t="shared" si="125"/>
        <v/>
      </c>
      <c r="Z983" s="44" t="str">
        <f t="shared" si="126"/>
        <v/>
      </c>
      <c r="AA983" s="50" t="str">
        <f t="shared" si="127"/>
        <v/>
      </c>
      <c r="AB983" s="50" t="str">
        <f>IF(OR(B983="",C983&lt;&gt;"Expense"),"",IF(E983&gt;IFERROR(AVERAGEIFS($E$8:$E$1007,$I$8:$I$1007,I983,$C$8:$C$1007,"Expense")*SETTINGS!$B$20,0),"Unusually High","Normal"))</f>
        <v/>
      </c>
      <c r="AC983" s="51"/>
      <c r="AD983" s="51"/>
      <c r="AE983" s="51"/>
      <c r="AF983" s="50" t="str">
        <f>IF(A983&lt;&gt;"Yes","No",IF(AND(AC983="Yes",SETTINGS!$B$16="No"),"No","Yes"))</f>
        <v>No</v>
      </c>
      <c r="AG983" s="50" t="str">
        <f>IF(A983&lt;&gt;"Yes","",IF(OR(B983="",D983="",E983&lt;=0,F983="",I983=""),"Check Required Fields",IF(AA983="Possible Duplicate","Possible Duplicate",IF(E983&gt;SETTINGS!$B$22,"Review Extreme Value","OK"))))</f>
        <v/>
      </c>
    </row>
    <row r="984" spans="1:33" ht="14.4">
      <c r="A984" s="9"/>
      <c r="B984" s="13"/>
      <c r="C984" s="9"/>
      <c r="D984" s="9"/>
      <c r="E984" s="11"/>
      <c r="F984" s="9"/>
      <c r="G984" s="9"/>
      <c r="H984" s="44" t="str">
        <f>IF(D984="","",IF(ISNUMBER(SEARCH(SETTINGS!$K$4,D984)),SETTINGS!$L$4,IF(ISNUMBER(SEARCH(SETTINGS!$K$5,D984)),SETTINGS!$L$5,IF(ISNUMBER(SEARCH(SETTINGS!$K$6,D984)),SETTINGS!$L$6,IF(ISNUMBER(SEARCH(SETTINGS!$K$7,D984)),SETTINGS!$L$7,IF(ISNUMBER(SEARCH(SETTINGS!$K$8,D984)),SETTINGS!$L$8,IF(ISNUMBER(SEARCH(SETTINGS!$K$9,D984)),SETTINGS!$L$9,IF(ISNUMBER(SEARCH(SETTINGS!$K$10,D984)),SETTINGS!$L$10,IF(ISNUMBER(SEARCH(SETTINGS!$K$11,D984)),SETTINGS!$L$11,IF(ISNUMBER(SEARCH(SETTINGS!$K$12,D984)),SETTINGS!$L$12,IF(ISNUMBER(SEARCH(SETTINGS!$K$13,D984)),SETTINGS!$L$13,IF(ISNUMBER(SEARCH(SETTINGS!$K$14,D984)),SETTINGS!$L$14,IF(ISNUMBER(SEARCH(SETTINGS!$K$15,D984)),SETTINGS!$L$15,IF(ISNUMBER(SEARCH(SETTINGS!$K$16,D984)),SETTINGS!$L$16,IF(ISNUMBER(SEARCH(SETTINGS!$K$17,D984)),SETTINGS!$L$17,IF(ISNUMBER(SEARCH(SETTINGS!$K$18,D984)),SETTINGS!$L$18,"Miscellaneous"))))))))))))))))</f>
        <v/>
      </c>
      <c r="I984" s="44" t="str">
        <f t="shared" si="120"/>
        <v/>
      </c>
      <c r="J984" s="9"/>
      <c r="K984" s="9"/>
      <c r="L984" s="9"/>
      <c r="M984" s="9"/>
      <c r="N984" s="9"/>
      <c r="O984" s="9"/>
      <c r="P984" s="13"/>
      <c r="Q984" s="9"/>
      <c r="R984" s="9"/>
      <c r="S984" s="9"/>
      <c r="T984" s="11"/>
      <c r="U984" s="44" t="str">
        <f t="shared" si="121"/>
        <v/>
      </c>
      <c r="V984" s="44" t="str">
        <f t="shared" si="122"/>
        <v/>
      </c>
      <c r="W984" s="44" t="str">
        <f t="shared" si="123"/>
        <v/>
      </c>
      <c r="X984" s="44" t="str">
        <f t="shared" si="124"/>
        <v/>
      </c>
      <c r="Y984" s="44" t="str">
        <f t="shared" si="125"/>
        <v/>
      </c>
      <c r="Z984" s="44" t="str">
        <f t="shared" si="126"/>
        <v/>
      </c>
      <c r="AA984" s="50" t="str">
        <f t="shared" si="127"/>
        <v/>
      </c>
      <c r="AB984" s="50" t="str">
        <f>IF(OR(B984="",C984&lt;&gt;"Expense"),"",IF(E984&gt;IFERROR(AVERAGEIFS($E$8:$E$1007,$I$8:$I$1007,I984,$C$8:$C$1007,"Expense")*SETTINGS!$B$20,0),"Unusually High","Normal"))</f>
        <v/>
      </c>
      <c r="AC984" s="51"/>
      <c r="AD984" s="51"/>
      <c r="AE984" s="51"/>
      <c r="AF984" s="50" t="str">
        <f>IF(A984&lt;&gt;"Yes","No",IF(AND(AC984="Yes",SETTINGS!$B$16="No"),"No","Yes"))</f>
        <v>No</v>
      </c>
      <c r="AG984" s="50" t="str">
        <f>IF(A984&lt;&gt;"Yes","",IF(OR(B984="",D984="",E984&lt;=0,F984="",I984=""),"Check Required Fields",IF(AA984="Possible Duplicate","Possible Duplicate",IF(E984&gt;SETTINGS!$B$22,"Review Extreme Value","OK"))))</f>
        <v/>
      </c>
    </row>
    <row r="985" spans="1:33" ht="14.4">
      <c r="A985" s="9"/>
      <c r="B985" s="13"/>
      <c r="C985" s="9"/>
      <c r="D985" s="9"/>
      <c r="E985" s="11"/>
      <c r="F985" s="9"/>
      <c r="G985" s="9"/>
      <c r="H985" s="44" t="str">
        <f>IF(D985="","",IF(ISNUMBER(SEARCH(SETTINGS!$K$4,D985)),SETTINGS!$L$4,IF(ISNUMBER(SEARCH(SETTINGS!$K$5,D985)),SETTINGS!$L$5,IF(ISNUMBER(SEARCH(SETTINGS!$K$6,D985)),SETTINGS!$L$6,IF(ISNUMBER(SEARCH(SETTINGS!$K$7,D985)),SETTINGS!$L$7,IF(ISNUMBER(SEARCH(SETTINGS!$K$8,D985)),SETTINGS!$L$8,IF(ISNUMBER(SEARCH(SETTINGS!$K$9,D985)),SETTINGS!$L$9,IF(ISNUMBER(SEARCH(SETTINGS!$K$10,D985)),SETTINGS!$L$10,IF(ISNUMBER(SEARCH(SETTINGS!$K$11,D985)),SETTINGS!$L$11,IF(ISNUMBER(SEARCH(SETTINGS!$K$12,D985)),SETTINGS!$L$12,IF(ISNUMBER(SEARCH(SETTINGS!$K$13,D985)),SETTINGS!$L$13,IF(ISNUMBER(SEARCH(SETTINGS!$K$14,D985)),SETTINGS!$L$14,IF(ISNUMBER(SEARCH(SETTINGS!$K$15,D985)),SETTINGS!$L$15,IF(ISNUMBER(SEARCH(SETTINGS!$K$16,D985)),SETTINGS!$L$16,IF(ISNUMBER(SEARCH(SETTINGS!$K$17,D985)),SETTINGS!$L$17,IF(ISNUMBER(SEARCH(SETTINGS!$K$18,D985)),SETTINGS!$L$18,"Miscellaneous"))))))))))))))))</f>
        <v/>
      </c>
      <c r="I985" s="44" t="str">
        <f t="shared" si="120"/>
        <v/>
      </c>
      <c r="J985" s="9"/>
      <c r="K985" s="9"/>
      <c r="L985" s="9"/>
      <c r="M985" s="9"/>
      <c r="N985" s="9"/>
      <c r="O985" s="9"/>
      <c r="P985" s="13"/>
      <c r="Q985" s="9"/>
      <c r="R985" s="9"/>
      <c r="S985" s="9"/>
      <c r="T985" s="11"/>
      <c r="U985" s="44" t="str">
        <f t="shared" si="121"/>
        <v/>
      </c>
      <c r="V985" s="44" t="str">
        <f t="shared" si="122"/>
        <v/>
      </c>
      <c r="W985" s="44" t="str">
        <f t="shared" si="123"/>
        <v/>
      </c>
      <c r="X985" s="44" t="str">
        <f t="shared" si="124"/>
        <v/>
      </c>
      <c r="Y985" s="44" t="str">
        <f t="shared" si="125"/>
        <v/>
      </c>
      <c r="Z985" s="44" t="str">
        <f t="shared" si="126"/>
        <v/>
      </c>
      <c r="AA985" s="50" t="str">
        <f t="shared" si="127"/>
        <v/>
      </c>
      <c r="AB985" s="50" t="str">
        <f>IF(OR(B985="",C985&lt;&gt;"Expense"),"",IF(E985&gt;IFERROR(AVERAGEIFS($E$8:$E$1007,$I$8:$I$1007,I985,$C$8:$C$1007,"Expense")*SETTINGS!$B$20,0),"Unusually High","Normal"))</f>
        <v/>
      </c>
      <c r="AC985" s="51"/>
      <c r="AD985" s="51"/>
      <c r="AE985" s="51"/>
      <c r="AF985" s="50" t="str">
        <f>IF(A985&lt;&gt;"Yes","No",IF(AND(AC985="Yes",SETTINGS!$B$16="No"),"No","Yes"))</f>
        <v>No</v>
      </c>
      <c r="AG985" s="50" t="str">
        <f>IF(A985&lt;&gt;"Yes","",IF(OR(B985="",D985="",E985&lt;=0,F985="",I985=""),"Check Required Fields",IF(AA985="Possible Duplicate","Possible Duplicate",IF(E985&gt;SETTINGS!$B$22,"Review Extreme Value","OK"))))</f>
        <v/>
      </c>
    </row>
    <row r="986" spans="1:33" ht="14.4">
      <c r="A986" s="9"/>
      <c r="B986" s="13"/>
      <c r="C986" s="9"/>
      <c r="D986" s="9"/>
      <c r="E986" s="11"/>
      <c r="F986" s="9"/>
      <c r="G986" s="9"/>
      <c r="H986" s="44" t="str">
        <f>IF(D986="","",IF(ISNUMBER(SEARCH(SETTINGS!$K$4,D986)),SETTINGS!$L$4,IF(ISNUMBER(SEARCH(SETTINGS!$K$5,D986)),SETTINGS!$L$5,IF(ISNUMBER(SEARCH(SETTINGS!$K$6,D986)),SETTINGS!$L$6,IF(ISNUMBER(SEARCH(SETTINGS!$K$7,D986)),SETTINGS!$L$7,IF(ISNUMBER(SEARCH(SETTINGS!$K$8,D986)),SETTINGS!$L$8,IF(ISNUMBER(SEARCH(SETTINGS!$K$9,D986)),SETTINGS!$L$9,IF(ISNUMBER(SEARCH(SETTINGS!$K$10,D986)),SETTINGS!$L$10,IF(ISNUMBER(SEARCH(SETTINGS!$K$11,D986)),SETTINGS!$L$11,IF(ISNUMBER(SEARCH(SETTINGS!$K$12,D986)),SETTINGS!$L$12,IF(ISNUMBER(SEARCH(SETTINGS!$K$13,D986)),SETTINGS!$L$13,IF(ISNUMBER(SEARCH(SETTINGS!$K$14,D986)),SETTINGS!$L$14,IF(ISNUMBER(SEARCH(SETTINGS!$K$15,D986)),SETTINGS!$L$15,IF(ISNUMBER(SEARCH(SETTINGS!$K$16,D986)),SETTINGS!$L$16,IF(ISNUMBER(SEARCH(SETTINGS!$K$17,D986)),SETTINGS!$L$17,IF(ISNUMBER(SEARCH(SETTINGS!$K$18,D986)),SETTINGS!$L$18,"Miscellaneous"))))))))))))))))</f>
        <v/>
      </c>
      <c r="I986" s="44" t="str">
        <f t="shared" si="120"/>
        <v/>
      </c>
      <c r="J986" s="9"/>
      <c r="K986" s="9"/>
      <c r="L986" s="9"/>
      <c r="M986" s="9"/>
      <c r="N986" s="9"/>
      <c r="O986" s="9"/>
      <c r="P986" s="13"/>
      <c r="Q986" s="9"/>
      <c r="R986" s="9"/>
      <c r="S986" s="9"/>
      <c r="T986" s="11"/>
      <c r="U986" s="44" t="str">
        <f t="shared" si="121"/>
        <v/>
      </c>
      <c r="V986" s="44" t="str">
        <f t="shared" si="122"/>
        <v/>
      </c>
      <c r="W986" s="44" t="str">
        <f t="shared" si="123"/>
        <v/>
      </c>
      <c r="X986" s="44" t="str">
        <f t="shared" si="124"/>
        <v/>
      </c>
      <c r="Y986" s="44" t="str">
        <f t="shared" si="125"/>
        <v/>
      </c>
      <c r="Z986" s="44" t="str">
        <f t="shared" si="126"/>
        <v/>
      </c>
      <c r="AA986" s="50" t="str">
        <f t="shared" si="127"/>
        <v/>
      </c>
      <c r="AB986" s="50" t="str">
        <f>IF(OR(B986="",C986&lt;&gt;"Expense"),"",IF(E986&gt;IFERROR(AVERAGEIFS($E$8:$E$1007,$I$8:$I$1007,I986,$C$8:$C$1007,"Expense")*SETTINGS!$B$20,0),"Unusually High","Normal"))</f>
        <v/>
      </c>
      <c r="AC986" s="51"/>
      <c r="AD986" s="51"/>
      <c r="AE986" s="51"/>
      <c r="AF986" s="50" t="str">
        <f>IF(A986&lt;&gt;"Yes","No",IF(AND(AC986="Yes",SETTINGS!$B$16="No"),"No","Yes"))</f>
        <v>No</v>
      </c>
      <c r="AG986" s="50" t="str">
        <f>IF(A986&lt;&gt;"Yes","",IF(OR(B986="",D986="",E986&lt;=0,F986="",I986=""),"Check Required Fields",IF(AA986="Possible Duplicate","Possible Duplicate",IF(E986&gt;SETTINGS!$B$22,"Review Extreme Value","OK"))))</f>
        <v/>
      </c>
    </row>
    <row r="987" spans="1:33" ht="14.4">
      <c r="A987" s="9"/>
      <c r="B987" s="13"/>
      <c r="C987" s="9"/>
      <c r="D987" s="9"/>
      <c r="E987" s="11"/>
      <c r="F987" s="9"/>
      <c r="G987" s="9"/>
      <c r="H987" s="44" t="str">
        <f>IF(D987="","",IF(ISNUMBER(SEARCH(SETTINGS!$K$4,D987)),SETTINGS!$L$4,IF(ISNUMBER(SEARCH(SETTINGS!$K$5,D987)),SETTINGS!$L$5,IF(ISNUMBER(SEARCH(SETTINGS!$K$6,D987)),SETTINGS!$L$6,IF(ISNUMBER(SEARCH(SETTINGS!$K$7,D987)),SETTINGS!$L$7,IF(ISNUMBER(SEARCH(SETTINGS!$K$8,D987)),SETTINGS!$L$8,IF(ISNUMBER(SEARCH(SETTINGS!$K$9,D987)),SETTINGS!$L$9,IF(ISNUMBER(SEARCH(SETTINGS!$K$10,D987)),SETTINGS!$L$10,IF(ISNUMBER(SEARCH(SETTINGS!$K$11,D987)),SETTINGS!$L$11,IF(ISNUMBER(SEARCH(SETTINGS!$K$12,D987)),SETTINGS!$L$12,IF(ISNUMBER(SEARCH(SETTINGS!$K$13,D987)),SETTINGS!$L$13,IF(ISNUMBER(SEARCH(SETTINGS!$K$14,D987)),SETTINGS!$L$14,IF(ISNUMBER(SEARCH(SETTINGS!$K$15,D987)),SETTINGS!$L$15,IF(ISNUMBER(SEARCH(SETTINGS!$K$16,D987)),SETTINGS!$L$16,IF(ISNUMBER(SEARCH(SETTINGS!$K$17,D987)),SETTINGS!$L$17,IF(ISNUMBER(SEARCH(SETTINGS!$K$18,D987)),SETTINGS!$L$18,"Miscellaneous"))))))))))))))))</f>
        <v/>
      </c>
      <c r="I987" s="44" t="str">
        <f t="shared" si="120"/>
        <v/>
      </c>
      <c r="J987" s="9"/>
      <c r="K987" s="9"/>
      <c r="L987" s="9"/>
      <c r="M987" s="9"/>
      <c r="N987" s="9"/>
      <c r="O987" s="9"/>
      <c r="P987" s="13"/>
      <c r="Q987" s="9"/>
      <c r="R987" s="9"/>
      <c r="S987" s="9"/>
      <c r="T987" s="11"/>
      <c r="U987" s="44" t="str">
        <f t="shared" si="121"/>
        <v/>
      </c>
      <c r="V987" s="44" t="str">
        <f t="shared" si="122"/>
        <v/>
      </c>
      <c r="W987" s="44" t="str">
        <f t="shared" si="123"/>
        <v/>
      </c>
      <c r="X987" s="44" t="str">
        <f t="shared" si="124"/>
        <v/>
      </c>
      <c r="Y987" s="44" t="str">
        <f t="shared" si="125"/>
        <v/>
      </c>
      <c r="Z987" s="44" t="str">
        <f t="shared" si="126"/>
        <v/>
      </c>
      <c r="AA987" s="50" t="str">
        <f t="shared" si="127"/>
        <v/>
      </c>
      <c r="AB987" s="50" t="str">
        <f>IF(OR(B987="",C987&lt;&gt;"Expense"),"",IF(E987&gt;IFERROR(AVERAGEIFS($E$8:$E$1007,$I$8:$I$1007,I987,$C$8:$C$1007,"Expense")*SETTINGS!$B$20,0),"Unusually High","Normal"))</f>
        <v/>
      </c>
      <c r="AC987" s="51"/>
      <c r="AD987" s="51"/>
      <c r="AE987" s="51"/>
      <c r="AF987" s="50" t="str">
        <f>IF(A987&lt;&gt;"Yes","No",IF(AND(AC987="Yes",SETTINGS!$B$16="No"),"No","Yes"))</f>
        <v>No</v>
      </c>
      <c r="AG987" s="50" t="str">
        <f>IF(A987&lt;&gt;"Yes","",IF(OR(B987="",D987="",E987&lt;=0,F987="",I987=""),"Check Required Fields",IF(AA987="Possible Duplicate","Possible Duplicate",IF(E987&gt;SETTINGS!$B$22,"Review Extreme Value","OK"))))</f>
        <v/>
      </c>
    </row>
    <row r="988" spans="1:33" ht="14.4">
      <c r="A988" s="9"/>
      <c r="B988" s="13"/>
      <c r="C988" s="9"/>
      <c r="D988" s="9"/>
      <c r="E988" s="11"/>
      <c r="F988" s="9"/>
      <c r="G988" s="9"/>
      <c r="H988" s="44" t="str">
        <f>IF(D988="","",IF(ISNUMBER(SEARCH(SETTINGS!$K$4,D988)),SETTINGS!$L$4,IF(ISNUMBER(SEARCH(SETTINGS!$K$5,D988)),SETTINGS!$L$5,IF(ISNUMBER(SEARCH(SETTINGS!$K$6,D988)),SETTINGS!$L$6,IF(ISNUMBER(SEARCH(SETTINGS!$K$7,D988)),SETTINGS!$L$7,IF(ISNUMBER(SEARCH(SETTINGS!$K$8,D988)),SETTINGS!$L$8,IF(ISNUMBER(SEARCH(SETTINGS!$K$9,D988)),SETTINGS!$L$9,IF(ISNUMBER(SEARCH(SETTINGS!$K$10,D988)),SETTINGS!$L$10,IF(ISNUMBER(SEARCH(SETTINGS!$K$11,D988)),SETTINGS!$L$11,IF(ISNUMBER(SEARCH(SETTINGS!$K$12,D988)),SETTINGS!$L$12,IF(ISNUMBER(SEARCH(SETTINGS!$K$13,D988)),SETTINGS!$L$13,IF(ISNUMBER(SEARCH(SETTINGS!$K$14,D988)),SETTINGS!$L$14,IF(ISNUMBER(SEARCH(SETTINGS!$K$15,D988)),SETTINGS!$L$15,IF(ISNUMBER(SEARCH(SETTINGS!$K$16,D988)),SETTINGS!$L$16,IF(ISNUMBER(SEARCH(SETTINGS!$K$17,D988)),SETTINGS!$L$17,IF(ISNUMBER(SEARCH(SETTINGS!$K$18,D988)),SETTINGS!$L$18,"Miscellaneous"))))))))))))))))</f>
        <v/>
      </c>
      <c r="I988" s="44" t="str">
        <f t="shared" si="120"/>
        <v/>
      </c>
      <c r="J988" s="9"/>
      <c r="K988" s="9"/>
      <c r="L988" s="9"/>
      <c r="M988" s="9"/>
      <c r="N988" s="9"/>
      <c r="O988" s="9"/>
      <c r="P988" s="13"/>
      <c r="Q988" s="9"/>
      <c r="R988" s="9"/>
      <c r="S988" s="9"/>
      <c r="T988" s="11"/>
      <c r="U988" s="44" t="str">
        <f t="shared" si="121"/>
        <v/>
      </c>
      <c r="V988" s="44" t="str">
        <f t="shared" si="122"/>
        <v/>
      </c>
      <c r="W988" s="44" t="str">
        <f t="shared" si="123"/>
        <v/>
      </c>
      <c r="X988" s="44" t="str">
        <f t="shared" si="124"/>
        <v/>
      </c>
      <c r="Y988" s="44" t="str">
        <f t="shared" si="125"/>
        <v/>
      </c>
      <c r="Z988" s="44" t="str">
        <f t="shared" si="126"/>
        <v/>
      </c>
      <c r="AA988" s="50" t="str">
        <f t="shared" si="127"/>
        <v/>
      </c>
      <c r="AB988" s="50" t="str">
        <f>IF(OR(B988="",C988&lt;&gt;"Expense"),"",IF(E988&gt;IFERROR(AVERAGEIFS($E$8:$E$1007,$I$8:$I$1007,I988,$C$8:$C$1007,"Expense")*SETTINGS!$B$20,0),"Unusually High","Normal"))</f>
        <v/>
      </c>
      <c r="AC988" s="51"/>
      <c r="AD988" s="51"/>
      <c r="AE988" s="51"/>
      <c r="AF988" s="50" t="str">
        <f>IF(A988&lt;&gt;"Yes","No",IF(AND(AC988="Yes",SETTINGS!$B$16="No"),"No","Yes"))</f>
        <v>No</v>
      </c>
      <c r="AG988" s="50" t="str">
        <f>IF(A988&lt;&gt;"Yes","",IF(OR(B988="",D988="",E988&lt;=0,F988="",I988=""),"Check Required Fields",IF(AA988="Possible Duplicate","Possible Duplicate",IF(E988&gt;SETTINGS!$B$22,"Review Extreme Value","OK"))))</f>
        <v/>
      </c>
    </row>
    <row r="989" spans="1:33" ht="14.4">
      <c r="A989" s="9"/>
      <c r="B989" s="13"/>
      <c r="C989" s="9"/>
      <c r="D989" s="9"/>
      <c r="E989" s="11"/>
      <c r="F989" s="9"/>
      <c r="G989" s="9"/>
      <c r="H989" s="44" t="str">
        <f>IF(D989="","",IF(ISNUMBER(SEARCH(SETTINGS!$K$4,D989)),SETTINGS!$L$4,IF(ISNUMBER(SEARCH(SETTINGS!$K$5,D989)),SETTINGS!$L$5,IF(ISNUMBER(SEARCH(SETTINGS!$K$6,D989)),SETTINGS!$L$6,IF(ISNUMBER(SEARCH(SETTINGS!$K$7,D989)),SETTINGS!$L$7,IF(ISNUMBER(SEARCH(SETTINGS!$K$8,D989)),SETTINGS!$L$8,IF(ISNUMBER(SEARCH(SETTINGS!$K$9,D989)),SETTINGS!$L$9,IF(ISNUMBER(SEARCH(SETTINGS!$K$10,D989)),SETTINGS!$L$10,IF(ISNUMBER(SEARCH(SETTINGS!$K$11,D989)),SETTINGS!$L$11,IF(ISNUMBER(SEARCH(SETTINGS!$K$12,D989)),SETTINGS!$L$12,IF(ISNUMBER(SEARCH(SETTINGS!$K$13,D989)),SETTINGS!$L$13,IF(ISNUMBER(SEARCH(SETTINGS!$K$14,D989)),SETTINGS!$L$14,IF(ISNUMBER(SEARCH(SETTINGS!$K$15,D989)),SETTINGS!$L$15,IF(ISNUMBER(SEARCH(SETTINGS!$K$16,D989)),SETTINGS!$L$16,IF(ISNUMBER(SEARCH(SETTINGS!$K$17,D989)),SETTINGS!$L$17,IF(ISNUMBER(SEARCH(SETTINGS!$K$18,D989)),SETTINGS!$L$18,"Miscellaneous"))))))))))))))))</f>
        <v/>
      </c>
      <c r="I989" s="44" t="str">
        <f t="shared" si="120"/>
        <v/>
      </c>
      <c r="J989" s="9"/>
      <c r="K989" s="9"/>
      <c r="L989" s="9"/>
      <c r="M989" s="9"/>
      <c r="N989" s="9"/>
      <c r="O989" s="9"/>
      <c r="P989" s="13"/>
      <c r="Q989" s="9"/>
      <c r="R989" s="9"/>
      <c r="S989" s="9"/>
      <c r="T989" s="11"/>
      <c r="U989" s="44" t="str">
        <f t="shared" si="121"/>
        <v/>
      </c>
      <c r="V989" s="44" t="str">
        <f t="shared" si="122"/>
        <v/>
      </c>
      <c r="W989" s="44" t="str">
        <f t="shared" si="123"/>
        <v/>
      </c>
      <c r="X989" s="44" t="str">
        <f t="shared" si="124"/>
        <v/>
      </c>
      <c r="Y989" s="44" t="str">
        <f t="shared" si="125"/>
        <v/>
      </c>
      <c r="Z989" s="44" t="str">
        <f t="shared" si="126"/>
        <v/>
      </c>
      <c r="AA989" s="50" t="str">
        <f t="shared" si="127"/>
        <v/>
      </c>
      <c r="AB989" s="50" t="str">
        <f>IF(OR(B989="",C989&lt;&gt;"Expense"),"",IF(E989&gt;IFERROR(AVERAGEIFS($E$8:$E$1007,$I$8:$I$1007,I989,$C$8:$C$1007,"Expense")*SETTINGS!$B$20,0),"Unusually High","Normal"))</f>
        <v/>
      </c>
      <c r="AC989" s="51"/>
      <c r="AD989" s="51"/>
      <c r="AE989" s="51"/>
      <c r="AF989" s="50" t="str">
        <f>IF(A989&lt;&gt;"Yes","No",IF(AND(AC989="Yes",SETTINGS!$B$16="No"),"No","Yes"))</f>
        <v>No</v>
      </c>
      <c r="AG989" s="50" t="str">
        <f>IF(A989&lt;&gt;"Yes","",IF(OR(B989="",D989="",E989&lt;=0,F989="",I989=""),"Check Required Fields",IF(AA989="Possible Duplicate","Possible Duplicate",IF(E989&gt;SETTINGS!$B$22,"Review Extreme Value","OK"))))</f>
        <v/>
      </c>
    </row>
    <row r="990" spans="1:33" ht="14.4">
      <c r="A990" s="9"/>
      <c r="B990" s="13"/>
      <c r="C990" s="9"/>
      <c r="D990" s="9"/>
      <c r="E990" s="11"/>
      <c r="F990" s="9"/>
      <c r="G990" s="9"/>
      <c r="H990" s="44" t="str">
        <f>IF(D990="","",IF(ISNUMBER(SEARCH(SETTINGS!$K$4,D990)),SETTINGS!$L$4,IF(ISNUMBER(SEARCH(SETTINGS!$K$5,D990)),SETTINGS!$L$5,IF(ISNUMBER(SEARCH(SETTINGS!$K$6,D990)),SETTINGS!$L$6,IF(ISNUMBER(SEARCH(SETTINGS!$K$7,D990)),SETTINGS!$L$7,IF(ISNUMBER(SEARCH(SETTINGS!$K$8,D990)),SETTINGS!$L$8,IF(ISNUMBER(SEARCH(SETTINGS!$K$9,D990)),SETTINGS!$L$9,IF(ISNUMBER(SEARCH(SETTINGS!$K$10,D990)),SETTINGS!$L$10,IF(ISNUMBER(SEARCH(SETTINGS!$K$11,D990)),SETTINGS!$L$11,IF(ISNUMBER(SEARCH(SETTINGS!$K$12,D990)),SETTINGS!$L$12,IF(ISNUMBER(SEARCH(SETTINGS!$K$13,D990)),SETTINGS!$L$13,IF(ISNUMBER(SEARCH(SETTINGS!$K$14,D990)),SETTINGS!$L$14,IF(ISNUMBER(SEARCH(SETTINGS!$K$15,D990)),SETTINGS!$L$15,IF(ISNUMBER(SEARCH(SETTINGS!$K$16,D990)),SETTINGS!$L$16,IF(ISNUMBER(SEARCH(SETTINGS!$K$17,D990)),SETTINGS!$L$17,IF(ISNUMBER(SEARCH(SETTINGS!$K$18,D990)),SETTINGS!$L$18,"Miscellaneous"))))))))))))))))</f>
        <v/>
      </c>
      <c r="I990" s="44" t="str">
        <f t="shared" si="120"/>
        <v/>
      </c>
      <c r="J990" s="9"/>
      <c r="K990" s="9"/>
      <c r="L990" s="9"/>
      <c r="M990" s="9"/>
      <c r="N990" s="9"/>
      <c r="O990" s="9"/>
      <c r="P990" s="13"/>
      <c r="Q990" s="9"/>
      <c r="R990" s="9"/>
      <c r="S990" s="9"/>
      <c r="T990" s="11"/>
      <c r="U990" s="44" t="str">
        <f t="shared" si="121"/>
        <v/>
      </c>
      <c r="V990" s="44" t="str">
        <f t="shared" si="122"/>
        <v/>
      </c>
      <c r="W990" s="44" t="str">
        <f t="shared" si="123"/>
        <v/>
      </c>
      <c r="X990" s="44" t="str">
        <f t="shared" si="124"/>
        <v/>
      </c>
      <c r="Y990" s="44" t="str">
        <f t="shared" si="125"/>
        <v/>
      </c>
      <c r="Z990" s="44" t="str">
        <f t="shared" si="126"/>
        <v/>
      </c>
      <c r="AA990" s="50" t="str">
        <f t="shared" si="127"/>
        <v/>
      </c>
      <c r="AB990" s="50" t="str">
        <f>IF(OR(B990="",C990&lt;&gt;"Expense"),"",IF(E990&gt;IFERROR(AVERAGEIFS($E$8:$E$1007,$I$8:$I$1007,I990,$C$8:$C$1007,"Expense")*SETTINGS!$B$20,0),"Unusually High","Normal"))</f>
        <v/>
      </c>
      <c r="AC990" s="51"/>
      <c r="AD990" s="51"/>
      <c r="AE990" s="51"/>
      <c r="AF990" s="50" t="str">
        <f>IF(A990&lt;&gt;"Yes","No",IF(AND(AC990="Yes",SETTINGS!$B$16="No"),"No","Yes"))</f>
        <v>No</v>
      </c>
      <c r="AG990" s="50" t="str">
        <f>IF(A990&lt;&gt;"Yes","",IF(OR(B990="",D990="",E990&lt;=0,F990="",I990=""),"Check Required Fields",IF(AA990="Possible Duplicate","Possible Duplicate",IF(E990&gt;SETTINGS!$B$22,"Review Extreme Value","OK"))))</f>
        <v/>
      </c>
    </row>
    <row r="991" spans="1:33" ht="14.4">
      <c r="A991" s="9"/>
      <c r="B991" s="13"/>
      <c r="C991" s="9"/>
      <c r="D991" s="9"/>
      <c r="E991" s="11"/>
      <c r="F991" s="9"/>
      <c r="G991" s="9"/>
      <c r="H991" s="44" t="str">
        <f>IF(D991="","",IF(ISNUMBER(SEARCH(SETTINGS!$K$4,D991)),SETTINGS!$L$4,IF(ISNUMBER(SEARCH(SETTINGS!$K$5,D991)),SETTINGS!$L$5,IF(ISNUMBER(SEARCH(SETTINGS!$K$6,D991)),SETTINGS!$L$6,IF(ISNUMBER(SEARCH(SETTINGS!$K$7,D991)),SETTINGS!$L$7,IF(ISNUMBER(SEARCH(SETTINGS!$K$8,D991)),SETTINGS!$L$8,IF(ISNUMBER(SEARCH(SETTINGS!$K$9,D991)),SETTINGS!$L$9,IF(ISNUMBER(SEARCH(SETTINGS!$K$10,D991)),SETTINGS!$L$10,IF(ISNUMBER(SEARCH(SETTINGS!$K$11,D991)),SETTINGS!$L$11,IF(ISNUMBER(SEARCH(SETTINGS!$K$12,D991)),SETTINGS!$L$12,IF(ISNUMBER(SEARCH(SETTINGS!$K$13,D991)),SETTINGS!$L$13,IF(ISNUMBER(SEARCH(SETTINGS!$K$14,D991)),SETTINGS!$L$14,IF(ISNUMBER(SEARCH(SETTINGS!$K$15,D991)),SETTINGS!$L$15,IF(ISNUMBER(SEARCH(SETTINGS!$K$16,D991)),SETTINGS!$L$16,IF(ISNUMBER(SEARCH(SETTINGS!$K$17,D991)),SETTINGS!$L$17,IF(ISNUMBER(SEARCH(SETTINGS!$K$18,D991)),SETTINGS!$L$18,"Miscellaneous"))))))))))))))))</f>
        <v/>
      </c>
      <c r="I991" s="44" t="str">
        <f t="shared" si="120"/>
        <v/>
      </c>
      <c r="J991" s="9"/>
      <c r="K991" s="9"/>
      <c r="L991" s="9"/>
      <c r="M991" s="9"/>
      <c r="N991" s="9"/>
      <c r="O991" s="9"/>
      <c r="P991" s="13"/>
      <c r="Q991" s="9"/>
      <c r="R991" s="9"/>
      <c r="S991" s="9"/>
      <c r="T991" s="11"/>
      <c r="U991" s="44" t="str">
        <f t="shared" si="121"/>
        <v/>
      </c>
      <c r="V991" s="44" t="str">
        <f t="shared" si="122"/>
        <v/>
      </c>
      <c r="W991" s="44" t="str">
        <f t="shared" si="123"/>
        <v/>
      </c>
      <c r="X991" s="44" t="str">
        <f t="shared" si="124"/>
        <v/>
      </c>
      <c r="Y991" s="44" t="str">
        <f t="shared" si="125"/>
        <v/>
      </c>
      <c r="Z991" s="44" t="str">
        <f t="shared" si="126"/>
        <v/>
      </c>
      <c r="AA991" s="50" t="str">
        <f t="shared" si="127"/>
        <v/>
      </c>
      <c r="AB991" s="50" t="str">
        <f>IF(OR(B991="",C991&lt;&gt;"Expense"),"",IF(E991&gt;IFERROR(AVERAGEIFS($E$8:$E$1007,$I$8:$I$1007,I991,$C$8:$C$1007,"Expense")*SETTINGS!$B$20,0),"Unusually High","Normal"))</f>
        <v/>
      </c>
      <c r="AC991" s="51"/>
      <c r="AD991" s="51"/>
      <c r="AE991" s="51"/>
      <c r="AF991" s="50" t="str">
        <f>IF(A991&lt;&gt;"Yes","No",IF(AND(AC991="Yes",SETTINGS!$B$16="No"),"No","Yes"))</f>
        <v>No</v>
      </c>
      <c r="AG991" s="50" t="str">
        <f>IF(A991&lt;&gt;"Yes","",IF(OR(B991="",D991="",E991&lt;=0,F991="",I991=""),"Check Required Fields",IF(AA991="Possible Duplicate","Possible Duplicate",IF(E991&gt;SETTINGS!$B$22,"Review Extreme Value","OK"))))</f>
        <v/>
      </c>
    </row>
    <row r="992" spans="1:33" ht="14.4">
      <c r="A992" s="9"/>
      <c r="B992" s="13"/>
      <c r="C992" s="9"/>
      <c r="D992" s="9"/>
      <c r="E992" s="11"/>
      <c r="F992" s="9"/>
      <c r="G992" s="9"/>
      <c r="H992" s="44" t="str">
        <f>IF(D992="","",IF(ISNUMBER(SEARCH(SETTINGS!$K$4,D992)),SETTINGS!$L$4,IF(ISNUMBER(SEARCH(SETTINGS!$K$5,D992)),SETTINGS!$L$5,IF(ISNUMBER(SEARCH(SETTINGS!$K$6,D992)),SETTINGS!$L$6,IF(ISNUMBER(SEARCH(SETTINGS!$K$7,D992)),SETTINGS!$L$7,IF(ISNUMBER(SEARCH(SETTINGS!$K$8,D992)),SETTINGS!$L$8,IF(ISNUMBER(SEARCH(SETTINGS!$K$9,D992)),SETTINGS!$L$9,IF(ISNUMBER(SEARCH(SETTINGS!$K$10,D992)),SETTINGS!$L$10,IF(ISNUMBER(SEARCH(SETTINGS!$K$11,D992)),SETTINGS!$L$11,IF(ISNUMBER(SEARCH(SETTINGS!$K$12,D992)),SETTINGS!$L$12,IF(ISNUMBER(SEARCH(SETTINGS!$K$13,D992)),SETTINGS!$L$13,IF(ISNUMBER(SEARCH(SETTINGS!$K$14,D992)),SETTINGS!$L$14,IF(ISNUMBER(SEARCH(SETTINGS!$K$15,D992)),SETTINGS!$L$15,IF(ISNUMBER(SEARCH(SETTINGS!$K$16,D992)),SETTINGS!$L$16,IF(ISNUMBER(SEARCH(SETTINGS!$K$17,D992)),SETTINGS!$L$17,IF(ISNUMBER(SEARCH(SETTINGS!$K$18,D992)),SETTINGS!$L$18,"Miscellaneous"))))))))))))))))</f>
        <v/>
      </c>
      <c r="I992" s="44" t="str">
        <f t="shared" si="120"/>
        <v/>
      </c>
      <c r="J992" s="9"/>
      <c r="K992" s="9"/>
      <c r="L992" s="9"/>
      <c r="M992" s="9"/>
      <c r="N992" s="9"/>
      <c r="O992" s="9"/>
      <c r="P992" s="13"/>
      <c r="Q992" s="9"/>
      <c r="R992" s="9"/>
      <c r="S992" s="9"/>
      <c r="T992" s="11"/>
      <c r="U992" s="44" t="str">
        <f t="shared" si="121"/>
        <v/>
      </c>
      <c r="V992" s="44" t="str">
        <f t="shared" si="122"/>
        <v/>
      </c>
      <c r="W992" s="44" t="str">
        <f t="shared" si="123"/>
        <v/>
      </c>
      <c r="X992" s="44" t="str">
        <f t="shared" si="124"/>
        <v/>
      </c>
      <c r="Y992" s="44" t="str">
        <f t="shared" si="125"/>
        <v/>
      </c>
      <c r="Z992" s="44" t="str">
        <f t="shared" si="126"/>
        <v/>
      </c>
      <c r="AA992" s="50" t="str">
        <f t="shared" si="127"/>
        <v/>
      </c>
      <c r="AB992" s="50" t="str">
        <f>IF(OR(B992="",C992&lt;&gt;"Expense"),"",IF(E992&gt;IFERROR(AVERAGEIFS($E$8:$E$1007,$I$8:$I$1007,I992,$C$8:$C$1007,"Expense")*SETTINGS!$B$20,0),"Unusually High","Normal"))</f>
        <v/>
      </c>
      <c r="AC992" s="51"/>
      <c r="AD992" s="51"/>
      <c r="AE992" s="51"/>
      <c r="AF992" s="50" t="str">
        <f>IF(A992&lt;&gt;"Yes","No",IF(AND(AC992="Yes",SETTINGS!$B$16="No"),"No","Yes"))</f>
        <v>No</v>
      </c>
      <c r="AG992" s="50" t="str">
        <f>IF(A992&lt;&gt;"Yes","",IF(OR(B992="",D992="",E992&lt;=0,F992="",I992=""),"Check Required Fields",IF(AA992="Possible Duplicate","Possible Duplicate",IF(E992&gt;SETTINGS!$B$22,"Review Extreme Value","OK"))))</f>
        <v/>
      </c>
    </row>
    <row r="993" spans="1:33" ht="14.4">
      <c r="A993" s="9"/>
      <c r="B993" s="13"/>
      <c r="C993" s="9"/>
      <c r="D993" s="9"/>
      <c r="E993" s="11"/>
      <c r="F993" s="9"/>
      <c r="G993" s="9"/>
      <c r="H993" s="44" t="str">
        <f>IF(D993="","",IF(ISNUMBER(SEARCH(SETTINGS!$K$4,D993)),SETTINGS!$L$4,IF(ISNUMBER(SEARCH(SETTINGS!$K$5,D993)),SETTINGS!$L$5,IF(ISNUMBER(SEARCH(SETTINGS!$K$6,D993)),SETTINGS!$L$6,IF(ISNUMBER(SEARCH(SETTINGS!$K$7,D993)),SETTINGS!$L$7,IF(ISNUMBER(SEARCH(SETTINGS!$K$8,D993)),SETTINGS!$L$8,IF(ISNUMBER(SEARCH(SETTINGS!$K$9,D993)),SETTINGS!$L$9,IF(ISNUMBER(SEARCH(SETTINGS!$K$10,D993)),SETTINGS!$L$10,IF(ISNUMBER(SEARCH(SETTINGS!$K$11,D993)),SETTINGS!$L$11,IF(ISNUMBER(SEARCH(SETTINGS!$K$12,D993)),SETTINGS!$L$12,IF(ISNUMBER(SEARCH(SETTINGS!$K$13,D993)),SETTINGS!$L$13,IF(ISNUMBER(SEARCH(SETTINGS!$K$14,D993)),SETTINGS!$L$14,IF(ISNUMBER(SEARCH(SETTINGS!$K$15,D993)),SETTINGS!$L$15,IF(ISNUMBER(SEARCH(SETTINGS!$K$16,D993)),SETTINGS!$L$16,IF(ISNUMBER(SEARCH(SETTINGS!$K$17,D993)),SETTINGS!$L$17,IF(ISNUMBER(SEARCH(SETTINGS!$K$18,D993)),SETTINGS!$L$18,"Miscellaneous"))))))))))))))))</f>
        <v/>
      </c>
      <c r="I993" s="44" t="str">
        <f t="shared" si="120"/>
        <v/>
      </c>
      <c r="J993" s="9"/>
      <c r="K993" s="9"/>
      <c r="L993" s="9"/>
      <c r="M993" s="9"/>
      <c r="N993" s="9"/>
      <c r="O993" s="9"/>
      <c r="P993" s="13"/>
      <c r="Q993" s="9"/>
      <c r="R993" s="9"/>
      <c r="S993" s="9"/>
      <c r="T993" s="11"/>
      <c r="U993" s="44" t="str">
        <f t="shared" si="121"/>
        <v/>
      </c>
      <c r="V993" s="44" t="str">
        <f t="shared" si="122"/>
        <v/>
      </c>
      <c r="W993" s="44" t="str">
        <f t="shared" si="123"/>
        <v/>
      </c>
      <c r="X993" s="44" t="str">
        <f t="shared" si="124"/>
        <v/>
      </c>
      <c r="Y993" s="44" t="str">
        <f t="shared" si="125"/>
        <v/>
      </c>
      <c r="Z993" s="44" t="str">
        <f t="shared" si="126"/>
        <v/>
      </c>
      <c r="AA993" s="50" t="str">
        <f t="shared" si="127"/>
        <v/>
      </c>
      <c r="AB993" s="50" t="str">
        <f>IF(OR(B993="",C993&lt;&gt;"Expense"),"",IF(E993&gt;IFERROR(AVERAGEIFS($E$8:$E$1007,$I$8:$I$1007,I993,$C$8:$C$1007,"Expense")*SETTINGS!$B$20,0),"Unusually High","Normal"))</f>
        <v/>
      </c>
      <c r="AC993" s="51"/>
      <c r="AD993" s="51"/>
      <c r="AE993" s="51"/>
      <c r="AF993" s="50" t="str">
        <f>IF(A993&lt;&gt;"Yes","No",IF(AND(AC993="Yes",SETTINGS!$B$16="No"),"No","Yes"))</f>
        <v>No</v>
      </c>
      <c r="AG993" s="50" t="str">
        <f>IF(A993&lt;&gt;"Yes","",IF(OR(B993="",D993="",E993&lt;=0,F993="",I993=""),"Check Required Fields",IF(AA993="Possible Duplicate","Possible Duplicate",IF(E993&gt;SETTINGS!$B$22,"Review Extreme Value","OK"))))</f>
        <v/>
      </c>
    </row>
    <row r="994" spans="1:33" ht="14.4">
      <c r="A994" s="9"/>
      <c r="B994" s="13"/>
      <c r="C994" s="9"/>
      <c r="D994" s="9"/>
      <c r="E994" s="11"/>
      <c r="F994" s="9"/>
      <c r="G994" s="9"/>
      <c r="H994" s="44" t="str">
        <f>IF(D994="","",IF(ISNUMBER(SEARCH(SETTINGS!$K$4,D994)),SETTINGS!$L$4,IF(ISNUMBER(SEARCH(SETTINGS!$K$5,D994)),SETTINGS!$L$5,IF(ISNUMBER(SEARCH(SETTINGS!$K$6,D994)),SETTINGS!$L$6,IF(ISNUMBER(SEARCH(SETTINGS!$K$7,D994)),SETTINGS!$L$7,IF(ISNUMBER(SEARCH(SETTINGS!$K$8,D994)),SETTINGS!$L$8,IF(ISNUMBER(SEARCH(SETTINGS!$K$9,D994)),SETTINGS!$L$9,IF(ISNUMBER(SEARCH(SETTINGS!$K$10,D994)),SETTINGS!$L$10,IF(ISNUMBER(SEARCH(SETTINGS!$K$11,D994)),SETTINGS!$L$11,IF(ISNUMBER(SEARCH(SETTINGS!$K$12,D994)),SETTINGS!$L$12,IF(ISNUMBER(SEARCH(SETTINGS!$K$13,D994)),SETTINGS!$L$13,IF(ISNUMBER(SEARCH(SETTINGS!$K$14,D994)),SETTINGS!$L$14,IF(ISNUMBER(SEARCH(SETTINGS!$K$15,D994)),SETTINGS!$L$15,IF(ISNUMBER(SEARCH(SETTINGS!$K$16,D994)),SETTINGS!$L$16,IF(ISNUMBER(SEARCH(SETTINGS!$K$17,D994)),SETTINGS!$L$17,IF(ISNUMBER(SEARCH(SETTINGS!$K$18,D994)),SETTINGS!$L$18,"Miscellaneous"))))))))))))))))</f>
        <v/>
      </c>
      <c r="I994" s="44" t="str">
        <f t="shared" si="120"/>
        <v/>
      </c>
      <c r="J994" s="9"/>
      <c r="K994" s="9"/>
      <c r="L994" s="9"/>
      <c r="M994" s="9"/>
      <c r="N994" s="9"/>
      <c r="O994" s="9"/>
      <c r="P994" s="13"/>
      <c r="Q994" s="9"/>
      <c r="R994" s="9"/>
      <c r="S994" s="9"/>
      <c r="T994" s="11"/>
      <c r="U994" s="44" t="str">
        <f t="shared" si="121"/>
        <v/>
      </c>
      <c r="V994" s="44" t="str">
        <f t="shared" si="122"/>
        <v/>
      </c>
      <c r="W994" s="44" t="str">
        <f t="shared" si="123"/>
        <v/>
      </c>
      <c r="X994" s="44" t="str">
        <f t="shared" si="124"/>
        <v/>
      </c>
      <c r="Y994" s="44" t="str">
        <f t="shared" si="125"/>
        <v/>
      </c>
      <c r="Z994" s="44" t="str">
        <f t="shared" si="126"/>
        <v/>
      </c>
      <c r="AA994" s="50" t="str">
        <f t="shared" si="127"/>
        <v/>
      </c>
      <c r="AB994" s="50" t="str">
        <f>IF(OR(B994="",C994&lt;&gt;"Expense"),"",IF(E994&gt;IFERROR(AVERAGEIFS($E$8:$E$1007,$I$8:$I$1007,I994,$C$8:$C$1007,"Expense")*SETTINGS!$B$20,0),"Unusually High","Normal"))</f>
        <v/>
      </c>
      <c r="AC994" s="51"/>
      <c r="AD994" s="51"/>
      <c r="AE994" s="51"/>
      <c r="AF994" s="50" t="str">
        <f>IF(A994&lt;&gt;"Yes","No",IF(AND(AC994="Yes",SETTINGS!$B$16="No"),"No","Yes"))</f>
        <v>No</v>
      </c>
      <c r="AG994" s="50" t="str">
        <f>IF(A994&lt;&gt;"Yes","",IF(OR(B994="",D994="",E994&lt;=0,F994="",I994=""),"Check Required Fields",IF(AA994="Possible Duplicate","Possible Duplicate",IF(E994&gt;SETTINGS!$B$22,"Review Extreme Value","OK"))))</f>
        <v/>
      </c>
    </row>
    <row r="995" spans="1:33" ht="14.4">
      <c r="A995" s="9"/>
      <c r="B995" s="13"/>
      <c r="C995" s="9"/>
      <c r="D995" s="9"/>
      <c r="E995" s="11"/>
      <c r="F995" s="9"/>
      <c r="G995" s="9"/>
      <c r="H995" s="44" t="str">
        <f>IF(D995="","",IF(ISNUMBER(SEARCH(SETTINGS!$K$4,D995)),SETTINGS!$L$4,IF(ISNUMBER(SEARCH(SETTINGS!$K$5,D995)),SETTINGS!$L$5,IF(ISNUMBER(SEARCH(SETTINGS!$K$6,D995)),SETTINGS!$L$6,IF(ISNUMBER(SEARCH(SETTINGS!$K$7,D995)),SETTINGS!$L$7,IF(ISNUMBER(SEARCH(SETTINGS!$K$8,D995)),SETTINGS!$L$8,IF(ISNUMBER(SEARCH(SETTINGS!$K$9,D995)),SETTINGS!$L$9,IF(ISNUMBER(SEARCH(SETTINGS!$K$10,D995)),SETTINGS!$L$10,IF(ISNUMBER(SEARCH(SETTINGS!$K$11,D995)),SETTINGS!$L$11,IF(ISNUMBER(SEARCH(SETTINGS!$K$12,D995)),SETTINGS!$L$12,IF(ISNUMBER(SEARCH(SETTINGS!$K$13,D995)),SETTINGS!$L$13,IF(ISNUMBER(SEARCH(SETTINGS!$K$14,D995)),SETTINGS!$L$14,IF(ISNUMBER(SEARCH(SETTINGS!$K$15,D995)),SETTINGS!$L$15,IF(ISNUMBER(SEARCH(SETTINGS!$K$16,D995)),SETTINGS!$L$16,IF(ISNUMBER(SEARCH(SETTINGS!$K$17,D995)),SETTINGS!$L$17,IF(ISNUMBER(SEARCH(SETTINGS!$K$18,D995)),SETTINGS!$L$18,"Miscellaneous"))))))))))))))))</f>
        <v/>
      </c>
      <c r="I995" s="44" t="str">
        <f t="shared" si="120"/>
        <v/>
      </c>
      <c r="J995" s="9"/>
      <c r="K995" s="9"/>
      <c r="L995" s="9"/>
      <c r="M995" s="9"/>
      <c r="N995" s="9"/>
      <c r="O995" s="9"/>
      <c r="P995" s="13"/>
      <c r="Q995" s="9"/>
      <c r="R995" s="9"/>
      <c r="S995" s="9"/>
      <c r="T995" s="11"/>
      <c r="U995" s="44" t="str">
        <f t="shared" si="121"/>
        <v/>
      </c>
      <c r="V995" s="44" t="str">
        <f t="shared" si="122"/>
        <v/>
      </c>
      <c r="W995" s="44" t="str">
        <f t="shared" si="123"/>
        <v/>
      </c>
      <c r="X995" s="44" t="str">
        <f t="shared" si="124"/>
        <v/>
      </c>
      <c r="Y995" s="44" t="str">
        <f t="shared" si="125"/>
        <v/>
      </c>
      <c r="Z995" s="44" t="str">
        <f t="shared" si="126"/>
        <v/>
      </c>
      <c r="AA995" s="50" t="str">
        <f t="shared" si="127"/>
        <v/>
      </c>
      <c r="AB995" s="50" t="str">
        <f>IF(OR(B995="",C995&lt;&gt;"Expense"),"",IF(E995&gt;IFERROR(AVERAGEIFS($E$8:$E$1007,$I$8:$I$1007,I995,$C$8:$C$1007,"Expense")*SETTINGS!$B$20,0),"Unusually High","Normal"))</f>
        <v/>
      </c>
      <c r="AC995" s="51"/>
      <c r="AD995" s="51"/>
      <c r="AE995" s="51"/>
      <c r="AF995" s="50" t="str">
        <f>IF(A995&lt;&gt;"Yes","No",IF(AND(AC995="Yes",SETTINGS!$B$16="No"),"No","Yes"))</f>
        <v>No</v>
      </c>
      <c r="AG995" s="50" t="str">
        <f>IF(A995&lt;&gt;"Yes","",IF(OR(B995="",D995="",E995&lt;=0,F995="",I995=""),"Check Required Fields",IF(AA995="Possible Duplicate","Possible Duplicate",IF(E995&gt;SETTINGS!$B$22,"Review Extreme Value","OK"))))</f>
        <v/>
      </c>
    </row>
    <row r="996" spans="1:33" ht="14.4">
      <c r="A996" s="9"/>
      <c r="B996" s="13"/>
      <c r="C996" s="9"/>
      <c r="D996" s="9"/>
      <c r="E996" s="11"/>
      <c r="F996" s="9"/>
      <c r="G996" s="9"/>
      <c r="H996" s="44" t="str">
        <f>IF(D996="","",IF(ISNUMBER(SEARCH(SETTINGS!$K$4,D996)),SETTINGS!$L$4,IF(ISNUMBER(SEARCH(SETTINGS!$K$5,D996)),SETTINGS!$L$5,IF(ISNUMBER(SEARCH(SETTINGS!$K$6,D996)),SETTINGS!$L$6,IF(ISNUMBER(SEARCH(SETTINGS!$K$7,D996)),SETTINGS!$L$7,IF(ISNUMBER(SEARCH(SETTINGS!$K$8,D996)),SETTINGS!$L$8,IF(ISNUMBER(SEARCH(SETTINGS!$K$9,D996)),SETTINGS!$L$9,IF(ISNUMBER(SEARCH(SETTINGS!$K$10,D996)),SETTINGS!$L$10,IF(ISNUMBER(SEARCH(SETTINGS!$K$11,D996)),SETTINGS!$L$11,IF(ISNUMBER(SEARCH(SETTINGS!$K$12,D996)),SETTINGS!$L$12,IF(ISNUMBER(SEARCH(SETTINGS!$K$13,D996)),SETTINGS!$L$13,IF(ISNUMBER(SEARCH(SETTINGS!$K$14,D996)),SETTINGS!$L$14,IF(ISNUMBER(SEARCH(SETTINGS!$K$15,D996)),SETTINGS!$L$15,IF(ISNUMBER(SEARCH(SETTINGS!$K$16,D996)),SETTINGS!$L$16,IF(ISNUMBER(SEARCH(SETTINGS!$K$17,D996)),SETTINGS!$L$17,IF(ISNUMBER(SEARCH(SETTINGS!$K$18,D996)),SETTINGS!$L$18,"Miscellaneous"))))))))))))))))</f>
        <v/>
      </c>
      <c r="I996" s="44" t="str">
        <f t="shared" si="120"/>
        <v/>
      </c>
      <c r="J996" s="9"/>
      <c r="K996" s="9"/>
      <c r="L996" s="9"/>
      <c r="M996" s="9"/>
      <c r="N996" s="9"/>
      <c r="O996" s="9"/>
      <c r="P996" s="13"/>
      <c r="Q996" s="9"/>
      <c r="R996" s="9"/>
      <c r="S996" s="9"/>
      <c r="T996" s="11"/>
      <c r="U996" s="44" t="str">
        <f t="shared" si="121"/>
        <v/>
      </c>
      <c r="V996" s="44" t="str">
        <f t="shared" si="122"/>
        <v/>
      </c>
      <c r="W996" s="44" t="str">
        <f t="shared" si="123"/>
        <v/>
      </c>
      <c r="X996" s="44" t="str">
        <f t="shared" si="124"/>
        <v/>
      </c>
      <c r="Y996" s="44" t="str">
        <f t="shared" si="125"/>
        <v/>
      </c>
      <c r="Z996" s="44" t="str">
        <f t="shared" si="126"/>
        <v/>
      </c>
      <c r="AA996" s="50" t="str">
        <f t="shared" si="127"/>
        <v/>
      </c>
      <c r="AB996" s="50" t="str">
        <f>IF(OR(B996="",C996&lt;&gt;"Expense"),"",IF(E996&gt;IFERROR(AVERAGEIFS($E$8:$E$1007,$I$8:$I$1007,I996,$C$8:$C$1007,"Expense")*SETTINGS!$B$20,0),"Unusually High","Normal"))</f>
        <v/>
      </c>
      <c r="AC996" s="51"/>
      <c r="AD996" s="51"/>
      <c r="AE996" s="51"/>
      <c r="AF996" s="50" t="str">
        <f>IF(A996&lt;&gt;"Yes","No",IF(AND(AC996="Yes",SETTINGS!$B$16="No"),"No","Yes"))</f>
        <v>No</v>
      </c>
      <c r="AG996" s="50" t="str">
        <f>IF(A996&lt;&gt;"Yes","",IF(OR(B996="",D996="",E996&lt;=0,F996="",I996=""),"Check Required Fields",IF(AA996="Possible Duplicate","Possible Duplicate",IF(E996&gt;SETTINGS!$B$22,"Review Extreme Value","OK"))))</f>
        <v/>
      </c>
    </row>
    <row r="997" spans="1:33" ht="14.4">
      <c r="A997" s="9"/>
      <c r="B997" s="13"/>
      <c r="C997" s="9"/>
      <c r="D997" s="9"/>
      <c r="E997" s="11"/>
      <c r="F997" s="9"/>
      <c r="G997" s="9"/>
      <c r="H997" s="44" t="str">
        <f>IF(D997="","",IF(ISNUMBER(SEARCH(SETTINGS!$K$4,D997)),SETTINGS!$L$4,IF(ISNUMBER(SEARCH(SETTINGS!$K$5,D997)),SETTINGS!$L$5,IF(ISNUMBER(SEARCH(SETTINGS!$K$6,D997)),SETTINGS!$L$6,IF(ISNUMBER(SEARCH(SETTINGS!$K$7,D997)),SETTINGS!$L$7,IF(ISNUMBER(SEARCH(SETTINGS!$K$8,D997)),SETTINGS!$L$8,IF(ISNUMBER(SEARCH(SETTINGS!$K$9,D997)),SETTINGS!$L$9,IF(ISNUMBER(SEARCH(SETTINGS!$K$10,D997)),SETTINGS!$L$10,IF(ISNUMBER(SEARCH(SETTINGS!$K$11,D997)),SETTINGS!$L$11,IF(ISNUMBER(SEARCH(SETTINGS!$K$12,D997)),SETTINGS!$L$12,IF(ISNUMBER(SEARCH(SETTINGS!$K$13,D997)),SETTINGS!$L$13,IF(ISNUMBER(SEARCH(SETTINGS!$K$14,D997)),SETTINGS!$L$14,IF(ISNUMBER(SEARCH(SETTINGS!$K$15,D997)),SETTINGS!$L$15,IF(ISNUMBER(SEARCH(SETTINGS!$K$16,D997)),SETTINGS!$L$16,IF(ISNUMBER(SEARCH(SETTINGS!$K$17,D997)),SETTINGS!$L$17,IF(ISNUMBER(SEARCH(SETTINGS!$K$18,D997)),SETTINGS!$L$18,"Miscellaneous"))))))))))))))))</f>
        <v/>
      </c>
      <c r="I997" s="44" t="str">
        <f t="shared" si="120"/>
        <v/>
      </c>
      <c r="J997" s="9"/>
      <c r="K997" s="9"/>
      <c r="L997" s="9"/>
      <c r="M997" s="9"/>
      <c r="N997" s="9"/>
      <c r="O997" s="9"/>
      <c r="P997" s="13"/>
      <c r="Q997" s="9"/>
      <c r="R997" s="9"/>
      <c r="S997" s="9"/>
      <c r="T997" s="11"/>
      <c r="U997" s="44" t="str">
        <f t="shared" si="121"/>
        <v/>
      </c>
      <c r="V997" s="44" t="str">
        <f t="shared" si="122"/>
        <v/>
      </c>
      <c r="W997" s="44" t="str">
        <f t="shared" si="123"/>
        <v/>
      </c>
      <c r="X997" s="44" t="str">
        <f t="shared" si="124"/>
        <v/>
      </c>
      <c r="Y997" s="44" t="str">
        <f t="shared" si="125"/>
        <v/>
      </c>
      <c r="Z997" s="44" t="str">
        <f t="shared" si="126"/>
        <v/>
      </c>
      <c r="AA997" s="50" t="str">
        <f t="shared" si="127"/>
        <v/>
      </c>
      <c r="AB997" s="50" t="str">
        <f>IF(OR(B997="",C997&lt;&gt;"Expense"),"",IF(E997&gt;IFERROR(AVERAGEIFS($E$8:$E$1007,$I$8:$I$1007,I997,$C$8:$C$1007,"Expense")*SETTINGS!$B$20,0),"Unusually High","Normal"))</f>
        <v/>
      </c>
      <c r="AC997" s="51"/>
      <c r="AD997" s="51"/>
      <c r="AE997" s="51"/>
      <c r="AF997" s="50" t="str">
        <f>IF(A997&lt;&gt;"Yes","No",IF(AND(AC997="Yes",SETTINGS!$B$16="No"),"No","Yes"))</f>
        <v>No</v>
      </c>
      <c r="AG997" s="50" t="str">
        <f>IF(A997&lt;&gt;"Yes","",IF(OR(B997="",D997="",E997&lt;=0,F997="",I997=""),"Check Required Fields",IF(AA997="Possible Duplicate","Possible Duplicate",IF(E997&gt;SETTINGS!$B$22,"Review Extreme Value","OK"))))</f>
        <v/>
      </c>
    </row>
    <row r="998" spans="1:33" ht="14.4">
      <c r="A998" s="9"/>
      <c r="B998" s="13"/>
      <c r="C998" s="9"/>
      <c r="D998" s="9"/>
      <c r="E998" s="11"/>
      <c r="F998" s="9"/>
      <c r="G998" s="9"/>
      <c r="H998" s="44" t="str">
        <f>IF(D998="","",IF(ISNUMBER(SEARCH(SETTINGS!$K$4,D998)),SETTINGS!$L$4,IF(ISNUMBER(SEARCH(SETTINGS!$K$5,D998)),SETTINGS!$L$5,IF(ISNUMBER(SEARCH(SETTINGS!$K$6,D998)),SETTINGS!$L$6,IF(ISNUMBER(SEARCH(SETTINGS!$K$7,D998)),SETTINGS!$L$7,IF(ISNUMBER(SEARCH(SETTINGS!$K$8,D998)),SETTINGS!$L$8,IF(ISNUMBER(SEARCH(SETTINGS!$K$9,D998)),SETTINGS!$L$9,IF(ISNUMBER(SEARCH(SETTINGS!$K$10,D998)),SETTINGS!$L$10,IF(ISNUMBER(SEARCH(SETTINGS!$K$11,D998)),SETTINGS!$L$11,IF(ISNUMBER(SEARCH(SETTINGS!$K$12,D998)),SETTINGS!$L$12,IF(ISNUMBER(SEARCH(SETTINGS!$K$13,D998)),SETTINGS!$L$13,IF(ISNUMBER(SEARCH(SETTINGS!$K$14,D998)),SETTINGS!$L$14,IF(ISNUMBER(SEARCH(SETTINGS!$K$15,D998)),SETTINGS!$L$15,IF(ISNUMBER(SEARCH(SETTINGS!$K$16,D998)),SETTINGS!$L$16,IF(ISNUMBER(SEARCH(SETTINGS!$K$17,D998)),SETTINGS!$L$17,IF(ISNUMBER(SEARCH(SETTINGS!$K$18,D998)),SETTINGS!$L$18,"Miscellaneous"))))))))))))))))</f>
        <v/>
      </c>
      <c r="I998" s="44" t="str">
        <f t="shared" si="120"/>
        <v/>
      </c>
      <c r="J998" s="9"/>
      <c r="K998" s="9"/>
      <c r="L998" s="9"/>
      <c r="M998" s="9"/>
      <c r="N998" s="9"/>
      <c r="O998" s="9"/>
      <c r="P998" s="13"/>
      <c r="Q998" s="9"/>
      <c r="R998" s="9"/>
      <c r="S998" s="9"/>
      <c r="T998" s="11"/>
      <c r="U998" s="44" t="str">
        <f t="shared" si="121"/>
        <v/>
      </c>
      <c r="V998" s="44" t="str">
        <f t="shared" si="122"/>
        <v/>
      </c>
      <c r="W998" s="44" t="str">
        <f t="shared" si="123"/>
        <v/>
      </c>
      <c r="X998" s="44" t="str">
        <f t="shared" si="124"/>
        <v/>
      </c>
      <c r="Y998" s="44" t="str">
        <f t="shared" si="125"/>
        <v/>
      </c>
      <c r="Z998" s="44" t="str">
        <f t="shared" si="126"/>
        <v/>
      </c>
      <c r="AA998" s="50" t="str">
        <f t="shared" si="127"/>
        <v/>
      </c>
      <c r="AB998" s="50" t="str">
        <f>IF(OR(B998="",C998&lt;&gt;"Expense"),"",IF(E998&gt;IFERROR(AVERAGEIFS($E$8:$E$1007,$I$8:$I$1007,I998,$C$8:$C$1007,"Expense")*SETTINGS!$B$20,0),"Unusually High","Normal"))</f>
        <v/>
      </c>
      <c r="AC998" s="51"/>
      <c r="AD998" s="51"/>
      <c r="AE998" s="51"/>
      <c r="AF998" s="50" t="str">
        <f>IF(A998&lt;&gt;"Yes","No",IF(AND(AC998="Yes",SETTINGS!$B$16="No"),"No","Yes"))</f>
        <v>No</v>
      </c>
      <c r="AG998" s="50" t="str">
        <f>IF(A998&lt;&gt;"Yes","",IF(OR(B998="",D998="",E998&lt;=0,F998="",I998=""),"Check Required Fields",IF(AA998="Possible Duplicate","Possible Duplicate",IF(E998&gt;SETTINGS!$B$22,"Review Extreme Value","OK"))))</f>
        <v/>
      </c>
    </row>
    <row r="999" spans="1:33" ht="14.4">
      <c r="A999" s="9"/>
      <c r="B999" s="13"/>
      <c r="C999" s="9"/>
      <c r="D999" s="9"/>
      <c r="E999" s="11"/>
      <c r="F999" s="9"/>
      <c r="G999" s="9"/>
      <c r="H999" s="44" t="str">
        <f>IF(D999="","",IF(ISNUMBER(SEARCH(SETTINGS!$K$4,D999)),SETTINGS!$L$4,IF(ISNUMBER(SEARCH(SETTINGS!$K$5,D999)),SETTINGS!$L$5,IF(ISNUMBER(SEARCH(SETTINGS!$K$6,D999)),SETTINGS!$L$6,IF(ISNUMBER(SEARCH(SETTINGS!$K$7,D999)),SETTINGS!$L$7,IF(ISNUMBER(SEARCH(SETTINGS!$K$8,D999)),SETTINGS!$L$8,IF(ISNUMBER(SEARCH(SETTINGS!$K$9,D999)),SETTINGS!$L$9,IF(ISNUMBER(SEARCH(SETTINGS!$K$10,D999)),SETTINGS!$L$10,IF(ISNUMBER(SEARCH(SETTINGS!$K$11,D999)),SETTINGS!$L$11,IF(ISNUMBER(SEARCH(SETTINGS!$K$12,D999)),SETTINGS!$L$12,IF(ISNUMBER(SEARCH(SETTINGS!$K$13,D999)),SETTINGS!$L$13,IF(ISNUMBER(SEARCH(SETTINGS!$K$14,D999)),SETTINGS!$L$14,IF(ISNUMBER(SEARCH(SETTINGS!$K$15,D999)),SETTINGS!$L$15,IF(ISNUMBER(SEARCH(SETTINGS!$K$16,D999)),SETTINGS!$L$16,IF(ISNUMBER(SEARCH(SETTINGS!$K$17,D999)),SETTINGS!$L$17,IF(ISNUMBER(SEARCH(SETTINGS!$K$18,D999)),SETTINGS!$L$18,"Miscellaneous"))))))))))))))))</f>
        <v/>
      </c>
      <c r="I999" s="44" t="str">
        <f t="shared" si="120"/>
        <v/>
      </c>
      <c r="J999" s="9"/>
      <c r="K999" s="9"/>
      <c r="L999" s="9"/>
      <c r="M999" s="9"/>
      <c r="N999" s="9"/>
      <c r="O999" s="9"/>
      <c r="P999" s="13"/>
      <c r="Q999" s="9"/>
      <c r="R999" s="9"/>
      <c r="S999" s="9"/>
      <c r="T999" s="11"/>
      <c r="U999" s="44" t="str">
        <f t="shared" si="121"/>
        <v/>
      </c>
      <c r="V999" s="44" t="str">
        <f t="shared" si="122"/>
        <v/>
      </c>
      <c r="W999" s="44" t="str">
        <f t="shared" si="123"/>
        <v/>
      </c>
      <c r="X999" s="44" t="str">
        <f t="shared" si="124"/>
        <v/>
      </c>
      <c r="Y999" s="44" t="str">
        <f t="shared" si="125"/>
        <v/>
      </c>
      <c r="Z999" s="44" t="str">
        <f t="shared" si="126"/>
        <v/>
      </c>
      <c r="AA999" s="50" t="str">
        <f t="shared" si="127"/>
        <v/>
      </c>
      <c r="AB999" s="50" t="str">
        <f>IF(OR(B999="",C999&lt;&gt;"Expense"),"",IF(E999&gt;IFERROR(AVERAGEIFS($E$8:$E$1007,$I$8:$I$1007,I999,$C$8:$C$1007,"Expense")*SETTINGS!$B$20,0),"Unusually High","Normal"))</f>
        <v/>
      </c>
      <c r="AC999" s="51"/>
      <c r="AD999" s="51"/>
      <c r="AE999" s="51"/>
      <c r="AF999" s="50" t="str">
        <f>IF(A999&lt;&gt;"Yes","No",IF(AND(AC999="Yes",SETTINGS!$B$16="No"),"No","Yes"))</f>
        <v>No</v>
      </c>
      <c r="AG999" s="50" t="str">
        <f>IF(A999&lt;&gt;"Yes","",IF(OR(B999="",D999="",E999&lt;=0,F999="",I999=""),"Check Required Fields",IF(AA999="Possible Duplicate","Possible Duplicate",IF(E999&gt;SETTINGS!$B$22,"Review Extreme Value","OK"))))</f>
        <v/>
      </c>
    </row>
    <row r="1000" spans="1:33" ht="14.4">
      <c r="A1000" s="9"/>
      <c r="B1000" s="13"/>
      <c r="C1000" s="9"/>
      <c r="D1000" s="9"/>
      <c r="E1000" s="11"/>
      <c r="F1000" s="9"/>
      <c r="G1000" s="9"/>
      <c r="H1000" s="44" t="str">
        <f>IF(D1000="","",IF(ISNUMBER(SEARCH(SETTINGS!$K$4,D1000)),SETTINGS!$L$4,IF(ISNUMBER(SEARCH(SETTINGS!$K$5,D1000)),SETTINGS!$L$5,IF(ISNUMBER(SEARCH(SETTINGS!$K$6,D1000)),SETTINGS!$L$6,IF(ISNUMBER(SEARCH(SETTINGS!$K$7,D1000)),SETTINGS!$L$7,IF(ISNUMBER(SEARCH(SETTINGS!$K$8,D1000)),SETTINGS!$L$8,IF(ISNUMBER(SEARCH(SETTINGS!$K$9,D1000)),SETTINGS!$L$9,IF(ISNUMBER(SEARCH(SETTINGS!$K$10,D1000)),SETTINGS!$L$10,IF(ISNUMBER(SEARCH(SETTINGS!$K$11,D1000)),SETTINGS!$L$11,IF(ISNUMBER(SEARCH(SETTINGS!$K$12,D1000)),SETTINGS!$L$12,IF(ISNUMBER(SEARCH(SETTINGS!$K$13,D1000)),SETTINGS!$L$13,IF(ISNUMBER(SEARCH(SETTINGS!$K$14,D1000)),SETTINGS!$L$14,IF(ISNUMBER(SEARCH(SETTINGS!$K$15,D1000)),SETTINGS!$L$15,IF(ISNUMBER(SEARCH(SETTINGS!$K$16,D1000)),SETTINGS!$L$16,IF(ISNUMBER(SEARCH(SETTINGS!$K$17,D1000)),SETTINGS!$L$17,IF(ISNUMBER(SEARCH(SETTINGS!$K$18,D1000)),SETTINGS!$L$18,"Miscellaneous"))))))))))))))))</f>
        <v/>
      </c>
      <c r="I1000" s="44" t="str">
        <f t="shared" si="120"/>
        <v/>
      </c>
      <c r="J1000" s="9"/>
      <c r="K1000" s="9"/>
      <c r="L1000" s="9"/>
      <c r="M1000" s="9"/>
      <c r="N1000" s="9"/>
      <c r="O1000" s="9"/>
      <c r="P1000" s="13"/>
      <c r="Q1000" s="9"/>
      <c r="R1000" s="9"/>
      <c r="S1000" s="9"/>
      <c r="T1000" s="11"/>
      <c r="U1000" s="44" t="str">
        <f t="shared" si="121"/>
        <v/>
      </c>
      <c r="V1000" s="44" t="str">
        <f t="shared" si="122"/>
        <v/>
      </c>
      <c r="W1000" s="44" t="str">
        <f t="shared" si="123"/>
        <v/>
      </c>
      <c r="X1000" s="44" t="str">
        <f t="shared" si="124"/>
        <v/>
      </c>
      <c r="Y1000" s="44" t="str">
        <f t="shared" si="125"/>
        <v/>
      </c>
      <c r="Z1000" s="44" t="str">
        <f t="shared" si="126"/>
        <v/>
      </c>
      <c r="AA1000" s="50" t="str">
        <f t="shared" si="127"/>
        <v/>
      </c>
      <c r="AB1000" s="50" t="str">
        <f>IF(OR(B1000="",C1000&lt;&gt;"Expense"),"",IF(E1000&gt;IFERROR(AVERAGEIFS($E$8:$E$1007,$I$8:$I$1007,I1000,$C$8:$C$1007,"Expense")*SETTINGS!$B$20,0),"Unusually High","Normal"))</f>
        <v/>
      </c>
      <c r="AC1000" s="51"/>
      <c r="AD1000" s="51"/>
      <c r="AE1000" s="51"/>
      <c r="AF1000" s="50" t="str">
        <f>IF(A1000&lt;&gt;"Yes","No",IF(AND(AC1000="Yes",SETTINGS!$B$16="No"),"No","Yes"))</f>
        <v>No</v>
      </c>
      <c r="AG1000" s="50" t="str">
        <f>IF(A1000&lt;&gt;"Yes","",IF(OR(B1000="",D1000="",E1000&lt;=0,F1000="",I1000=""),"Check Required Fields",IF(AA1000="Possible Duplicate","Possible Duplicate",IF(E1000&gt;SETTINGS!$B$22,"Review Extreme Value","OK"))))</f>
        <v/>
      </c>
    </row>
    <row r="1001" spans="1:33" ht="14.4">
      <c r="A1001" s="9"/>
      <c r="B1001" s="13"/>
      <c r="C1001" s="9"/>
      <c r="D1001" s="9"/>
      <c r="E1001" s="11"/>
      <c r="F1001" s="9"/>
      <c r="G1001" s="9"/>
      <c r="H1001" s="44" t="str">
        <f>IF(D1001="","",IF(ISNUMBER(SEARCH(SETTINGS!$K$4,D1001)),SETTINGS!$L$4,IF(ISNUMBER(SEARCH(SETTINGS!$K$5,D1001)),SETTINGS!$L$5,IF(ISNUMBER(SEARCH(SETTINGS!$K$6,D1001)),SETTINGS!$L$6,IF(ISNUMBER(SEARCH(SETTINGS!$K$7,D1001)),SETTINGS!$L$7,IF(ISNUMBER(SEARCH(SETTINGS!$K$8,D1001)),SETTINGS!$L$8,IF(ISNUMBER(SEARCH(SETTINGS!$K$9,D1001)),SETTINGS!$L$9,IF(ISNUMBER(SEARCH(SETTINGS!$K$10,D1001)),SETTINGS!$L$10,IF(ISNUMBER(SEARCH(SETTINGS!$K$11,D1001)),SETTINGS!$L$11,IF(ISNUMBER(SEARCH(SETTINGS!$K$12,D1001)),SETTINGS!$L$12,IF(ISNUMBER(SEARCH(SETTINGS!$K$13,D1001)),SETTINGS!$L$13,IF(ISNUMBER(SEARCH(SETTINGS!$K$14,D1001)),SETTINGS!$L$14,IF(ISNUMBER(SEARCH(SETTINGS!$K$15,D1001)),SETTINGS!$L$15,IF(ISNUMBER(SEARCH(SETTINGS!$K$16,D1001)),SETTINGS!$L$16,IF(ISNUMBER(SEARCH(SETTINGS!$K$17,D1001)),SETTINGS!$L$17,IF(ISNUMBER(SEARCH(SETTINGS!$K$18,D1001)),SETTINGS!$L$18,"Miscellaneous"))))))))))))))))</f>
        <v/>
      </c>
      <c r="I1001" s="44" t="str">
        <f t="shared" si="120"/>
        <v/>
      </c>
      <c r="J1001" s="9"/>
      <c r="K1001" s="9"/>
      <c r="L1001" s="9"/>
      <c r="M1001" s="9"/>
      <c r="N1001" s="9"/>
      <c r="O1001" s="9"/>
      <c r="P1001" s="13"/>
      <c r="Q1001" s="9"/>
      <c r="R1001" s="9"/>
      <c r="S1001" s="9"/>
      <c r="T1001" s="11"/>
      <c r="U1001" s="44" t="str">
        <f t="shared" si="121"/>
        <v/>
      </c>
      <c r="V1001" s="44" t="str">
        <f t="shared" si="122"/>
        <v/>
      </c>
      <c r="W1001" s="44" t="str">
        <f t="shared" si="123"/>
        <v/>
      </c>
      <c r="X1001" s="44" t="str">
        <f t="shared" si="124"/>
        <v/>
      </c>
      <c r="Y1001" s="44" t="str">
        <f t="shared" si="125"/>
        <v/>
      </c>
      <c r="Z1001" s="44" t="str">
        <f t="shared" si="126"/>
        <v/>
      </c>
      <c r="AA1001" s="50" t="str">
        <f t="shared" si="127"/>
        <v/>
      </c>
      <c r="AB1001" s="50" t="str">
        <f>IF(OR(B1001="",C1001&lt;&gt;"Expense"),"",IF(E1001&gt;IFERROR(AVERAGEIFS($E$8:$E$1007,$I$8:$I$1007,I1001,$C$8:$C$1007,"Expense")*SETTINGS!$B$20,0),"Unusually High","Normal"))</f>
        <v/>
      </c>
      <c r="AC1001" s="51"/>
      <c r="AD1001" s="51"/>
      <c r="AE1001" s="51"/>
      <c r="AF1001" s="50" t="str">
        <f>IF(A1001&lt;&gt;"Yes","No",IF(AND(AC1001="Yes",SETTINGS!$B$16="No"),"No","Yes"))</f>
        <v>No</v>
      </c>
      <c r="AG1001" s="50" t="str">
        <f>IF(A1001&lt;&gt;"Yes","",IF(OR(B1001="",D1001="",E1001&lt;=0,F1001="",I1001=""),"Check Required Fields",IF(AA1001="Possible Duplicate","Possible Duplicate",IF(E1001&gt;SETTINGS!$B$22,"Review Extreme Value","OK"))))</f>
        <v/>
      </c>
    </row>
    <row r="1002" spans="1:33" ht="14.4">
      <c r="A1002" s="9"/>
      <c r="B1002" s="13"/>
      <c r="C1002" s="9"/>
      <c r="D1002" s="9"/>
      <c r="E1002" s="11"/>
      <c r="F1002" s="9"/>
      <c r="G1002" s="9"/>
      <c r="H1002" s="44" t="str">
        <f>IF(D1002="","",IF(ISNUMBER(SEARCH(SETTINGS!$K$4,D1002)),SETTINGS!$L$4,IF(ISNUMBER(SEARCH(SETTINGS!$K$5,D1002)),SETTINGS!$L$5,IF(ISNUMBER(SEARCH(SETTINGS!$K$6,D1002)),SETTINGS!$L$6,IF(ISNUMBER(SEARCH(SETTINGS!$K$7,D1002)),SETTINGS!$L$7,IF(ISNUMBER(SEARCH(SETTINGS!$K$8,D1002)),SETTINGS!$L$8,IF(ISNUMBER(SEARCH(SETTINGS!$K$9,D1002)),SETTINGS!$L$9,IF(ISNUMBER(SEARCH(SETTINGS!$K$10,D1002)),SETTINGS!$L$10,IF(ISNUMBER(SEARCH(SETTINGS!$K$11,D1002)),SETTINGS!$L$11,IF(ISNUMBER(SEARCH(SETTINGS!$K$12,D1002)),SETTINGS!$L$12,IF(ISNUMBER(SEARCH(SETTINGS!$K$13,D1002)),SETTINGS!$L$13,IF(ISNUMBER(SEARCH(SETTINGS!$K$14,D1002)),SETTINGS!$L$14,IF(ISNUMBER(SEARCH(SETTINGS!$K$15,D1002)),SETTINGS!$L$15,IF(ISNUMBER(SEARCH(SETTINGS!$K$16,D1002)),SETTINGS!$L$16,IF(ISNUMBER(SEARCH(SETTINGS!$K$17,D1002)),SETTINGS!$L$17,IF(ISNUMBER(SEARCH(SETTINGS!$K$18,D1002)),SETTINGS!$L$18,"Miscellaneous"))))))))))))))))</f>
        <v/>
      </c>
      <c r="I1002" s="44" t="str">
        <f t="shared" si="120"/>
        <v/>
      </c>
      <c r="J1002" s="9"/>
      <c r="K1002" s="9"/>
      <c r="L1002" s="9"/>
      <c r="M1002" s="9"/>
      <c r="N1002" s="9"/>
      <c r="O1002" s="9"/>
      <c r="P1002" s="13"/>
      <c r="Q1002" s="9"/>
      <c r="R1002" s="9"/>
      <c r="S1002" s="9"/>
      <c r="T1002" s="11"/>
      <c r="U1002" s="44" t="str">
        <f t="shared" si="121"/>
        <v/>
      </c>
      <c r="V1002" s="44" t="str">
        <f t="shared" si="122"/>
        <v/>
      </c>
      <c r="W1002" s="44" t="str">
        <f t="shared" si="123"/>
        <v/>
      </c>
      <c r="X1002" s="44" t="str">
        <f t="shared" si="124"/>
        <v/>
      </c>
      <c r="Y1002" s="44" t="str">
        <f t="shared" si="125"/>
        <v/>
      </c>
      <c r="Z1002" s="44" t="str">
        <f t="shared" si="126"/>
        <v/>
      </c>
      <c r="AA1002" s="50" t="str">
        <f t="shared" si="127"/>
        <v/>
      </c>
      <c r="AB1002" s="50" t="str">
        <f>IF(OR(B1002="",C1002&lt;&gt;"Expense"),"",IF(E1002&gt;IFERROR(AVERAGEIFS($E$8:$E$1007,$I$8:$I$1007,I1002,$C$8:$C$1007,"Expense")*SETTINGS!$B$20,0),"Unusually High","Normal"))</f>
        <v/>
      </c>
      <c r="AC1002" s="51"/>
      <c r="AD1002" s="51"/>
      <c r="AE1002" s="51"/>
      <c r="AF1002" s="50" t="str">
        <f>IF(A1002&lt;&gt;"Yes","No",IF(AND(AC1002="Yes",SETTINGS!$B$16="No"),"No","Yes"))</f>
        <v>No</v>
      </c>
      <c r="AG1002" s="50" t="str">
        <f>IF(A1002&lt;&gt;"Yes","",IF(OR(B1002="",D1002="",E1002&lt;=0,F1002="",I1002=""),"Check Required Fields",IF(AA1002="Possible Duplicate","Possible Duplicate",IF(E1002&gt;SETTINGS!$B$22,"Review Extreme Value","OK"))))</f>
        <v/>
      </c>
    </row>
    <row r="1003" spans="1:33" ht="14.4">
      <c r="A1003" s="9"/>
      <c r="B1003" s="13"/>
      <c r="C1003" s="9"/>
      <c r="D1003" s="9"/>
      <c r="E1003" s="11"/>
      <c r="F1003" s="9"/>
      <c r="G1003" s="9"/>
      <c r="H1003" s="44" t="str">
        <f>IF(D1003="","",IF(ISNUMBER(SEARCH(SETTINGS!$K$4,D1003)),SETTINGS!$L$4,IF(ISNUMBER(SEARCH(SETTINGS!$K$5,D1003)),SETTINGS!$L$5,IF(ISNUMBER(SEARCH(SETTINGS!$K$6,D1003)),SETTINGS!$L$6,IF(ISNUMBER(SEARCH(SETTINGS!$K$7,D1003)),SETTINGS!$L$7,IF(ISNUMBER(SEARCH(SETTINGS!$K$8,D1003)),SETTINGS!$L$8,IF(ISNUMBER(SEARCH(SETTINGS!$K$9,D1003)),SETTINGS!$L$9,IF(ISNUMBER(SEARCH(SETTINGS!$K$10,D1003)),SETTINGS!$L$10,IF(ISNUMBER(SEARCH(SETTINGS!$K$11,D1003)),SETTINGS!$L$11,IF(ISNUMBER(SEARCH(SETTINGS!$K$12,D1003)),SETTINGS!$L$12,IF(ISNUMBER(SEARCH(SETTINGS!$K$13,D1003)),SETTINGS!$L$13,IF(ISNUMBER(SEARCH(SETTINGS!$K$14,D1003)),SETTINGS!$L$14,IF(ISNUMBER(SEARCH(SETTINGS!$K$15,D1003)),SETTINGS!$L$15,IF(ISNUMBER(SEARCH(SETTINGS!$K$16,D1003)),SETTINGS!$L$16,IF(ISNUMBER(SEARCH(SETTINGS!$K$17,D1003)),SETTINGS!$L$17,IF(ISNUMBER(SEARCH(SETTINGS!$K$18,D1003)),SETTINGS!$L$18,"Miscellaneous"))))))))))))))))</f>
        <v/>
      </c>
      <c r="I1003" s="44" t="str">
        <f t="shared" si="120"/>
        <v/>
      </c>
      <c r="J1003" s="9"/>
      <c r="K1003" s="9"/>
      <c r="L1003" s="9"/>
      <c r="M1003" s="9"/>
      <c r="N1003" s="9"/>
      <c r="O1003" s="9"/>
      <c r="P1003" s="13"/>
      <c r="Q1003" s="9"/>
      <c r="R1003" s="9"/>
      <c r="S1003" s="9"/>
      <c r="T1003" s="11"/>
      <c r="U1003" s="44" t="str">
        <f t="shared" si="121"/>
        <v/>
      </c>
      <c r="V1003" s="44" t="str">
        <f t="shared" si="122"/>
        <v/>
      </c>
      <c r="W1003" s="44" t="str">
        <f t="shared" si="123"/>
        <v/>
      </c>
      <c r="X1003" s="44" t="str">
        <f t="shared" si="124"/>
        <v/>
      </c>
      <c r="Y1003" s="44" t="str">
        <f t="shared" si="125"/>
        <v/>
      </c>
      <c r="Z1003" s="44" t="str">
        <f t="shared" si="126"/>
        <v/>
      </c>
      <c r="AA1003" s="50" t="str">
        <f t="shared" si="127"/>
        <v/>
      </c>
      <c r="AB1003" s="50" t="str">
        <f>IF(OR(B1003="",C1003&lt;&gt;"Expense"),"",IF(E1003&gt;IFERROR(AVERAGEIFS($E$8:$E$1007,$I$8:$I$1007,I1003,$C$8:$C$1007,"Expense")*SETTINGS!$B$20,0),"Unusually High","Normal"))</f>
        <v/>
      </c>
      <c r="AC1003" s="51"/>
      <c r="AD1003" s="51"/>
      <c r="AE1003" s="51"/>
      <c r="AF1003" s="50" t="str">
        <f>IF(A1003&lt;&gt;"Yes","No",IF(AND(AC1003="Yes",SETTINGS!$B$16="No"),"No","Yes"))</f>
        <v>No</v>
      </c>
      <c r="AG1003" s="50" t="str">
        <f>IF(A1003&lt;&gt;"Yes","",IF(OR(B1003="",D1003="",E1003&lt;=0,F1003="",I1003=""),"Check Required Fields",IF(AA1003="Possible Duplicate","Possible Duplicate",IF(E1003&gt;SETTINGS!$B$22,"Review Extreme Value","OK"))))</f>
        <v/>
      </c>
    </row>
    <row r="1004" spans="1:33" ht="14.4">
      <c r="A1004" s="9"/>
      <c r="B1004" s="13"/>
      <c r="C1004" s="9"/>
      <c r="D1004" s="9"/>
      <c r="E1004" s="11"/>
      <c r="F1004" s="9"/>
      <c r="G1004" s="9"/>
      <c r="H1004" s="44" t="str">
        <f>IF(D1004="","",IF(ISNUMBER(SEARCH(SETTINGS!$K$4,D1004)),SETTINGS!$L$4,IF(ISNUMBER(SEARCH(SETTINGS!$K$5,D1004)),SETTINGS!$L$5,IF(ISNUMBER(SEARCH(SETTINGS!$K$6,D1004)),SETTINGS!$L$6,IF(ISNUMBER(SEARCH(SETTINGS!$K$7,D1004)),SETTINGS!$L$7,IF(ISNUMBER(SEARCH(SETTINGS!$K$8,D1004)),SETTINGS!$L$8,IF(ISNUMBER(SEARCH(SETTINGS!$K$9,D1004)),SETTINGS!$L$9,IF(ISNUMBER(SEARCH(SETTINGS!$K$10,D1004)),SETTINGS!$L$10,IF(ISNUMBER(SEARCH(SETTINGS!$K$11,D1004)),SETTINGS!$L$11,IF(ISNUMBER(SEARCH(SETTINGS!$K$12,D1004)),SETTINGS!$L$12,IF(ISNUMBER(SEARCH(SETTINGS!$K$13,D1004)),SETTINGS!$L$13,IF(ISNUMBER(SEARCH(SETTINGS!$K$14,D1004)),SETTINGS!$L$14,IF(ISNUMBER(SEARCH(SETTINGS!$K$15,D1004)),SETTINGS!$L$15,IF(ISNUMBER(SEARCH(SETTINGS!$K$16,D1004)),SETTINGS!$L$16,IF(ISNUMBER(SEARCH(SETTINGS!$K$17,D1004)),SETTINGS!$L$17,IF(ISNUMBER(SEARCH(SETTINGS!$K$18,D1004)),SETTINGS!$L$18,"Miscellaneous"))))))))))))))))</f>
        <v/>
      </c>
      <c r="I1004" s="44" t="str">
        <f t="shared" si="120"/>
        <v/>
      </c>
      <c r="J1004" s="9"/>
      <c r="K1004" s="9"/>
      <c r="L1004" s="9"/>
      <c r="M1004" s="9"/>
      <c r="N1004" s="9"/>
      <c r="O1004" s="9"/>
      <c r="P1004" s="13"/>
      <c r="Q1004" s="9"/>
      <c r="R1004" s="9"/>
      <c r="S1004" s="9"/>
      <c r="T1004" s="11"/>
      <c r="U1004" s="44" t="str">
        <f t="shared" si="121"/>
        <v/>
      </c>
      <c r="V1004" s="44" t="str">
        <f t="shared" si="122"/>
        <v/>
      </c>
      <c r="W1004" s="44" t="str">
        <f t="shared" si="123"/>
        <v/>
      </c>
      <c r="X1004" s="44" t="str">
        <f t="shared" si="124"/>
        <v/>
      </c>
      <c r="Y1004" s="44" t="str">
        <f t="shared" si="125"/>
        <v/>
      </c>
      <c r="Z1004" s="44" t="str">
        <f t="shared" si="126"/>
        <v/>
      </c>
      <c r="AA1004" s="50" t="str">
        <f t="shared" si="127"/>
        <v/>
      </c>
      <c r="AB1004" s="50" t="str">
        <f>IF(OR(B1004="",C1004&lt;&gt;"Expense"),"",IF(E1004&gt;IFERROR(AVERAGEIFS($E$8:$E$1007,$I$8:$I$1007,I1004,$C$8:$C$1007,"Expense")*SETTINGS!$B$20,0),"Unusually High","Normal"))</f>
        <v/>
      </c>
      <c r="AC1004" s="51"/>
      <c r="AD1004" s="51"/>
      <c r="AE1004" s="51"/>
      <c r="AF1004" s="50" t="str">
        <f>IF(A1004&lt;&gt;"Yes","No",IF(AND(AC1004="Yes",SETTINGS!$B$16="No"),"No","Yes"))</f>
        <v>No</v>
      </c>
      <c r="AG1004" s="50" t="str">
        <f>IF(A1004&lt;&gt;"Yes","",IF(OR(B1004="",D1004="",E1004&lt;=0,F1004="",I1004=""),"Check Required Fields",IF(AA1004="Possible Duplicate","Possible Duplicate",IF(E1004&gt;SETTINGS!$B$22,"Review Extreme Value","OK"))))</f>
        <v/>
      </c>
    </row>
    <row r="1005" spans="1:33" ht="14.4">
      <c r="A1005" s="9"/>
      <c r="B1005" s="13"/>
      <c r="C1005" s="9"/>
      <c r="D1005" s="9"/>
      <c r="E1005" s="11"/>
      <c r="F1005" s="9"/>
      <c r="G1005" s="9"/>
      <c r="H1005" s="44" t="str">
        <f>IF(D1005="","",IF(ISNUMBER(SEARCH(SETTINGS!$K$4,D1005)),SETTINGS!$L$4,IF(ISNUMBER(SEARCH(SETTINGS!$K$5,D1005)),SETTINGS!$L$5,IF(ISNUMBER(SEARCH(SETTINGS!$K$6,D1005)),SETTINGS!$L$6,IF(ISNUMBER(SEARCH(SETTINGS!$K$7,D1005)),SETTINGS!$L$7,IF(ISNUMBER(SEARCH(SETTINGS!$K$8,D1005)),SETTINGS!$L$8,IF(ISNUMBER(SEARCH(SETTINGS!$K$9,D1005)),SETTINGS!$L$9,IF(ISNUMBER(SEARCH(SETTINGS!$K$10,D1005)),SETTINGS!$L$10,IF(ISNUMBER(SEARCH(SETTINGS!$K$11,D1005)),SETTINGS!$L$11,IF(ISNUMBER(SEARCH(SETTINGS!$K$12,D1005)),SETTINGS!$L$12,IF(ISNUMBER(SEARCH(SETTINGS!$K$13,D1005)),SETTINGS!$L$13,IF(ISNUMBER(SEARCH(SETTINGS!$K$14,D1005)),SETTINGS!$L$14,IF(ISNUMBER(SEARCH(SETTINGS!$K$15,D1005)),SETTINGS!$L$15,IF(ISNUMBER(SEARCH(SETTINGS!$K$16,D1005)),SETTINGS!$L$16,IF(ISNUMBER(SEARCH(SETTINGS!$K$17,D1005)),SETTINGS!$L$17,IF(ISNUMBER(SEARCH(SETTINGS!$K$18,D1005)),SETTINGS!$L$18,"Miscellaneous"))))))))))))))))</f>
        <v/>
      </c>
      <c r="I1005" s="44" t="str">
        <f t="shared" si="120"/>
        <v/>
      </c>
      <c r="J1005" s="9"/>
      <c r="K1005" s="9"/>
      <c r="L1005" s="9"/>
      <c r="M1005" s="9"/>
      <c r="N1005" s="9"/>
      <c r="O1005" s="9"/>
      <c r="P1005" s="13"/>
      <c r="Q1005" s="9"/>
      <c r="R1005" s="9"/>
      <c r="S1005" s="9"/>
      <c r="T1005" s="11"/>
      <c r="U1005" s="44" t="str">
        <f t="shared" si="121"/>
        <v/>
      </c>
      <c r="V1005" s="44" t="str">
        <f t="shared" si="122"/>
        <v/>
      </c>
      <c r="W1005" s="44" t="str">
        <f t="shared" si="123"/>
        <v/>
      </c>
      <c r="X1005" s="44" t="str">
        <f t="shared" si="124"/>
        <v/>
      </c>
      <c r="Y1005" s="44" t="str">
        <f t="shared" si="125"/>
        <v/>
      </c>
      <c r="Z1005" s="44" t="str">
        <f t="shared" si="126"/>
        <v/>
      </c>
      <c r="AA1005" s="50" t="str">
        <f t="shared" si="127"/>
        <v/>
      </c>
      <c r="AB1005" s="50" t="str">
        <f>IF(OR(B1005="",C1005&lt;&gt;"Expense"),"",IF(E1005&gt;IFERROR(AVERAGEIFS($E$8:$E$1007,$I$8:$I$1007,I1005,$C$8:$C$1007,"Expense")*SETTINGS!$B$20,0),"Unusually High","Normal"))</f>
        <v/>
      </c>
      <c r="AC1005" s="51"/>
      <c r="AD1005" s="51"/>
      <c r="AE1005" s="51"/>
      <c r="AF1005" s="50" t="str">
        <f>IF(A1005&lt;&gt;"Yes","No",IF(AND(AC1005="Yes",SETTINGS!$B$16="No"),"No","Yes"))</f>
        <v>No</v>
      </c>
      <c r="AG1005" s="50" t="str">
        <f>IF(A1005&lt;&gt;"Yes","",IF(OR(B1005="",D1005="",E1005&lt;=0,F1005="",I1005=""),"Check Required Fields",IF(AA1005="Possible Duplicate","Possible Duplicate",IF(E1005&gt;SETTINGS!$B$22,"Review Extreme Value","OK"))))</f>
        <v/>
      </c>
    </row>
    <row r="1006" spans="1:33" ht="14.4">
      <c r="A1006" s="9"/>
      <c r="B1006" s="13"/>
      <c r="C1006" s="9"/>
      <c r="D1006" s="9"/>
      <c r="E1006" s="11"/>
      <c r="F1006" s="9"/>
      <c r="G1006" s="9"/>
      <c r="H1006" s="44" t="str">
        <f>IF(D1006="","",IF(ISNUMBER(SEARCH(SETTINGS!$K$4,D1006)),SETTINGS!$L$4,IF(ISNUMBER(SEARCH(SETTINGS!$K$5,D1006)),SETTINGS!$L$5,IF(ISNUMBER(SEARCH(SETTINGS!$K$6,D1006)),SETTINGS!$L$6,IF(ISNUMBER(SEARCH(SETTINGS!$K$7,D1006)),SETTINGS!$L$7,IF(ISNUMBER(SEARCH(SETTINGS!$K$8,D1006)),SETTINGS!$L$8,IF(ISNUMBER(SEARCH(SETTINGS!$K$9,D1006)),SETTINGS!$L$9,IF(ISNUMBER(SEARCH(SETTINGS!$K$10,D1006)),SETTINGS!$L$10,IF(ISNUMBER(SEARCH(SETTINGS!$K$11,D1006)),SETTINGS!$L$11,IF(ISNUMBER(SEARCH(SETTINGS!$K$12,D1006)),SETTINGS!$L$12,IF(ISNUMBER(SEARCH(SETTINGS!$K$13,D1006)),SETTINGS!$L$13,IF(ISNUMBER(SEARCH(SETTINGS!$K$14,D1006)),SETTINGS!$L$14,IF(ISNUMBER(SEARCH(SETTINGS!$K$15,D1006)),SETTINGS!$L$15,IF(ISNUMBER(SEARCH(SETTINGS!$K$16,D1006)),SETTINGS!$L$16,IF(ISNUMBER(SEARCH(SETTINGS!$K$17,D1006)),SETTINGS!$L$17,IF(ISNUMBER(SEARCH(SETTINGS!$K$18,D1006)),SETTINGS!$L$18,"Miscellaneous"))))))))))))))))</f>
        <v/>
      </c>
      <c r="I1006" s="44" t="str">
        <f t="shared" si="120"/>
        <v/>
      </c>
      <c r="J1006" s="9"/>
      <c r="K1006" s="9"/>
      <c r="L1006" s="9"/>
      <c r="M1006" s="9"/>
      <c r="N1006" s="9"/>
      <c r="O1006" s="9"/>
      <c r="P1006" s="13"/>
      <c r="Q1006" s="9"/>
      <c r="R1006" s="9"/>
      <c r="S1006" s="9"/>
      <c r="T1006" s="11"/>
      <c r="U1006" s="44" t="str">
        <f t="shared" si="121"/>
        <v/>
      </c>
      <c r="V1006" s="44" t="str">
        <f t="shared" si="122"/>
        <v/>
      </c>
      <c r="W1006" s="44" t="str">
        <f t="shared" si="123"/>
        <v/>
      </c>
      <c r="X1006" s="44" t="str">
        <f t="shared" si="124"/>
        <v/>
      </c>
      <c r="Y1006" s="44" t="str">
        <f t="shared" si="125"/>
        <v/>
      </c>
      <c r="Z1006" s="44" t="str">
        <f t="shared" si="126"/>
        <v/>
      </c>
      <c r="AA1006" s="50" t="str">
        <f t="shared" si="127"/>
        <v/>
      </c>
      <c r="AB1006" s="50" t="str">
        <f>IF(OR(B1006="",C1006&lt;&gt;"Expense"),"",IF(E1006&gt;IFERROR(AVERAGEIFS($E$8:$E$1007,$I$8:$I$1007,I1006,$C$8:$C$1007,"Expense")*SETTINGS!$B$20,0),"Unusually High","Normal"))</f>
        <v/>
      </c>
      <c r="AC1006" s="51"/>
      <c r="AD1006" s="51"/>
      <c r="AE1006" s="51"/>
      <c r="AF1006" s="50" t="str">
        <f>IF(A1006&lt;&gt;"Yes","No",IF(AND(AC1006="Yes",SETTINGS!$B$16="No"),"No","Yes"))</f>
        <v>No</v>
      </c>
      <c r="AG1006" s="50" t="str">
        <f>IF(A1006&lt;&gt;"Yes","",IF(OR(B1006="",D1006="",E1006&lt;=0,F1006="",I1006=""),"Check Required Fields",IF(AA1006="Possible Duplicate","Possible Duplicate",IF(E1006&gt;SETTINGS!$B$22,"Review Extreme Value","OK"))))</f>
        <v/>
      </c>
    </row>
    <row r="1007" spans="1:33" ht="14.4">
      <c r="A1007" s="10"/>
      <c r="B1007" s="47"/>
      <c r="C1007" s="10"/>
      <c r="D1007" s="10"/>
      <c r="E1007" s="23"/>
      <c r="F1007" s="10"/>
      <c r="G1007" s="10"/>
      <c r="H1007" s="45" t="str">
        <f>IF(D1007="","",IF(ISNUMBER(SEARCH(SETTINGS!$K$4,D1007)),SETTINGS!$L$4,IF(ISNUMBER(SEARCH(SETTINGS!$K$5,D1007)),SETTINGS!$L$5,IF(ISNUMBER(SEARCH(SETTINGS!$K$6,D1007)),SETTINGS!$L$6,IF(ISNUMBER(SEARCH(SETTINGS!$K$7,D1007)),SETTINGS!$L$7,IF(ISNUMBER(SEARCH(SETTINGS!$K$8,D1007)),SETTINGS!$L$8,IF(ISNUMBER(SEARCH(SETTINGS!$K$9,D1007)),SETTINGS!$L$9,IF(ISNUMBER(SEARCH(SETTINGS!$K$10,D1007)),SETTINGS!$L$10,IF(ISNUMBER(SEARCH(SETTINGS!$K$11,D1007)),SETTINGS!$L$11,IF(ISNUMBER(SEARCH(SETTINGS!$K$12,D1007)),SETTINGS!$L$12,IF(ISNUMBER(SEARCH(SETTINGS!$K$13,D1007)),SETTINGS!$L$13,IF(ISNUMBER(SEARCH(SETTINGS!$K$14,D1007)),SETTINGS!$L$14,IF(ISNUMBER(SEARCH(SETTINGS!$K$15,D1007)),SETTINGS!$L$15,IF(ISNUMBER(SEARCH(SETTINGS!$K$16,D1007)),SETTINGS!$L$16,IF(ISNUMBER(SEARCH(SETTINGS!$K$17,D1007)),SETTINGS!$L$17,IF(ISNUMBER(SEARCH(SETTINGS!$K$18,D1007)),SETTINGS!$L$18,"Miscellaneous"))))))))))))))))</f>
        <v/>
      </c>
      <c r="I1007" s="45" t="str">
        <f t="shared" si="120"/>
        <v/>
      </c>
      <c r="J1007" s="10"/>
      <c r="K1007" s="10"/>
      <c r="L1007" s="10"/>
      <c r="M1007" s="10"/>
      <c r="N1007" s="10"/>
      <c r="O1007" s="10"/>
      <c r="P1007" s="47"/>
      <c r="Q1007" s="10"/>
      <c r="R1007" s="10"/>
      <c r="S1007" s="10"/>
      <c r="T1007" s="23"/>
      <c r="U1007" s="45" t="str">
        <f t="shared" si="121"/>
        <v/>
      </c>
      <c r="V1007" s="45" t="str">
        <f t="shared" si="122"/>
        <v/>
      </c>
      <c r="W1007" s="45" t="str">
        <f t="shared" si="123"/>
        <v/>
      </c>
      <c r="X1007" s="45" t="str">
        <f t="shared" si="124"/>
        <v/>
      </c>
      <c r="Y1007" s="45" t="str">
        <f t="shared" si="125"/>
        <v/>
      </c>
      <c r="Z1007" s="45" t="str">
        <f t="shared" si="126"/>
        <v/>
      </c>
      <c r="AA1007" s="52" t="str">
        <f t="shared" si="127"/>
        <v/>
      </c>
      <c r="AB1007" s="52" t="str">
        <f>IF(OR(B1007="",C1007&lt;&gt;"Expense"),"",IF(E1007&gt;IFERROR(AVERAGEIFS($E$8:$E$1007,$I$8:$I$1007,I1007,$C$8:$C$1007,"Expense")*SETTINGS!$B$20,0),"Unusually High","Normal"))</f>
        <v/>
      </c>
      <c r="AC1007" s="53"/>
      <c r="AD1007" s="53"/>
      <c r="AE1007" s="53"/>
      <c r="AF1007" s="52" t="str">
        <f>IF(A1007&lt;&gt;"Yes","No",IF(AND(AC1007="Yes",SETTINGS!$B$16="No"),"No","Yes"))</f>
        <v>No</v>
      </c>
      <c r="AG1007" s="52" t="str">
        <f>IF(A1007&lt;&gt;"Yes","",IF(OR(B1007="",D1007="",E1007&lt;=0,F1007="",I1007=""),"Check Required Fields",IF(AA1007="Possible Duplicate","Possible Duplicate",IF(E1007&gt;SETTINGS!$B$22,"Review Extreme Value","OK"))))</f>
        <v/>
      </c>
    </row>
  </sheetData>
  <mergeCells count="4">
    <mergeCell ref="A1:AG2"/>
    <mergeCell ref="A3:AG3"/>
    <mergeCell ref="A5:G5"/>
    <mergeCell ref="H5:AG5"/>
  </mergeCells>
  <conditionalFormatting sqref="AA8:AA1007">
    <cfRule type="containsText" dxfId="77" priority="1" operator="containsText" text="Duplicate"/>
  </conditionalFormatting>
  <conditionalFormatting sqref="AB8:AB1007">
    <cfRule type="containsText" dxfId="76" priority="2" operator="containsText" text="Unusually"/>
  </conditionalFormatting>
  <conditionalFormatting sqref="AG8:AG1007">
    <cfRule type="notContainsText" dxfId="75" priority="3" operator="notContains" text="OK"/>
  </conditionalFormatting>
  <dataValidations count="1">
    <dataValidation type="list" sqref="A8:A1007 AC8:AC1007" xr:uid="{00000000-0002-0000-0200-000000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xr:uid="{00000000-0002-0000-0200-000001000000}">
          <x14:formula1>
            <xm:f>SETTINGS!$L$21:$L$29</xm:f>
          </x14:formula1>
          <xm:sqref>C8:C1007</xm:sqref>
        </x14:dataValidation>
        <x14:dataValidation type="list" xr:uid="{00000000-0002-0000-0200-000002000000}">
          <x14:formula1>
            <xm:f>SETTINGS!$M$21:$M$32</xm:f>
          </x14:formula1>
          <xm:sqref>F8:F1007</xm:sqref>
        </x14:dataValidation>
        <x14:dataValidation type="list" xr:uid="{00000000-0002-0000-0200-000003000000}">
          <x14:formula1>
            <xm:f>SETTINGS!$A$33:$A$52</xm:f>
          </x14:formula1>
          <xm:sqref>G8:G1007</xm:sqref>
        </x14:dataValidation>
        <x14:dataValidation type="list" xr:uid="{00000000-0002-0000-0200-000004000000}">
          <x14:formula1>
            <xm:f>SETTINGS!$V$21:$V$45</xm:f>
          </x14:formula1>
          <xm:sqref>J8:J1007</xm:sqref>
        </x14:dataValidation>
        <x14:dataValidation type="list" xr:uid="{00000000-0002-0000-0200-000005000000}">
          <x14:formula1>
            <xm:f>SETTINGS!$S$21:$S$28</xm:f>
          </x14:formula1>
          <xm:sqref>L8:L1007</xm:sqref>
        </x14:dataValidation>
        <x14:dataValidation type="list" xr:uid="{00000000-0002-0000-0200-000006000000}">
          <x14:formula1>
            <xm:f>SETTINGS!$O$21:$O$25</xm:f>
          </x14:formula1>
          <xm:sqref>M8:M1007</xm:sqref>
        </x14:dataValidation>
        <x14:dataValidation type="list" xr:uid="{00000000-0002-0000-0200-000007000000}">
          <x14:formula1>
            <xm:f>SETTINGS!$P$21:$P$22</xm:f>
          </x14:formula1>
          <xm:sqref>N8:N1007</xm:sqref>
        </x14:dataValidation>
        <x14:dataValidation type="list" xr:uid="{00000000-0002-0000-0200-000008000000}">
          <x14:formula1>
            <xm:f>SETTINGS!$N$21:$N$30</xm:f>
          </x14:formula1>
          <xm:sqref>O8:O1007</xm:sqref>
        </x14:dataValidation>
        <x14:dataValidation type="list" xr:uid="{00000000-0002-0000-0200-000009000000}">
          <x14:formula1>
            <xm:f>SETTINGS!$W$21:$W$25</xm:f>
          </x14:formula1>
          <xm:sqref>Q8:Q1007</xm:sqref>
        </x14:dataValidation>
        <x14:dataValidation type="list" xr:uid="{00000000-0002-0000-0200-00000A000000}">
          <x14:formula1>
            <xm:f>SETTINGS!$Q$21:$Q$23</xm:f>
          </x14:formula1>
          <xm:sqref>R8:R1007</xm:sqref>
        </x14:dataValidation>
        <x14:dataValidation type="list" xr:uid="{00000000-0002-0000-0200-00000B000000}">
          <x14:formula1>
            <xm:f>SETTINGS!$U$21:$U$32</xm:f>
          </x14:formula1>
          <xm:sqref>S8:S1007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7"/>
  <sheetViews>
    <sheetView showGridLines="0" workbookViewId="0"/>
  </sheetViews>
  <sheetFormatPr defaultRowHeight="13.8"/>
  <cols>
    <col min="1" max="1" width="18" customWidth="1"/>
    <col min="2" max="2" width="13" customWidth="1"/>
    <col min="3" max="3" width="16" customWidth="1"/>
    <col min="4" max="4" width="20" customWidth="1"/>
    <col min="5" max="5" width="34" customWidth="1"/>
    <col min="6" max="6" width="18" customWidth="1"/>
    <col min="7" max="7" width="14" customWidth="1"/>
    <col min="8" max="9" width="18" customWidth="1"/>
    <col min="10" max="10" width="16" customWidth="1"/>
    <col min="11" max="11" width="13" customWidth="1"/>
    <col min="12" max="12" width="15" customWidth="1"/>
    <col min="13" max="13" width="16" customWidth="1"/>
    <col min="14" max="14" width="18" customWidth="1"/>
    <col min="15" max="15" width="22" customWidth="1"/>
    <col min="16" max="16" width="12" customWidth="1"/>
  </cols>
  <sheetData>
    <row r="1" spans="1:16" ht="31.95" customHeight="1">
      <c r="A1" s="107" t="s">
        <v>217</v>
      </c>
      <c r="B1" s="107" t="s">
        <v>217</v>
      </c>
      <c r="C1" s="107" t="s">
        <v>217</v>
      </c>
      <c r="D1" s="107" t="s">
        <v>217</v>
      </c>
      <c r="E1" s="107" t="s">
        <v>217</v>
      </c>
      <c r="F1" s="107" t="s">
        <v>217</v>
      </c>
      <c r="G1" s="107" t="s">
        <v>217</v>
      </c>
      <c r="H1" s="107" t="s">
        <v>217</v>
      </c>
      <c r="I1" s="107" t="s">
        <v>217</v>
      </c>
      <c r="J1" s="107" t="s">
        <v>217</v>
      </c>
      <c r="K1" s="107" t="s">
        <v>217</v>
      </c>
      <c r="L1" s="107" t="s">
        <v>217</v>
      </c>
      <c r="M1" s="107" t="s">
        <v>217</v>
      </c>
      <c r="N1" s="107" t="s">
        <v>217</v>
      </c>
      <c r="O1" s="107" t="s">
        <v>217</v>
      </c>
      <c r="P1" s="107" t="s">
        <v>217</v>
      </c>
    </row>
    <row r="2" spans="1:16" ht="31.95" customHeight="1">
      <c r="A2" s="107" t="s">
        <v>217</v>
      </c>
      <c r="B2" s="107" t="s">
        <v>217</v>
      </c>
      <c r="C2" s="107" t="s">
        <v>217</v>
      </c>
      <c r="D2" s="107" t="s">
        <v>217</v>
      </c>
      <c r="E2" s="107" t="s">
        <v>217</v>
      </c>
      <c r="F2" s="107" t="s">
        <v>217</v>
      </c>
      <c r="G2" s="107" t="s">
        <v>217</v>
      </c>
      <c r="H2" s="107" t="s">
        <v>217</v>
      </c>
      <c r="I2" s="107" t="s">
        <v>217</v>
      </c>
      <c r="J2" s="107" t="s">
        <v>217</v>
      </c>
      <c r="K2" s="107" t="s">
        <v>217</v>
      </c>
      <c r="L2" s="107" t="s">
        <v>217</v>
      </c>
      <c r="M2" s="107" t="s">
        <v>217</v>
      </c>
      <c r="N2" s="107" t="s">
        <v>217</v>
      </c>
      <c r="O2" s="107" t="s">
        <v>217</v>
      </c>
      <c r="P2" s="107" t="s">
        <v>217</v>
      </c>
    </row>
    <row r="3" spans="1:16" ht="18" customHeight="1">
      <c r="A3" s="108" t="s">
        <v>218</v>
      </c>
      <c r="B3" s="108" t="s">
        <v>218</v>
      </c>
      <c r="C3" s="108" t="s">
        <v>218</v>
      </c>
      <c r="D3" s="108" t="s">
        <v>218</v>
      </c>
      <c r="E3" s="108" t="s">
        <v>218</v>
      </c>
      <c r="F3" s="108" t="s">
        <v>218</v>
      </c>
      <c r="G3" s="108" t="s">
        <v>218</v>
      </c>
      <c r="H3" s="108" t="s">
        <v>218</v>
      </c>
      <c r="I3" s="108" t="s">
        <v>218</v>
      </c>
      <c r="J3" s="108" t="s">
        <v>218</v>
      </c>
      <c r="K3" s="108" t="s">
        <v>218</v>
      </c>
      <c r="L3" s="108" t="s">
        <v>218</v>
      </c>
      <c r="M3" s="108" t="s">
        <v>218</v>
      </c>
      <c r="N3" s="108" t="s">
        <v>218</v>
      </c>
      <c r="O3" s="108" t="s">
        <v>218</v>
      </c>
      <c r="P3" s="108" t="s">
        <v>218</v>
      </c>
    </row>
    <row r="5" spans="1:16" ht="14.4">
      <c r="A5" s="246" t="s">
        <v>219</v>
      </c>
      <c r="B5" s="247" t="s">
        <v>219</v>
      </c>
      <c r="C5" s="247" t="s">
        <v>219</v>
      </c>
      <c r="D5" s="247" t="s">
        <v>219</v>
      </c>
      <c r="E5" s="247" t="s">
        <v>219</v>
      </c>
      <c r="F5" s="247" t="s">
        <v>219</v>
      </c>
      <c r="G5" s="247" t="s">
        <v>219</v>
      </c>
      <c r="H5" s="247" t="s">
        <v>219</v>
      </c>
      <c r="I5" s="247" t="s">
        <v>219</v>
      </c>
      <c r="J5" s="247" t="s">
        <v>219</v>
      </c>
      <c r="K5" s="247" t="s">
        <v>219</v>
      </c>
      <c r="L5" s="247" t="s">
        <v>219</v>
      </c>
      <c r="M5" s="247" t="s">
        <v>219</v>
      </c>
      <c r="N5" s="247" t="s">
        <v>219</v>
      </c>
      <c r="O5" s="247" t="s">
        <v>219</v>
      </c>
      <c r="P5" s="248" t="s">
        <v>219</v>
      </c>
    </row>
    <row r="7" spans="1:16" ht="30" customHeight="1">
      <c r="A7" s="19" t="s">
        <v>99</v>
      </c>
      <c r="B7" s="20" t="s">
        <v>81</v>
      </c>
      <c r="C7" s="20" t="s">
        <v>82</v>
      </c>
      <c r="D7" s="20" t="s">
        <v>40</v>
      </c>
      <c r="E7" s="20" t="s">
        <v>83</v>
      </c>
      <c r="F7" s="20" t="s">
        <v>220</v>
      </c>
      <c r="G7" s="20" t="s">
        <v>84</v>
      </c>
      <c r="H7" s="20" t="s">
        <v>46</v>
      </c>
      <c r="I7" s="20" t="s">
        <v>90</v>
      </c>
      <c r="J7" s="20" t="s">
        <v>91</v>
      </c>
      <c r="K7" s="20" t="s">
        <v>37</v>
      </c>
      <c r="L7" s="20" t="s">
        <v>96</v>
      </c>
      <c r="M7" s="20" t="s">
        <v>75</v>
      </c>
      <c r="N7" s="20" t="s">
        <v>221</v>
      </c>
      <c r="O7" s="20" t="s">
        <v>110</v>
      </c>
      <c r="P7" s="21" t="s">
        <v>109</v>
      </c>
    </row>
    <row r="8" spans="1:16" ht="14.4">
      <c r="A8" s="43" t="str">
        <f>IF('QUICK ENTRY'!$B8="","",'QUICK ENTRY'!$U8)</f>
        <v>INC-2026-0001</v>
      </c>
      <c r="B8" s="54">
        <f>IF('QUICK ENTRY'!$B8="","",'QUICK ENTRY'!$B8)</f>
        <v>46023</v>
      </c>
      <c r="C8" s="43" t="str">
        <f>IF('QUICK ENTRY'!$B8="","",'QUICK ENTRY'!$C8)</f>
        <v>Income</v>
      </c>
      <c r="D8" s="43" t="str">
        <f>IF('QUICK ENTRY'!$B8="","",'QUICK ENTRY'!$I8)</f>
        <v>Miscellaneous</v>
      </c>
      <c r="E8" s="43" t="str">
        <f>IF('QUICK ENTRY'!$B8="","",'QUICK ENTRY'!$D8)</f>
        <v>Monthly Allowance - January</v>
      </c>
      <c r="F8" s="43">
        <f>IF('QUICK ENTRY'!$B8="","",'QUICK ENTRY'!$K8)</f>
        <v>0</v>
      </c>
      <c r="G8" s="57">
        <f>IF('QUICK ENTRY'!$B8="","",'QUICK ENTRY'!$E8)</f>
        <v>25000</v>
      </c>
      <c r="H8" s="43" t="str">
        <f>IF('QUICK ENTRY'!$B8="","",'QUICK ENTRY'!$F8)</f>
        <v>UPI</v>
      </c>
      <c r="I8" s="43" t="str">
        <f>IF('QUICK ENTRY'!$B8="","",'QUICK ENTRY'!$L8)</f>
        <v>UPI-linked Bank</v>
      </c>
      <c r="J8" s="43" t="str">
        <f>IF('QUICK ENTRY'!$B8="","",'QUICK ENTRY'!$M8)</f>
        <v>Essential</v>
      </c>
      <c r="K8" s="43" t="str">
        <f>IF('QUICK ENTRY'!$B8="","",'QUICK ENTRY'!$V8)</f>
        <v>January</v>
      </c>
      <c r="L8" s="43" t="str">
        <f>IF('QUICK ENTRY'!$B8="","",'QUICK ENTRY'!$R8)</f>
        <v>Not Applicable</v>
      </c>
      <c r="M8" s="43" t="str">
        <f>IF('QUICK ENTRY'!$B8="","",'QUICK ENTRY'!$O8)</f>
        <v>Paid</v>
      </c>
      <c r="N8" s="43" t="str">
        <f>IF('QUICK ENTRY'!$B8="","",'QUICK ENTRY'!$AA8)</f>
        <v>OK</v>
      </c>
      <c r="O8" s="43" t="str">
        <f>IF('QUICK ENTRY'!$B8="","",'QUICK ENTRY'!$AG8)</f>
        <v>OK</v>
      </c>
      <c r="P8" s="43" t="str">
        <f>IF('QUICK ENTRY'!$B8="","",'QUICK ENTRY'!$AF8)</f>
        <v>Yes</v>
      </c>
    </row>
    <row r="9" spans="1:16" ht="14.4">
      <c r="A9" s="44" t="str">
        <f>IF('QUICK ENTRY'!$B9="","",'QUICK ENTRY'!$U9)</f>
        <v>EXP-2026-0002</v>
      </c>
      <c r="B9" s="55">
        <f>IF('QUICK ENTRY'!$B9="","",'QUICK ENTRY'!$B9)</f>
        <v>46027</v>
      </c>
      <c r="C9" s="44" t="str">
        <f>IF('QUICK ENTRY'!$B9="","",'QUICK ENTRY'!$C9)</f>
        <v>Expense</v>
      </c>
      <c r="D9" s="44" t="str">
        <f>IF('QUICK ENTRY'!$B9="","",'QUICK ENTRY'!$I9)</f>
        <v>College Fees</v>
      </c>
      <c r="E9" s="44" t="str">
        <f>IF('QUICK ENTRY'!$B9="","",'QUICK ENTRY'!$D9)</f>
        <v>Semester tuition installment</v>
      </c>
      <c r="F9" s="44" t="str">
        <f>IF('QUICK ENTRY'!$B9="","",'QUICK ENTRY'!$K9)</f>
        <v>College</v>
      </c>
      <c r="G9" s="58">
        <f>IF('QUICK ENTRY'!$B9="","",'QUICK ENTRY'!$E9)</f>
        <v>4500</v>
      </c>
      <c r="H9" s="44" t="str">
        <f>IF('QUICK ENTRY'!$B9="","",'QUICK ENTRY'!$F9)</f>
        <v>Bank Transfer</v>
      </c>
      <c r="I9" s="44" t="str">
        <f>IF('QUICK ENTRY'!$B9="","",'QUICK ENTRY'!$L9)</f>
        <v>UPI-linked Bank</v>
      </c>
      <c r="J9" s="44" t="str">
        <f>IF('QUICK ENTRY'!$B9="","",'QUICK ENTRY'!$M9)</f>
        <v>Essential</v>
      </c>
      <c r="K9" s="44" t="str">
        <f>IF('QUICK ENTRY'!$B9="","",'QUICK ENTRY'!$V9)</f>
        <v>January</v>
      </c>
      <c r="L9" s="44" t="str">
        <f>IF('QUICK ENTRY'!$B9="","",'QUICK ENTRY'!$R9)</f>
        <v>Semester 1</v>
      </c>
      <c r="M9" s="44" t="str">
        <f>IF('QUICK ENTRY'!$B9="","",'QUICK ENTRY'!$O9)</f>
        <v>Paid</v>
      </c>
      <c r="N9" s="44" t="str">
        <f>IF('QUICK ENTRY'!$B9="","",'QUICK ENTRY'!$AA9)</f>
        <v>OK</v>
      </c>
      <c r="O9" s="44" t="str">
        <f>IF('QUICK ENTRY'!$B9="","",'QUICK ENTRY'!$AG9)</f>
        <v>OK</v>
      </c>
      <c r="P9" s="44" t="str">
        <f>IF('QUICK ENTRY'!$B9="","",'QUICK ENTRY'!$AF9)</f>
        <v>Yes</v>
      </c>
    </row>
    <row r="10" spans="1:16" ht="14.4">
      <c r="A10" s="44" t="str">
        <f>IF('QUICK ENTRY'!$B10="","",'QUICK ENTRY'!$U10)</f>
        <v>EXP-2026-0003</v>
      </c>
      <c r="B10" s="55">
        <f>IF('QUICK ENTRY'!$B10="","",'QUICK ENTRY'!$B10)</f>
        <v>46030</v>
      </c>
      <c r="C10" s="44" t="str">
        <f>IF('QUICK ENTRY'!$B10="","",'QUICK ENTRY'!$C10)</f>
        <v>Expense</v>
      </c>
      <c r="D10" s="44" t="str">
        <f>IF('QUICK ENTRY'!$B10="","",'QUICK ENTRY'!$I10)</f>
        <v>Hostel</v>
      </c>
      <c r="E10" s="44" t="str">
        <f>IF('QUICK ENTRY'!$B10="","",'QUICK ENTRY'!$D10)</f>
        <v>Hostel Fee</v>
      </c>
      <c r="F10" s="44" t="str">
        <f>IF('QUICK ENTRY'!$B10="","",'QUICK ENTRY'!$K10)</f>
        <v>College Hostel</v>
      </c>
      <c r="G10" s="58">
        <f>IF('QUICK ENTRY'!$B10="","",'QUICK ENTRY'!$E10)</f>
        <v>3500</v>
      </c>
      <c r="H10" s="44" t="str">
        <f>IF('QUICK ENTRY'!$B10="","",'QUICK ENTRY'!$F10)</f>
        <v>Bank Transfer</v>
      </c>
      <c r="I10" s="44" t="str">
        <f>IF('QUICK ENTRY'!$B10="","",'QUICK ENTRY'!$L10)</f>
        <v>UPI-linked Bank</v>
      </c>
      <c r="J10" s="44" t="str">
        <f>IF('QUICK ENTRY'!$B10="","",'QUICK ENTRY'!$M10)</f>
        <v>Essential</v>
      </c>
      <c r="K10" s="44" t="str">
        <f>IF('QUICK ENTRY'!$B10="","",'QUICK ENTRY'!$V10)</f>
        <v>January</v>
      </c>
      <c r="L10" s="44" t="str">
        <f>IF('QUICK ENTRY'!$B10="","",'QUICK ENTRY'!$R10)</f>
        <v>Semester 1</v>
      </c>
      <c r="M10" s="44" t="str">
        <f>IF('QUICK ENTRY'!$B10="","",'QUICK ENTRY'!$O10)</f>
        <v>Paid</v>
      </c>
      <c r="N10" s="44" t="str">
        <f>IF('QUICK ENTRY'!$B10="","",'QUICK ENTRY'!$AA10)</f>
        <v>OK</v>
      </c>
      <c r="O10" s="44" t="str">
        <f>IF('QUICK ENTRY'!$B10="","",'QUICK ENTRY'!$AG10)</f>
        <v>OK</v>
      </c>
      <c r="P10" s="44" t="str">
        <f>IF('QUICK ENTRY'!$B10="","",'QUICK ENTRY'!$AF10)</f>
        <v>Yes</v>
      </c>
    </row>
    <row r="11" spans="1:16" ht="14.4">
      <c r="A11" s="44" t="str">
        <f>IF('QUICK ENTRY'!$B11="","",'QUICK ENTRY'!$U11)</f>
        <v>INC-2026-0004</v>
      </c>
      <c r="B11" s="55">
        <f>IF('QUICK ENTRY'!$B11="","",'QUICK ENTRY'!$B11)</f>
        <v>46054</v>
      </c>
      <c r="C11" s="44" t="str">
        <f>IF('QUICK ENTRY'!$B11="","",'QUICK ENTRY'!$C11)</f>
        <v>Income</v>
      </c>
      <c r="D11" s="44" t="str">
        <f>IF('QUICK ENTRY'!$B11="","",'QUICK ENTRY'!$I11)</f>
        <v>Miscellaneous</v>
      </c>
      <c r="E11" s="44" t="str">
        <f>IF('QUICK ENTRY'!$B11="","",'QUICK ENTRY'!$D11)</f>
        <v>Monthly Allowance - February</v>
      </c>
      <c r="F11" s="44">
        <f>IF('QUICK ENTRY'!$B11="","",'QUICK ENTRY'!$K11)</f>
        <v>0</v>
      </c>
      <c r="G11" s="58">
        <f>IF('QUICK ENTRY'!$B11="","",'QUICK ENTRY'!$E11)</f>
        <v>25000</v>
      </c>
      <c r="H11" s="44" t="str">
        <f>IF('QUICK ENTRY'!$B11="","",'QUICK ENTRY'!$F11)</f>
        <v>UPI</v>
      </c>
      <c r="I11" s="44" t="str">
        <f>IF('QUICK ENTRY'!$B11="","",'QUICK ENTRY'!$L11)</f>
        <v>UPI-linked Bank</v>
      </c>
      <c r="J11" s="44" t="str">
        <f>IF('QUICK ENTRY'!$B11="","",'QUICK ENTRY'!$M11)</f>
        <v>Essential</v>
      </c>
      <c r="K11" s="44" t="str">
        <f>IF('QUICK ENTRY'!$B11="","",'QUICK ENTRY'!$V11)</f>
        <v>February</v>
      </c>
      <c r="L11" s="44" t="str">
        <f>IF('QUICK ENTRY'!$B11="","",'QUICK ENTRY'!$R11)</f>
        <v>Not Applicable</v>
      </c>
      <c r="M11" s="44" t="str">
        <f>IF('QUICK ENTRY'!$B11="","",'QUICK ENTRY'!$O11)</f>
        <v>Paid</v>
      </c>
      <c r="N11" s="44" t="str">
        <f>IF('QUICK ENTRY'!$B11="","",'QUICK ENTRY'!$AA11)</f>
        <v>OK</v>
      </c>
      <c r="O11" s="44" t="str">
        <f>IF('QUICK ENTRY'!$B11="","",'QUICK ENTRY'!$AG11)</f>
        <v>OK</v>
      </c>
      <c r="P11" s="44" t="str">
        <f>IF('QUICK ENTRY'!$B11="","",'QUICK ENTRY'!$AF11)</f>
        <v>Yes</v>
      </c>
    </row>
    <row r="12" spans="1:16" ht="14.4">
      <c r="A12" s="44" t="str">
        <f>IF('QUICK ENTRY'!$B12="","",'QUICK ENTRY'!$U12)</f>
        <v>EXP-2026-0005</v>
      </c>
      <c r="B12" s="55">
        <f>IF('QUICK ENTRY'!$B12="","",'QUICK ENTRY'!$B12)</f>
        <v>46065</v>
      </c>
      <c r="C12" s="44" t="str">
        <f>IF('QUICK ENTRY'!$B12="","",'QUICK ENTRY'!$C12)</f>
        <v>Expense</v>
      </c>
      <c r="D12" s="44" t="str">
        <f>IF('QUICK ENTRY'!$B12="","",'QUICK ENTRY'!$I12)</f>
        <v>Food</v>
      </c>
      <c r="E12" s="44" t="str">
        <f>IF('QUICK ENTRY'!$B12="","",'QUICK ENTRY'!$D12)</f>
        <v>Groceries and fruit</v>
      </c>
      <c r="F12" s="44" t="str">
        <f>IF('QUICK ENTRY'!$B12="","",'QUICK ENTRY'!$K12)</f>
        <v>Local Market</v>
      </c>
      <c r="G12" s="58">
        <f>IF('QUICK ENTRY'!$B12="","",'QUICK ENTRY'!$E12)</f>
        <v>3200</v>
      </c>
      <c r="H12" s="44" t="str">
        <f>IF('QUICK ENTRY'!$B12="","",'QUICK ENTRY'!$F12)</f>
        <v>UPI</v>
      </c>
      <c r="I12" s="44" t="str">
        <f>IF('QUICK ENTRY'!$B12="","",'QUICK ENTRY'!$L12)</f>
        <v>UPI-linked Bank</v>
      </c>
      <c r="J12" s="44" t="str">
        <f>IF('QUICK ENTRY'!$B12="","",'QUICK ENTRY'!$M12)</f>
        <v>Essential</v>
      </c>
      <c r="K12" s="44" t="str">
        <f>IF('QUICK ENTRY'!$B12="","",'QUICK ENTRY'!$V12)</f>
        <v>February</v>
      </c>
      <c r="L12" s="44" t="str">
        <f>IF('QUICK ENTRY'!$B12="","",'QUICK ENTRY'!$R12)</f>
        <v>Not Applicable</v>
      </c>
      <c r="M12" s="44" t="str">
        <f>IF('QUICK ENTRY'!$B12="","",'QUICK ENTRY'!$O12)</f>
        <v>Paid</v>
      </c>
      <c r="N12" s="44" t="str">
        <f>IF('QUICK ENTRY'!$B12="","",'QUICK ENTRY'!$AA12)</f>
        <v>OK</v>
      </c>
      <c r="O12" s="44" t="str">
        <f>IF('QUICK ENTRY'!$B12="","",'QUICK ENTRY'!$AG12)</f>
        <v>OK</v>
      </c>
      <c r="P12" s="44" t="str">
        <f>IF('QUICK ENTRY'!$B12="","",'QUICK ENTRY'!$AF12)</f>
        <v>Yes</v>
      </c>
    </row>
    <row r="13" spans="1:16" ht="14.4">
      <c r="A13" s="44" t="str">
        <f>IF('QUICK ENTRY'!$B13="","",'QUICK ENTRY'!$U13)</f>
        <v>EXP-2026-0006</v>
      </c>
      <c r="B13" s="55">
        <f>IF('QUICK ENTRY'!$B13="","",'QUICK ENTRY'!$B13)</f>
        <v>46071</v>
      </c>
      <c r="C13" s="44" t="str">
        <f>IF('QUICK ENTRY'!$B13="","",'QUICK ENTRY'!$C13)</f>
        <v>Expense</v>
      </c>
      <c r="D13" s="44" t="str">
        <f>IF('QUICK ENTRY'!$B13="","",'QUICK ENTRY'!$I13)</f>
        <v>Transport</v>
      </c>
      <c r="E13" s="44" t="str">
        <f>IF('QUICK ENTRY'!$B13="","",'QUICK ENTRY'!$D13)</f>
        <v>Bus and metro commute</v>
      </c>
      <c r="F13" s="44" t="str">
        <f>IF('QUICK ENTRY'!$B13="","",'QUICK ENTRY'!$K13)</f>
        <v>Transit</v>
      </c>
      <c r="G13" s="58">
        <f>IF('QUICK ENTRY'!$B13="","",'QUICK ENTRY'!$E13)</f>
        <v>1200</v>
      </c>
      <c r="H13" s="44" t="str">
        <f>IF('QUICK ENTRY'!$B13="","",'QUICK ENTRY'!$F13)</f>
        <v>UPI</v>
      </c>
      <c r="I13" s="44" t="str">
        <f>IF('QUICK ENTRY'!$B13="","",'QUICK ENTRY'!$L13)</f>
        <v>UPI-linked Bank</v>
      </c>
      <c r="J13" s="44" t="str">
        <f>IF('QUICK ENTRY'!$B13="","",'QUICK ENTRY'!$M13)</f>
        <v>Useful</v>
      </c>
      <c r="K13" s="44" t="str">
        <f>IF('QUICK ENTRY'!$B13="","",'QUICK ENTRY'!$V13)</f>
        <v>February</v>
      </c>
      <c r="L13" s="44" t="str">
        <f>IF('QUICK ENTRY'!$B13="","",'QUICK ENTRY'!$R13)</f>
        <v>Not Applicable</v>
      </c>
      <c r="M13" s="44" t="str">
        <f>IF('QUICK ENTRY'!$B13="","",'QUICK ENTRY'!$O13)</f>
        <v>Paid</v>
      </c>
      <c r="N13" s="44" t="str">
        <f>IF('QUICK ENTRY'!$B13="","",'QUICK ENTRY'!$AA13)</f>
        <v>OK</v>
      </c>
      <c r="O13" s="44" t="str">
        <f>IF('QUICK ENTRY'!$B13="","",'QUICK ENTRY'!$AG13)</f>
        <v>OK</v>
      </c>
      <c r="P13" s="44" t="str">
        <f>IF('QUICK ENTRY'!$B13="","",'QUICK ENTRY'!$AF13)</f>
        <v>Yes</v>
      </c>
    </row>
    <row r="14" spans="1:16" ht="14.4">
      <c r="A14" s="44" t="str">
        <f>IF('QUICK ENTRY'!$B14="","",'QUICK ENTRY'!$U14)</f>
        <v>INC-2026-0007</v>
      </c>
      <c r="B14" s="55">
        <f>IF('QUICK ENTRY'!$B14="","",'QUICK ENTRY'!$B14)</f>
        <v>46082</v>
      </c>
      <c r="C14" s="44" t="str">
        <f>IF('QUICK ENTRY'!$B14="","",'QUICK ENTRY'!$C14)</f>
        <v>Income</v>
      </c>
      <c r="D14" s="44" t="str">
        <f>IF('QUICK ENTRY'!$B14="","",'QUICK ENTRY'!$I14)</f>
        <v>Miscellaneous</v>
      </c>
      <c r="E14" s="44" t="str">
        <f>IF('QUICK ENTRY'!$B14="","",'QUICK ENTRY'!$D14)</f>
        <v>Monthly Allowance - March</v>
      </c>
      <c r="F14" s="44">
        <f>IF('QUICK ENTRY'!$B14="","",'QUICK ENTRY'!$K14)</f>
        <v>0</v>
      </c>
      <c r="G14" s="58">
        <f>IF('QUICK ENTRY'!$B14="","",'QUICK ENTRY'!$E14)</f>
        <v>25000</v>
      </c>
      <c r="H14" s="44" t="str">
        <f>IF('QUICK ENTRY'!$B14="","",'QUICK ENTRY'!$F14)</f>
        <v>UPI</v>
      </c>
      <c r="I14" s="44" t="str">
        <f>IF('QUICK ENTRY'!$B14="","",'QUICK ENTRY'!$L14)</f>
        <v>UPI-linked Bank</v>
      </c>
      <c r="J14" s="44" t="str">
        <f>IF('QUICK ENTRY'!$B14="","",'QUICK ENTRY'!$M14)</f>
        <v>Essential</v>
      </c>
      <c r="K14" s="44" t="str">
        <f>IF('QUICK ENTRY'!$B14="","",'QUICK ENTRY'!$V14)</f>
        <v>March</v>
      </c>
      <c r="L14" s="44" t="str">
        <f>IF('QUICK ENTRY'!$B14="","",'QUICK ENTRY'!$R14)</f>
        <v>Not Applicable</v>
      </c>
      <c r="M14" s="44" t="str">
        <f>IF('QUICK ENTRY'!$B14="","",'QUICK ENTRY'!$O14)</f>
        <v>Paid</v>
      </c>
      <c r="N14" s="44" t="str">
        <f>IF('QUICK ENTRY'!$B14="","",'QUICK ENTRY'!$AA14)</f>
        <v>OK</v>
      </c>
      <c r="O14" s="44" t="str">
        <f>IF('QUICK ENTRY'!$B14="","",'QUICK ENTRY'!$AG14)</f>
        <v>OK</v>
      </c>
      <c r="P14" s="44" t="str">
        <f>IF('QUICK ENTRY'!$B14="","",'QUICK ENTRY'!$AF14)</f>
        <v>Yes</v>
      </c>
    </row>
    <row r="15" spans="1:16" ht="14.4">
      <c r="A15" s="44" t="str">
        <f>IF('QUICK ENTRY'!$B15="","",'QUICK ENTRY'!$U15)</f>
        <v>EXP-2026-0008</v>
      </c>
      <c r="B15" s="55">
        <f>IF('QUICK ENTRY'!$B15="","",'QUICK ENTRY'!$B15)</f>
        <v>46091</v>
      </c>
      <c r="C15" s="44" t="str">
        <f>IF('QUICK ENTRY'!$B15="","",'QUICK ENTRY'!$C15)</f>
        <v>Expense</v>
      </c>
      <c r="D15" s="44" t="str">
        <f>IF('QUICK ENTRY'!$B15="","",'QUICK ENTRY'!$I15)</f>
        <v>Technology</v>
      </c>
      <c r="E15" s="44" t="str">
        <f>IF('QUICK ENTRY'!$B15="","",'QUICK ENTRY'!$D15)</f>
        <v>Laptop repair and SSD</v>
      </c>
      <c r="F15" s="44" t="str">
        <f>IF('QUICK ENTRY'!$B15="","",'QUICK ENTRY'!$K15)</f>
        <v>Computer Store</v>
      </c>
      <c r="G15" s="58">
        <f>IF('QUICK ENTRY'!$B15="","",'QUICK ENTRY'!$E15)</f>
        <v>2500</v>
      </c>
      <c r="H15" s="44" t="str">
        <f>IF('QUICK ENTRY'!$B15="","",'QUICK ENTRY'!$F15)</f>
        <v>Debit Card</v>
      </c>
      <c r="I15" s="44" t="str">
        <f>IF('QUICK ENTRY'!$B15="","",'QUICK ENTRY'!$L15)</f>
        <v>UPI-linked Bank</v>
      </c>
      <c r="J15" s="44" t="str">
        <f>IF('QUICK ENTRY'!$B15="","",'QUICK ENTRY'!$M15)</f>
        <v>Essential</v>
      </c>
      <c r="K15" s="44" t="str">
        <f>IF('QUICK ENTRY'!$B15="","",'QUICK ENTRY'!$V15)</f>
        <v>March</v>
      </c>
      <c r="L15" s="44" t="str">
        <f>IF('QUICK ENTRY'!$B15="","",'QUICK ENTRY'!$R15)</f>
        <v>Not Applicable</v>
      </c>
      <c r="M15" s="44" t="str">
        <f>IF('QUICK ENTRY'!$B15="","",'QUICK ENTRY'!$O15)</f>
        <v>Paid</v>
      </c>
      <c r="N15" s="44" t="str">
        <f>IF('QUICK ENTRY'!$B15="","",'QUICK ENTRY'!$AA15)</f>
        <v>OK</v>
      </c>
      <c r="O15" s="44" t="str">
        <f>IF('QUICK ENTRY'!$B15="","",'QUICK ENTRY'!$AG15)</f>
        <v>OK</v>
      </c>
      <c r="P15" s="44" t="str">
        <f>IF('QUICK ENTRY'!$B15="","",'QUICK ENTRY'!$AF15)</f>
        <v>Yes</v>
      </c>
    </row>
    <row r="16" spans="1:16" ht="14.4">
      <c r="A16" s="44" t="str">
        <f>IF('QUICK ENTRY'!$B16="","",'QUICK ENTRY'!$U16)</f>
        <v>EXP-2026-0009</v>
      </c>
      <c r="B16" s="55">
        <f>IF('QUICK ENTRY'!$B16="","",'QUICK ENTRY'!$B16)</f>
        <v>46097</v>
      </c>
      <c r="C16" s="44" t="str">
        <f>IF('QUICK ENTRY'!$B16="","",'QUICK ENTRY'!$C16)</f>
        <v>Expense</v>
      </c>
      <c r="D16" s="44" t="str">
        <f>IF('QUICK ENTRY'!$B16="","",'QUICK ENTRY'!$I16)</f>
        <v>Subscriptions</v>
      </c>
      <c r="E16" s="44" t="str">
        <f>IF('QUICK ENTRY'!$B16="","",'QUICK ENTRY'!$D16)</f>
        <v>Netflix and cloud subscriptions</v>
      </c>
      <c r="F16" s="44" t="str">
        <f>IF('QUICK ENTRY'!$B16="","",'QUICK ENTRY'!$K16)</f>
        <v>Netflix</v>
      </c>
      <c r="G16" s="58">
        <f>IF('QUICK ENTRY'!$B16="","",'QUICK ENTRY'!$E16)</f>
        <v>599</v>
      </c>
      <c r="H16" s="44" t="str">
        <f>IF('QUICK ENTRY'!$B16="","",'QUICK ENTRY'!$F16)</f>
        <v>UPI</v>
      </c>
      <c r="I16" s="44" t="str">
        <f>IF('QUICK ENTRY'!$B16="","",'QUICK ENTRY'!$L16)</f>
        <v>UPI-linked Bank</v>
      </c>
      <c r="J16" s="44" t="str">
        <f>IF('QUICK ENTRY'!$B16="","",'QUICK ENTRY'!$M16)</f>
        <v>Optional</v>
      </c>
      <c r="K16" s="44" t="str">
        <f>IF('QUICK ENTRY'!$B16="","",'QUICK ENTRY'!$V16)</f>
        <v>March</v>
      </c>
      <c r="L16" s="44" t="str">
        <f>IF('QUICK ENTRY'!$B16="","",'QUICK ENTRY'!$R16)</f>
        <v>Not Applicable</v>
      </c>
      <c r="M16" s="44" t="str">
        <f>IF('QUICK ENTRY'!$B16="","",'QUICK ENTRY'!$O16)</f>
        <v>Paid</v>
      </c>
      <c r="N16" s="44" t="str">
        <f>IF('QUICK ENTRY'!$B16="","",'QUICK ENTRY'!$AA16)</f>
        <v>OK</v>
      </c>
      <c r="O16" s="44" t="str">
        <f>IF('QUICK ENTRY'!$B16="","",'QUICK ENTRY'!$AG16)</f>
        <v>OK</v>
      </c>
      <c r="P16" s="44" t="str">
        <f>IF('QUICK ENTRY'!$B16="","",'QUICK ENTRY'!$AF16)</f>
        <v>Yes</v>
      </c>
    </row>
    <row r="17" spans="1:16" ht="14.4">
      <c r="A17" s="44" t="str">
        <f>IF('QUICK ENTRY'!$B17="","",'QUICK ENTRY'!$U17)</f>
        <v>INC-2026-0010</v>
      </c>
      <c r="B17" s="55">
        <f>IF('QUICK ENTRY'!$B17="","",'QUICK ENTRY'!$B17)</f>
        <v>46113</v>
      </c>
      <c r="C17" s="44" t="str">
        <f>IF('QUICK ENTRY'!$B17="","",'QUICK ENTRY'!$C17)</f>
        <v>Income</v>
      </c>
      <c r="D17" s="44" t="str">
        <f>IF('QUICK ENTRY'!$B17="","",'QUICK ENTRY'!$I17)</f>
        <v>Miscellaneous</v>
      </c>
      <c r="E17" s="44" t="str">
        <f>IF('QUICK ENTRY'!$B17="","",'QUICK ENTRY'!$D17)</f>
        <v>Monthly Allowance - April</v>
      </c>
      <c r="F17" s="44">
        <f>IF('QUICK ENTRY'!$B17="","",'QUICK ENTRY'!$K17)</f>
        <v>0</v>
      </c>
      <c r="G17" s="58">
        <f>IF('QUICK ENTRY'!$B17="","",'QUICK ENTRY'!$E17)</f>
        <v>25000</v>
      </c>
      <c r="H17" s="44" t="str">
        <f>IF('QUICK ENTRY'!$B17="","",'QUICK ENTRY'!$F17)</f>
        <v>UPI</v>
      </c>
      <c r="I17" s="44" t="str">
        <f>IF('QUICK ENTRY'!$B17="","",'QUICK ENTRY'!$L17)</f>
        <v>UPI-linked Bank</v>
      </c>
      <c r="J17" s="44" t="str">
        <f>IF('QUICK ENTRY'!$B17="","",'QUICK ENTRY'!$M17)</f>
        <v>Essential</v>
      </c>
      <c r="K17" s="44" t="str">
        <f>IF('QUICK ENTRY'!$B17="","",'QUICK ENTRY'!$V17)</f>
        <v>April</v>
      </c>
      <c r="L17" s="44" t="str">
        <f>IF('QUICK ENTRY'!$B17="","",'QUICK ENTRY'!$R17)</f>
        <v>Not Applicable</v>
      </c>
      <c r="M17" s="44" t="str">
        <f>IF('QUICK ENTRY'!$B17="","",'QUICK ENTRY'!$O17)</f>
        <v>Paid</v>
      </c>
      <c r="N17" s="44" t="str">
        <f>IF('QUICK ENTRY'!$B17="","",'QUICK ENTRY'!$AA17)</f>
        <v>OK</v>
      </c>
      <c r="O17" s="44" t="str">
        <f>IF('QUICK ENTRY'!$B17="","",'QUICK ENTRY'!$AG17)</f>
        <v>OK</v>
      </c>
      <c r="P17" s="44" t="str">
        <f>IF('QUICK ENTRY'!$B17="","",'QUICK ENTRY'!$AF17)</f>
        <v>Yes</v>
      </c>
    </row>
    <row r="18" spans="1:16" ht="14.4">
      <c r="A18" s="44" t="str">
        <f>IF('QUICK ENTRY'!$B18="","",'QUICK ENTRY'!$U18)</f>
        <v>EXP-2026-0011</v>
      </c>
      <c r="B18" s="55">
        <f>IF('QUICK ENTRY'!$B18="","",'QUICK ENTRY'!$B18)</f>
        <v>46126</v>
      </c>
      <c r="C18" s="44" t="str">
        <f>IF('QUICK ENTRY'!$B18="","",'QUICK ENTRY'!$C18)</f>
        <v>Expense</v>
      </c>
      <c r="D18" s="44" t="str">
        <f>IF('QUICK ENTRY'!$B18="","",'QUICK ENTRY'!$I18)</f>
        <v>Food</v>
      </c>
      <c r="E18" s="44" t="str">
        <f>IF('QUICK ENTRY'!$B18="","",'QUICK ENTRY'!$D18)</f>
        <v>Mess and outside meals</v>
      </c>
      <c r="F18" s="44" t="str">
        <f>IF('QUICK ENTRY'!$B18="","",'QUICK ENTRY'!$K18)</f>
        <v>Hostel Mess</v>
      </c>
      <c r="G18" s="58">
        <f>IF('QUICK ENTRY'!$B18="","",'QUICK ENTRY'!$E18)</f>
        <v>3700</v>
      </c>
      <c r="H18" s="44" t="str">
        <f>IF('QUICK ENTRY'!$B18="","",'QUICK ENTRY'!$F18)</f>
        <v>UPI</v>
      </c>
      <c r="I18" s="44" t="str">
        <f>IF('QUICK ENTRY'!$B18="","",'QUICK ENTRY'!$L18)</f>
        <v>UPI-linked Bank</v>
      </c>
      <c r="J18" s="44" t="str">
        <f>IF('QUICK ENTRY'!$B18="","",'QUICK ENTRY'!$M18)</f>
        <v>Essential</v>
      </c>
      <c r="K18" s="44" t="str">
        <f>IF('QUICK ENTRY'!$B18="","",'QUICK ENTRY'!$V18)</f>
        <v>April</v>
      </c>
      <c r="L18" s="44" t="str">
        <f>IF('QUICK ENTRY'!$B18="","",'QUICK ENTRY'!$R18)</f>
        <v>Not Applicable</v>
      </c>
      <c r="M18" s="44" t="str">
        <f>IF('QUICK ENTRY'!$B18="","",'QUICK ENTRY'!$O18)</f>
        <v>Paid</v>
      </c>
      <c r="N18" s="44" t="str">
        <f>IF('QUICK ENTRY'!$B18="","",'QUICK ENTRY'!$AA18)</f>
        <v>OK</v>
      </c>
      <c r="O18" s="44" t="str">
        <f>IF('QUICK ENTRY'!$B18="","",'QUICK ENTRY'!$AG18)</f>
        <v>OK</v>
      </c>
      <c r="P18" s="44" t="str">
        <f>IF('QUICK ENTRY'!$B18="","",'QUICK ENTRY'!$AF18)</f>
        <v>Yes</v>
      </c>
    </row>
    <row r="19" spans="1:16" ht="14.4">
      <c r="A19" s="44" t="str">
        <f>IF('QUICK ENTRY'!$B19="","",'QUICK ENTRY'!$U19)</f>
        <v>EXP-2026-0012</v>
      </c>
      <c r="B19" s="55">
        <f>IF('QUICK ENTRY'!$B19="","",'QUICK ENTRY'!$B19)</f>
        <v>46134</v>
      </c>
      <c r="C19" s="44" t="str">
        <f>IF('QUICK ENTRY'!$B19="","",'QUICK ENTRY'!$C19)</f>
        <v>Expense</v>
      </c>
      <c r="D19" s="44" t="str">
        <f>IF('QUICK ENTRY'!$B19="","",'QUICK ENTRY'!$I19)</f>
        <v>Personal Care</v>
      </c>
      <c r="E19" s="44" t="str">
        <f>IF('QUICK ENTRY'!$B19="","",'QUICK ENTRY'!$D19)</f>
        <v>Haircut and toiletries</v>
      </c>
      <c r="F19" s="44" t="str">
        <f>IF('QUICK ENTRY'!$B19="","",'QUICK ENTRY'!$K19)</f>
        <v>Local Shop</v>
      </c>
      <c r="G19" s="58">
        <f>IF('QUICK ENTRY'!$B19="","",'QUICK ENTRY'!$E19)</f>
        <v>1200</v>
      </c>
      <c r="H19" s="44" t="str">
        <f>IF('QUICK ENTRY'!$B19="","",'QUICK ENTRY'!$F19)</f>
        <v>UPI</v>
      </c>
      <c r="I19" s="44" t="str">
        <f>IF('QUICK ENTRY'!$B19="","",'QUICK ENTRY'!$L19)</f>
        <v>UPI-linked Bank</v>
      </c>
      <c r="J19" s="44" t="str">
        <f>IF('QUICK ENTRY'!$B19="","",'QUICK ENTRY'!$M19)</f>
        <v>Useful</v>
      </c>
      <c r="K19" s="44" t="str">
        <f>IF('QUICK ENTRY'!$B19="","",'QUICK ENTRY'!$V19)</f>
        <v>April</v>
      </c>
      <c r="L19" s="44" t="str">
        <f>IF('QUICK ENTRY'!$B19="","",'QUICK ENTRY'!$R19)</f>
        <v>Not Applicable</v>
      </c>
      <c r="M19" s="44" t="str">
        <f>IF('QUICK ENTRY'!$B19="","",'QUICK ENTRY'!$O19)</f>
        <v>Paid</v>
      </c>
      <c r="N19" s="44" t="str">
        <f>IF('QUICK ENTRY'!$B19="","",'QUICK ENTRY'!$AA19)</f>
        <v>OK</v>
      </c>
      <c r="O19" s="44" t="str">
        <f>IF('QUICK ENTRY'!$B19="","",'QUICK ENTRY'!$AG19)</f>
        <v>OK</v>
      </c>
      <c r="P19" s="44" t="str">
        <f>IF('QUICK ENTRY'!$B19="","",'QUICK ENTRY'!$AF19)</f>
        <v>Yes</v>
      </c>
    </row>
    <row r="20" spans="1:16" ht="14.4">
      <c r="A20" s="44" t="str">
        <f>IF('QUICK ENTRY'!$B20="","",'QUICK ENTRY'!$U20)</f>
        <v>INC-2026-0013</v>
      </c>
      <c r="B20" s="55">
        <f>IF('QUICK ENTRY'!$B20="","",'QUICK ENTRY'!$B20)</f>
        <v>46143</v>
      </c>
      <c r="C20" s="44" t="str">
        <f>IF('QUICK ENTRY'!$B20="","",'QUICK ENTRY'!$C20)</f>
        <v>Income</v>
      </c>
      <c r="D20" s="44" t="str">
        <f>IF('QUICK ENTRY'!$B20="","",'QUICK ENTRY'!$I20)</f>
        <v>Miscellaneous</v>
      </c>
      <c r="E20" s="44" t="str">
        <f>IF('QUICK ENTRY'!$B20="","",'QUICK ENTRY'!$D20)</f>
        <v>Monthly Allowance - May</v>
      </c>
      <c r="F20" s="44">
        <f>IF('QUICK ENTRY'!$B20="","",'QUICK ENTRY'!$K20)</f>
        <v>0</v>
      </c>
      <c r="G20" s="58">
        <f>IF('QUICK ENTRY'!$B20="","",'QUICK ENTRY'!$E20)</f>
        <v>25000</v>
      </c>
      <c r="H20" s="44" t="str">
        <f>IF('QUICK ENTRY'!$B20="","",'QUICK ENTRY'!$F20)</f>
        <v>UPI</v>
      </c>
      <c r="I20" s="44" t="str">
        <f>IF('QUICK ENTRY'!$B20="","",'QUICK ENTRY'!$L20)</f>
        <v>UPI-linked Bank</v>
      </c>
      <c r="J20" s="44" t="str">
        <f>IF('QUICK ENTRY'!$B20="","",'QUICK ENTRY'!$M20)</f>
        <v>Essential</v>
      </c>
      <c r="K20" s="44" t="str">
        <f>IF('QUICK ENTRY'!$B20="","",'QUICK ENTRY'!$V20)</f>
        <v>May</v>
      </c>
      <c r="L20" s="44" t="str">
        <f>IF('QUICK ENTRY'!$B20="","",'QUICK ENTRY'!$R20)</f>
        <v>Not Applicable</v>
      </c>
      <c r="M20" s="44" t="str">
        <f>IF('QUICK ENTRY'!$B20="","",'QUICK ENTRY'!$O20)</f>
        <v>Paid</v>
      </c>
      <c r="N20" s="44" t="str">
        <f>IF('QUICK ENTRY'!$B20="","",'QUICK ENTRY'!$AA20)</f>
        <v>OK</v>
      </c>
      <c r="O20" s="44" t="str">
        <f>IF('QUICK ENTRY'!$B20="","",'QUICK ENTRY'!$AG20)</f>
        <v>OK</v>
      </c>
      <c r="P20" s="44" t="str">
        <f>IF('QUICK ENTRY'!$B20="","",'QUICK ENTRY'!$AF20)</f>
        <v>Yes</v>
      </c>
    </row>
    <row r="21" spans="1:16" ht="14.4">
      <c r="A21" s="44" t="str">
        <f>IF('QUICK ENTRY'!$B21="","",'QUICK ENTRY'!$U21)</f>
        <v>EXP-2026-0014</v>
      </c>
      <c r="B21" s="55">
        <f>IF('QUICK ENTRY'!$B21="","",'QUICK ENTRY'!$B21)</f>
        <v>46154</v>
      </c>
      <c r="C21" s="44" t="str">
        <f>IF('QUICK ENTRY'!$B21="","",'QUICK ENTRY'!$C21)</f>
        <v>Expense</v>
      </c>
      <c r="D21" s="44" t="str">
        <f>IF('QUICK ENTRY'!$B21="","",'QUICK ENTRY'!$I21)</f>
        <v>Travel Home</v>
      </c>
      <c r="E21" s="44" t="str">
        <f>IF('QUICK ENTRY'!$B21="","",'QUICK ENTRY'!$D21)</f>
        <v>Train ticket home</v>
      </c>
      <c r="F21" s="44" t="str">
        <f>IF('QUICK ENTRY'!$B21="","",'QUICK ENTRY'!$K21)</f>
        <v>IRCTC</v>
      </c>
      <c r="G21" s="58">
        <f>IF('QUICK ENTRY'!$B21="","",'QUICK ENTRY'!$E21)</f>
        <v>2400</v>
      </c>
      <c r="H21" s="44" t="str">
        <f>IF('QUICK ENTRY'!$B21="","",'QUICK ENTRY'!$F21)</f>
        <v>Debit Card</v>
      </c>
      <c r="I21" s="44" t="str">
        <f>IF('QUICK ENTRY'!$B21="","",'QUICK ENTRY'!$L21)</f>
        <v>UPI-linked Bank</v>
      </c>
      <c r="J21" s="44" t="str">
        <f>IF('QUICK ENTRY'!$B21="","",'QUICK ENTRY'!$M21)</f>
        <v>Essential</v>
      </c>
      <c r="K21" s="44" t="str">
        <f>IF('QUICK ENTRY'!$B21="","",'QUICK ENTRY'!$V21)</f>
        <v>May</v>
      </c>
      <c r="L21" s="44" t="str">
        <f>IF('QUICK ENTRY'!$B21="","",'QUICK ENTRY'!$R21)</f>
        <v>Not Applicable</v>
      </c>
      <c r="M21" s="44" t="str">
        <f>IF('QUICK ENTRY'!$B21="","",'QUICK ENTRY'!$O21)</f>
        <v>Paid</v>
      </c>
      <c r="N21" s="44" t="str">
        <f>IF('QUICK ENTRY'!$B21="","",'QUICK ENTRY'!$AA21)</f>
        <v>OK</v>
      </c>
      <c r="O21" s="44" t="str">
        <f>IF('QUICK ENTRY'!$B21="","",'QUICK ENTRY'!$AG21)</f>
        <v>OK</v>
      </c>
      <c r="P21" s="44" t="str">
        <f>IF('QUICK ENTRY'!$B21="","",'QUICK ENTRY'!$AF21)</f>
        <v>Yes</v>
      </c>
    </row>
    <row r="22" spans="1:16" ht="14.4">
      <c r="A22" s="44" t="str">
        <f>IF('QUICK ENTRY'!$B22="","",'QUICK ENTRY'!$U22)</f>
        <v>EXP-2026-0015</v>
      </c>
      <c r="B22" s="55">
        <f>IF('QUICK ENTRY'!$B22="","",'QUICK ENTRY'!$B22)</f>
        <v>46167</v>
      </c>
      <c r="C22" s="44" t="str">
        <f>IF('QUICK ENTRY'!$B22="","",'QUICK ENTRY'!$C22)</f>
        <v>Expense</v>
      </c>
      <c r="D22" s="44" t="str">
        <f>IF('QUICK ENTRY'!$B22="","",'QUICK ENTRY'!$I22)</f>
        <v>Entertainment</v>
      </c>
      <c r="E22" s="44" t="str">
        <f>IF('QUICK ENTRY'!$B22="","",'QUICK ENTRY'!$D22)</f>
        <v>Movie and cafe</v>
      </c>
      <c r="F22" s="44" t="str">
        <f>IF('QUICK ENTRY'!$B22="","",'QUICK ENTRY'!$K22)</f>
        <v>Cinema</v>
      </c>
      <c r="G22" s="58">
        <f>IF('QUICK ENTRY'!$B22="","",'QUICK ENTRY'!$E22)</f>
        <v>900</v>
      </c>
      <c r="H22" s="44" t="str">
        <f>IF('QUICK ENTRY'!$B22="","",'QUICK ENTRY'!$F22)</f>
        <v>UPI</v>
      </c>
      <c r="I22" s="44" t="str">
        <f>IF('QUICK ENTRY'!$B22="","",'QUICK ENTRY'!$L22)</f>
        <v>UPI-linked Bank</v>
      </c>
      <c r="J22" s="44" t="str">
        <f>IF('QUICK ENTRY'!$B22="","",'QUICK ENTRY'!$M22)</f>
        <v>Optional</v>
      </c>
      <c r="K22" s="44" t="str">
        <f>IF('QUICK ENTRY'!$B22="","",'QUICK ENTRY'!$V22)</f>
        <v>May</v>
      </c>
      <c r="L22" s="44" t="str">
        <f>IF('QUICK ENTRY'!$B22="","",'QUICK ENTRY'!$R22)</f>
        <v>Not Applicable</v>
      </c>
      <c r="M22" s="44" t="str">
        <f>IF('QUICK ENTRY'!$B22="","",'QUICK ENTRY'!$O22)</f>
        <v>Paid</v>
      </c>
      <c r="N22" s="44" t="str">
        <f>IF('QUICK ENTRY'!$B22="","",'QUICK ENTRY'!$AA22)</f>
        <v>OK</v>
      </c>
      <c r="O22" s="44" t="str">
        <f>IF('QUICK ENTRY'!$B22="","",'QUICK ENTRY'!$AG22)</f>
        <v>OK</v>
      </c>
      <c r="P22" s="44" t="str">
        <f>IF('QUICK ENTRY'!$B22="","",'QUICK ENTRY'!$AF22)</f>
        <v>Yes</v>
      </c>
    </row>
    <row r="23" spans="1:16" ht="14.4">
      <c r="A23" s="44" t="str">
        <f>IF('QUICK ENTRY'!$B23="","",'QUICK ENTRY'!$U23)</f>
        <v>INC-2026-0016</v>
      </c>
      <c r="B23" s="55">
        <f>IF('QUICK ENTRY'!$B23="","",'QUICK ENTRY'!$B23)</f>
        <v>46174</v>
      </c>
      <c r="C23" s="44" t="str">
        <f>IF('QUICK ENTRY'!$B23="","",'QUICK ENTRY'!$C23)</f>
        <v>Income</v>
      </c>
      <c r="D23" s="44" t="str">
        <f>IF('QUICK ENTRY'!$B23="","",'QUICK ENTRY'!$I23)</f>
        <v>Miscellaneous</v>
      </c>
      <c r="E23" s="44" t="str">
        <f>IF('QUICK ENTRY'!$B23="","",'QUICK ENTRY'!$D23)</f>
        <v>Monthly Allowance - June</v>
      </c>
      <c r="F23" s="44">
        <f>IF('QUICK ENTRY'!$B23="","",'QUICK ENTRY'!$K23)</f>
        <v>0</v>
      </c>
      <c r="G23" s="58">
        <f>IF('QUICK ENTRY'!$B23="","",'QUICK ENTRY'!$E23)</f>
        <v>25000</v>
      </c>
      <c r="H23" s="44" t="str">
        <f>IF('QUICK ENTRY'!$B23="","",'QUICK ENTRY'!$F23)</f>
        <v>UPI</v>
      </c>
      <c r="I23" s="44" t="str">
        <f>IF('QUICK ENTRY'!$B23="","",'QUICK ENTRY'!$L23)</f>
        <v>UPI-linked Bank</v>
      </c>
      <c r="J23" s="44" t="str">
        <f>IF('QUICK ENTRY'!$B23="","",'QUICK ENTRY'!$M23)</f>
        <v>Essential</v>
      </c>
      <c r="K23" s="44" t="str">
        <f>IF('QUICK ENTRY'!$B23="","",'QUICK ENTRY'!$V23)</f>
        <v>June</v>
      </c>
      <c r="L23" s="44" t="str">
        <f>IF('QUICK ENTRY'!$B23="","",'QUICK ENTRY'!$R23)</f>
        <v>Not Applicable</v>
      </c>
      <c r="M23" s="44" t="str">
        <f>IF('QUICK ENTRY'!$B23="","",'QUICK ENTRY'!$O23)</f>
        <v>Paid</v>
      </c>
      <c r="N23" s="44" t="str">
        <f>IF('QUICK ENTRY'!$B23="","",'QUICK ENTRY'!$AA23)</f>
        <v>OK</v>
      </c>
      <c r="O23" s="44" t="str">
        <f>IF('QUICK ENTRY'!$B23="","",'QUICK ENTRY'!$AG23)</f>
        <v>OK</v>
      </c>
      <c r="P23" s="44" t="str">
        <f>IF('QUICK ENTRY'!$B23="","",'QUICK ENTRY'!$AF23)</f>
        <v>Yes</v>
      </c>
    </row>
    <row r="24" spans="1:16" ht="14.4">
      <c r="A24" s="44" t="str">
        <f>IF('QUICK ENTRY'!$B24="","",'QUICK ENTRY'!$U24)</f>
        <v>EXP-2026-0017</v>
      </c>
      <c r="B24" s="55">
        <f>IF('QUICK ENTRY'!$B24="","",'QUICK ENTRY'!$B24)</f>
        <v>46184</v>
      </c>
      <c r="C24" s="44" t="str">
        <f>IF('QUICK ENTRY'!$B24="","",'QUICK ENTRY'!$C24)</f>
        <v>Expense</v>
      </c>
      <c r="D24" s="44" t="str">
        <f>IF('QUICK ENTRY'!$B24="","",'QUICK ENTRY'!$I24)</f>
        <v>AI-ML Learning</v>
      </c>
      <c r="E24" s="44" t="str">
        <f>IF('QUICK ENTRY'!$B24="","",'QUICK ENTRY'!$D24)</f>
        <v>Udemy Machine Learning course</v>
      </c>
      <c r="F24" s="44" t="str">
        <f>IF('QUICK ENTRY'!$B24="","",'QUICK ENTRY'!$K24)</f>
        <v>Udemy</v>
      </c>
      <c r="G24" s="58">
        <f>IF('QUICK ENTRY'!$B24="","",'QUICK ENTRY'!$E24)</f>
        <v>1999</v>
      </c>
      <c r="H24" s="44" t="str">
        <f>IF('QUICK ENTRY'!$B24="","",'QUICK ENTRY'!$F24)</f>
        <v>Debit Card</v>
      </c>
      <c r="I24" s="44" t="str">
        <f>IF('QUICK ENTRY'!$B24="","",'QUICK ENTRY'!$L24)</f>
        <v>UPI-linked Bank</v>
      </c>
      <c r="J24" s="44" t="str">
        <f>IF('QUICK ENTRY'!$B24="","",'QUICK ENTRY'!$M24)</f>
        <v>Essential</v>
      </c>
      <c r="K24" s="44" t="str">
        <f>IF('QUICK ENTRY'!$B24="","",'QUICK ENTRY'!$V24)</f>
        <v>June</v>
      </c>
      <c r="L24" s="44" t="str">
        <f>IF('QUICK ENTRY'!$B24="","",'QUICK ENTRY'!$R24)</f>
        <v>Not Applicable</v>
      </c>
      <c r="M24" s="44" t="str">
        <f>IF('QUICK ENTRY'!$B24="","",'QUICK ENTRY'!$O24)</f>
        <v>Paid</v>
      </c>
      <c r="N24" s="44" t="str">
        <f>IF('QUICK ENTRY'!$B24="","",'QUICK ENTRY'!$AA24)</f>
        <v>OK</v>
      </c>
      <c r="O24" s="44" t="str">
        <f>IF('QUICK ENTRY'!$B24="","",'QUICK ENTRY'!$AG24)</f>
        <v>OK</v>
      </c>
      <c r="P24" s="44" t="str">
        <f>IF('QUICK ENTRY'!$B24="","",'QUICK ENTRY'!$AF24)</f>
        <v>Yes</v>
      </c>
    </row>
    <row r="25" spans="1:16" ht="14.4">
      <c r="A25" s="44" t="str">
        <f>IF('QUICK ENTRY'!$B25="","",'QUICK ENTRY'!$U25)</f>
        <v>EXP-2026-0018</v>
      </c>
      <c r="B25" s="55">
        <f>IF('QUICK ENTRY'!$B25="","",'QUICK ENTRY'!$B25)</f>
        <v>46193</v>
      </c>
      <c r="C25" s="44" t="str">
        <f>IF('QUICK ENTRY'!$B25="","",'QUICK ENTRY'!$C25)</f>
        <v>Expense</v>
      </c>
      <c r="D25" s="44" t="str">
        <f>IF('QUICK ENTRY'!$B25="","",'QUICK ENTRY'!$I25)</f>
        <v>Books &amp; Stationery</v>
      </c>
      <c r="E25" s="44" t="str">
        <f>IF('QUICK ENTRY'!$B25="","",'QUICK ENTRY'!$D25)</f>
        <v>Books and stationery</v>
      </c>
      <c r="F25" s="44" t="str">
        <f>IF('QUICK ENTRY'!$B25="","",'QUICK ENTRY'!$K25)</f>
        <v>Book Shop</v>
      </c>
      <c r="G25" s="58">
        <f>IF('QUICK ENTRY'!$B25="","",'QUICK ENTRY'!$E25)</f>
        <v>650</v>
      </c>
      <c r="H25" s="44" t="str">
        <f>IF('QUICK ENTRY'!$B25="","",'QUICK ENTRY'!$F25)</f>
        <v>UPI</v>
      </c>
      <c r="I25" s="44" t="str">
        <f>IF('QUICK ENTRY'!$B25="","",'QUICK ENTRY'!$L25)</f>
        <v>UPI-linked Bank</v>
      </c>
      <c r="J25" s="44" t="str">
        <f>IF('QUICK ENTRY'!$B25="","",'QUICK ENTRY'!$M25)</f>
        <v>Essential</v>
      </c>
      <c r="K25" s="44" t="str">
        <f>IF('QUICK ENTRY'!$B25="","",'QUICK ENTRY'!$V25)</f>
        <v>June</v>
      </c>
      <c r="L25" s="44" t="str">
        <f>IF('QUICK ENTRY'!$B25="","",'QUICK ENTRY'!$R25)</f>
        <v>Not Applicable</v>
      </c>
      <c r="M25" s="44" t="str">
        <f>IF('QUICK ENTRY'!$B25="","",'QUICK ENTRY'!$O25)</f>
        <v>Paid</v>
      </c>
      <c r="N25" s="44" t="str">
        <f>IF('QUICK ENTRY'!$B25="","",'QUICK ENTRY'!$AA25)</f>
        <v>OK</v>
      </c>
      <c r="O25" s="44" t="str">
        <f>IF('QUICK ENTRY'!$B25="","",'QUICK ENTRY'!$AG25)</f>
        <v>OK</v>
      </c>
      <c r="P25" s="44" t="str">
        <f>IF('QUICK ENTRY'!$B25="","",'QUICK ENTRY'!$AF25)</f>
        <v>Yes</v>
      </c>
    </row>
    <row r="26" spans="1:16" ht="14.4">
      <c r="A26" s="44" t="str">
        <f>IF('QUICK ENTRY'!$B26="","",'QUICK ENTRY'!$U26)</f>
        <v>INC-2026-0019</v>
      </c>
      <c r="B26" s="55">
        <f>IF('QUICK ENTRY'!$B26="","",'QUICK ENTRY'!$B26)</f>
        <v>46204</v>
      </c>
      <c r="C26" s="44" t="str">
        <f>IF('QUICK ENTRY'!$B26="","",'QUICK ENTRY'!$C26)</f>
        <v>Income</v>
      </c>
      <c r="D26" s="44" t="str">
        <f>IF('QUICK ENTRY'!$B26="","",'QUICK ENTRY'!$I26)</f>
        <v>Miscellaneous</v>
      </c>
      <c r="E26" s="44" t="str">
        <f>IF('QUICK ENTRY'!$B26="","",'QUICK ENTRY'!$D26)</f>
        <v>Monthly Allowance - July</v>
      </c>
      <c r="F26" s="44">
        <f>IF('QUICK ENTRY'!$B26="","",'QUICK ENTRY'!$K26)</f>
        <v>0</v>
      </c>
      <c r="G26" s="58">
        <f>IF('QUICK ENTRY'!$B26="","",'QUICK ENTRY'!$E26)</f>
        <v>25000</v>
      </c>
      <c r="H26" s="44" t="str">
        <f>IF('QUICK ENTRY'!$B26="","",'QUICK ENTRY'!$F26)</f>
        <v>UPI</v>
      </c>
      <c r="I26" s="44" t="str">
        <f>IF('QUICK ENTRY'!$B26="","",'QUICK ENTRY'!$L26)</f>
        <v>UPI-linked Bank</v>
      </c>
      <c r="J26" s="44" t="str">
        <f>IF('QUICK ENTRY'!$B26="","",'QUICK ENTRY'!$M26)</f>
        <v>Essential</v>
      </c>
      <c r="K26" s="44" t="str">
        <f>IF('QUICK ENTRY'!$B26="","",'QUICK ENTRY'!$V26)</f>
        <v>July</v>
      </c>
      <c r="L26" s="44" t="str">
        <f>IF('QUICK ENTRY'!$B26="","",'QUICK ENTRY'!$R26)</f>
        <v>Not Applicable</v>
      </c>
      <c r="M26" s="44" t="str">
        <f>IF('QUICK ENTRY'!$B26="","",'QUICK ENTRY'!$O26)</f>
        <v>Paid</v>
      </c>
      <c r="N26" s="44" t="str">
        <f>IF('QUICK ENTRY'!$B26="","",'QUICK ENTRY'!$AA26)</f>
        <v>OK</v>
      </c>
      <c r="O26" s="44" t="str">
        <f>IF('QUICK ENTRY'!$B26="","",'QUICK ENTRY'!$AG26)</f>
        <v>OK</v>
      </c>
      <c r="P26" s="44" t="str">
        <f>IF('QUICK ENTRY'!$B26="","",'QUICK ENTRY'!$AF26)</f>
        <v>Yes</v>
      </c>
    </row>
    <row r="27" spans="1:16" ht="14.4">
      <c r="A27" s="44" t="str">
        <f>IF('QUICK ENTRY'!$B27="","",'QUICK ENTRY'!$U27)</f>
        <v>EXP-2026-0020</v>
      </c>
      <c r="B27" s="55">
        <f>IF('QUICK ENTRY'!$B27="","",'QUICK ENTRY'!$B27)</f>
        <v>46208</v>
      </c>
      <c r="C27" s="44" t="str">
        <f>IF('QUICK ENTRY'!$B27="","",'QUICK ENTRY'!$C27)</f>
        <v>Expense</v>
      </c>
      <c r="D27" s="44" t="str">
        <f>IF('QUICK ENTRY'!$B27="","",'QUICK ENTRY'!$I27)</f>
        <v>Hostel</v>
      </c>
      <c r="E27" s="44" t="str">
        <f>IF('QUICK ENTRY'!$B27="","",'QUICK ENTRY'!$D27)</f>
        <v>Hostel and mess fee</v>
      </c>
      <c r="F27" s="44" t="str">
        <f>IF('QUICK ENTRY'!$B27="","",'QUICK ENTRY'!$K27)</f>
        <v>College Hostel</v>
      </c>
      <c r="G27" s="58">
        <f>IF('QUICK ENTRY'!$B27="","",'QUICK ENTRY'!$E27)</f>
        <v>4000</v>
      </c>
      <c r="H27" s="44" t="str">
        <f>IF('QUICK ENTRY'!$B27="","",'QUICK ENTRY'!$F27)</f>
        <v>Bank Transfer</v>
      </c>
      <c r="I27" s="44" t="str">
        <f>IF('QUICK ENTRY'!$B27="","",'QUICK ENTRY'!$L27)</f>
        <v>UPI-linked Bank</v>
      </c>
      <c r="J27" s="44" t="str">
        <f>IF('QUICK ENTRY'!$B27="","",'QUICK ENTRY'!$M27)</f>
        <v>Essential</v>
      </c>
      <c r="K27" s="44" t="str">
        <f>IF('QUICK ENTRY'!$B27="","",'QUICK ENTRY'!$V27)</f>
        <v>July</v>
      </c>
      <c r="L27" s="44" t="str">
        <f>IF('QUICK ENTRY'!$B27="","",'QUICK ENTRY'!$R27)</f>
        <v>Semester 1</v>
      </c>
      <c r="M27" s="44" t="str">
        <f>IF('QUICK ENTRY'!$B27="","",'QUICK ENTRY'!$O27)</f>
        <v>Paid</v>
      </c>
      <c r="N27" s="44" t="str">
        <f>IF('QUICK ENTRY'!$B27="","",'QUICK ENTRY'!$AA27)</f>
        <v>OK</v>
      </c>
      <c r="O27" s="44" t="str">
        <f>IF('QUICK ENTRY'!$B27="","",'QUICK ENTRY'!$AG27)</f>
        <v>OK</v>
      </c>
      <c r="P27" s="44" t="str">
        <f>IF('QUICK ENTRY'!$B27="","",'QUICK ENTRY'!$AF27)</f>
        <v>Yes</v>
      </c>
    </row>
    <row r="28" spans="1:16" ht="14.4">
      <c r="A28" s="44" t="str">
        <f>IF('QUICK ENTRY'!$B28="","",'QUICK ENTRY'!$U28)</f>
        <v>EXP-2026-0021</v>
      </c>
      <c r="B28" s="55">
        <f>IF('QUICK ENTRY'!$B28="","",'QUICK ENTRY'!$B28)</f>
        <v>46219</v>
      </c>
      <c r="C28" s="44" t="str">
        <f>IF('QUICK ENTRY'!$B28="","",'QUICK ENTRY'!$C28)</f>
        <v>Expense</v>
      </c>
      <c r="D28" s="44" t="str">
        <f>IF('QUICK ENTRY'!$B28="","",'QUICK ENTRY'!$I28)</f>
        <v>Food</v>
      </c>
      <c r="E28" s="44" t="str">
        <f>IF('QUICK ENTRY'!$B28="","",'QUICK ENTRY'!$D28)</f>
        <v>Food and groceries</v>
      </c>
      <c r="F28" s="44" t="str">
        <f>IF('QUICK ENTRY'!$B28="","",'QUICK ENTRY'!$K28)</f>
        <v>Local Market</v>
      </c>
      <c r="G28" s="58">
        <f>IF('QUICK ENTRY'!$B28="","",'QUICK ENTRY'!$E28)</f>
        <v>4200</v>
      </c>
      <c r="H28" s="44" t="str">
        <f>IF('QUICK ENTRY'!$B28="","",'QUICK ENTRY'!$F28)</f>
        <v>UPI</v>
      </c>
      <c r="I28" s="44" t="str">
        <f>IF('QUICK ENTRY'!$B28="","",'QUICK ENTRY'!$L28)</f>
        <v>UPI-linked Bank</v>
      </c>
      <c r="J28" s="44" t="str">
        <f>IF('QUICK ENTRY'!$B28="","",'QUICK ENTRY'!$M28)</f>
        <v>Essential</v>
      </c>
      <c r="K28" s="44" t="str">
        <f>IF('QUICK ENTRY'!$B28="","",'QUICK ENTRY'!$V28)</f>
        <v>July</v>
      </c>
      <c r="L28" s="44" t="str">
        <f>IF('QUICK ENTRY'!$B28="","",'QUICK ENTRY'!$R28)</f>
        <v>Not Applicable</v>
      </c>
      <c r="M28" s="44" t="str">
        <f>IF('QUICK ENTRY'!$B28="","",'QUICK ENTRY'!$O28)</f>
        <v>Paid</v>
      </c>
      <c r="N28" s="44" t="str">
        <f>IF('QUICK ENTRY'!$B28="","",'QUICK ENTRY'!$AA28)</f>
        <v>OK</v>
      </c>
      <c r="O28" s="44" t="str">
        <f>IF('QUICK ENTRY'!$B28="","",'QUICK ENTRY'!$AG28)</f>
        <v>OK</v>
      </c>
      <c r="P28" s="44" t="str">
        <f>IF('QUICK ENTRY'!$B28="","",'QUICK ENTRY'!$AF28)</f>
        <v>Yes</v>
      </c>
    </row>
    <row r="29" spans="1:16" ht="14.4">
      <c r="A29" s="44" t="str">
        <f>IF('QUICK ENTRY'!$B29="","",'QUICK ENTRY'!$U29)</f>
        <v>INC-2026-0022</v>
      </c>
      <c r="B29" s="55">
        <f>IF('QUICK ENTRY'!$B29="","",'QUICK ENTRY'!$B29)</f>
        <v>46235</v>
      </c>
      <c r="C29" s="44" t="str">
        <f>IF('QUICK ENTRY'!$B29="","",'QUICK ENTRY'!$C29)</f>
        <v>Income</v>
      </c>
      <c r="D29" s="44" t="str">
        <f>IF('QUICK ENTRY'!$B29="","",'QUICK ENTRY'!$I29)</f>
        <v>Miscellaneous</v>
      </c>
      <c r="E29" s="44" t="str">
        <f>IF('QUICK ENTRY'!$B29="","",'QUICK ENTRY'!$D29)</f>
        <v>Monthly Allowance - August</v>
      </c>
      <c r="F29" s="44">
        <f>IF('QUICK ENTRY'!$B29="","",'QUICK ENTRY'!$K29)</f>
        <v>0</v>
      </c>
      <c r="G29" s="58">
        <f>IF('QUICK ENTRY'!$B29="","",'QUICK ENTRY'!$E29)</f>
        <v>25000</v>
      </c>
      <c r="H29" s="44" t="str">
        <f>IF('QUICK ENTRY'!$B29="","",'QUICK ENTRY'!$F29)</f>
        <v>UPI</v>
      </c>
      <c r="I29" s="44" t="str">
        <f>IF('QUICK ENTRY'!$B29="","",'QUICK ENTRY'!$L29)</f>
        <v>UPI-linked Bank</v>
      </c>
      <c r="J29" s="44" t="str">
        <f>IF('QUICK ENTRY'!$B29="","",'QUICK ENTRY'!$M29)</f>
        <v>Essential</v>
      </c>
      <c r="K29" s="44" t="str">
        <f>IF('QUICK ENTRY'!$B29="","",'QUICK ENTRY'!$V29)</f>
        <v>August</v>
      </c>
      <c r="L29" s="44" t="str">
        <f>IF('QUICK ENTRY'!$B29="","",'QUICK ENTRY'!$R29)</f>
        <v>Not Applicable</v>
      </c>
      <c r="M29" s="44" t="str">
        <f>IF('QUICK ENTRY'!$B29="","",'QUICK ENTRY'!$O29)</f>
        <v>Paid</v>
      </c>
      <c r="N29" s="44" t="str">
        <f>IF('QUICK ENTRY'!$B29="","",'QUICK ENTRY'!$AA29)</f>
        <v>OK</v>
      </c>
      <c r="O29" s="44" t="str">
        <f>IF('QUICK ENTRY'!$B29="","",'QUICK ENTRY'!$AG29)</f>
        <v>OK</v>
      </c>
      <c r="P29" s="44" t="str">
        <f>IF('QUICK ENTRY'!$B29="","",'QUICK ENTRY'!$AF29)</f>
        <v>Yes</v>
      </c>
    </row>
    <row r="30" spans="1:16" ht="14.4">
      <c r="A30" s="44" t="str">
        <f>IF('QUICK ENTRY'!$B30="","",'QUICK ENTRY'!$U30)</f>
        <v>INC-2026-0023</v>
      </c>
      <c r="B30" s="55">
        <f>IF('QUICK ENTRY'!$B30="","",'QUICK ENTRY'!$B30)</f>
        <v>46254</v>
      </c>
      <c r="C30" s="44" t="str">
        <f>IF('QUICK ENTRY'!$B30="","",'QUICK ENTRY'!$C30)</f>
        <v>Income</v>
      </c>
      <c r="D30" s="44" t="str">
        <f>IF('QUICK ENTRY'!$B30="","",'QUICK ENTRY'!$I30)</f>
        <v>College Fees</v>
      </c>
      <c r="E30" s="44" t="str">
        <f>IF('QUICK ENTRY'!$B30="","",'QUICK ENTRY'!$D30)</f>
        <v>Merit Scholarship</v>
      </c>
      <c r="F30" s="44" t="str">
        <f>IF('QUICK ENTRY'!$B30="","",'QUICK ENTRY'!$K30)</f>
        <v>College</v>
      </c>
      <c r="G30" s="58">
        <f>IF('QUICK ENTRY'!$B30="","",'QUICK ENTRY'!$E30)</f>
        <v>5000</v>
      </c>
      <c r="H30" s="44" t="str">
        <f>IF('QUICK ENTRY'!$B30="","",'QUICK ENTRY'!$F30)</f>
        <v>Bank Transfer</v>
      </c>
      <c r="I30" s="44" t="str">
        <f>IF('QUICK ENTRY'!$B30="","",'QUICK ENTRY'!$L30)</f>
        <v>UPI-linked Bank</v>
      </c>
      <c r="J30" s="44" t="str">
        <f>IF('QUICK ENTRY'!$B30="","",'QUICK ENTRY'!$M30)</f>
        <v>Essential</v>
      </c>
      <c r="K30" s="44" t="str">
        <f>IF('QUICK ENTRY'!$B30="","",'QUICK ENTRY'!$V30)</f>
        <v>August</v>
      </c>
      <c r="L30" s="44" t="str">
        <f>IF('QUICK ENTRY'!$B30="","",'QUICK ENTRY'!$R30)</f>
        <v>Semester 1</v>
      </c>
      <c r="M30" s="44" t="str">
        <f>IF('QUICK ENTRY'!$B30="","",'QUICK ENTRY'!$O30)</f>
        <v>Paid</v>
      </c>
      <c r="N30" s="44" t="str">
        <f>IF('QUICK ENTRY'!$B30="","",'QUICK ENTRY'!$AA30)</f>
        <v>OK</v>
      </c>
      <c r="O30" s="44" t="str">
        <f>IF('QUICK ENTRY'!$B30="","",'QUICK ENTRY'!$AG30)</f>
        <v>OK</v>
      </c>
      <c r="P30" s="44" t="str">
        <f>IF('QUICK ENTRY'!$B30="","",'QUICK ENTRY'!$AF30)</f>
        <v>Yes</v>
      </c>
    </row>
    <row r="31" spans="1:16" ht="14.4">
      <c r="A31" s="44" t="str">
        <f>IF('QUICK ENTRY'!$B31="","",'QUICK ENTRY'!$U31)</f>
        <v>EXP-2026-0024</v>
      </c>
      <c r="B31" s="55">
        <f>IF('QUICK ENTRY'!$B31="","",'QUICK ENTRY'!$B31)</f>
        <v>46244</v>
      </c>
      <c r="C31" s="44" t="str">
        <f>IF('QUICK ENTRY'!$B31="","",'QUICK ENTRY'!$C31)</f>
        <v>Expense</v>
      </c>
      <c r="D31" s="44" t="str">
        <f>IF('QUICK ENTRY'!$B31="","",'QUICK ENTRY'!$I31)</f>
        <v>Food</v>
      </c>
      <c r="E31" s="44" t="str">
        <f>IF('QUICK ENTRY'!$B31="","",'QUICK ENTRY'!$D31)</f>
        <v>Monthly food</v>
      </c>
      <c r="F31" s="44" t="str">
        <f>IF('QUICK ENTRY'!$B31="","",'QUICK ENTRY'!$K31)</f>
        <v>Hostel Mess</v>
      </c>
      <c r="G31" s="58">
        <f>IF('QUICK ENTRY'!$B31="","",'QUICK ENTRY'!$E31)</f>
        <v>3400</v>
      </c>
      <c r="H31" s="44" t="str">
        <f>IF('QUICK ENTRY'!$B31="","",'QUICK ENTRY'!$F31)</f>
        <v>UPI</v>
      </c>
      <c r="I31" s="44" t="str">
        <f>IF('QUICK ENTRY'!$B31="","",'QUICK ENTRY'!$L31)</f>
        <v>UPI-linked Bank</v>
      </c>
      <c r="J31" s="44" t="str">
        <f>IF('QUICK ENTRY'!$B31="","",'QUICK ENTRY'!$M31)</f>
        <v>Essential</v>
      </c>
      <c r="K31" s="44" t="str">
        <f>IF('QUICK ENTRY'!$B31="","",'QUICK ENTRY'!$V31)</f>
        <v>August</v>
      </c>
      <c r="L31" s="44" t="str">
        <f>IF('QUICK ENTRY'!$B31="","",'QUICK ENTRY'!$R31)</f>
        <v>Not Applicable</v>
      </c>
      <c r="M31" s="44" t="str">
        <f>IF('QUICK ENTRY'!$B31="","",'QUICK ENTRY'!$O31)</f>
        <v>Paid</v>
      </c>
      <c r="N31" s="44" t="str">
        <f>IF('QUICK ENTRY'!$B31="","",'QUICK ENTRY'!$AA31)</f>
        <v>OK</v>
      </c>
      <c r="O31" s="44" t="str">
        <f>IF('QUICK ENTRY'!$B31="","",'QUICK ENTRY'!$AG31)</f>
        <v>OK</v>
      </c>
      <c r="P31" s="44" t="str">
        <f>IF('QUICK ENTRY'!$B31="","",'QUICK ENTRY'!$AF31)</f>
        <v>Yes</v>
      </c>
    </row>
    <row r="32" spans="1:16" ht="14.4">
      <c r="A32" s="44" t="str">
        <f>IF('QUICK ENTRY'!$B32="","",'QUICK ENTRY'!$U32)</f>
        <v>EXP-2026-0025</v>
      </c>
      <c r="B32" s="55">
        <f>IF('QUICK ENTRY'!$B32="","",'QUICK ENTRY'!$B32)</f>
        <v>46252</v>
      </c>
      <c r="C32" s="44" t="str">
        <f>IF('QUICK ENTRY'!$B32="","",'QUICK ENTRY'!$C32)</f>
        <v>Expense</v>
      </c>
      <c r="D32" s="44" t="str">
        <f>IF('QUICK ENTRY'!$B32="","",'QUICK ENTRY'!$I32)</f>
        <v>Travel Home</v>
      </c>
      <c r="E32" s="44" t="str">
        <f>IF('QUICK ENTRY'!$B32="","",'QUICK ENTRY'!$D32)</f>
        <v>Trip home by train</v>
      </c>
      <c r="F32" s="44" t="str">
        <f>IF('QUICK ENTRY'!$B32="","",'QUICK ENTRY'!$K32)</f>
        <v>IRCTC</v>
      </c>
      <c r="G32" s="58">
        <f>IF('QUICK ENTRY'!$B32="","",'QUICK ENTRY'!$E32)</f>
        <v>1800</v>
      </c>
      <c r="H32" s="44" t="str">
        <f>IF('QUICK ENTRY'!$B32="","",'QUICK ENTRY'!$F32)</f>
        <v>UPI</v>
      </c>
      <c r="I32" s="44" t="str">
        <f>IF('QUICK ENTRY'!$B32="","",'QUICK ENTRY'!$L32)</f>
        <v>UPI-linked Bank</v>
      </c>
      <c r="J32" s="44" t="str">
        <f>IF('QUICK ENTRY'!$B32="","",'QUICK ENTRY'!$M32)</f>
        <v>Essential</v>
      </c>
      <c r="K32" s="44" t="str">
        <f>IF('QUICK ENTRY'!$B32="","",'QUICK ENTRY'!$V32)</f>
        <v>August</v>
      </c>
      <c r="L32" s="44" t="str">
        <f>IF('QUICK ENTRY'!$B32="","",'QUICK ENTRY'!$R32)</f>
        <v>Not Applicable</v>
      </c>
      <c r="M32" s="44" t="str">
        <f>IF('QUICK ENTRY'!$B32="","",'QUICK ENTRY'!$O32)</f>
        <v>Paid</v>
      </c>
      <c r="N32" s="44" t="str">
        <f>IF('QUICK ENTRY'!$B32="","",'QUICK ENTRY'!$AA32)</f>
        <v>OK</v>
      </c>
      <c r="O32" s="44" t="str">
        <f>IF('QUICK ENTRY'!$B32="","",'QUICK ENTRY'!$AG32)</f>
        <v>OK</v>
      </c>
      <c r="P32" s="44" t="str">
        <f>IF('QUICK ENTRY'!$B32="","",'QUICK ENTRY'!$AF32)</f>
        <v>Yes</v>
      </c>
    </row>
    <row r="33" spans="1:16" ht="14.4">
      <c r="A33" s="44" t="str">
        <f>IF('QUICK ENTRY'!$B33="","",'QUICK ENTRY'!$U33)</f>
        <v>TRX-2026-0026</v>
      </c>
      <c r="B33" s="55">
        <f>IF('QUICK ENTRY'!$B33="","",'QUICK ENTRY'!$B33)</f>
        <v>46262</v>
      </c>
      <c r="C33" s="44" t="str">
        <f>IF('QUICK ENTRY'!$B33="","",'QUICK ENTRY'!$C33)</f>
        <v>Savings Transfer</v>
      </c>
      <c r="D33" s="44" t="str">
        <f>IF('QUICK ENTRY'!$B33="","",'QUICK ENTRY'!$I33)</f>
        <v>Savings</v>
      </c>
      <c r="E33" s="44" t="str">
        <f>IF('QUICK ENTRY'!$B33="","",'QUICK ENTRY'!$D33)</f>
        <v>Emergency fund contribution</v>
      </c>
      <c r="F33" s="44">
        <f>IF('QUICK ENTRY'!$B33="","",'QUICK ENTRY'!$K33)</f>
        <v>0</v>
      </c>
      <c r="G33" s="58">
        <f>IF('QUICK ENTRY'!$B33="","",'QUICK ENTRY'!$E33)</f>
        <v>2000</v>
      </c>
      <c r="H33" s="44" t="str">
        <f>IF('QUICK ENTRY'!$B33="","",'QUICK ENTRY'!$F33)</f>
        <v>Bank Transfer</v>
      </c>
      <c r="I33" s="44" t="str">
        <f>IF('QUICK ENTRY'!$B33="","",'QUICK ENTRY'!$L33)</f>
        <v>Savings Account</v>
      </c>
      <c r="J33" s="44" t="str">
        <f>IF('QUICK ENTRY'!$B33="","",'QUICK ENTRY'!$M33)</f>
        <v>Essential</v>
      </c>
      <c r="K33" s="44" t="str">
        <f>IF('QUICK ENTRY'!$B33="","",'QUICK ENTRY'!$V33)</f>
        <v>August</v>
      </c>
      <c r="L33" s="44" t="str">
        <f>IF('QUICK ENTRY'!$B33="","",'QUICK ENTRY'!$R33)</f>
        <v>Not Applicable</v>
      </c>
      <c r="M33" s="44" t="str">
        <f>IF('QUICK ENTRY'!$B33="","",'QUICK ENTRY'!$O33)</f>
        <v>Paid</v>
      </c>
      <c r="N33" s="44" t="str">
        <f>IF('QUICK ENTRY'!$B33="","",'QUICK ENTRY'!$AA33)</f>
        <v>OK</v>
      </c>
      <c r="O33" s="44" t="str">
        <f>IF('QUICK ENTRY'!$B33="","",'QUICK ENTRY'!$AG33)</f>
        <v>OK</v>
      </c>
      <c r="P33" s="44" t="str">
        <f>IF('QUICK ENTRY'!$B33="","",'QUICK ENTRY'!$AF33)</f>
        <v>Yes</v>
      </c>
    </row>
    <row r="34" spans="1:16" ht="14.4">
      <c r="A34" s="44" t="str">
        <f>IF('QUICK ENTRY'!$B34="","",'QUICK ENTRY'!$U34)</f>
        <v>INC-2026-0027</v>
      </c>
      <c r="B34" s="55">
        <f>IF('QUICK ENTRY'!$B34="","",'QUICK ENTRY'!$B34)</f>
        <v>46266</v>
      </c>
      <c r="C34" s="44" t="str">
        <f>IF('QUICK ENTRY'!$B34="","",'QUICK ENTRY'!$C34)</f>
        <v>Income</v>
      </c>
      <c r="D34" s="44" t="str">
        <f>IF('QUICK ENTRY'!$B34="","",'QUICK ENTRY'!$I34)</f>
        <v>Miscellaneous</v>
      </c>
      <c r="E34" s="44" t="str">
        <f>IF('QUICK ENTRY'!$B34="","",'QUICK ENTRY'!$D34)</f>
        <v>Monthly Allowance - September</v>
      </c>
      <c r="F34" s="44">
        <f>IF('QUICK ENTRY'!$B34="","",'QUICK ENTRY'!$K34)</f>
        <v>0</v>
      </c>
      <c r="G34" s="58">
        <f>IF('QUICK ENTRY'!$B34="","",'QUICK ENTRY'!$E34)</f>
        <v>25000</v>
      </c>
      <c r="H34" s="44" t="str">
        <f>IF('QUICK ENTRY'!$B34="","",'QUICK ENTRY'!$F34)</f>
        <v>Bank Transfer</v>
      </c>
      <c r="I34" s="44" t="str">
        <f>IF('QUICK ENTRY'!$B34="","",'QUICK ENTRY'!$L34)</f>
        <v>Primary Bank</v>
      </c>
      <c r="J34" s="44" t="str">
        <f>IF('QUICK ENTRY'!$B34="","",'QUICK ENTRY'!$M34)</f>
        <v>Essential</v>
      </c>
      <c r="K34" s="44" t="str">
        <f>IF('QUICK ENTRY'!$B34="","",'QUICK ENTRY'!$V34)</f>
        <v>September</v>
      </c>
      <c r="L34" s="44" t="str">
        <f>IF('QUICK ENTRY'!$B34="","",'QUICK ENTRY'!$R34)</f>
        <v>Not Applicable</v>
      </c>
      <c r="M34" s="44" t="str">
        <f>IF('QUICK ENTRY'!$B34="","",'QUICK ENTRY'!$O34)</f>
        <v>Paid</v>
      </c>
      <c r="N34" s="44" t="str">
        <f>IF('QUICK ENTRY'!$B34="","",'QUICK ENTRY'!$AA34)</f>
        <v>OK</v>
      </c>
      <c r="O34" s="44" t="str">
        <f>IF('QUICK ENTRY'!$B34="","",'QUICK ENTRY'!$AG34)</f>
        <v>OK</v>
      </c>
      <c r="P34" s="44" t="str">
        <f>IF('QUICK ENTRY'!$B34="","",'QUICK ENTRY'!$AF34)</f>
        <v>Yes</v>
      </c>
    </row>
    <row r="35" spans="1:16" ht="14.4">
      <c r="A35" s="44" t="str">
        <f>IF('QUICK ENTRY'!$B35="","",'QUICK ENTRY'!$U35)</f>
        <v>EXP-2026-0028</v>
      </c>
      <c r="B35" s="55">
        <f>IF('QUICK ENTRY'!$B35="","",'QUICK ENTRY'!$B35)</f>
        <v>46266</v>
      </c>
      <c r="C35" s="44" t="str">
        <f>IF('QUICK ENTRY'!$B35="","",'QUICK ENTRY'!$C35)</f>
        <v>Expense</v>
      </c>
      <c r="D35" s="44" t="str">
        <f>IF('QUICK ENTRY'!$B35="","",'QUICK ENTRY'!$I35)</f>
        <v>Hostel</v>
      </c>
      <c r="E35" s="44" t="str">
        <f>IF('QUICK ENTRY'!$B35="","",'QUICK ENTRY'!$D35)</f>
        <v>Hostel Mess September</v>
      </c>
      <c r="F35" s="44" t="str">
        <f>IF('QUICK ENTRY'!$B35="","",'QUICK ENTRY'!$K35)</f>
        <v>Hostel Mess</v>
      </c>
      <c r="G35" s="58">
        <f>IF('QUICK ENTRY'!$B35="","",'QUICK ENTRY'!$E35)</f>
        <v>3200</v>
      </c>
      <c r="H35" s="44" t="str">
        <f>IF('QUICK ENTRY'!$B35="","",'QUICK ENTRY'!$F35)</f>
        <v>UPI</v>
      </c>
      <c r="I35" s="44" t="str">
        <f>IF('QUICK ENTRY'!$B35="","",'QUICK ENTRY'!$L35)</f>
        <v>UPI-linked Bank</v>
      </c>
      <c r="J35" s="44" t="str">
        <f>IF('QUICK ENTRY'!$B35="","",'QUICK ENTRY'!$M35)</f>
        <v>Essential</v>
      </c>
      <c r="K35" s="44" t="str">
        <f>IF('QUICK ENTRY'!$B35="","",'QUICK ENTRY'!$V35)</f>
        <v>September</v>
      </c>
      <c r="L35" s="44" t="str">
        <f>IF('QUICK ENTRY'!$B35="","",'QUICK ENTRY'!$R35)</f>
        <v>Semester 1</v>
      </c>
      <c r="M35" s="44" t="str">
        <f>IF('QUICK ENTRY'!$B35="","",'QUICK ENTRY'!$O35)</f>
        <v>Paid</v>
      </c>
      <c r="N35" s="44" t="str">
        <f>IF('QUICK ENTRY'!$B35="","",'QUICK ENTRY'!$AA35)</f>
        <v>OK</v>
      </c>
      <c r="O35" s="44" t="str">
        <f>IF('QUICK ENTRY'!$B35="","",'QUICK ENTRY'!$AG35)</f>
        <v>OK</v>
      </c>
      <c r="P35" s="44" t="str">
        <f>IF('QUICK ENTRY'!$B35="","",'QUICK ENTRY'!$AF35)</f>
        <v>Yes</v>
      </c>
    </row>
    <row r="36" spans="1:16" ht="14.4">
      <c r="A36" s="44" t="str">
        <f>IF('QUICK ENTRY'!$B36="","",'QUICK ENTRY'!$U36)</f>
        <v>EXP-2026-0029</v>
      </c>
      <c r="B36" s="55">
        <f>IF('QUICK ENTRY'!$B36="","",'QUICK ENTRY'!$B36)</f>
        <v>46267</v>
      </c>
      <c r="C36" s="44" t="str">
        <f>IF('QUICK ENTRY'!$B36="","",'QUICK ENTRY'!$C36)</f>
        <v>Expense</v>
      </c>
      <c r="D36" s="44" t="str">
        <f>IF('QUICK ENTRY'!$B36="","",'QUICK ENTRY'!$I36)</f>
        <v>Food</v>
      </c>
      <c r="E36" s="44" t="str">
        <f>IF('QUICK ENTRY'!$B36="","",'QUICK ENTRY'!$D36)</f>
        <v>Zomato dinner</v>
      </c>
      <c r="F36" s="44" t="str">
        <f>IF('QUICK ENTRY'!$B36="","",'QUICK ENTRY'!$K36)</f>
        <v>Zomato</v>
      </c>
      <c r="G36" s="58">
        <f>IF('QUICK ENTRY'!$B36="","",'QUICK ENTRY'!$E36)</f>
        <v>620</v>
      </c>
      <c r="H36" s="44" t="str">
        <f>IF('QUICK ENTRY'!$B36="","",'QUICK ENTRY'!$F36)</f>
        <v>GPay</v>
      </c>
      <c r="I36" s="44" t="str">
        <f>IF('QUICK ENTRY'!$B36="","",'QUICK ENTRY'!$L36)</f>
        <v>UPI-linked Bank</v>
      </c>
      <c r="J36" s="44" t="str">
        <f>IF('QUICK ENTRY'!$B36="","",'QUICK ENTRY'!$M36)</f>
        <v>Optional</v>
      </c>
      <c r="K36" s="44" t="str">
        <f>IF('QUICK ENTRY'!$B36="","",'QUICK ENTRY'!$V36)</f>
        <v>September</v>
      </c>
      <c r="L36" s="44" t="str">
        <f>IF('QUICK ENTRY'!$B36="","",'QUICK ENTRY'!$R36)</f>
        <v>Not Applicable</v>
      </c>
      <c r="M36" s="44" t="str">
        <f>IF('QUICK ENTRY'!$B36="","",'QUICK ENTRY'!$O36)</f>
        <v>Paid</v>
      </c>
      <c r="N36" s="44" t="str">
        <f>IF('QUICK ENTRY'!$B36="","",'QUICK ENTRY'!$AA36)</f>
        <v>OK</v>
      </c>
      <c r="O36" s="44" t="str">
        <f>IF('QUICK ENTRY'!$B36="","",'QUICK ENTRY'!$AG36)</f>
        <v>OK</v>
      </c>
      <c r="P36" s="44" t="str">
        <f>IF('QUICK ENTRY'!$B36="","",'QUICK ENTRY'!$AF36)</f>
        <v>Yes</v>
      </c>
    </row>
    <row r="37" spans="1:16" ht="14.4">
      <c r="A37" s="44" t="str">
        <f>IF('QUICK ENTRY'!$B37="","",'QUICK ENTRY'!$U37)</f>
        <v>EXP-2026-0030</v>
      </c>
      <c r="B37" s="55">
        <f>IF('QUICK ENTRY'!$B37="","",'QUICK ENTRY'!$B37)</f>
        <v>46267</v>
      </c>
      <c r="C37" s="44" t="str">
        <f>IF('QUICK ENTRY'!$B37="","",'QUICK ENTRY'!$C37)</f>
        <v>Expense</v>
      </c>
      <c r="D37" s="44" t="str">
        <f>IF('QUICK ENTRY'!$B37="","",'QUICK ENTRY'!$I37)</f>
        <v>Transport</v>
      </c>
      <c r="E37" s="44" t="str">
        <f>IF('QUICK ENTRY'!$B37="","",'QUICK ENTRY'!$D37)</f>
        <v>Uber to railway station</v>
      </c>
      <c r="F37" s="44" t="str">
        <f>IF('QUICK ENTRY'!$B37="","",'QUICK ENTRY'!$K37)</f>
        <v>Uber</v>
      </c>
      <c r="G37" s="58">
        <f>IF('QUICK ENTRY'!$B37="","",'QUICK ENTRY'!$E37)</f>
        <v>350</v>
      </c>
      <c r="H37" s="44" t="str">
        <f>IF('QUICK ENTRY'!$B37="","",'QUICK ENTRY'!$F37)</f>
        <v>PhonePe</v>
      </c>
      <c r="I37" s="44" t="str">
        <f>IF('QUICK ENTRY'!$B37="","",'QUICK ENTRY'!$L37)</f>
        <v>UPI-linked Bank</v>
      </c>
      <c r="J37" s="44" t="str">
        <f>IF('QUICK ENTRY'!$B37="","",'QUICK ENTRY'!$M37)</f>
        <v>Useful</v>
      </c>
      <c r="K37" s="44" t="str">
        <f>IF('QUICK ENTRY'!$B37="","",'QUICK ENTRY'!$V37)</f>
        <v>September</v>
      </c>
      <c r="L37" s="44" t="str">
        <f>IF('QUICK ENTRY'!$B37="","",'QUICK ENTRY'!$R37)</f>
        <v>Not Applicable</v>
      </c>
      <c r="M37" s="44" t="str">
        <f>IF('QUICK ENTRY'!$B37="","",'QUICK ENTRY'!$O37)</f>
        <v>Paid</v>
      </c>
      <c r="N37" s="44" t="str">
        <f>IF('QUICK ENTRY'!$B37="","",'QUICK ENTRY'!$AA37)</f>
        <v>OK</v>
      </c>
      <c r="O37" s="44" t="str">
        <f>IF('QUICK ENTRY'!$B37="","",'QUICK ENTRY'!$AG37)</f>
        <v>OK</v>
      </c>
      <c r="P37" s="44" t="str">
        <f>IF('QUICK ENTRY'!$B37="","",'QUICK ENTRY'!$AF37)</f>
        <v>Yes</v>
      </c>
    </row>
    <row r="38" spans="1:16" ht="14.4">
      <c r="A38" s="44" t="str">
        <f>IF('QUICK ENTRY'!$B38="","",'QUICK ENTRY'!$U38)</f>
        <v>EXP-2026-0031</v>
      </c>
      <c r="B38" s="55">
        <f>IF('QUICK ENTRY'!$B38="","",'QUICK ENTRY'!$B38)</f>
        <v>46267</v>
      </c>
      <c r="C38" s="44" t="str">
        <f>IF('QUICK ENTRY'!$B38="","",'QUICK ENTRY'!$C38)</f>
        <v>Expense</v>
      </c>
      <c r="D38" s="44" t="str">
        <f>IF('QUICK ENTRY'!$B38="","",'QUICK ENTRY'!$I38)</f>
        <v>AI-ML Learning</v>
      </c>
      <c r="E38" s="44" t="str">
        <f>IF('QUICK ENTRY'!$B38="","",'QUICK ENTRY'!$D38)</f>
        <v>Udemy deep learning course</v>
      </c>
      <c r="F38" s="44" t="str">
        <f>IF('QUICK ENTRY'!$B38="","",'QUICK ENTRY'!$K38)</f>
        <v>Udemy</v>
      </c>
      <c r="G38" s="58">
        <f>IF('QUICK ENTRY'!$B38="","",'QUICK ENTRY'!$E38)</f>
        <v>1499</v>
      </c>
      <c r="H38" s="44" t="str">
        <f>IF('QUICK ENTRY'!$B38="","",'QUICK ENTRY'!$F38)</f>
        <v>Debit Card</v>
      </c>
      <c r="I38" s="44" t="str">
        <f>IF('QUICK ENTRY'!$B38="","",'QUICK ENTRY'!$L38)</f>
        <v>UPI-linked Bank</v>
      </c>
      <c r="J38" s="44" t="str">
        <f>IF('QUICK ENTRY'!$B38="","",'QUICK ENTRY'!$M38)</f>
        <v>Essential</v>
      </c>
      <c r="K38" s="44" t="str">
        <f>IF('QUICK ENTRY'!$B38="","",'QUICK ENTRY'!$V38)</f>
        <v>September</v>
      </c>
      <c r="L38" s="44" t="str">
        <f>IF('QUICK ENTRY'!$B38="","",'QUICK ENTRY'!$R38)</f>
        <v>Not Applicable</v>
      </c>
      <c r="M38" s="44" t="str">
        <f>IF('QUICK ENTRY'!$B38="","",'QUICK ENTRY'!$O38)</f>
        <v>Paid</v>
      </c>
      <c r="N38" s="44" t="str">
        <f>IF('QUICK ENTRY'!$B38="","",'QUICK ENTRY'!$AA38)</f>
        <v>OK</v>
      </c>
      <c r="O38" s="44" t="str">
        <f>IF('QUICK ENTRY'!$B38="","",'QUICK ENTRY'!$AG38)</f>
        <v>OK</v>
      </c>
      <c r="P38" s="44" t="str">
        <f>IF('QUICK ENTRY'!$B38="","",'QUICK ENTRY'!$AF38)</f>
        <v>Yes</v>
      </c>
    </row>
    <row r="39" spans="1:16" ht="14.4">
      <c r="A39" s="44" t="str">
        <f>IF('QUICK ENTRY'!$B39="","",'QUICK ENTRY'!$U39)</f>
        <v>EXP-2026-0032</v>
      </c>
      <c r="B39" s="55">
        <f>IF('QUICK ENTRY'!$B39="","",'QUICK ENTRY'!$B39)</f>
        <v>46267</v>
      </c>
      <c r="C39" s="44" t="str">
        <f>IF('QUICK ENTRY'!$B39="","",'QUICK ENTRY'!$C39)</f>
        <v>Expense</v>
      </c>
      <c r="D39" s="44" t="str">
        <f>IF('QUICK ENTRY'!$B39="","",'QUICK ENTRY'!$I39)</f>
        <v>Mobile &amp; Internet</v>
      </c>
      <c r="E39" s="44" t="str">
        <f>IF('QUICK ENTRY'!$B39="","",'QUICK ENTRY'!$D39)</f>
        <v>Mobile recharge</v>
      </c>
      <c r="F39" s="44" t="str">
        <f>IF('QUICK ENTRY'!$B39="","",'QUICK ENTRY'!$K39)</f>
        <v>Jio</v>
      </c>
      <c r="G39" s="58">
        <f>IF('QUICK ENTRY'!$B39="","",'QUICK ENTRY'!$E39)</f>
        <v>349</v>
      </c>
      <c r="H39" s="44" t="str">
        <f>IF('QUICK ENTRY'!$B39="","",'QUICK ENTRY'!$F39)</f>
        <v>UPI</v>
      </c>
      <c r="I39" s="44" t="str">
        <f>IF('QUICK ENTRY'!$B39="","",'QUICK ENTRY'!$L39)</f>
        <v>UPI-linked Bank</v>
      </c>
      <c r="J39" s="44" t="str">
        <f>IF('QUICK ENTRY'!$B39="","",'QUICK ENTRY'!$M39)</f>
        <v>Essential</v>
      </c>
      <c r="K39" s="44" t="str">
        <f>IF('QUICK ENTRY'!$B39="","",'QUICK ENTRY'!$V39)</f>
        <v>September</v>
      </c>
      <c r="L39" s="44" t="str">
        <f>IF('QUICK ENTRY'!$B39="","",'QUICK ENTRY'!$R39)</f>
        <v>Not Applicable</v>
      </c>
      <c r="M39" s="44" t="str">
        <f>IF('QUICK ENTRY'!$B39="","",'QUICK ENTRY'!$O39)</f>
        <v>Paid</v>
      </c>
      <c r="N39" s="44" t="str">
        <f>IF('QUICK ENTRY'!$B39="","",'QUICK ENTRY'!$AA39)</f>
        <v>OK</v>
      </c>
      <c r="O39" s="44" t="str">
        <f>IF('QUICK ENTRY'!$B39="","",'QUICK ENTRY'!$AG39)</f>
        <v>OK</v>
      </c>
      <c r="P39" s="44" t="str">
        <f>IF('QUICK ENTRY'!$B39="","",'QUICK ENTRY'!$AF39)</f>
        <v>Yes</v>
      </c>
    </row>
    <row r="40" spans="1:16" ht="14.4">
      <c r="A40" s="44" t="str">
        <f>IF('QUICK ENTRY'!$B40="","",'QUICK ENTRY'!$U40)</f>
        <v>EXP-2026-0033</v>
      </c>
      <c r="B40" s="55">
        <f>IF('QUICK ENTRY'!$B40="","",'QUICK ENTRY'!$B40)</f>
        <v>46267</v>
      </c>
      <c r="C40" s="44" t="str">
        <f>IF('QUICK ENTRY'!$B40="","",'QUICK ENTRY'!$C40)</f>
        <v>Expense</v>
      </c>
      <c r="D40" s="44" t="str">
        <f>IF('QUICK ENTRY'!$B40="","",'QUICK ENTRY'!$I40)</f>
        <v>Subscriptions</v>
      </c>
      <c r="E40" s="44" t="str">
        <f>IF('QUICK ENTRY'!$B40="","",'QUICK ENTRY'!$D40)</f>
        <v>Netflix monthly plan</v>
      </c>
      <c r="F40" s="44" t="str">
        <f>IF('QUICK ENTRY'!$B40="","",'QUICK ENTRY'!$K40)</f>
        <v>Netflix</v>
      </c>
      <c r="G40" s="58">
        <f>IF('QUICK ENTRY'!$B40="","",'QUICK ENTRY'!$E40)</f>
        <v>199</v>
      </c>
      <c r="H40" s="44" t="str">
        <f>IF('QUICK ENTRY'!$B40="","",'QUICK ENTRY'!$F40)</f>
        <v>UPI</v>
      </c>
      <c r="I40" s="44" t="str">
        <f>IF('QUICK ENTRY'!$B40="","",'QUICK ENTRY'!$L40)</f>
        <v>UPI-linked Bank</v>
      </c>
      <c r="J40" s="44" t="str">
        <f>IF('QUICK ENTRY'!$B40="","",'QUICK ENTRY'!$M40)</f>
        <v>Optional</v>
      </c>
      <c r="K40" s="44" t="str">
        <f>IF('QUICK ENTRY'!$B40="","",'QUICK ENTRY'!$V40)</f>
        <v>September</v>
      </c>
      <c r="L40" s="44" t="str">
        <f>IF('QUICK ENTRY'!$B40="","",'QUICK ENTRY'!$R40)</f>
        <v>Not Applicable</v>
      </c>
      <c r="M40" s="44" t="str">
        <f>IF('QUICK ENTRY'!$B40="","",'QUICK ENTRY'!$O40)</f>
        <v>Paid</v>
      </c>
      <c r="N40" s="44" t="str">
        <f>IF('QUICK ENTRY'!$B40="","",'QUICK ENTRY'!$AA40)</f>
        <v>OK</v>
      </c>
      <c r="O40" s="44" t="str">
        <f>IF('QUICK ENTRY'!$B40="","",'QUICK ENTRY'!$AG40)</f>
        <v>OK</v>
      </c>
      <c r="P40" s="44" t="str">
        <f>IF('QUICK ENTRY'!$B40="","",'QUICK ENTRY'!$AF40)</f>
        <v>Yes</v>
      </c>
    </row>
    <row r="41" spans="1:16" ht="14.4">
      <c r="A41" s="44" t="str">
        <f>IF('QUICK ENTRY'!$B41="","",'QUICK ENTRY'!$U41)</f>
        <v>EXP-2026-0034</v>
      </c>
      <c r="B41" s="55">
        <f>IF('QUICK ENTRY'!$B41="","",'QUICK ENTRY'!$B41)</f>
        <v>46267</v>
      </c>
      <c r="C41" s="44" t="str">
        <f>IF('QUICK ENTRY'!$B41="","",'QUICK ENTRY'!$C41)</f>
        <v>Expense</v>
      </c>
      <c r="D41" s="44" t="str">
        <f>IF('QUICK ENTRY'!$B41="","",'QUICK ENTRY'!$I41)</f>
        <v>Books &amp; Stationery</v>
      </c>
      <c r="E41" s="44" t="str">
        <f>IF('QUICK ENTRY'!$B41="","",'QUICK ENTRY'!$D41)</f>
        <v>Notebook and pens</v>
      </c>
      <c r="F41" s="44" t="str">
        <f>IF('QUICK ENTRY'!$B41="","",'QUICK ENTRY'!$K41)</f>
        <v>College Store</v>
      </c>
      <c r="G41" s="58">
        <f>IF('QUICK ENTRY'!$B41="","",'QUICK ENTRY'!$E41)</f>
        <v>280</v>
      </c>
      <c r="H41" s="44" t="str">
        <f>IF('QUICK ENTRY'!$B41="","",'QUICK ENTRY'!$F41)</f>
        <v>Cash</v>
      </c>
      <c r="I41" s="44" t="str">
        <f>IF('QUICK ENTRY'!$B41="","",'QUICK ENTRY'!$L41)</f>
        <v>UPI-linked Bank</v>
      </c>
      <c r="J41" s="44" t="str">
        <f>IF('QUICK ENTRY'!$B41="","",'QUICK ENTRY'!$M41)</f>
        <v>Essential</v>
      </c>
      <c r="K41" s="44" t="str">
        <f>IF('QUICK ENTRY'!$B41="","",'QUICK ENTRY'!$V41)</f>
        <v>September</v>
      </c>
      <c r="L41" s="44" t="str">
        <f>IF('QUICK ENTRY'!$B41="","",'QUICK ENTRY'!$R41)</f>
        <v>Not Applicable</v>
      </c>
      <c r="M41" s="44" t="str">
        <f>IF('QUICK ENTRY'!$B41="","",'QUICK ENTRY'!$O41)</f>
        <v>Paid</v>
      </c>
      <c r="N41" s="44" t="str">
        <f>IF('QUICK ENTRY'!$B41="","",'QUICK ENTRY'!$AA41)</f>
        <v>OK</v>
      </c>
      <c r="O41" s="44" t="str">
        <f>IF('QUICK ENTRY'!$B41="","",'QUICK ENTRY'!$AG41)</f>
        <v>OK</v>
      </c>
      <c r="P41" s="44" t="str">
        <f>IF('QUICK ENTRY'!$B41="","",'QUICK ENTRY'!$AF41)</f>
        <v>Yes</v>
      </c>
    </row>
    <row r="42" spans="1:16" ht="14.4">
      <c r="A42" s="44" t="str">
        <f>IF('QUICK ENTRY'!$B42="","",'QUICK ENTRY'!$U42)</f>
        <v>EXP-2026-0035</v>
      </c>
      <c r="B42" s="55">
        <f>IF('QUICK ENTRY'!$B42="","",'QUICK ENTRY'!$B42)</f>
        <v>46267</v>
      </c>
      <c r="C42" s="44" t="str">
        <f>IF('QUICK ENTRY'!$B42="","",'QUICK ENTRY'!$C42)</f>
        <v>Expense</v>
      </c>
      <c r="D42" s="44" t="str">
        <f>IF('QUICK ENTRY'!$B42="","",'QUICK ENTRY'!$I42)</f>
        <v>Health &amp; Fitness</v>
      </c>
      <c r="E42" s="44" t="str">
        <f>IF('QUICK ENTRY'!$B42="","",'QUICK ENTRY'!$D42)</f>
        <v>Gym membership</v>
      </c>
      <c r="F42" s="44" t="str">
        <f>IF('QUICK ENTRY'!$B42="","",'QUICK ENTRY'!$K42)</f>
        <v>Campus Gym</v>
      </c>
      <c r="G42" s="58">
        <f>IF('QUICK ENTRY'!$B42="","",'QUICK ENTRY'!$E42)</f>
        <v>700</v>
      </c>
      <c r="H42" s="44" t="str">
        <f>IF('QUICK ENTRY'!$B42="","",'QUICK ENTRY'!$F42)</f>
        <v>UPI</v>
      </c>
      <c r="I42" s="44" t="str">
        <f>IF('QUICK ENTRY'!$B42="","",'QUICK ENTRY'!$L42)</f>
        <v>UPI-linked Bank</v>
      </c>
      <c r="J42" s="44" t="str">
        <f>IF('QUICK ENTRY'!$B42="","",'QUICK ENTRY'!$M42)</f>
        <v>Useful</v>
      </c>
      <c r="K42" s="44" t="str">
        <f>IF('QUICK ENTRY'!$B42="","",'QUICK ENTRY'!$V42)</f>
        <v>September</v>
      </c>
      <c r="L42" s="44" t="str">
        <f>IF('QUICK ENTRY'!$B42="","",'QUICK ENTRY'!$R42)</f>
        <v>Not Applicable</v>
      </c>
      <c r="M42" s="44" t="str">
        <f>IF('QUICK ENTRY'!$B42="","",'QUICK ENTRY'!$O42)</f>
        <v>Paid</v>
      </c>
      <c r="N42" s="44" t="str">
        <f>IF('QUICK ENTRY'!$B42="","",'QUICK ENTRY'!$AA42)</f>
        <v>OK</v>
      </c>
      <c r="O42" s="44" t="str">
        <f>IF('QUICK ENTRY'!$B42="","",'QUICK ENTRY'!$AG42)</f>
        <v>OK</v>
      </c>
      <c r="P42" s="44" t="str">
        <f>IF('QUICK ENTRY'!$B42="","",'QUICK ENTRY'!$AF42)</f>
        <v>Yes</v>
      </c>
    </row>
    <row r="43" spans="1:16" ht="14.4">
      <c r="A43" s="44" t="str">
        <f>IF('QUICK ENTRY'!$B43="","",'QUICK ENTRY'!$U43)</f>
        <v>TRX-2026-0036</v>
      </c>
      <c r="B43" s="55">
        <f>IF('QUICK ENTRY'!$B43="","",'QUICK ENTRY'!$B43)</f>
        <v>46267</v>
      </c>
      <c r="C43" s="44" t="str">
        <f>IF('QUICK ENTRY'!$B43="","",'QUICK ENTRY'!$C43)</f>
        <v>Savings Transfer</v>
      </c>
      <c r="D43" s="44" t="str">
        <f>IF('QUICK ENTRY'!$B43="","",'QUICK ENTRY'!$I43)</f>
        <v>Savings</v>
      </c>
      <c r="E43" s="44" t="str">
        <f>IF('QUICK ENTRY'!$B43="","",'QUICK ENTRY'!$D43)</f>
        <v>Monthly savings contribution</v>
      </c>
      <c r="F43" s="44">
        <f>IF('QUICK ENTRY'!$B43="","",'QUICK ENTRY'!$K43)</f>
        <v>0</v>
      </c>
      <c r="G43" s="58">
        <f>IF('QUICK ENTRY'!$B43="","",'QUICK ENTRY'!$E43)</f>
        <v>2500</v>
      </c>
      <c r="H43" s="44" t="str">
        <f>IF('QUICK ENTRY'!$B43="","",'QUICK ENTRY'!$F43)</f>
        <v>Bank Transfer</v>
      </c>
      <c r="I43" s="44" t="str">
        <f>IF('QUICK ENTRY'!$B43="","",'QUICK ENTRY'!$L43)</f>
        <v>Savings Account</v>
      </c>
      <c r="J43" s="44" t="str">
        <f>IF('QUICK ENTRY'!$B43="","",'QUICK ENTRY'!$M43)</f>
        <v>Essential</v>
      </c>
      <c r="K43" s="44" t="str">
        <f>IF('QUICK ENTRY'!$B43="","",'QUICK ENTRY'!$V43)</f>
        <v>September</v>
      </c>
      <c r="L43" s="44" t="str">
        <f>IF('QUICK ENTRY'!$B43="","",'QUICK ENTRY'!$R43)</f>
        <v>Not Applicable</v>
      </c>
      <c r="M43" s="44" t="str">
        <f>IF('QUICK ENTRY'!$B43="","",'QUICK ENTRY'!$O43)</f>
        <v>Paid</v>
      </c>
      <c r="N43" s="44" t="str">
        <f>IF('QUICK ENTRY'!$B43="","",'QUICK ENTRY'!$AA43)</f>
        <v>OK</v>
      </c>
      <c r="O43" s="44" t="str">
        <f>IF('QUICK ENTRY'!$B43="","",'QUICK ENTRY'!$AG43)</f>
        <v>OK</v>
      </c>
      <c r="P43" s="44" t="str">
        <f>IF('QUICK ENTRY'!$B43="","",'QUICK ENTRY'!$AF43)</f>
        <v>Yes</v>
      </c>
    </row>
    <row r="44" spans="1:16" ht="14.4">
      <c r="A44" s="44" t="str">
        <f>IF('QUICK ENTRY'!$B44="","",'QUICK ENTRY'!$U44)</f>
        <v/>
      </c>
      <c r="B44" s="55" t="str">
        <f>IF('QUICK ENTRY'!$B44="","",'QUICK ENTRY'!$B44)</f>
        <v/>
      </c>
      <c r="C44" s="44" t="str">
        <f>IF('QUICK ENTRY'!$B44="","",'QUICK ENTRY'!$C44)</f>
        <v/>
      </c>
      <c r="D44" s="44" t="str">
        <f>IF('QUICK ENTRY'!$B44="","",'QUICK ENTRY'!$I44)</f>
        <v/>
      </c>
      <c r="E44" s="44" t="str">
        <f>IF('QUICK ENTRY'!$B44="","",'QUICK ENTRY'!$D44)</f>
        <v/>
      </c>
      <c r="F44" s="44" t="str">
        <f>IF('QUICK ENTRY'!$B44="","",'QUICK ENTRY'!$K44)</f>
        <v/>
      </c>
      <c r="G44" s="58" t="str">
        <f>IF('QUICK ENTRY'!$B44="","",'QUICK ENTRY'!$E44)</f>
        <v/>
      </c>
      <c r="H44" s="44" t="str">
        <f>IF('QUICK ENTRY'!$B44="","",'QUICK ENTRY'!$F44)</f>
        <v/>
      </c>
      <c r="I44" s="44" t="str">
        <f>IF('QUICK ENTRY'!$B44="","",'QUICK ENTRY'!$L44)</f>
        <v/>
      </c>
      <c r="J44" s="44" t="str">
        <f>IF('QUICK ENTRY'!$B44="","",'QUICK ENTRY'!$M44)</f>
        <v/>
      </c>
      <c r="K44" s="44" t="str">
        <f>IF('QUICK ENTRY'!$B44="","",'QUICK ENTRY'!$V44)</f>
        <v/>
      </c>
      <c r="L44" s="44" t="str">
        <f>IF('QUICK ENTRY'!$B44="","",'QUICK ENTRY'!$R44)</f>
        <v/>
      </c>
      <c r="M44" s="44" t="str">
        <f>IF('QUICK ENTRY'!$B44="","",'QUICK ENTRY'!$O44)</f>
        <v/>
      </c>
      <c r="N44" s="44" t="str">
        <f>IF('QUICK ENTRY'!$B44="","",'QUICK ENTRY'!$AA44)</f>
        <v/>
      </c>
      <c r="O44" s="44" t="str">
        <f>IF('QUICK ENTRY'!$B44="","",'QUICK ENTRY'!$AG44)</f>
        <v/>
      </c>
      <c r="P44" s="44" t="str">
        <f>IF('QUICK ENTRY'!$B44="","",'QUICK ENTRY'!$AF44)</f>
        <v/>
      </c>
    </row>
    <row r="45" spans="1:16" ht="14.4">
      <c r="A45" s="44" t="str">
        <f>IF('QUICK ENTRY'!$B45="","",'QUICK ENTRY'!$U45)</f>
        <v/>
      </c>
      <c r="B45" s="55" t="str">
        <f>IF('QUICK ENTRY'!$B45="","",'QUICK ENTRY'!$B45)</f>
        <v/>
      </c>
      <c r="C45" s="44" t="str">
        <f>IF('QUICK ENTRY'!$B45="","",'QUICK ENTRY'!$C45)</f>
        <v/>
      </c>
      <c r="D45" s="44" t="str">
        <f>IF('QUICK ENTRY'!$B45="","",'QUICK ENTRY'!$I45)</f>
        <v/>
      </c>
      <c r="E45" s="44" t="str">
        <f>IF('QUICK ENTRY'!$B45="","",'QUICK ENTRY'!$D45)</f>
        <v/>
      </c>
      <c r="F45" s="44" t="str">
        <f>IF('QUICK ENTRY'!$B45="","",'QUICK ENTRY'!$K45)</f>
        <v/>
      </c>
      <c r="G45" s="58" t="str">
        <f>IF('QUICK ENTRY'!$B45="","",'QUICK ENTRY'!$E45)</f>
        <v/>
      </c>
      <c r="H45" s="44" t="str">
        <f>IF('QUICK ENTRY'!$B45="","",'QUICK ENTRY'!$F45)</f>
        <v/>
      </c>
      <c r="I45" s="44" t="str">
        <f>IF('QUICK ENTRY'!$B45="","",'QUICK ENTRY'!$L45)</f>
        <v/>
      </c>
      <c r="J45" s="44" t="str">
        <f>IF('QUICK ENTRY'!$B45="","",'QUICK ENTRY'!$M45)</f>
        <v/>
      </c>
      <c r="K45" s="44" t="str">
        <f>IF('QUICK ENTRY'!$B45="","",'QUICK ENTRY'!$V45)</f>
        <v/>
      </c>
      <c r="L45" s="44" t="str">
        <f>IF('QUICK ENTRY'!$B45="","",'QUICK ENTRY'!$R45)</f>
        <v/>
      </c>
      <c r="M45" s="44" t="str">
        <f>IF('QUICK ENTRY'!$B45="","",'QUICK ENTRY'!$O45)</f>
        <v/>
      </c>
      <c r="N45" s="44" t="str">
        <f>IF('QUICK ENTRY'!$B45="","",'QUICK ENTRY'!$AA45)</f>
        <v/>
      </c>
      <c r="O45" s="44" t="str">
        <f>IF('QUICK ENTRY'!$B45="","",'QUICK ENTRY'!$AG45)</f>
        <v/>
      </c>
      <c r="P45" s="44" t="str">
        <f>IF('QUICK ENTRY'!$B45="","",'QUICK ENTRY'!$AF45)</f>
        <v/>
      </c>
    </row>
    <row r="46" spans="1:16" ht="14.4">
      <c r="A46" s="44" t="str">
        <f>IF('QUICK ENTRY'!$B46="","",'QUICK ENTRY'!$U46)</f>
        <v/>
      </c>
      <c r="B46" s="55" t="str">
        <f>IF('QUICK ENTRY'!$B46="","",'QUICK ENTRY'!$B46)</f>
        <v/>
      </c>
      <c r="C46" s="44" t="str">
        <f>IF('QUICK ENTRY'!$B46="","",'QUICK ENTRY'!$C46)</f>
        <v/>
      </c>
      <c r="D46" s="44" t="str">
        <f>IF('QUICK ENTRY'!$B46="","",'QUICK ENTRY'!$I46)</f>
        <v/>
      </c>
      <c r="E46" s="44" t="str">
        <f>IF('QUICK ENTRY'!$B46="","",'QUICK ENTRY'!$D46)</f>
        <v/>
      </c>
      <c r="F46" s="44" t="str">
        <f>IF('QUICK ENTRY'!$B46="","",'QUICK ENTRY'!$K46)</f>
        <v/>
      </c>
      <c r="G46" s="58" t="str">
        <f>IF('QUICK ENTRY'!$B46="","",'QUICK ENTRY'!$E46)</f>
        <v/>
      </c>
      <c r="H46" s="44" t="str">
        <f>IF('QUICK ENTRY'!$B46="","",'QUICK ENTRY'!$F46)</f>
        <v/>
      </c>
      <c r="I46" s="44" t="str">
        <f>IF('QUICK ENTRY'!$B46="","",'QUICK ENTRY'!$L46)</f>
        <v/>
      </c>
      <c r="J46" s="44" t="str">
        <f>IF('QUICK ENTRY'!$B46="","",'QUICK ENTRY'!$M46)</f>
        <v/>
      </c>
      <c r="K46" s="44" t="str">
        <f>IF('QUICK ENTRY'!$B46="","",'QUICK ENTRY'!$V46)</f>
        <v/>
      </c>
      <c r="L46" s="44" t="str">
        <f>IF('QUICK ENTRY'!$B46="","",'QUICK ENTRY'!$R46)</f>
        <v/>
      </c>
      <c r="M46" s="44" t="str">
        <f>IF('QUICK ENTRY'!$B46="","",'QUICK ENTRY'!$O46)</f>
        <v/>
      </c>
      <c r="N46" s="44" t="str">
        <f>IF('QUICK ENTRY'!$B46="","",'QUICK ENTRY'!$AA46)</f>
        <v/>
      </c>
      <c r="O46" s="44" t="str">
        <f>IF('QUICK ENTRY'!$B46="","",'QUICK ENTRY'!$AG46)</f>
        <v/>
      </c>
      <c r="P46" s="44" t="str">
        <f>IF('QUICK ENTRY'!$B46="","",'QUICK ENTRY'!$AF46)</f>
        <v/>
      </c>
    </row>
    <row r="47" spans="1:16" ht="14.4">
      <c r="A47" s="44" t="str">
        <f>IF('QUICK ENTRY'!$B47="","",'QUICK ENTRY'!$U47)</f>
        <v/>
      </c>
      <c r="B47" s="55" t="str">
        <f>IF('QUICK ENTRY'!$B47="","",'QUICK ENTRY'!$B47)</f>
        <v/>
      </c>
      <c r="C47" s="44" t="str">
        <f>IF('QUICK ENTRY'!$B47="","",'QUICK ENTRY'!$C47)</f>
        <v/>
      </c>
      <c r="D47" s="44" t="str">
        <f>IF('QUICK ENTRY'!$B47="","",'QUICK ENTRY'!$I47)</f>
        <v/>
      </c>
      <c r="E47" s="44" t="str">
        <f>IF('QUICK ENTRY'!$B47="","",'QUICK ENTRY'!$D47)</f>
        <v/>
      </c>
      <c r="F47" s="44" t="str">
        <f>IF('QUICK ENTRY'!$B47="","",'QUICK ENTRY'!$K47)</f>
        <v/>
      </c>
      <c r="G47" s="58" t="str">
        <f>IF('QUICK ENTRY'!$B47="","",'QUICK ENTRY'!$E47)</f>
        <v/>
      </c>
      <c r="H47" s="44" t="str">
        <f>IF('QUICK ENTRY'!$B47="","",'QUICK ENTRY'!$F47)</f>
        <v/>
      </c>
      <c r="I47" s="44" t="str">
        <f>IF('QUICK ENTRY'!$B47="","",'QUICK ENTRY'!$L47)</f>
        <v/>
      </c>
      <c r="J47" s="44" t="str">
        <f>IF('QUICK ENTRY'!$B47="","",'QUICK ENTRY'!$M47)</f>
        <v/>
      </c>
      <c r="K47" s="44" t="str">
        <f>IF('QUICK ENTRY'!$B47="","",'QUICK ENTRY'!$V47)</f>
        <v/>
      </c>
      <c r="L47" s="44" t="str">
        <f>IF('QUICK ENTRY'!$B47="","",'QUICK ENTRY'!$R47)</f>
        <v/>
      </c>
      <c r="M47" s="44" t="str">
        <f>IF('QUICK ENTRY'!$B47="","",'QUICK ENTRY'!$O47)</f>
        <v/>
      </c>
      <c r="N47" s="44" t="str">
        <f>IF('QUICK ENTRY'!$B47="","",'QUICK ENTRY'!$AA47)</f>
        <v/>
      </c>
      <c r="O47" s="44" t="str">
        <f>IF('QUICK ENTRY'!$B47="","",'QUICK ENTRY'!$AG47)</f>
        <v/>
      </c>
      <c r="P47" s="44" t="str">
        <f>IF('QUICK ENTRY'!$B47="","",'QUICK ENTRY'!$AF47)</f>
        <v/>
      </c>
    </row>
    <row r="48" spans="1:16" ht="14.4">
      <c r="A48" s="44" t="str">
        <f>IF('QUICK ENTRY'!$B48="","",'QUICK ENTRY'!$U48)</f>
        <v/>
      </c>
      <c r="B48" s="55" t="str">
        <f>IF('QUICK ENTRY'!$B48="","",'QUICK ENTRY'!$B48)</f>
        <v/>
      </c>
      <c r="C48" s="44" t="str">
        <f>IF('QUICK ENTRY'!$B48="","",'QUICK ENTRY'!$C48)</f>
        <v/>
      </c>
      <c r="D48" s="44" t="str">
        <f>IF('QUICK ENTRY'!$B48="","",'QUICK ENTRY'!$I48)</f>
        <v/>
      </c>
      <c r="E48" s="44" t="str">
        <f>IF('QUICK ENTRY'!$B48="","",'QUICK ENTRY'!$D48)</f>
        <v/>
      </c>
      <c r="F48" s="44" t="str">
        <f>IF('QUICK ENTRY'!$B48="","",'QUICK ENTRY'!$K48)</f>
        <v/>
      </c>
      <c r="G48" s="58" t="str">
        <f>IF('QUICK ENTRY'!$B48="","",'QUICK ENTRY'!$E48)</f>
        <v/>
      </c>
      <c r="H48" s="44" t="str">
        <f>IF('QUICK ENTRY'!$B48="","",'QUICK ENTRY'!$F48)</f>
        <v/>
      </c>
      <c r="I48" s="44" t="str">
        <f>IF('QUICK ENTRY'!$B48="","",'QUICK ENTRY'!$L48)</f>
        <v/>
      </c>
      <c r="J48" s="44" t="str">
        <f>IF('QUICK ENTRY'!$B48="","",'QUICK ENTRY'!$M48)</f>
        <v/>
      </c>
      <c r="K48" s="44" t="str">
        <f>IF('QUICK ENTRY'!$B48="","",'QUICK ENTRY'!$V48)</f>
        <v/>
      </c>
      <c r="L48" s="44" t="str">
        <f>IF('QUICK ENTRY'!$B48="","",'QUICK ENTRY'!$R48)</f>
        <v/>
      </c>
      <c r="M48" s="44" t="str">
        <f>IF('QUICK ENTRY'!$B48="","",'QUICK ENTRY'!$O48)</f>
        <v/>
      </c>
      <c r="N48" s="44" t="str">
        <f>IF('QUICK ENTRY'!$B48="","",'QUICK ENTRY'!$AA48)</f>
        <v/>
      </c>
      <c r="O48" s="44" t="str">
        <f>IF('QUICK ENTRY'!$B48="","",'QUICK ENTRY'!$AG48)</f>
        <v/>
      </c>
      <c r="P48" s="44" t="str">
        <f>IF('QUICK ENTRY'!$B48="","",'QUICK ENTRY'!$AF48)</f>
        <v/>
      </c>
    </row>
    <row r="49" spans="1:16" ht="14.4">
      <c r="A49" s="44" t="str">
        <f>IF('QUICK ENTRY'!$B49="","",'QUICK ENTRY'!$U49)</f>
        <v/>
      </c>
      <c r="B49" s="55" t="str">
        <f>IF('QUICK ENTRY'!$B49="","",'QUICK ENTRY'!$B49)</f>
        <v/>
      </c>
      <c r="C49" s="44" t="str">
        <f>IF('QUICK ENTRY'!$B49="","",'QUICK ENTRY'!$C49)</f>
        <v/>
      </c>
      <c r="D49" s="44" t="str">
        <f>IF('QUICK ENTRY'!$B49="","",'QUICK ENTRY'!$I49)</f>
        <v/>
      </c>
      <c r="E49" s="44" t="str">
        <f>IF('QUICK ENTRY'!$B49="","",'QUICK ENTRY'!$D49)</f>
        <v/>
      </c>
      <c r="F49" s="44" t="str">
        <f>IF('QUICK ENTRY'!$B49="","",'QUICK ENTRY'!$K49)</f>
        <v/>
      </c>
      <c r="G49" s="58" t="str">
        <f>IF('QUICK ENTRY'!$B49="","",'QUICK ENTRY'!$E49)</f>
        <v/>
      </c>
      <c r="H49" s="44" t="str">
        <f>IF('QUICK ENTRY'!$B49="","",'QUICK ENTRY'!$F49)</f>
        <v/>
      </c>
      <c r="I49" s="44" t="str">
        <f>IF('QUICK ENTRY'!$B49="","",'QUICK ENTRY'!$L49)</f>
        <v/>
      </c>
      <c r="J49" s="44" t="str">
        <f>IF('QUICK ENTRY'!$B49="","",'QUICK ENTRY'!$M49)</f>
        <v/>
      </c>
      <c r="K49" s="44" t="str">
        <f>IF('QUICK ENTRY'!$B49="","",'QUICK ENTRY'!$V49)</f>
        <v/>
      </c>
      <c r="L49" s="44" t="str">
        <f>IF('QUICK ENTRY'!$B49="","",'QUICK ENTRY'!$R49)</f>
        <v/>
      </c>
      <c r="M49" s="44" t="str">
        <f>IF('QUICK ENTRY'!$B49="","",'QUICK ENTRY'!$O49)</f>
        <v/>
      </c>
      <c r="N49" s="44" t="str">
        <f>IF('QUICK ENTRY'!$B49="","",'QUICK ENTRY'!$AA49)</f>
        <v/>
      </c>
      <c r="O49" s="44" t="str">
        <f>IF('QUICK ENTRY'!$B49="","",'QUICK ENTRY'!$AG49)</f>
        <v/>
      </c>
      <c r="P49" s="44" t="str">
        <f>IF('QUICK ENTRY'!$B49="","",'QUICK ENTRY'!$AF49)</f>
        <v/>
      </c>
    </row>
    <row r="50" spans="1:16" ht="14.4">
      <c r="A50" s="44" t="str">
        <f>IF('QUICK ENTRY'!$B50="","",'QUICK ENTRY'!$U50)</f>
        <v/>
      </c>
      <c r="B50" s="55" t="str">
        <f>IF('QUICK ENTRY'!$B50="","",'QUICK ENTRY'!$B50)</f>
        <v/>
      </c>
      <c r="C50" s="44" t="str">
        <f>IF('QUICK ENTRY'!$B50="","",'QUICK ENTRY'!$C50)</f>
        <v/>
      </c>
      <c r="D50" s="44" t="str">
        <f>IF('QUICK ENTRY'!$B50="","",'QUICK ENTRY'!$I50)</f>
        <v/>
      </c>
      <c r="E50" s="44" t="str">
        <f>IF('QUICK ENTRY'!$B50="","",'QUICK ENTRY'!$D50)</f>
        <v/>
      </c>
      <c r="F50" s="44" t="str">
        <f>IF('QUICK ENTRY'!$B50="","",'QUICK ENTRY'!$K50)</f>
        <v/>
      </c>
      <c r="G50" s="58" t="str">
        <f>IF('QUICK ENTRY'!$B50="","",'QUICK ENTRY'!$E50)</f>
        <v/>
      </c>
      <c r="H50" s="44" t="str">
        <f>IF('QUICK ENTRY'!$B50="","",'QUICK ENTRY'!$F50)</f>
        <v/>
      </c>
      <c r="I50" s="44" t="str">
        <f>IF('QUICK ENTRY'!$B50="","",'QUICK ENTRY'!$L50)</f>
        <v/>
      </c>
      <c r="J50" s="44" t="str">
        <f>IF('QUICK ENTRY'!$B50="","",'QUICK ENTRY'!$M50)</f>
        <v/>
      </c>
      <c r="K50" s="44" t="str">
        <f>IF('QUICK ENTRY'!$B50="","",'QUICK ENTRY'!$V50)</f>
        <v/>
      </c>
      <c r="L50" s="44" t="str">
        <f>IF('QUICK ENTRY'!$B50="","",'QUICK ENTRY'!$R50)</f>
        <v/>
      </c>
      <c r="M50" s="44" t="str">
        <f>IF('QUICK ENTRY'!$B50="","",'QUICK ENTRY'!$O50)</f>
        <v/>
      </c>
      <c r="N50" s="44" t="str">
        <f>IF('QUICK ENTRY'!$B50="","",'QUICK ENTRY'!$AA50)</f>
        <v/>
      </c>
      <c r="O50" s="44" t="str">
        <f>IF('QUICK ENTRY'!$B50="","",'QUICK ENTRY'!$AG50)</f>
        <v/>
      </c>
      <c r="P50" s="44" t="str">
        <f>IF('QUICK ENTRY'!$B50="","",'QUICK ENTRY'!$AF50)</f>
        <v/>
      </c>
    </row>
    <row r="51" spans="1:16" ht="14.4">
      <c r="A51" s="44" t="str">
        <f>IF('QUICK ENTRY'!$B51="","",'QUICK ENTRY'!$U51)</f>
        <v/>
      </c>
      <c r="B51" s="55" t="str">
        <f>IF('QUICK ENTRY'!$B51="","",'QUICK ENTRY'!$B51)</f>
        <v/>
      </c>
      <c r="C51" s="44" t="str">
        <f>IF('QUICK ENTRY'!$B51="","",'QUICK ENTRY'!$C51)</f>
        <v/>
      </c>
      <c r="D51" s="44" t="str">
        <f>IF('QUICK ENTRY'!$B51="","",'QUICK ENTRY'!$I51)</f>
        <v/>
      </c>
      <c r="E51" s="44" t="str">
        <f>IF('QUICK ENTRY'!$B51="","",'QUICK ENTRY'!$D51)</f>
        <v/>
      </c>
      <c r="F51" s="44" t="str">
        <f>IF('QUICK ENTRY'!$B51="","",'QUICK ENTRY'!$K51)</f>
        <v/>
      </c>
      <c r="G51" s="58" t="str">
        <f>IF('QUICK ENTRY'!$B51="","",'QUICK ENTRY'!$E51)</f>
        <v/>
      </c>
      <c r="H51" s="44" t="str">
        <f>IF('QUICK ENTRY'!$B51="","",'QUICK ENTRY'!$F51)</f>
        <v/>
      </c>
      <c r="I51" s="44" t="str">
        <f>IF('QUICK ENTRY'!$B51="","",'QUICK ENTRY'!$L51)</f>
        <v/>
      </c>
      <c r="J51" s="44" t="str">
        <f>IF('QUICK ENTRY'!$B51="","",'QUICK ENTRY'!$M51)</f>
        <v/>
      </c>
      <c r="K51" s="44" t="str">
        <f>IF('QUICK ENTRY'!$B51="","",'QUICK ENTRY'!$V51)</f>
        <v/>
      </c>
      <c r="L51" s="44" t="str">
        <f>IF('QUICK ENTRY'!$B51="","",'QUICK ENTRY'!$R51)</f>
        <v/>
      </c>
      <c r="M51" s="44" t="str">
        <f>IF('QUICK ENTRY'!$B51="","",'QUICK ENTRY'!$O51)</f>
        <v/>
      </c>
      <c r="N51" s="44" t="str">
        <f>IF('QUICK ENTRY'!$B51="","",'QUICK ENTRY'!$AA51)</f>
        <v/>
      </c>
      <c r="O51" s="44" t="str">
        <f>IF('QUICK ENTRY'!$B51="","",'QUICK ENTRY'!$AG51)</f>
        <v/>
      </c>
      <c r="P51" s="44" t="str">
        <f>IF('QUICK ENTRY'!$B51="","",'QUICK ENTRY'!$AF51)</f>
        <v/>
      </c>
    </row>
    <row r="52" spans="1:16" ht="14.4">
      <c r="A52" s="44" t="str">
        <f>IF('QUICK ENTRY'!$B52="","",'QUICK ENTRY'!$U52)</f>
        <v/>
      </c>
      <c r="B52" s="55" t="str">
        <f>IF('QUICK ENTRY'!$B52="","",'QUICK ENTRY'!$B52)</f>
        <v/>
      </c>
      <c r="C52" s="44" t="str">
        <f>IF('QUICK ENTRY'!$B52="","",'QUICK ENTRY'!$C52)</f>
        <v/>
      </c>
      <c r="D52" s="44" t="str">
        <f>IF('QUICK ENTRY'!$B52="","",'QUICK ENTRY'!$I52)</f>
        <v/>
      </c>
      <c r="E52" s="44" t="str">
        <f>IF('QUICK ENTRY'!$B52="","",'QUICK ENTRY'!$D52)</f>
        <v/>
      </c>
      <c r="F52" s="44" t="str">
        <f>IF('QUICK ENTRY'!$B52="","",'QUICK ENTRY'!$K52)</f>
        <v/>
      </c>
      <c r="G52" s="58" t="str">
        <f>IF('QUICK ENTRY'!$B52="","",'QUICK ENTRY'!$E52)</f>
        <v/>
      </c>
      <c r="H52" s="44" t="str">
        <f>IF('QUICK ENTRY'!$B52="","",'QUICK ENTRY'!$F52)</f>
        <v/>
      </c>
      <c r="I52" s="44" t="str">
        <f>IF('QUICK ENTRY'!$B52="","",'QUICK ENTRY'!$L52)</f>
        <v/>
      </c>
      <c r="J52" s="44" t="str">
        <f>IF('QUICK ENTRY'!$B52="","",'QUICK ENTRY'!$M52)</f>
        <v/>
      </c>
      <c r="K52" s="44" t="str">
        <f>IF('QUICK ENTRY'!$B52="","",'QUICK ENTRY'!$V52)</f>
        <v/>
      </c>
      <c r="L52" s="44" t="str">
        <f>IF('QUICK ENTRY'!$B52="","",'QUICK ENTRY'!$R52)</f>
        <v/>
      </c>
      <c r="M52" s="44" t="str">
        <f>IF('QUICK ENTRY'!$B52="","",'QUICK ENTRY'!$O52)</f>
        <v/>
      </c>
      <c r="N52" s="44" t="str">
        <f>IF('QUICK ENTRY'!$B52="","",'QUICK ENTRY'!$AA52)</f>
        <v/>
      </c>
      <c r="O52" s="44" t="str">
        <f>IF('QUICK ENTRY'!$B52="","",'QUICK ENTRY'!$AG52)</f>
        <v/>
      </c>
      <c r="P52" s="44" t="str">
        <f>IF('QUICK ENTRY'!$B52="","",'QUICK ENTRY'!$AF52)</f>
        <v/>
      </c>
    </row>
    <row r="53" spans="1:16" ht="14.4">
      <c r="A53" s="44" t="str">
        <f>IF('QUICK ENTRY'!$B53="","",'QUICK ENTRY'!$U53)</f>
        <v/>
      </c>
      <c r="B53" s="55" t="str">
        <f>IF('QUICK ENTRY'!$B53="","",'QUICK ENTRY'!$B53)</f>
        <v/>
      </c>
      <c r="C53" s="44" t="str">
        <f>IF('QUICK ENTRY'!$B53="","",'QUICK ENTRY'!$C53)</f>
        <v/>
      </c>
      <c r="D53" s="44" t="str">
        <f>IF('QUICK ENTRY'!$B53="","",'QUICK ENTRY'!$I53)</f>
        <v/>
      </c>
      <c r="E53" s="44" t="str">
        <f>IF('QUICK ENTRY'!$B53="","",'QUICK ENTRY'!$D53)</f>
        <v/>
      </c>
      <c r="F53" s="44" t="str">
        <f>IF('QUICK ENTRY'!$B53="","",'QUICK ENTRY'!$K53)</f>
        <v/>
      </c>
      <c r="G53" s="58" t="str">
        <f>IF('QUICK ENTRY'!$B53="","",'QUICK ENTRY'!$E53)</f>
        <v/>
      </c>
      <c r="H53" s="44" t="str">
        <f>IF('QUICK ENTRY'!$B53="","",'QUICK ENTRY'!$F53)</f>
        <v/>
      </c>
      <c r="I53" s="44" t="str">
        <f>IF('QUICK ENTRY'!$B53="","",'QUICK ENTRY'!$L53)</f>
        <v/>
      </c>
      <c r="J53" s="44" t="str">
        <f>IF('QUICK ENTRY'!$B53="","",'QUICK ENTRY'!$M53)</f>
        <v/>
      </c>
      <c r="K53" s="44" t="str">
        <f>IF('QUICK ENTRY'!$B53="","",'QUICK ENTRY'!$V53)</f>
        <v/>
      </c>
      <c r="L53" s="44" t="str">
        <f>IF('QUICK ENTRY'!$B53="","",'QUICK ENTRY'!$R53)</f>
        <v/>
      </c>
      <c r="M53" s="44" t="str">
        <f>IF('QUICK ENTRY'!$B53="","",'QUICK ENTRY'!$O53)</f>
        <v/>
      </c>
      <c r="N53" s="44" t="str">
        <f>IF('QUICK ENTRY'!$B53="","",'QUICK ENTRY'!$AA53)</f>
        <v/>
      </c>
      <c r="O53" s="44" t="str">
        <f>IF('QUICK ENTRY'!$B53="","",'QUICK ENTRY'!$AG53)</f>
        <v/>
      </c>
      <c r="P53" s="44" t="str">
        <f>IF('QUICK ENTRY'!$B53="","",'QUICK ENTRY'!$AF53)</f>
        <v/>
      </c>
    </row>
    <row r="54" spans="1:16" ht="14.4">
      <c r="A54" s="44" t="str">
        <f>IF('QUICK ENTRY'!$B54="","",'QUICK ENTRY'!$U54)</f>
        <v/>
      </c>
      <c r="B54" s="55" t="str">
        <f>IF('QUICK ENTRY'!$B54="","",'QUICK ENTRY'!$B54)</f>
        <v/>
      </c>
      <c r="C54" s="44" t="str">
        <f>IF('QUICK ENTRY'!$B54="","",'QUICK ENTRY'!$C54)</f>
        <v/>
      </c>
      <c r="D54" s="44" t="str">
        <f>IF('QUICK ENTRY'!$B54="","",'QUICK ENTRY'!$I54)</f>
        <v/>
      </c>
      <c r="E54" s="44" t="str">
        <f>IF('QUICK ENTRY'!$B54="","",'QUICK ENTRY'!$D54)</f>
        <v/>
      </c>
      <c r="F54" s="44" t="str">
        <f>IF('QUICK ENTRY'!$B54="","",'QUICK ENTRY'!$K54)</f>
        <v/>
      </c>
      <c r="G54" s="58" t="str">
        <f>IF('QUICK ENTRY'!$B54="","",'QUICK ENTRY'!$E54)</f>
        <v/>
      </c>
      <c r="H54" s="44" t="str">
        <f>IF('QUICK ENTRY'!$B54="","",'QUICK ENTRY'!$F54)</f>
        <v/>
      </c>
      <c r="I54" s="44" t="str">
        <f>IF('QUICK ENTRY'!$B54="","",'QUICK ENTRY'!$L54)</f>
        <v/>
      </c>
      <c r="J54" s="44" t="str">
        <f>IF('QUICK ENTRY'!$B54="","",'QUICK ENTRY'!$M54)</f>
        <v/>
      </c>
      <c r="K54" s="44" t="str">
        <f>IF('QUICK ENTRY'!$B54="","",'QUICK ENTRY'!$V54)</f>
        <v/>
      </c>
      <c r="L54" s="44" t="str">
        <f>IF('QUICK ENTRY'!$B54="","",'QUICK ENTRY'!$R54)</f>
        <v/>
      </c>
      <c r="M54" s="44" t="str">
        <f>IF('QUICK ENTRY'!$B54="","",'QUICK ENTRY'!$O54)</f>
        <v/>
      </c>
      <c r="N54" s="44" t="str">
        <f>IF('QUICK ENTRY'!$B54="","",'QUICK ENTRY'!$AA54)</f>
        <v/>
      </c>
      <c r="O54" s="44" t="str">
        <f>IF('QUICK ENTRY'!$B54="","",'QUICK ENTRY'!$AG54)</f>
        <v/>
      </c>
      <c r="P54" s="44" t="str">
        <f>IF('QUICK ENTRY'!$B54="","",'QUICK ENTRY'!$AF54)</f>
        <v/>
      </c>
    </row>
    <row r="55" spans="1:16" ht="14.4">
      <c r="A55" s="44" t="str">
        <f>IF('QUICK ENTRY'!$B55="","",'QUICK ENTRY'!$U55)</f>
        <v/>
      </c>
      <c r="B55" s="55" t="str">
        <f>IF('QUICK ENTRY'!$B55="","",'QUICK ENTRY'!$B55)</f>
        <v/>
      </c>
      <c r="C55" s="44" t="str">
        <f>IF('QUICK ENTRY'!$B55="","",'QUICK ENTRY'!$C55)</f>
        <v/>
      </c>
      <c r="D55" s="44" t="str">
        <f>IF('QUICK ENTRY'!$B55="","",'QUICK ENTRY'!$I55)</f>
        <v/>
      </c>
      <c r="E55" s="44" t="str">
        <f>IF('QUICK ENTRY'!$B55="","",'QUICK ENTRY'!$D55)</f>
        <v/>
      </c>
      <c r="F55" s="44" t="str">
        <f>IF('QUICK ENTRY'!$B55="","",'QUICK ENTRY'!$K55)</f>
        <v/>
      </c>
      <c r="G55" s="58" t="str">
        <f>IF('QUICK ENTRY'!$B55="","",'QUICK ENTRY'!$E55)</f>
        <v/>
      </c>
      <c r="H55" s="44" t="str">
        <f>IF('QUICK ENTRY'!$B55="","",'QUICK ENTRY'!$F55)</f>
        <v/>
      </c>
      <c r="I55" s="44" t="str">
        <f>IF('QUICK ENTRY'!$B55="","",'QUICK ENTRY'!$L55)</f>
        <v/>
      </c>
      <c r="J55" s="44" t="str">
        <f>IF('QUICK ENTRY'!$B55="","",'QUICK ENTRY'!$M55)</f>
        <v/>
      </c>
      <c r="K55" s="44" t="str">
        <f>IF('QUICK ENTRY'!$B55="","",'QUICK ENTRY'!$V55)</f>
        <v/>
      </c>
      <c r="L55" s="44" t="str">
        <f>IF('QUICK ENTRY'!$B55="","",'QUICK ENTRY'!$R55)</f>
        <v/>
      </c>
      <c r="M55" s="44" t="str">
        <f>IF('QUICK ENTRY'!$B55="","",'QUICK ENTRY'!$O55)</f>
        <v/>
      </c>
      <c r="N55" s="44" t="str">
        <f>IF('QUICK ENTRY'!$B55="","",'QUICK ENTRY'!$AA55)</f>
        <v/>
      </c>
      <c r="O55" s="44" t="str">
        <f>IF('QUICK ENTRY'!$B55="","",'QUICK ENTRY'!$AG55)</f>
        <v/>
      </c>
      <c r="P55" s="44" t="str">
        <f>IF('QUICK ENTRY'!$B55="","",'QUICK ENTRY'!$AF55)</f>
        <v/>
      </c>
    </row>
    <row r="56" spans="1:16" ht="14.4">
      <c r="A56" s="44" t="str">
        <f>IF('QUICK ENTRY'!$B56="","",'QUICK ENTRY'!$U56)</f>
        <v/>
      </c>
      <c r="B56" s="55" t="str">
        <f>IF('QUICK ENTRY'!$B56="","",'QUICK ENTRY'!$B56)</f>
        <v/>
      </c>
      <c r="C56" s="44" t="str">
        <f>IF('QUICK ENTRY'!$B56="","",'QUICK ENTRY'!$C56)</f>
        <v/>
      </c>
      <c r="D56" s="44" t="str">
        <f>IF('QUICK ENTRY'!$B56="","",'QUICK ENTRY'!$I56)</f>
        <v/>
      </c>
      <c r="E56" s="44" t="str">
        <f>IF('QUICK ENTRY'!$B56="","",'QUICK ENTRY'!$D56)</f>
        <v/>
      </c>
      <c r="F56" s="44" t="str">
        <f>IF('QUICK ENTRY'!$B56="","",'QUICK ENTRY'!$K56)</f>
        <v/>
      </c>
      <c r="G56" s="58" t="str">
        <f>IF('QUICK ENTRY'!$B56="","",'QUICK ENTRY'!$E56)</f>
        <v/>
      </c>
      <c r="H56" s="44" t="str">
        <f>IF('QUICK ENTRY'!$B56="","",'QUICK ENTRY'!$F56)</f>
        <v/>
      </c>
      <c r="I56" s="44" t="str">
        <f>IF('QUICK ENTRY'!$B56="","",'QUICK ENTRY'!$L56)</f>
        <v/>
      </c>
      <c r="J56" s="44" t="str">
        <f>IF('QUICK ENTRY'!$B56="","",'QUICK ENTRY'!$M56)</f>
        <v/>
      </c>
      <c r="K56" s="44" t="str">
        <f>IF('QUICK ENTRY'!$B56="","",'QUICK ENTRY'!$V56)</f>
        <v/>
      </c>
      <c r="L56" s="44" t="str">
        <f>IF('QUICK ENTRY'!$B56="","",'QUICK ENTRY'!$R56)</f>
        <v/>
      </c>
      <c r="M56" s="44" t="str">
        <f>IF('QUICK ENTRY'!$B56="","",'QUICK ENTRY'!$O56)</f>
        <v/>
      </c>
      <c r="N56" s="44" t="str">
        <f>IF('QUICK ENTRY'!$B56="","",'QUICK ENTRY'!$AA56)</f>
        <v/>
      </c>
      <c r="O56" s="44" t="str">
        <f>IF('QUICK ENTRY'!$B56="","",'QUICK ENTRY'!$AG56)</f>
        <v/>
      </c>
      <c r="P56" s="44" t="str">
        <f>IF('QUICK ENTRY'!$B56="","",'QUICK ENTRY'!$AF56)</f>
        <v/>
      </c>
    </row>
    <row r="57" spans="1:16" ht="14.4">
      <c r="A57" s="44" t="str">
        <f>IF('QUICK ENTRY'!$B57="","",'QUICK ENTRY'!$U57)</f>
        <v/>
      </c>
      <c r="B57" s="55" t="str">
        <f>IF('QUICK ENTRY'!$B57="","",'QUICK ENTRY'!$B57)</f>
        <v/>
      </c>
      <c r="C57" s="44" t="str">
        <f>IF('QUICK ENTRY'!$B57="","",'QUICK ENTRY'!$C57)</f>
        <v/>
      </c>
      <c r="D57" s="44" t="str">
        <f>IF('QUICK ENTRY'!$B57="","",'QUICK ENTRY'!$I57)</f>
        <v/>
      </c>
      <c r="E57" s="44" t="str">
        <f>IF('QUICK ENTRY'!$B57="","",'QUICK ENTRY'!$D57)</f>
        <v/>
      </c>
      <c r="F57" s="44" t="str">
        <f>IF('QUICK ENTRY'!$B57="","",'QUICK ENTRY'!$K57)</f>
        <v/>
      </c>
      <c r="G57" s="58" t="str">
        <f>IF('QUICK ENTRY'!$B57="","",'QUICK ENTRY'!$E57)</f>
        <v/>
      </c>
      <c r="H57" s="44" t="str">
        <f>IF('QUICK ENTRY'!$B57="","",'QUICK ENTRY'!$F57)</f>
        <v/>
      </c>
      <c r="I57" s="44" t="str">
        <f>IF('QUICK ENTRY'!$B57="","",'QUICK ENTRY'!$L57)</f>
        <v/>
      </c>
      <c r="J57" s="44" t="str">
        <f>IF('QUICK ENTRY'!$B57="","",'QUICK ENTRY'!$M57)</f>
        <v/>
      </c>
      <c r="K57" s="44" t="str">
        <f>IF('QUICK ENTRY'!$B57="","",'QUICK ENTRY'!$V57)</f>
        <v/>
      </c>
      <c r="L57" s="44" t="str">
        <f>IF('QUICK ENTRY'!$B57="","",'QUICK ENTRY'!$R57)</f>
        <v/>
      </c>
      <c r="M57" s="44" t="str">
        <f>IF('QUICK ENTRY'!$B57="","",'QUICK ENTRY'!$O57)</f>
        <v/>
      </c>
      <c r="N57" s="44" t="str">
        <f>IF('QUICK ENTRY'!$B57="","",'QUICK ENTRY'!$AA57)</f>
        <v/>
      </c>
      <c r="O57" s="44" t="str">
        <f>IF('QUICK ENTRY'!$B57="","",'QUICK ENTRY'!$AG57)</f>
        <v/>
      </c>
      <c r="P57" s="44" t="str">
        <f>IF('QUICK ENTRY'!$B57="","",'QUICK ENTRY'!$AF57)</f>
        <v/>
      </c>
    </row>
    <row r="58" spans="1:16" ht="14.4">
      <c r="A58" s="44" t="str">
        <f>IF('QUICK ENTRY'!$B58="","",'QUICK ENTRY'!$U58)</f>
        <v/>
      </c>
      <c r="B58" s="55" t="str">
        <f>IF('QUICK ENTRY'!$B58="","",'QUICK ENTRY'!$B58)</f>
        <v/>
      </c>
      <c r="C58" s="44" t="str">
        <f>IF('QUICK ENTRY'!$B58="","",'QUICK ENTRY'!$C58)</f>
        <v/>
      </c>
      <c r="D58" s="44" t="str">
        <f>IF('QUICK ENTRY'!$B58="","",'QUICK ENTRY'!$I58)</f>
        <v/>
      </c>
      <c r="E58" s="44" t="str">
        <f>IF('QUICK ENTRY'!$B58="","",'QUICK ENTRY'!$D58)</f>
        <v/>
      </c>
      <c r="F58" s="44" t="str">
        <f>IF('QUICK ENTRY'!$B58="","",'QUICK ENTRY'!$K58)</f>
        <v/>
      </c>
      <c r="G58" s="58" t="str">
        <f>IF('QUICK ENTRY'!$B58="","",'QUICK ENTRY'!$E58)</f>
        <v/>
      </c>
      <c r="H58" s="44" t="str">
        <f>IF('QUICK ENTRY'!$B58="","",'QUICK ENTRY'!$F58)</f>
        <v/>
      </c>
      <c r="I58" s="44" t="str">
        <f>IF('QUICK ENTRY'!$B58="","",'QUICK ENTRY'!$L58)</f>
        <v/>
      </c>
      <c r="J58" s="44" t="str">
        <f>IF('QUICK ENTRY'!$B58="","",'QUICK ENTRY'!$M58)</f>
        <v/>
      </c>
      <c r="K58" s="44" t="str">
        <f>IF('QUICK ENTRY'!$B58="","",'QUICK ENTRY'!$V58)</f>
        <v/>
      </c>
      <c r="L58" s="44" t="str">
        <f>IF('QUICK ENTRY'!$B58="","",'QUICK ENTRY'!$R58)</f>
        <v/>
      </c>
      <c r="M58" s="44" t="str">
        <f>IF('QUICK ENTRY'!$B58="","",'QUICK ENTRY'!$O58)</f>
        <v/>
      </c>
      <c r="N58" s="44" t="str">
        <f>IF('QUICK ENTRY'!$B58="","",'QUICK ENTRY'!$AA58)</f>
        <v/>
      </c>
      <c r="O58" s="44" t="str">
        <f>IF('QUICK ENTRY'!$B58="","",'QUICK ENTRY'!$AG58)</f>
        <v/>
      </c>
      <c r="P58" s="44" t="str">
        <f>IF('QUICK ENTRY'!$B58="","",'QUICK ENTRY'!$AF58)</f>
        <v/>
      </c>
    </row>
    <row r="59" spans="1:16" ht="14.4">
      <c r="A59" s="44" t="str">
        <f>IF('QUICK ENTRY'!$B59="","",'QUICK ENTRY'!$U59)</f>
        <v/>
      </c>
      <c r="B59" s="55" t="str">
        <f>IF('QUICK ENTRY'!$B59="","",'QUICK ENTRY'!$B59)</f>
        <v/>
      </c>
      <c r="C59" s="44" t="str">
        <f>IF('QUICK ENTRY'!$B59="","",'QUICK ENTRY'!$C59)</f>
        <v/>
      </c>
      <c r="D59" s="44" t="str">
        <f>IF('QUICK ENTRY'!$B59="","",'QUICK ENTRY'!$I59)</f>
        <v/>
      </c>
      <c r="E59" s="44" t="str">
        <f>IF('QUICK ENTRY'!$B59="","",'QUICK ENTRY'!$D59)</f>
        <v/>
      </c>
      <c r="F59" s="44" t="str">
        <f>IF('QUICK ENTRY'!$B59="","",'QUICK ENTRY'!$K59)</f>
        <v/>
      </c>
      <c r="G59" s="58" t="str">
        <f>IF('QUICK ENTRY'!$B59="","",'QUICK ENTRY'!$E59)</f>
        <v/>
      </c>
      <c r="H59" s="44" t="str">
        <f>IF('QUICK ENTRY'!$B59="","",'QUICK ENTRY'!$F59)</f>
        <v/>
      </c>
      <c r="I59" s="44" t="str">
        <f>IF('QUICK ENTRY'!$B59="","",'QUICK ENTRY'!$L59)</f>
        <v/>
      </c>
      <c r="J59" s="44" t="str">
        <f>IF('QUICK ENTRY'!$B59="","",'QUICK ENTRY'!$M59)</f>
        <v/>
      </c>
      <c r="K59" s="44" t="str">
        <f>IF('QUICK ENTRY'!$B59="","",'QUICK ENTRY'!$V59)</f>
        <v/>
      </c>
      <c r="L59" s="44" t="str">
        <f>IF('QUICK ENTRY'!$B59="","",'QUICK ENTRY'!$R59)</f>
        <v/>
      </c>
      <c r="M59" s="44" t="str">
        <f>IF('QUICK ENTRY'!$B59="","",'QUICK ENTRY'!$O59)</f>
        <v/>
      </c>
      <c r="N59" s="44" t="str">
        <f>IF('QUICK ENTRY'!$B59="","",'QUICK ENTRY'!$AA59)</f>
        <v/>
      </c>
      <c r="O59" s="44" t="str">
        <f>IF('QUICK ENTRY'!$B59="","",'QUICK ENTRY'!$AG59)</f>
        <v/>
      </c>
      <c r="P59" s="44" t="str">
        <f>IF('QUICK ENTRY'!$B59="","",'QUICK ENTRY'!$AF59)</f>
        <v/>
      </c>
    </row>
    <row r="60" spans="1:16" ht="14.4">
      <c r="A60" s="44" t="str">
        <f>IF('QUICK ENTRY'!$B60="","",'QUICK ENTRY'!$U60)</f>
        <v/>
      </c>
      <c r="B60" s="55" t="str">
        <f>IF('QUICK ENTRY'!$B60="","",'QUICK ENTRY'!$B60)</f>
        <v/>
      </c>
      <c r="C60" s="44" t="str">
        <f>IF('QUICK ENTRY'!$B60="","",'QUICK ENTRY'!$C60)</f>
        <v/>
      </c>
      <c r="D60" s="44" t="str">
        <f>IF('QUICK ENTRY'!$B60="","",'QUICK ENTRY'!$I60)</f>
        <v/>
      </c>
      <c r="E60" s="44" t="str">
        <f>IF('QUICK ENTRY'!$B60="","",'QUICK ENTRY'!$D60)</f>
        <v/>
      </c>
      <c r="F60" s="44" t="str">
        <f>IF('QUICK ENTRY'!$B60="","",'QUICK ENTRY'!$K60)</f>
        <v/>
      </c>
      <c r="G60" s="58" t="str">
        <f>IF('QUICK ENTRY'!$B60="","",'QUICK ENTRY'!$E60)</f>
        <v/>
      </c>
      <c r="H60" s="44" t="str">
        <f>IF('QUICK ENTRY'!$B60="","",'QUICK ENTRY'!$F60)</f>
        <v/>
      </c>
      <c r="I60" s="44" t="str">
        <f>IF('QUICK ENTRY'!$B60="","",'QUICK ENTRY'!$L60)</f>
        <v/>
      </c>
      <c r="J60" s="44" t="str">
        <f>IF('QUICK ENTRY'!$B60="","",'QUICK ENTRY'!$M60)</f>
        <v/>
      </c>
      <c r="K60" s="44" t="str">
        <f>IF('QUICK ENTRY'!$B60="","",'QUICK ENTRY'!$V60)</f>
        <v/>
      </c>
      <c r="L60" s="44" t="str">
        <f>IF('QUICK ENTRY'!$B60="","",'QUICK ENTRY'!$R60)</f>
        <v/>
      </c>
      <c r="M60" s="44" t="str">
        <f>IF('QUICK ENTRY'!$B60="","",'QUICK ENTRY'!$O60)</f>
        <v/>
      </c>
      <c r="N60" s="44" t="str">
        <f>IF('QUICK ENTRY'!$B60="","",'QUICK ENTRY'!$AA60)</f>
        <v/>
      </c>
      <c r="O60" s="44" t="str">
        <f>IF('QUICK ENTRY'!$B60="","",'QUICK ENTRY'!$AG60)</f>
        <v/>
      </c>
      <c r="P60" s="44" t="str">
        <f>IF('QUICK ENTRY'!$B60="","",'QUICK ENTRY'!$AF60)</f>
        <v/>
      </c>
    </row>
    <row r="61" spans="1:16" ht="14.4">
      <c r="A61" s="44" t="str">
        <f>IF('QUICK ENTRY'!$B61="","",'QUICK ENTRY'!$U61)</f>
        <v/>
      </c>
      <c r="B61" s="55" t="str">
        <f>IF('QUICK ENTRY'!$B61="","",'QUICK ENTRY'!$B61)</f>
        <v/>
      </c>
      <c r="C61" s="44" t="str">
        <f>IF('QUICK ENTRY'!$B61="","",'QUICK ENTRY'!$C61)</f>
        <v/>
      </c>
      <c r="D61" s="44" t="str">
        <f>IF('QUICK ENTRY'!$B61="","",'QUICK ENTRY'!$I61)</f>
        <v/>
      </c>
      <c r="E61" s="44" t="str">
        <f>IF('QUICK ENTRY'!$B61="","",'QUICK ENTRY'!$D61)</f>
        <v/>
      </c>
      <c r="F61" s="44" t="str">
        <f>IF('QUICK ENTRY'!$B61="","",'QUICK ENTRY'!$K61)</f>
        <v/>
      </c>
      <c r="G61" s="58" t="str">
        <f>IF('QUICK ENTRY'!$B61="","",'QUICK ENTRY'!$E61)</f>
        <v/>
      </c>
      <c r="H61" s="44" t="str">
        <f>IF('QUICK ENTRY'!$B61="","",'QUICK ENTRY'!$F61)</f>
        <v/>
      </c>
      <c r="I61" s="44" t="str">
        <f>IF('QUICK ENTRY'!$B61="","",'QUICK ENTRY'!$L61)</f>
        <v/>
      </c>
      <c r="J61" s="44" t="str">
        <f>IF('QUICK ENTRY'!$B61="","",'QUICK ENTRY'!$M61)</f>
        <v/>
      </c>
      <c r="K61" s="44" t="str">
        <f>IF('QUICK ENTRY'!$B61="","",'QUICK ENTRY'!$V61)</f>
        <v/>
      </c>
      <c r="L61" s="44" t="str">
        <f>IF('QUICK ENTRY'!$B61="","",'QUICK ENTRY'!$R61)</f>
        <v/>
      </c>
      <c r="M61" s="44" t="str">
        <f>IF('QUICK ENTRY'!$B61="","",'QUICK ENTRY'!$O61)</f>
        <v/>
      </c>
      <c r="N61" s="44" t="str">
        <f>IF('QUICK ENTRY'!$B61="","",'QUICK ENTRY'!$AA61)</f>
        <v/>
      </c>
      <c r="O61" s="44" t="str">
        <f>IF('QUICK ENTRY'!$B61="","",'QUICK ENTRY'!$AG61)</f>
        <v/>
      </c>
      <c r="P61" s="44" t="str">
        <f>IF('QUICK ENTRY'!$B61="","",'QUICK ENTRY'!$AF61)</f>
        <v/>
      </c>
    </row>
    <row r="62" spans="1:16" ht="14.4">
      <c r="A62" s="44" t="str">
        <f>IF('QUICK ENTRY'!$B62="","",'QUICK ENTRY'!$U62)</f>
        <v/>
      </c>
      <c r="B62" s="55" t="str">
        <f>IF('QUICK ENTRY'!$B62="","",'QUICK ENTRY'!$B62)</f>
        <v/>
      </c>
      <c r="C62" s="44" t="str">
        <f>IF('QUICK ENTRY'!$B62="","",'QUICK ENTRY'!$C62)</f>
        <v/>
      </c>
      <c r="D62" s="44" t="str">
        <f>IF('QUICK ENTRY'!$B62="","",'QUICK ENTRY'!$I62)</f>
        <v/>
      </c>
      <c r="E62" s="44" t="str">
        <f>IF('QUICK ENTRY'!$B62="","",'QUICK ENTRY'!$D62)</f>
        <v/>
      </c>
      <c r="F62" s="44" t="str">
        <f>IF('QUICK ENTRY'!$B62="","",'QUICK ENTRY'!$K62)</f>
        <v/>
      </c>
      <c r="G62" s="58" t="str">
        <f>IF('QUICK ENTRY'!$B62="","",'QUICK ENTRY'!$E62)</f>
        <v/>
      </c>
      <c r="H62" s="44" t="str">
        <f>IF('QUICK ENTRY'!$B62="","",'QUICK ENTRY'!$F62)</f>
        <v/>
      </c>
      <c r="I62" s="44" t="str">
        <f>IF('QUICK ENTRY'!$B62="","",'QUICK ENTRY'!$L62)</f>
        <v/>
      </c>
      <c r="J62" s="44" t="str">
        <f>IF('QUICK ENTRY'!$B62="","",'QUICK ENTRY'!$M62)</f>
        <v/>
      </c>
      <c r="K62" s="44" t="str">
        <f>IF('QUICK ENTRY'!$B62="","",'QUICK ENTRY'!$V62)</f>
        <v/>
      </c>
      <c r="L62" s="44" t="str">
        <f>IF('QUICK ENTRY'!$B62="","",'QUICK ENTRY'!$R62)</f>
        <v/>
      </c>
      <c r="M62" s="44" t="str">
        <f>IF('QUICK ENTRY'!$B62="","",'QUICK ENTRY'!$O62)</f>
        <v/>
      </c>
      <c r="N62" s="44" t="str">
        <f>IF('QUICK ENTRY'!$B62="","",'QUICK ENTRY'!$AA62)</f>
        <v/>
      </c>
      <c r="O62" s="44" t="str">
        <f>IF('QUICK ENTRY'!$B62="","",'QUICK ENTRY'!$AG62)</f>
        <v/>
      </c>
      <c r="P62" s="44" t="str">
        <f>IF('QUICK ENTRY'!$B62="","",'QUICK ENTRY'!$AF62)</f>
        <v/>
      </c>
    </row>
    <row r="63" spans="1:16" ht="14.4">
      <c r="A63" s="44" t="str">
        <f>IF('QUICK ENTRY'!$B63="","",'QUICK ENTRY'!$U63)</f>
        <v/>
      </c>
      <c r="B63" s="55" t="str">
        <f>IF('QUICK ENTRY'!$B63="","",'QUICK ENTRY'!$B63)</f>
        <v/>
      </c>
      <c r="C63" s="44" t="str">
        <f>IF('QUICK ENTRY'!$B63="","",'QUICK ENTRY'!$C63)</f>
        <v/>
      </c>
      <c r="D63" s="44" t="str">
        <f>IF('QUICK ENTRY'!$B63="","",'QUICK ENTRY'!$I63)</f>
        <v/>
      </c>
      <c r="E63" s="44" t="str">
        <f>IF('QUICK ENTRY'!$B63="","",'QUICK ENTRY'!$D63)</f>
        <v/>
      </c>
      <c r="F63" s="44" t="str">
        <f>IF('QUICK ENTRY'!$B63="","",'QUICK ENTRY'!$K63)</f>
        <v/>
      </c>
      <c r="G63" s="58" t="str">
        <f>IF('QUICK ENTRY'!$B63="","",'QUICK ENTRY'!$E63)</f>
        <v/>
      </c>
      <c r="H63" s="44" t="str">
        <f>IF('QUICK ENTRY'!$B63="","",'QUICK ENTRY'!$F63)</f>
        <v/>
      </c>
      <c r="I63" s="44" t="str">
        <f>IF('QUICK ENTRY'!$B63="","",'QUICK ENTRY'!$L63)</f>
        <v/>
      </c>
      <c r="J63" s="44" t="str">
        <f>IF('QUICK ENTRY'!$B63="","",'QUICK ENTRY'!$M63)</f>
        <v/>
      </c>
      <c r="K63" s="44" t="str">
        <f>IF('QUICK ENTRY'!$B63="","",'QUICK ENTRY'!$V63)</f>
        <v/>
      </c>
      <c r="L63" s="44" t="str">
        <f>IF('QUICK ENTRY'!$B63="","",'QUICK ENTRY'!$R63)</f>
        <v/>
      </c>
      <c r="M63" s="44" t="str">
        <f>IF('QUICK ENTRY'!$B63="","",'QUICK ENTRY'!$O63)</f>
        <v/>
      </c>
      <c r="N63" s="44" t="str">
        <f>IF('QUICK ENTRY'!$B63="","",'QUICK ENTRY'!$AA63)</f>
        <v/>
      </c>
      <c r="O63" s="44" t="str">
        <f>IF('QUICK ENTRY'!$B63="","",'QUICK ENTRY'!$AG63)</f>
        <v/>
      </c>
      <c r="P63" s="44" t="str">
        <f>IF('QUICK ENTRY'!$B63="","",'QUICK ENTRY'!$AF63)</f>
        <v/>
      </c>
    </row>
    <row r="64" spans="1:16" ht="14.4">
      <c r="A64" s="44" t="str">
        <f>IF('QUICK ENTRY'!$B64="","",'QUICK ENTRY'!$U64)</f>
        <v/>
      </c>
      <c r="B64" s="55" t="str">
        <f>IF('QUICK ENTRY'!$B64="","",'QUICK ENTRY'!$B64)</f>
        <v/>
      </c>
      <c r="C64" s="44" t="str">
        <f>IF('QUICK ENTRY'!$B64="","",'QUICK ENTRY'!$C64)</f>
        <v/>
      </c>
      <c r="D64" s="44" t="str">
        <f>IF('QUICK ENTRY'!$B64="","",'QUICK ENTRY'!$I64)</f>
        <v/>
      </c>
      <c r="E64" s="44" t="str">
        <f>IF('QUICK ENTRY'!$B64="","",'QUICK ENTRY'!$D64)</f>
        <v/>
      </c>
      <c r="F64" s="44" t="str">
        <f>IF('QUICK ENTRY'!$B64="","",'QUICK ENTRY'!$K64)</f>
        <v/>
      </c>
      <c r="G64" s="58" t="str">
        <f>IF('QUICK ENTRY'!$B64="","",'QUICK ENTRY'!$E64)</f>
        <v/>
      </c>
      <c r="H64" s="44" t="str">
        <f>IF('QUICK ENTRY'!$B64="","",'QUICK ENTRY'!$F64)</f>
        <v/>
      </c>
      <c r="I64" s="44" t="str">
        <f>IF('QUICK ENTRY'!$B64="","",'QUICK ENTRY'!$L64)</f>
        <v/>
      </c>
      <c r="J64" s="44" t="str">
        <f>IF('QUICK ENTRY'!$B64="","",'QUICK ENTRY'!$M64)</f>
        <v/>
      </c>
      <c r="K64" s="44" t="str">
        <f>IF('QUICK ENTRY'!$B64="","",'QUICK ENTRY'!$V64)</f>
        <v/>
      </c>
      <c r="L64" s="44" t="str">
        <f>IF('QUICK ENTRY'!$B64="","",'QUICK ENTRY'!$R64)</f>
        <v/>
      </c>
      <c r="M64" s="44" t="str">
        <f>IF('QUICK ENTRY'!$B64="","",'QUICK ENTRY'!$O64)</f>
        <v/>
      </c>
      <c r="N64" s="44" t="str">
        <f>IF('QUICK ENTRY'!$B64="","",'QUICK ENTRY'!$AA64)</f>
        <v/>
      </c>
      <c r="O64" s="44" t="str">
        <f>IF('QUICK ENTRY'!$B64="","",'QUICK ENTRY'!$AG64)</f>
        <v/>
      </c>
      <c r="P64" s="44" t="str">
        <f>IF('QUICK ENTRY'!$B64="","",'QUICK ENTRY'!$AF64)</f>
        <v/>
      </c>
    </row>
    <row r="65" spans="1:16" ht="14.4">
      <c r="A65" s="44" t="str">
        <f>IF('QUICK ENTRY'!$B65="","",'QUICK ENTRY'!$U65)</f>
        <v/>
      </c>
      <c r="B65" s="55" t="str">
        <f>IF('QUICK ENTRY'!$B65="","",'QUICK ENTRY'!$B65)</f>
        <v/>
      </c>
      <c r="C65" s="44" t="str">
        <f>IF('QUICK ENTRY'!$B65="","",'QUICK ENTRY'!$C65)</f>
        <v/>
      </c>
      <c r="D65" s="44" t="str">
        <f>IF('QUICK ENTRY'!$B65="","",'QUICK ENTRY'!$I65)</f>
        <v/>
      </c>
      <c r="E65" s="44" t="str">
        <f>IF('QUICK ENTRY'!$B65="","",'QUICK ENTRY'!$D65)</f>
        <v/>
      </c>
      <c r="F65" s="44" t="str">
        <f>IF('QUICK ENTRY'!$B65="","",'QUICK ENTRY'!$K65)</f>
        <v/>
      </c>
      <c r="G65" s="58" t="str">
        <f>IF('QUICK ENTRY'!$B65="","",'QUICK ENTRY'!$E65)</f>
        <v/>
      </c>
      <c r="H65" s="44" t="str">
        <f>IF('QUICK ENTRY'!$B65="","",'QUICK ENTRY'!$F65)</f>
        <v/>
      </c>
      <c r="I65" s="44" t="str">
        <f>IF('QUICK ENTRY'!$B65="","",'QUICK ENTRY'!$L65)</f>
        <v/>
      </c>
      <c r="J65" s="44" t="str">
        <f>IF('QUICK ENTRY'!$B65="","",'QUICK ENTRY'!$M65)</f>
        <v/>
      </c>
      <c r="K65" s="44" t="str">
        <f>IF('QUICK ENTRY'!$B65="","",'QUICK ENTRY'!$V65)</f>
        <v/>
      </c>
      <c r="L65" s="44" t="str">
        <f>IF('QUICK ENTRY'!$B65="","",'QUICK ENTRY'!$R65)</f>
        <v/>
      </c>
      <c r="M65" s="44" t="str">
        <f>IF('QUICK ENTRY'!$B65="","",'QUICK ENTRY'!$O65)</f>
        <v/>
      </c>
      <c r="N65" s="44" t="str">
        <f>IF('QUICK ENTRY'!$B65="","",'QUICK ENTRY'!$AA65)</f>
        <v/>
      </c>
      <c r="O65" s="44" t="str">
        <f>IF('QUICK ENTRY'!$B65="","",'QUICK ENTRY'!$AG65)</f>
        <v/>
      </c>
      <c r="P65" s="44" t="str">
        <f>IF('QUICK ENTRY'!$B65="","",'QUICK ENTRY'!$AF65)</f>
        <v/>
      </c>
    </row>
    <row r="66" spans="1:16" ht="14.4">
      <c r="A66" s="44" t="str">
        <f>IF('QUICK ENTRY'!$B66="","",'QUICK ENTRY'!$U66)</f>
        <v/>
      </c>
      <c r="B66" s="55" t="str">
        <f>IF('QUICK ENTRY'!$B66="","",'QUICK ENTRY'!$B66)</f>
        <v/>
      </c>
      <c r="C66" s="44" t="str">
        <f>IF('QUICK ENTRY'!$B66="","",'QUICK ENTRY'!$C66)</f>
        <v/>
      </c>
      <c r="D66" s="44" t="str">
        <f>IF('QUICK ENTRY'!$B66="","",'QUICK ENTRY'!$I66)</f>
        <v/>
      </c>
      <c r="E66" s="44" t="str">
        <f>IF('QUICK ENTRY'!$B66="","",'QUICK ENTRY'!$D66)</f>
        <v/>
      </c>
      <c r="F66" s="44" t="str">
        <f>IF('QUICK ENTRY'!$B66="","",'QUICK ENTRY'!$K66)</f>
        <v/>
      </c>
      <c r="G66" s="58" t="str">
        <f>IF('QUICK ENTRY'!$B66="","",'QUICK ENTRY'!$E66)</f>
        <v/>
      </c>
      <c r="H66" s="44" t="str">
        <f>IF('QUICK ENTRY'!$B66="","",'QUICK ENTRY'!$F66)</f>
        <v/>
      </c>
      <c r="I66" s="44" t="str">
        <f>IF('QUICK ENTRY'!$B66="","",'QUICK ENTRY'!$L66)</f>
        <v/>
      </c>
      <c r="J66" s="44" t="str">
        <f>IF('QUICK ENTRY'!$B66="","",'QUICK ENTRY'!$M66)</f>
        <v/>
      </c>
      <c r="K66" s="44" t="str">
        <f>IF('QUICK ENTRY'!$B66="","",'QUICK ENTRY'!$V66)</f>
        <v/>
      </c>
      <c r="L66" s="44" t="str">
        <f>IF('QUICK ENTRY'!$B66="","",'QUICK ENTRY'!$R66)</f>
        <v/>
      </c>
      <c r="M66" s="44" t="str">
        <f>IF('QUICK ENTRY'!$B66="","",'QUICK ENTRY'!$O66)</f>
        <v/>
      </c>
      <c r="N66" s="44" t="str">
        <f>IF('QUICK ENTRY'!$B66="","",'QUICK ENTRY'!$AA66)</f>
        <v/>
      </c>
      <c r="O66" s="44" t="str">
        <f>IF('QUICK ENTRY'!$B66="","",'QUICK ENTRY'!$AG66)</f>
        <v/>
      </c>
      <c r="P66" s="44" t="str">
        <f>IF('QUICK ENTRY'!$B66="","",'QUICK ENTRY'!$AF66)</f>
        <v/>
      </c>
    </row>
    <row r="67" spans="1:16" ht="14.4">
      <c r="A67" s="44" t="str">
        <f>IF('QUICK ENTRY'!$B67="","",'QUICK ENTRY'!$U67)</f>
        <v/>
      </c>
      <c r="B67" s="55" t="str">
        <f>IF('QUICK ENTRY'!$B67="","",'QUICK ENTRY'!$B67)</f>
        <v/>
      </c>
      <c r="C67" s="44" t="str">
        <f>IF('QUICK ENTRY'!$B67="","",'QUICK ENTRY'!$C67)</f>
        <v/>
      </c>
      <c r="D67" s="44" t="str">
        <f>IF('QUICK ENTRY'!$B67="","",'QUICK ENTRY'!$I67)</f>
        <v/>
      </c>
      <c r="E67" s="44" t="str">
        <f>IF('QUICK ENTRY'!$B67="","",'QUICK ENTRY'!$D67)</f>
        <v/>
      </c>
      <c r="F67" s="44" t="str">
        <f>IF('QUICK ENTRY'!$B67="","",'QUICK ENTRY'!$K67)</f>
        <v/>
      </c>
      <c r="G67" s="58" t="str">
        <f>IF('QUICK ENTRY'!$B67="","",'QUICK ENTRY'!$E67)</f>
        <v/>
      </c>
      <c r="H67" s="44" t="str">
        <f>IF('QUICK ENTRY'!$B67="","",'QUICK ENTRY'!$F67)</f>
        <v/>
      </c>
      <c r="I67" s="44" t="str">
        <f>IF('QUICK ENTRY'!$B67="","",'QUICK ENTRY'!$L67)</f>
        <v/>
      </c>
      <c r="J67" s="44" t="str">
        <f>IF('QUICK ENTRY'!$B67="","",'QUICK ENTRY'!$M67)</f>
        <v/>
      </c>
      <c r="K67" s="44" t="str">
        <f>IF('QUICK ENTRY'!$B67="","",'QUICK ENTRY'!$V67)</f>
        <v/>
      </c>
      <c r="L67" s="44" t="str">
        <f>IF('QUICK ENTRY'!$B67="","",'QUICK ENTRY'!$R67)</f>
        <v/>
      </c>
      <c r="M67" s="44" t="str">
        <f>IF('QUICK ENTRY'!$B67="","",'QUICK ENTRY'!$O67)</f>
        <v/>
      </c>
      <c r="N67" s="44" t="str">
        <f>IF('QUICK ENTRY'!$B67="","",'QUICK ENTRY'!$AA67)</f>
        <v/>
      </c>
      <c r="O67" s="44" t="str">
        <f>IF('QUICK ENTRY'!$B67="","",'QUICK ENTRY'!$AG67)</f>
        <v/>
      </c>
      <c r="P67" s="44" t="str">
        <f>IF('QUICK ENTRY'!$B67="","",'QUICK ENTRY'!$AF67)</f>
        <v/>
      </c>
    </row>
    <row r="68" spans="1:16" ht="14.4">
      <c r="A68" s="44" t="str">
        <f>IF('QUICK ENTRY'!$B68="","",'QUICK ENTRY'!$U68)</f>
        <v/>
      </c>
      <c r="B68" s="55" t="str">
        <f>IF('QUICK ENTRY'!$B68="","",'QUICK ENTRY'!$B68)</f>
        <v/>
      </c>
      <c r="C68" s="44" t="str">
        <f>IF('QUICK ENTRY'!$B68="","",'QUICK ENTRY'!$C68)</f>
        <v/>
      </c>
      <c r="D68" s="44" t="str">
        <f>IF('QUICK ENTRY'!$B68="","",'QUICK ENTRY'!$I68)</f>
        <v/>
      </c>
      <c r="E68" s="44" t="str">
        <f>IF('QUICK ENTRY'!$B68="","",'QUICK ENTRY'!$D68)</f>
        <v/>
      </c>
      <c r="F68" s="44" t="str">
        <f>IF('QUICK ENTRY'!$B68="","",'QUICK ENTRY'!$K68)</f>
        <v/>
      </c>
      <c r="G68" s="58" t="str">
        <f>IF('QUICK ENTRY'!$B68="","",'QUICK ENTRY'!$E68)</f>
        <v/>
      </c>
      <c r="H68" s="44" t="str">
        <f>IF('QUICK ENTRY'!$B68="","",'QUICK ENTRY'!$F68)</f>
        <v/>
      </c>
      <c r="I68" s="44" t="str">
        <f>IF('QUICK ENTRY'!$B68="","",'QUICK ENTRY'!$L68)</f>
        <v/>
      </c>
      <c r="J68" s="44" t="str">
        <f>IF('QUICK ENTRY'!$B68="","",'QUICK ENTRY'!$M68)</f>
        <v/>
      </c>
      <c r="K68" s="44" t="str">
        <f>IF('QUICK ENTRY'!$B68="","",'QUICK ENTRY'!$V68)</f>
        <v/>
      </c>
      <c r="L68" s="44" t="str">
        <f>IF('QUICK ENTRY'!$B68="","",'QUICK ENTRY'!$R68)</f>
        <v/>
      </c>
      <c r="M68" s="44" t="str">
        <f>IF('QUICK ENTRY'!$B68="","",'QUICK ENTRY'!$O68)</f>
        <v/>
      </c>
      <c r="N68" s="44" t="str">
        <f>IF('QUICK ENTRY'!$B68="","",'QUICK ENTRY'!$AA68)</f>
        <v/>
      </c>
      <c r="O68" s="44" t="str">
        <f>IF('QUICK ENTRY'!$B68="","",'QUICK ENTRY'!$AG68)</f>
        <v/>
      </c>
      <c r="P68" s="44" t="str">
        <f>IF('QUICK ENTRY'!$B68="","",'QUICK ENTRY'!$AF68)</f>
        <v/>
      </c>
    </row>
    <row r="69" spans="1:16" ht="14.4">
      <c r="A69" s="44" t="str">
        <f>IF('QUICK ENTRY'!$B69="","",'QUICK ENTRY'!$U69)</f>
        <v/>
      </c>
      <c r="B69" s="55" t="str">
        <f>IF('QUICK ENTRY'!$B69="","",'QUICK ENTRY'!$B69)</f>
        <v/>
      </c>
      <c r="C69" s="44" t="str">
        <f>IF('QUICK ENTRY'!$B69="","",'QUICK ENTRY'!$C69)</f>
        <v/>
      </c>
      <c r="D69" s="44" t="str">
        <f>IF('QUICK ENTRY'!$B69="","",'QUICK ENTRY'!$I69)</f>
        <v/>
      </c>
      <c r="E69" s="44" t="str">
        <f>IF('QUICK ENTRY'!$B69="","",'QUICK ENTRY'!$D69)</f>
        <v/>
      </c>
      <c r="F69" s="44" t="str">
        <f>IF('QUICK ENTRY'!$B69="","",'QUICK ENTRY'!$K69)</f>
        <v/>
      </c>
      <c r="G69" s="58" t="str">
        <f>IF('QUICK ENTRY'!$B69="","",'QUICK ENTRY'!$E69)</f>
        <v/>
      </c>
      <c r="H69" s="44" t="str">
        <f>IF('QUICK ENTRY'!$B69="","",'QUICK ENTRY'!$F69)</f>
        <v/>
      </c>
      <c r="I69" s="44" t="str">
        <f>IF('QUICK ENTRY'!$B69="","",'QUICK ENTRY'!$L69)</f>
        <v/>
      </c>
      <c r="J69" s="44" t="str">
        <f>IF('QUICK ENTRY'!$B69="","",'QUICK ENTRY'!$M69)</f>
        <v/>
      </c>
      <c r="K69" s="44" t="str">
        <f>IF('QUICK ENTRY'!$B69="","",'QUICK ENTRY'!$V69)</f>
        <v/>
      </c>
      <c r="L69" s="44" t="str">
        <f>IF('QUICK ENTRY'!$B69="","",'QUICK ENTRY'!$R69)</f>
        <v/>
      </c>
      <c r="M69" s="44" t="str">
        <f>IF('QUICK ENTRY'!$B69="","",'QUICK ENTRY'!$O69)</f>
        <v/>
      </c>
      <c r="N69" s="44" t="str">
        <f>IF('QUICK ENTRY'!$B69="","",'QUICK ENTRY'!$AA69)</f>
        <v/>
      </c>
      <c r="O69" s="44" t="str">
        <f>IF('QUICK ENTRY'!$B69="","",'QUICK ENTRY'!$AG69)</f>
        <v/>
      </c>
      <c r="P69" s="44" t="str">
        <f>IF('QUICK ENTRY'!$B69="","",'QUICK ENTRY'!$AF69)</f>
        <v/>
      </c>
    </row>
    <row r="70" spans="1:16" ht="14.4">
      <c r="A70" s="44" t="str">
        <f>IF('QUICK ENTRY'!$B70="","",'QUICK ENTRY'!$U70)</f>
        <v/>
      </c>
      <c r="B70" s="55" t="str">
        <f>IF('QUICK ENTRY'!$B70="","",'QUICK ENTRY'!$B70)</f>
        <v/>
      </c>
      <c r="C70" s="44" t="str">
        <f>IF('QUICK ENTRY'!$B70="","",'QUICK ENTRY'!$C70)</f>
        <v/>
      </c>
      <c r="D70" s="44" t="str">
        <f>IF('QUICK ENTRY'!$B70="","",'QUICK ENTRY'!$I70)</f>
        <v/>
      </c>
      <c r="E70" s="44" t="str">
        <f>IF('QUICK ENTRY'!$B70="","",'QUICK ENTRY'!$D70)</f>
        <v/>
      </c>
      <c r="F70" s="44" t="str">
        <f>IF('QUICK ENTRY'!$B70="","",'QUICK ENTRY'!$K70)</f>
        <v/>
      </c>
      <c r="G70" s="58" t="str">
        <f>IF('QUICK ENTRY'!$B70="","",'QUICK ENTRY'!$E70)</f>
        <v/>
      </c>
      <c r="H70" s="44" t="str">
        <f>IF('QUICK ENTRY'!$B70="","",'QUICK ENTRY'!$F70)</f>
        <v/>
      </c>
      <c r="I70" s="44" t="str">
        <f>IF('QUICK ENTRY'!$B70="","",'QUICK ENTRY'!$L70)</f>
        <v/>
      </c>
      <c r="J70" s="44" t="str">
        <f>IF('QUICK ENTRY'!$B70="","",'QUICK ENTRY'!$M70)</f>
        <v/>
      </c>
      <c r="K70" s="44" t="str">
        <f>IF('QUICK ENTRY'!$B70="","",'QUICK ENTRY'!$V70)</f>
        <v/>
      </c>
      <c r="L70" s="44" t="str">
        <f>IF('QUICK ENTRY'!$B70="","",'QUICK ENTRY'!$R70)</f>
        <v/>
      </c>
      <c r="M70" s="44" t="str">
        <f>IF('QUICK ENTRY'!$B70="","",'QUICK ENTRY'!$O70)</f>
        <v/>
      </c>
      <c r="N70" s="44" t="str">
        <f>IF('QUICK ENTRY'!$B70="","",'QUICK ENTRY'!$AA70)</f>
        <v/>
      </c>
      <c r="O70" s="44" t="str">
        <f>IF('QUICK ENTRY'!$B70="","",'QUICK ENTRY'!$AG70)</f>
        <v/>
      </c>
      <c r="P70" s="44" t="str">
        <f>IF('QUICK ENTRY'!$B70="","",'QUICK ENTRY'!$AF70)</f>
        <v/>
      </c>
    </row>
    <row r="71" spans="1:16" ht="14.4">
      <c r="A71" s="44" t="str">
        <f>IF('QUICK ENTRY'!$B71="","",'QUICK ENTRY'!$U71)</f>
        <v/>
      </c>
      <c r="B71" s="55" t="str">
        <f>IF('QUICK ENTRY'!$B71="","",'QUICK ENTRY'!$B71)</f>
        <v/>
      </c>
      <c r="C71" s="44" t="str">
        <f>IF('QUICK ENTRY'!$B71="","",'QUICK ENTRY'!$C71)</f>
        <v/>
      </c>
      <c r="D71" s="44" t="str">
        <f>IF('QUICK ENTRY'!$B71="","",'QUICK ENTRY'!$I71)</f>
        <v/>
      </c>
      <c r="E71" s="44" t="str">
        <f>IF('QUICK ENTRY'!$B71="","",'QUICK ENTRY'!$D71)</f>
        <v/>
      </c>
      <c r="F71" s="44" t="str">
        <f>IF('QUICK ENTRY'!$B71="","",'QUICK ENTRY'!$K71)</f>
        <v/>
      </c>
      <c r="G71" s="58" t="str">
        <f>IF('QUICK ENTRY'!$B71="","",'QUICK ENTRY'!$E71)</f>
        <v/>
      </c>
      <c r="H71" s="44" t="str">
        <f>IF('QUICK ENTRY'!$B71="","",'QUICK ENTRY'!$F71)</f>
        <v/>
      </c>
      <c r="I71" s="44" t="str">
        <f>IF('QUICK ENTRY'!$B71="","",'QUICK ENTRY'!$L71)</f>
        <v/>
      </c>
      <c r="J71" s="44" t="str">
        <f>IF('QUICK ENTRY'!$B71="","",'QUICK ENTRY'!$M71)</f>
        <v/>
      </c>
      <c r="K71" s="44" t="str">
        <f>IF('QUICK ENTRY'!$B71="","",'QUICK ENTRY'!$V71)</f>
        <v/>
      </c>
      <c r="L71" s="44" t="str">
        <f>IF('QUICK ENTRY'!$B71="","",'QUICK ENTRY'!$R71)</f>
        <v/>
      </c>
      <c r="M71" s="44" t="str">
        <f>IF('QUICK ENTRY'!$B71="","",'QUICK ENTRY'!$O71)</f>
        <v/>
      </c>
      <c r="N71" s="44" t="str">
        <f>IF('QUICK ENTRY'!$B71="","",'QUICK ENTRY'!$AA71)</f>
        <v/>
      </c>
      <c r="O71" s="44" t="str">
        <f>IF('QUICK ENTRY'!$B71="","",'QUICK ENTRY'!$AG71)</f>
        <v/>
      </c>
      <c r="P71" s="44" t="str">
        <f>IF('QUICK ENTRY'!$B71="","",'QUICK ENTRY'!$AF71)</f>
        <v/>
      </c>
    </row>
    <row r="72" spans="1:16" ht="14.4">
      <c r="A72" s="44" t="str">
        <f>IF('QUICK ENTRY'!$B72="","",'QUICK ENTRY'!$U72)</f>
        <v/>
      </c>
      <c r="B72" s="55" t="str">
        <f>IF('QUICK ENTRY'!$B72="","",'QUICK ENTRY'!$B72)</f>
        <v/>
      </c>
      <c r="C72" s="44" t="str">
        <f>IF('QUICK ENTRY'!$B72="","",'QUICK ENTRY'!$C72)</f>
        <v/>
      </c>
      <c r="D72" s="44" t="str">
        <f>IF('QUICK ENTRY'!$B72="","",'QUICK ENTRY'!$I72)</f>
        <v/>
      </c>
      <c r="E72" s="44" t="str">
        <f>IF('QUICK ENTRY'!$B72="","",'QUICK ENTRY'!$D72)</f>
        <v/>
      </c>
      <c r="F72" s="44" t="str">
        <f>IF('QUICK ENTRY'!$B72="","",'QUICK ENTRY'!$K72)</f>
        <v/>
      </c>
      <c r="G72" s="58" t="str">
        <f>IF('QUICK ENTRY'!$B72="","",'QUICK ENTRY'!$E72)</f>
        <v/>
      </c>
      <c r="H72" s="44" t="str">
        <f>IF('QUICK ENTRY'!$B72="","",'QUICK ENTRY'!$F72)</f>
        <v/>
      </c>
      <c r="I72" s="44" t="str">
        <f>IF('QUICK ENTRY'!$B72="","",'QUICK ENTRY'!$L72)</f>
        <v/>
      </c>
      <c r="J72" s="44" t="str">
        <f>IF('QUICK ENTRY'!$B72="","",'QUICK ENTRY'!$M72)</f>
        <v/>
      </c>
      <c r="K72" s="44" t="str">
        <f>IF('QUICK ENTRY'!$B72="","",'QUICK ENTRY'!$V72)</f>
        <v/>
      </c>
      <c r="L72" s="44" t="str">
        <f>IF('QUICK ENTRY'!$B72="","",'QUICK ENTRY'!$R72)</f>
        <v/>
      </c>
      <c r="M72" s="44" t="str">
        <f>IF('QUICK ENTRY'!$B72="","",'QUICK ENTRY'!$O72)</f>
        <v/>
      </c>
      <c r="N72" s="44" t="str">
        <f>IF('QUICK ENTRY'!$B72="","",'QUICK ENTRY'!$AA72)</f>
        <v/>
      </c>
      <c r="O72" s="44" t="str">
        <f>IF('QUICK ENTRY'!$B72="","",'QUICK ENTRY'!$AG72)</f>
        <v/>
      </c>
      <c r="P72" s="44" t="str">
        <f>IF('QUICK ENTRY'!$B72="","",'QUICK ENTRY'!$AF72)</f>
        <v/>
      </c>
    </row>
    <row r="73" spans="1:16" ht="14.4">
      <c r="A73" s="44" t="str">
        <f>IF('QUICK ENTRY'!$B73="","",'QUICK ENTRY'!$U73)</f>
        <v/>
      </c>
      <c r="B73" s="55" t="str">
        <f>IF('QUICK ENTRY'!$B73="","",'QUICK ENTRY'!$B73)</f>
        <v/>
      </c>
      <c r="C73" s="44" t="str">
        <f>IF('QUICK ENTRY'!$B73="","",'QUICK ENTRY'!$C73)</f>
        <v/>
      </c>
      <c r="D73" s="44" t="str">
        <f>IF('QUICK ENTRY'!$B73="","",'QUICK ENTRY'!$I73)</f>
        <v/>
      </c>
      <c r="E73" s="44" t="str">
        <f>IF('QUICK ENTRY'!$B73="","",'QUICK ENTRY'!$D73)</f>
        <v/>
      </c>
      <c r="F73" s="44" t="str">
        <f>IF('QUICK ENTRY'!$B73="","",'QUICK ENTRY'!$K73)</f>
        <v/>
      </c>
      <c r="G73" s="58" t="str">
        <f>IF('QUICK ENTRY'!$B73="","",'QUICK ENTRY'!$E73)</f>
        <v/>
      </c>
      <c r="H73" s="44" t="str">
        <f>IF('QUICK ENTRY'!$B73="","",'QUICK ENTRY'!$F73)</f>
        <v/>
      </c>
      <c r="I73" s="44" t="str">
        <f>IF('QUICK ENTRY'!$B73="","",'QUICK ENTRY'!$L73)</f>
        <v/>
      </c>
      <c r="J73" s="44" t="str">
        <f>IF('QUICK ENTRY'!$B73="","",'QUICK ENTRY'!$M73)</f>
        <v/>
      </c>
      <c r="K73" s="44" t="str">
        <f>IF('QUICK ENTRY'!$B73="","",'QUICK ENTRY'!$V73)</f>
        <v/>
      </c>
      <c r="L73" s="44" t="str">
        <f>IF('QUICK ENTRY'!$B73="","",'QUICK ENTRY'!$R73)</f>
        <v/>
      </c>
      <c r="M73" s="44" t="str">
        <f>IF('QUICK ENTRY'!$B73="","",'QUICK ENTRY'!$O73)</f>
        <v/>
      </c>
      <c r="N73" s="44" t="str">
        <f>IF('QUICK ENTRY'!$B73="","",'QUICK ENTRY'!$AA73)</f>
        <v/>
      </c>
      <c r="O73" s="44" t="str">
        <f>IF('QUICK ENTRY'!$B73="","",'QUICK ENTRY'!$AG73)</f>
        <v/>
      </c>
      <c r="P73" s="44" t="str">
        <f>IF('QUICK ENTRY'!$B73="","",'QUICK ENTRY'!$AF73)</f>
        <v/>
      </c>
    </row>
    <row r="74" spans="1:16" ht="14.4">
      <c r="A74" s="44" t="str">
        <f>IF('QUICK ENTRY'!$B74="","",'QUICK ENTRY'!$U74)</f>
        <v/>
      </c>
      <c r="B74" s="55" t="str">
        <f>IF('QUICK ENTRY'!$B74="","",'QUICK ENTRY'!$B74)</f>
        <v/>
      </c>
      <c r="C74" s="44" t="str">
        <f>IF('QUICK ENTRY'!$B74="","",'QUICK ENTRY'!$C74)</f>
        <v/>
      </c>
      <c r="D74" s="44" t="str">
        <f>IF('QUICK ENTRY'!$B74="","",'QUICK ENTRY'!$I74)</f>
        <v/>
      </c>
      <c r="E74" s="44" t="str">
        <f>IF('QUICK ENTRY'!$B74="","",'QUICK ENTRY'!$D74)</f>
        <v/>
      </c>
      <c r="F74" s="44" t="str">
        <f>IF('QUICK ENTRY'!$B74="","",'QUICK ENTRY'!$K74)</f>
        <v/>
      </c>
      <c r="G74" s="58" t="str">
        <f>IF('QUICK ENTRY'!$B74="","",'QUICK ENTRY'!$E74)</f>
        <v/>
      </c>
      <c r="H74" s="44" t="str">
        <f>IF('QUICK ENTRY'!$B74="","",'QUICK ENTRY'!$F74)</f>
        <v/>
      </c>
      <c r="I74" s="44" t="str">
        <f>IF('QUICK ENTRY'!$B74="","",'QUICK ENTRY'!$L74)</f>
        <v/>
      </c>
      <c r="J74" s="44" t="str">
        <f>IF('QUICK ENTRY'!$B74="","",'QUICK ENTRY'!$M74)</f>
        <v/>
      </c>
      <c r="K74" s="44" t="str">
        <f>IF('QUICK ENTRY'!$B74="","",'QUICK ENTRY'!$V74)</f>
        <v/>
      </c>
      <c r="L74" s="44" t="str">
        <f>IF('QUICK ENTRY'!$B74="","",'QUICK ENTRY'!$R74)</f>
        <v/>
      </c>
      <c r="M74" s="44" t="str">
        <f>IF('QUICK ENTRY'!$B74="","",'QUICK ENTRY'!$O74)</f>
        <v/>
      </c>
      <c r="N74" s="44" t="str">
        <f>IF('QUICK ENTRY'!$B74="","",'QUICK ENTRY'!$AA74)</f>
        <v/>
      </c>
      <c r="O74" s="44" t="str">
        <f>IF('QUICK ENTRY'!$B74="","",'QUICK ENTRY'!$AG74)</f>
        <v/>
      </c>
      <c r="P74" s="44" t="str">
        <f>IF('QUICK ENTRY'!$B74="","",'QUICK ENTRY'!$AF74)</f>
        <v/>
      </c>
    </row>
    <row r="75" spans="1:16" ht="14.4">
      <c r="A75" s="44" t="str">
        <f>IF('QUICK ENTRY'!$B75="","",'QUICK ENTRY'!$U75)</f>
        <v/>
      </c>
      <c r="B75" s="55" t="str">
        <f>IF('QUICK ENTRY'!$B75="","",'QUICK ENTRY'!$B75)</f>
        <v/>
      </c>
      <c r="C75" s="44" t="str">
        <f>IF('QUICK ENTRY'!$B75="","",'QUICK ENTRY'!$C75)</f>
        <v/>
      </c>
      <c r="D75" s="44" t="str">
        <f>IF('QUICK ENTRY'!$B75="","",'QUICK ENTRY'!$I75)</f>
        <v/>
      </c>
      <c r="E75" s="44" t="str">
        <f>IF('QUICK ENTRY'!$B75="","",'QUICK ENTRY'!$D75)</f>
        <v/>
      </c>
      <c r="F75" s="44" t="str">
        <f>IF('QUICK ENTRY'!$B75="","",'QUICK ENTRY'!$K75)</f>
        <v/>
      </c>
      <c r="G75" s="58" t="str">
        <f>IF('QUICK ENTRY'!$B75="","",'QUICK ENTRY'!$E75)</f>
        <v/>
      </c>
      <c r="H75" s="44" t="str">
        <f>IF('QUICK ENTRY'!$B75="","",'QUICK ENTRY'!$F75)</f>
        <v/>
      </c>
      <c r="I75" s="44" t="str">
        <f>IF('QUICK ENTRY'!$B75="","",'QUICK ENTRY'!$L75)</f>
        <v/>
      </c>
      <c r="J75" s="44" t="str">
        <f>IF('QUICK ENTRY'!$B75="","",'QUICK ENTRY'!$M75)</f>
        <v/>
      </c>
      <c r="K75" s="44" t="str">
        <f>IF('QUICK ENTRY'!$B75="","",'QUICK ENTRY'!$V75)</f>
        <v/>
      </c>
      <c r="L75" s="44" t="str">
        <f>IF('QUICK ENTRY'!$B75="","",'QUICK ENTRY'!$R75)</f>
        <v/>
      </c>
      <c r="M75" s="44" t="str">
        <f>IF('QUICK ENTRY'!$B75="","",'QUICK ENTRY'!$O75)</f>
        <v/>
      </c>
      <c r="N75" s="44" t="str">
        <f>IF('QUICK ENTRY'!$B75="","",'QUICK ENTRY'!$AA75)</f>
        <v/>
      </c>
      <c r="O75" s="44" t="str">
        <f>IF('QUICK ENTRY'!$B75="","",'QUICK ENTRY'!$AG75)</f>
        <v/>
      </c>
      <c r="P75" s="44" t="str">
        <f>IF('QUICK ENTRY'!$B75="","",'QUICK ENTRY'!$AF75)</f>
        <v/>
      </c>
    </row>
    <row r="76" spans="1:16" ht="14.4">
      <c r="A76" s="44" t="str">
        <f>IF('QUICK ENTRY'!$B76="","",'QUICK ENTRY'!$U76)</f>
        <v/>
      </c>
      <c r="B76" s="55" t="str">
        <f>IF('QUICK ENTRY'!$B76="","",'QUICK ENTRY'!$B76)</f>
        <v/>
      </c>
      <c r="C76" s="44" t="str">
        <f>IF('QUICK ENTRY'!$B76="","",'QUICK ENTRY'!$C76)</f>
        <v/>
      </c>
      <c r="D76" s="44" t="str">
        <f>IF('QUICK ENTRY'!$B76="","",'QUICK ENTRY'!$I76)</f>
        <v/>
      </c>
      <c r="E76" s="44" t="str">
        <f>IF('QUICK ENTRY'!$B76="","",'QUICK ENTRY'!$D76)</f>
        <v/>
      </c>
      <c r="F76" s="44" t="str">
        <f>IF('QUICK ENTRY'!$B76="","",'QUICK ENTRY'!$K76)</f>
        <v/>
      </c>
      <c r="G76" s="58" t="str">
        <f>IF('QUICK ENTRY'!$B76="","",'QUICK ENTRY'!$E76)</f>
        <v/>
      </c>
      <c r="H76" s="44" t="str">
        <f>IF('QUICK ENTRY'!$B76="","",'QUICK ENTRY'!$F76)</f>
        <v/>
      </c>
      <c r="I76" s="44" t="str">
        <f>IF('QUICK ENTRY'!$B76="","",'QUICK ENTRY'!$L76)</f>
        <v/>
      </c>
      <c r="J76" s="44" t="str">
        <f>IF('QUICK ENTRY'!$B76="","",'QUICK ENTRY'!$M76)</f>
        <v/>
      </c>
      <c r="K76" s="44" t="str">
        <f>IF('QUICK ENTRY'!$B76="","",'QUICK ENTRY'!$V76)</f>
        <v/>
      </c>
      <c r="L76" s="44" t="str">
        <f>IF('QUICK ENTRY'!$B76="","",'QUICK ENTRY'!$R76)</f>
        <v/>
      </c>
      <c r="M76" s="44" t="str">
        <f>IF('QUICK ENTRY'!$B76="","",'QUICK ENTRY'!$O76)</f>
        <v/>
      </c>
      <c r="N76" s="44" t="str">
        <f>IF('QUICK ENTRY'!$B76="","",'QUICK ENTRY'!$AA76)</f>
        <v/>
      </c>
      <c r="O76" s="44" t="str">
        <f>IF('QUICK ENTRY'!$B76="","",'QUICK ENTRY'!$AG76)</f>
        <v/>
      </c>
      <c r="P76" s="44" t="str">
        <f>IF('QUICK ENTRY'!$B76="","",'QUICK ENTRY'!$AF76)</f>
        <v/>
      </c>
    </row>
    <row r="77" spans="1:16" ht="14.4">
      <c r="A77" s="44" t="str">
        <f>IF('QUICK ENTRY'!$B77="","",'QUICK ENTRY'!$U77)</f>
        <v/>
      </c>
      <c r="B77" s="55" t="str">
        <f>IF('QUICK ENTRY'!$B77="","",'QUICK ENTRY'!$B77)</f>
        <v/>
      </c>
      <c r="C77" s="44" t="str">
        <f>IF('QUICK ENTRY'!$B77="","",'QUICK ENTRY'!$C77)</f>
        <v/>
      </c>
      <c r="D77" s="44" t="str">
        <f>IF('QUICK ENTRY'!$B77="","",'QUICK ENTRY'!$I77)</f>
        <v/>
      </c>
      <c r="E77" s="44" t="str">
        <f>IF('QUICK ENTRY'!$B77="","",'QUICK ENTRY'!$D77)</f>
        <v/>
      </c>
      <c r="F77" s="44" t="str">
        <f>IF('QUICK ENTRY'!$B77="","",'QUICK ENTRY'!$K77)</f>
        <v/>
      </c>
      <c r="G77" s="58" t="str">
        <f>IF('QUICK ENTRY'!$B77="","",'QUICK ENTRY'!$E77)</f>
        <v/>
      </c>
      <c r="H77" s="44" t="str">
        <f>IF('QUICK ENTRY'!$B77="","",'QUICK ENTRY'!$F77)</f>
        <v/>
      </c>
      <c r="I77" s="44" t="str">
        <f>IF('QUICK ENTRY'!$B77="","",'QUICK ENTRY'!$L77)</f>
        <v/>
      </c>
      <c r="J77" s="44" t="str">
        <f>IF('QUICK ENTRY'!$B77="","",'QUICK ENTRY'!$M77)</f>
        <v/>
      </c>
      <c r="K77" s="44" t="str">
        <f>IF('QUICK ENTRY'!$B77="","",'QUICK ENTRY'!$V77)</f>
        <v/>
      </c>
      <c r="L77" s="44" t="str">
        <f>IF('QUICK ENTRY'!$B77="","",'QUICK ENTRY'!$R77)</f>
        <v/>
      </c>
      <c r="M77" s="44" t="str">
        <f>IF('QUICK ENTRY'!$B77="","",'QUICK ENTRY'!$O77)</f>
        <v/>
      </c>
      <c r="N77" s="44" t="str">
        <f>IF('QUICK ENTRY'!$B77="","",'QUICK ENTRY'!$AA77)</f>
        <v/>
      </c>
      <c r="O77" s="44" t="str">
        <f>IF('QUICK ENTRY'!$B77="","",'QUICK ENTRY'!$AG77)</f>
        <v/>
      </c>
      <c r="P77" s="44" t="str">
        <f>IF('QUICK ENTRY'!$B77="","",'QUICK ENTRY'!$AF77)</f>
        <v/>
      </c>
    </row>
    <row r="78" spans="1:16" ht="14.4">
      <c r="A78" s="44" t="str">
        <f>IF('QUICK ENTRY'!$B78="","",'QUICK ENTRY'!$U78)</f>
        <v/>
      </c>
      <c r="B78" s="55" t="str">
        <f>IF('QUICK ENTRY'!$B78="","",'QUICK ENTRY'!$B78)</f>
        <v/>
      </c>
      <c r="C78" s="44" t="str">
        <f>IF('QUICK ENTRY'!$B78="","",'QUICK ENTRY'!$C78)</f>
        <v/>
      </c>
      <c r="D78" s="44" t="str">
        <f>IF('QUICK ENTRY'!$B78="","",'QUICK ENTRY'!$I78)</f>
        <v/>
      </c>
      <c r="E78" s="44" t="str">
        <f>IF('QUICK ENTRY'!$B78="","",'QUICK ENTRY'!$D78)</f>
        <v/>
      </c>
      <c r="F78" s="44" t="str">
        <f>IF('QUICK ENTRY'!$B78="","",'QUICK ENTRY'!$K78)</f>
        <v/>
      </c>
      <c r="G78" s="58" t="str">
        <f>IF('QUICK ENTRY'!$B78="","",'QUICK ENTRY'!$E78)</f>
        <v/>
      </c>
      <c r="H78" s="44" t="str">
        <f>IF('QUICK ENTRY'!$B78="","",'QUICK ENTRY'!$F78)</f>
        <v/>
      </c>
      <c r="I78" s="44" t="str">
        <f>IF('QUICK ENTRY'!$B78="","",'QUICK ENTRY'!$L78)</f>
        <v/>
      </c>
      <c r="J78" s="44" t="str">
        <f>IF('QUICK ENTRY'!$B78="","",'QUICK ENTRY'!$M78)</f>
        <v/>
      </c>
      <c r="K78" s="44" t="str">
        <f>IF('QUICK ENTRY'!$B78="","",'QUICK ENTRY'!$V78)</f>
        <v/>
      </c>
      <c r="L78" s="44" t="str">
        <f>IF('QUICK ENTRY'!$B78="","",'QUICK ENTRY'!$R78)</f>
        <v/>
      </c>
      <c r="M78" s="44" t="str">
        <f>IF('QUICK ENTRY'!$B78="","",'QUICK ENTRY'!$O78)</f>
        <v/>
      </c>
      <c r="N78" s="44" t="str">
        <f>IF('QUICK ENTRY'!$B78="","",'QUICK ENTRY'!$AA78)</f>
        <v/>
      </c>
      <c r="O78" s="44" t="str">
        <f>IF('QUICK ENTRY'!$B78="","",'QUICK ENTRY'!$AG78)</f>
        <v/>
      </c>
      <c r="P78" s="44" t="str">
        <f>IF('QUICK ENTRY'!$B78="","",'QUICK ENTRY'!$AF78)</f>
        <v/>
      </c>
    </row>
    <row r="79" spans="1:16" ht="14.4">
      <c r="A79" s="44" t="str">
        <f>IF('QUICK ENTRY'!$B79="","",'QUICK ENTRY'!$U79)</f>
        <v/>
      </c>
      <c r="B79" s="55" t="str">
        <f>IF('QUICK ENTRY'!$B79="","",'QUICK ENTRY'!$B79)</f>
        <v/>
      </c>
      <c r="C79" s="44" t="str">
        <f>IF('QUICK ENTRY'!$B79="","",'QUICK ENTRY'!$C79)</f>
        <v/>
      </c>
      <c r="D79" s="44" t="str">
        <f>IF('QUICK ENTRY'!$B79="","",'QUICK ENTRY'!$I79)</f>
        <v/>
      </c>
      <c r="E79" s="44" t="str">
        <f>IF('QUICK ENTRY'!$B79="","",'QUICK ENTRY'!$D79)</f>
        <v/>
      </c>
      <c r="F79" s="44" t="str">
        <f>IF('QUICK ENTRY'!$B79="","",'QUICK ENTRY'!$K79)</f>
        <v/>
      </c>
      <c r="G79" s="58" t="str">
        <f>IF('QUICK ENTRY'!$B79="","",'QUICK ENTRY'!$E79)</f>
        <v/>
      </c>
      <c r="H79" s="44" t="str">
        <f>IF('QUICK ENTRY'!$B79="","",'QUICK ENTRY'!$F79)</f>
        <v/>
      </c>
      <c r="I79" s="44" t="str">
        <f>IF('QUICK ENTRY'!$B79="","",'QUICK ENTRY'!$L79)</f>
        <v/>
      </c>
      <c r="J79" s="44" t="str">
        <f>IF('QUICK ENTRY'!$B79="","",'QUICK ENTRY'!$M79)</f>
        <v/>
      </c>
      <c r="K79" s="44" t="str">
        <f>IF('QUICK ENTRY'!$B79="","",'QUICK ENTRY'!$V79)</f>
        <v/>
      </c>
      <c r="L79" s="44" t="str">
        <f>IF('QUICK ENTRY'!$B79="","",'QUICK ENTRY'!$R79)</f>
        <v/>
      </c>
      <c r="M79" s="44" t="str">
        <f>IF('QUICK ENTRY'!$B79="","",'QUICK ENTRY'!$O79)</f>
        <v/>
      </c>
      <c r="N79" s="44" t="str">
        <f>IF('QUICK ENTRY'!$B79="","",'QUICK ENTRY'!$AA79)</f>
        <v/>
      </c>
      <c r="O79" s="44" t="str">
        <f>IF('QUICK ENTRY'!$B79="","",'QUICK ENTRY'!$AG79)</f>
        <v/>
      </c>
      <c r="P79" s="44" t="str">
        <f>IF('QUICK ENTRY'!$B79="","",'QUICK ENTRY'!$AF79)</f>
        <v/>
      </c>
    </row>
    <row r="80" spans="1:16" ht="14.4">
      <c r="A80" s="44" t="str">
        <f>IF('QUICK ENTRY'!$B80="","",'QUICK ENTRY'!$U80)</f>
        <v/>
      </c>
      <c r="B80" s="55" t="str">
        <f>IF('QUICK ENTRY'!$B80="","",'QUICK ENTRY'!$B80)</f>
        <v/>
      </c>
      <c r="C80" s="44" t="str">
        <f>IF('QUICK ENTRY'!$B80="","",'QUICK ENTRY'!$C80)</f>
        <v/>
      </c>
      <c r="D80" s="44" t="str">
        <f>IF('QUICK ENTRY'!$B80="","",'QUICK ENTRY'!$I80)</f>
        <v/>
      </c>
      <c r="E80" s="44" t="str">
        <f>IF('QUICK ENTRY'!$B80="","",'QUICK ENTRY'!$D80)</f>
        <v/>
      </c>
      <c r="F80" s="44" t="str">
        <f>IF('QUICK ENTRY'!$B80="","",'QUICK ENTRY'!$K80)</f>
        <v/>
      </c>
      <c r="G80" s="58" t="str">
        <f>IF('QUICK ENTRY'!$B80="","",'QUICK ENTRY'!$E80)</f>
        <v/>
      </c>
      <c r="H80" s="44" t="str">
        <f>IF('QUICK ENTRY'!$B80="","",'QUICK ENTRY'!$F80)</f>
        <v/>
      </c>
      <c r="I80" s="44" t="str">
        <f>IF('QUICK ENTRY'!$B80="","",'QUICK ENTRY'!$L80)</f>
        <v/>
      </c>
      <c r="J80" s="44" t="str">
        <f>IF('QUICK ENTRY'!$B80="","",'QUICK ENTRY'!$M80)</f>
        <v/>
      </c>
      <c r="K80" s="44" t="str">
        <f>IF('QUICK ENTRY'!$B80="","",'QUICK ENTRY'!$V80)</f>
        <v/>
      </c>
      <c r="L80" s="44" t="str">
        <f>IF('QUICK ENTRY'!$B80="","",'QUICK ENTRY'!$R80)</f>
        <v/>
      </c>
      <c r="M80" s="44" t="str">
        <f>IF('QUICK ENTRY'!$B80="","",'QUICK ENTRY'!$O80)</f>
        <v/>
      </c>
      <c r="N80" s="44" t="str">
        <f>IF('QUICK ENTRY'!$B80="","",'QUICK ENTRY'!$AA80)</f>
        <v/>
      </c>
      <c r="O80" s="44" t="str">
        <f>IF('QUICK ENTRY'!$B80="","",'QUICK ENTRY'!$AG80)</f>
        <v/>
      </c>
      <c r="P80" s="44" t="str">
        <f>IF('QUICK ENTRY'!$B80="","",'QUICK ENTRY'!$AF80)</f>
        <v/>
      </c>
    </row>
    <row r="81" spans="1:16" ht="14.4">
      <c r="A81" s="44" t="str">
        <f>IF('QUICK ENTRY'!$B81="","",'QUICK ENTRY'!$U81)</f>
        <v/>
      </c>
      <c r="B81" s="55" t="str">
        <f>IF('QUICK ENTRY'!$B81="","",'QUICK ENTRY'!$B81)</f>
        <v/>
      </c>
      <c r="C81" s="44" t="str">
        <f>IF('QUICK ENTRY'!$B81="","",'QUICK ENTRY'!$C81)</f>
        <v/>
      </c>
      <c r="D81" s="44" t="str">
        <f>IF('QUICK ENTRY'!$B81="","",'QUICK ENTRY'!$I81)</f>
        <v/>
      </c>
      <c r="E81" s="44" t="str">
        <f>IF('QUICK ENTRY'!$B81="","",'QUICK ENTRY'!$D81)</f>
        <v/>
      </c>
      <c r="F81" s="44" t="str">
        <f>IF('QUICK ENTRY'!$B81="","",'QUICK ENTRY'!$K81)</f>
        <v/>
      </c>
      <c r="G81" s="58" t="str">
        <f>IF('QUICK ENTRY'!$B81="","",'QUICK ENTRY'!$E81)</f>
        <v/>
      </c>
      <c r="H81" s="44" t="str">
        <f>IF('QUICK ENTRY'!$B81="","",'QUICK ENTRY'!$F81)</f>
        <v/>
      </c>
      <c r="I81" s="44" t="str">
        <f>IF('QUICK ENTRY'!$B81="","",'QUICK ENTRY'!$L81)</f>
        <v/>
      </c>
      <c r="J81" s="44" t="str">
        <f>IF('QUICK ENTRY'!$B81="","",'QUICK ENTRY'!$M81)</f>
        <v/>
      </c>
      <c r="K81" s="44" t="str">
        <f>IF('QUICK ENTRY'!$B81="","",'QUICK ENTRY'!$V81)</f>
        <v/>
      </c>
      <c r="L81" s="44" t="str">
        <f>IF('QUICK ENTRY'!$B81="","",'QUICK ENTRY'!$R81)</f>
        <v/>
      </c>
      <c r="M81" s="44" t="str">
        <f>IF('QUICK ENTRY'!$B81="","",'QUICK ENTRY'!$O81)</f>
        <v/>
      </c>
      <c r="N81" s="44" t="str">
        <f>IF('QUICK ENTRY'!$B81="","",'QUICK ENTRY'!$AA81)</f>
        <v/>
      </c>
      <c r="O81" s="44" t="str">
        <f>IF('QUICK ENTRY'!$B81="","",'QUICK ENTRY'!$AG81)</f>
        <v/>
      </c>
      <c r="P81" s="44" t="str">
        <f>IF('QUICK ENTRY'!$B81="","",'QUICK ENTRY'!$AF81)</f>
        <v/>
      </c>
    </row>
    <row r="82" spans="1:16" ht="14.4">
      <c r="A82" s="44" t="str">
        <f>IF('QUICK ENTRY'!$B82="","",'QUICK ENTRY'!$U82)</f>
        <v/>
      </c>
      <c r="B82" s="55" t="str">
        <f>IF('QUICK ENTRY'!$B82="","",'QUICK ENTRY'!$B82)</f>
        <v/>
      </c>
      <c r="C82" s="44" t="str">
        <f>IF('QUICK ENTRY'!$B82="","",'QUICK ENTRY'!$C82)</f>
        <v/>
      </c>
      <c r="D82" s="44" t="str">
        <f>IF('QUICK ENTRY'!$B82="","",'QUICK ENTRY'!$I82)</f>
        <v/>
      </c>
      <c r="E82" s="44" t="str">
        <f>IF('QUICK ENTRY'!$B82="","",'QUICK ENTRY'!$D82)</f>
        <v/>
      </c>
      <c r="F82" s="44" t="str">
        <f>IF('QUICK ENTRY'!$B82="","",'QUICK ENTRY'!$K82)</f>
        <v/>
      </c>
      <c r="G82" s="58" t="str">
        <f>IF('QUICK ENTRY'!$B82="","",'QUICK ENTRY'!$E82)</f>
        <v/>
      </c>
      <c r="H82" s="44" t="str">
        <f>IF('QUICK ENTRY'!$B82="","",'QUICK ENTRY'!$F82)</f>
        <v/>
      </c>
      <c r="I82" s="44" t="str">
        <f>IF('QUICK ENTRY'!$B82="","",'QUICK ENTRY'!$L82)</f>
        <v/>
      </c>
      <c r="J82" s="44" t="str">
        <f>IF('QUICK ENTRY'!$B82="","",'QUICK ENTRY'!$M82)</f>
        <v/>
      </c>
      <c r="K82" s="44" t="str">
        <f>IF('QUICK ENTRY'!$B82="","",'QUICK ENTRY'!$V82)</f>
        <v/>
      </c>
      <c r="L82" s="44" t="str">
        <f>IF('QUICK ENTRY'!$B82="","",'QUICK ENTRY'!$R82)</f>
        <v/>
      </c>
      <c r="M82" s="44" t="str">
        <f>IF('QUICK ENTRY'!$B82="","",'QUICK ENTRY'!$O82)</f>
        <v/>
      </c>
      <c r="N82" s="44" t="str">
        <f>IF('QUICK ENTRY'!$B82="","",'QUICK ENTRY'!$AA82)</f>
        <v/>
      </c>
      <c r="O82" s="44" t="str">
        <f>IF('QUICK ENTRY'!$B82="","",'QUICK ENTRY'!$AG82)</f>
        <v/>
      </c>
      <c r="P82" s="44" t="str">
        <f>IF('QUICK ENTRY'!$B82="","",'QUICK ENTRY'!$AF82)</f>
        <v/>
      </c>
    </row>
    <row r="83" spans="1:16" ht="14.4">
      <c r="A83" s="44" t="str">
        <f>IF('QUICK ENTRY'!$B83="","",'QUICK ENTRY'!$U83)</f>
        <v/>
      </c>
      <c r="B83" s="55" t="str">
        <f>IF('QUICK ENTRY'!$B83="","",'QUICK ENTRY'!$B83)</f>
        <v/>
      </c>
      <c r="C83" s="44" t="str">
        <f>IF('QUICK ENTRY'!$B83="","",'QUICK ENTRY'!$C83)</f>
        <v/>
      </c>
      <c r="D83" s="44" t="str">
        <f>IF('QUICK ENTRY'!$B83="","",'QUICK ENTRY'!$I83)</f>
        <v/>
      </c>
      <c r="E83" s="44" t="str">
        <f>IF('QUICK ENTRY'!$B83="","",'QUICK ENTRY'!$D83)</f>
        <v/>
      </c>
      <c r="F83" s="44" t="str">
        <f>IF('QUICK ENTRY'!$B83="","",'QUICK ENTRY'!$K83)</f>
        <v/>
      </c>
      <c r="G83" s="58" t="str">
        <f>IF('QUICK ENTRY'!$B83="","",'QUICK ENTRY'!$E83)</f>
        <v/>
      </c>
      <c r="H83" s="44" t="str">
        <f>IF('QUICK ENTRY'!$B83="","",'QUICK ENTRY'!$F83)</f>
        <v/>
      </c>
      <c r="I83" s="44" t="str">
        <f>IF('QUICK ENTRY'!$B83="","",'QUICK ENTRY'!$L83)</f>
        <v/>
      </c>
      <c r="J83" s="44" t="str">
        <f>IF('QUICK ENTRY'!$B83="","",'QUICK ENTRY'!$M83)</f>
        <v/>
      </c>
      <c r="K83" s="44" t="str">
        <f>IF('QUICK ENTRY'!$B83="","",'QUICK ENTRY'!$V83)</f>
        <v/>
      </c>
      <c r="L83" s="44" t="str">
        <f>IF('QUICK ENTRY'!$B83="","",'QUICK ENTRY'!$R83)</f>
        <v/>
      </c>
      <c r="M83" s="44" t="str">
        <f>IF('QUICK ENTRY'!$B83="","",'QUICK ENTRY'!$O83)</f>
        <v/>
      </c>
      <c r="N83" s="44" t="str">
        <f>IF('QUICK ENTRY'!$B83="","",'QUICK ENTRY'!$AA83)</f>
        <v/>
      </c>
      <c r="O83" s="44" t="str">
        <f>IF('QUICK ENTRY'!$B83="","",'QUICK ENTRY'!$AG83)</f>
        <v/>
      </c>
      <c r="P83" s="44" t="str">
        <f>IF('QUICK ENTRY'!$B83="","",'QUICK ENTRY'!$AF83)</f>
        <v/>
      </c>
    </row>
    <row r="84" spans="1:16" ht="14.4">
      <c r="A84" s="44" t="str">
        <f>IF('QUICK ENTRY'!$B84="","",'QUICK ENTRY'!$U84)</f>
        <v/>
      </c>
      <c r="B84" s="55" t="str">
        <f>IF('QUICK ENTRY'!$B84="","",'QUICK ENTRY'!$B84)</f>
        <v/>
      </c>
      <c r="C84" s="44" t="str">
        <f>IF('QUICK ENTRY'!$B84="","",'QUICK ENTRY'!$C84)</f>
        <v/>
      </c>
      <c r="D84" s="44" t="str">
        <f>IF('QUICK ENTRY'!$B84="","",'QUICK ENTRY'!$I84)</f>
        <v/>
      </c>
      <c r="E84" s="44" t="str">
        <f>IF('QUICK ENTRY'!$B84="","",'QUICK ENTRY'!$D84)</f>
        <v/>
      </c>
      <c r="F84" s="44" t="str">
        <f>IF('QUICK ENTRY'!$B84="","",'QUICK ENTRY'!$K84)</f>
        <v/>
      </c>
      <c r="G84" s="58" t="str">
        <f>IF('QUICK ENTRY'!$B84="","",'QUICK ENTRY'!$E84)</f>
        <v/>
      </c>
      <c r="H84" s="44" t="str">
        <f>IF('QUICK ENTRY'!$B84="","",'QUICK ENTRY'!$F84)</f>
        <v/>
      </c>
      <c r="I84" s="44" t="str">
        <f>IF('QUICK ENTRY'!$B84="","",'QUICK ENTRY'!$L84)</f>
        <v/>
      </c>
      <c r="J84" s="44" t="str">
        <f>IF('QUICK ENTRY'!$B84="","",'QUICK ENTRY'!$M84)</f>
        <v/>
      </c>
      <c r="K84" s="44" t="str">
        <f>IF('QUICK ENTRY'!$B84="","",'QUICK ENTRY'!$V84)</f>
        <v/>
      </c>
      <c r="L84" s="44" t="str">
        <f>IF('QUICK ENTRY'!$B84="","",'QUICK ENTRY'!$R84)</f>
        <v/>
      </c>
      <c r="M84" s="44" t="str">
        <f>IF('QUICK ENTRY'!$B84="","",'QUICK ENTRY'!$O84)</f>
        <v/>
      </c>
      <c r="N84" s="44" t="str">
        <f>IF('QUICK ENTRY'!$B84="","",'QUICK ENTRY'!$AA84)</f>
        <v/>
      </c>
      <c r="O84" s="44" t="str">
        <f>IF('QUICK ENTRY'!$B84="","",'QUICK ENTRY'!$AG84)</f>
        <v/>
      </c>
      <c r="P84" s="44" t="str">
        <f>IF('QUICK ENTRY'!$B84="","",'QUICK ENTRY'!$AF84)</f>
        <v/>
      </c>
    </row>
    <row r="85" spans="1:16" ht="14.4">
      <c r="A85" s="44" t="str">
        <f>IF('QUICK ENTRY'!$B85="","",'QUICK ENTRY'!$U85)</f>
        <v/>
      </c>
      <c r="B85" s="55" t="str">
        <f>IF('QUICK ENTRY'!$B85="","",'QUICK ENTRY'!$B85)</f>
        <v/>
      </c>
      <c r="C85" s="44" t="str">
        <f>IF('QUICK ENTRY'!$B85="","",'QUICK ENTRY'!$C85)</f>
        <v/>
      </c>
      <c r="D85" s="44" t="str">
        <f>IF('QUICK ENTRY'!$B85="","",'QUICK ENTRY'!$I85)</f>
        <v/>
      </c>
      <c r="E85" s="44" t="str">
        <f>IF('QUICK ENTRY'!$B85="","",'QUICK ENTRY'!$D85)</f>
        <v/>
      </c>
      <c r="F85" s="44" t="str">
        <f>IF('QUICK ENTRY'!$B85="","",'QUICK ENTRY'!$K85)</f>
        <v/>
      </c>
      <c r="G85" s="58" t="str">
        <f>IF('QUICK ENTRY'!$B85="","",'QUICK ENTRY'!$E85)</f>
        <v/>
      </c>
      <c r="H85" s="44" t="str">
        <f>IF('QUICK ENTRY'!$B85="","",'QUICK ENTRY'!$F85)</f>
        <v/>
      </c>
      <c r="I85" s="44" t="str">
        <f>IF('QUICK ENTRY'!$B85="","",'QUICK ENTRY'!$L85)</f>
        <v/>
      </c>
      <c r="J85" s="44" t="str">
        <f>IF('QUICK ENTRY'!$B85="","",'QUICK ENTRY'!$M85)</f>
        <v/>
      </c>
      <c r="K85" s="44" t="str">
        <f>IF('QUICK ENTRY'!$B85="","",'QUICK ENTRY'!$V85)</f>
        <v/>
      </c>
      <c r="L85" s="44" t="str">
        <f>IF('QUICK ENTRY'!$B85="","",'QUICK ENTRY'!$R85)</f>
        <v/>
      </c>
      <c r="M85" s="44" t="str">
        <f>IF('QUICK ENTRY'!$B85="","",'QUICK ENTRY'!$O85)</f>
        <v/>
      </c>
      <c r="N85" s="44" t="str">
        <f>IF('QUICK ENTRY'!$B85="","",'QUICK ENTRY'!$AA85)</f>
        <v/>
      </c>
      <c r="O85" s="44" t="str">
        <f>IF('QUICK ENTRY'!$B85="","",'QUICK ENTRY'!$AG85)</f>
        <v/>
      </c>
      <c r="P85" s="44" t="str">
        <f>IF('QUICK ENTRY'!$B85="","",'QUICK ENTRY'!$AF85)</f>
        <v/>
      </c>
    </row>
    <row r="86" spans="1:16" ht="14.4">
      <c r="A86" s="44" t="str">
        <f>IF('QUICK ENTRY'!$B86="","",'QUICK ENTRY'!$U86)</f>
        <v/>
      </c>
      <c r="B86" s="55" t="str">
        <f>IF('QUICK ENTRY'!$B86="","",'QUICK ENTRY'!$B86)</f>
        <v/>
      </c>
      <c r="C86" s="44" t="str">
        <f>IF('QUICK ENTRY'!$B86="","",'QUICK ENTRY'!$C86)</f>
        <v/>
      </c>
      <c r="D86" s="44" t="str">
        <f>IF('QUICK ENTRY'!$B86="","",'QUICK ENTRY'!$I86)</f>
        <v/>
      </c>
      <c r="E86" s="44" t="str">
        <f>IF('QUICK ENTRY'!$B86="","",'QUICK ENTRY'!$D86)</f>
        <v/>
      </c>
      <c r="F86" s="44" t="str">
        <f>IF('QUICK ENTRY'!$B86="","",'QUICK ENTRY'!$K86)</f>
        <v/>
      </c>
      <c r="G86" s="58" t="str">
        <f>IF('QUICK ENTRY'!$B86="","",'QUICK ENTRY'!$E86)</f>
        <v/>
      </c>
      <c r="H86" s="44" t="str">
        <f>IF('QUICK ENTRY'!$B86="","",'QUICK ENTRY'!$F86)</f>
        <v/>
      </c>
      <c r="I86" s="44" t="str">
        <f>IF('QUICK ENTRY'!$B86="","",'QUICK ENTRY'!$L86)</f>
        <v/>
      </c>
      <c r="J86" s="44" t="str">
        <f>IF('QUICK ENTRY'!$B86="","",'QUICK ENTRY'!$M86)</f>
        <v/>
      </c>
      <c r="K86" s="44" t="str">
        <f>IF('QUICK ENTRY'!$B86="","",'QUICK ENTRY'!$V86)</f>
        <v/>
      </c>
      <c r="L86" s="44" t="str">
        <f>IF('QUICK ENTRY'!$B86="","",'QUICK ENTRY'!$R86)</f>
        <v/>
      </c>
      <c r="M86" s="44" t="str">
        <f>IF('QUICK ENTRY'!$B86="","",'QUICK ENTRY'!$O86)</f>
        <v/>
      </c>
      <c r="N86" s="44" t="str">
        <f>IF('QUICK ENTRY'!$B86="","",'QUICK ENTRY'!$AA86)</f>
        <v/>
      </c>
      <c r="O86" s="44" t="str">
        <f>IF('QUICK ENTRY'!$B86="","",'QUICK ENTRY'!$AG86)</f>
        <v/>
      </c>
      <c r="P86" s="44" t="str">
        <f>IF('QUICK ENTRY'!$B86="","",'QUICK ENTRY'!$AF86)</f>
        <v/>
      </c>
    </row>
    <row r="87" spans="1:16" ht="14.4">
      <c r="A87" s="44" t="str">
        <f>IF('QUICK ENTRY'!$B87="","",'QUICK ENTRY'!$U87)</f>
        <v/>
      </c>
      <c r="B87" s="55" t="str">
        <f>IF('QUICK ENTRY'!$B87="","",'QUICK ENTRY'!$B87)</f>
        <v/>
      </c>
      <c r="C87" s="44" t="str">
        <f>IF('QUICK ENTRY'!$B87="","",'QUICK ENTRY'!$C87)</f>
        <v/>
      </c>
      <c r="D87" s="44" t="str">
        <f>IF('QUICK ENTRY'!$B87="","",'QUICK ENTRY'!$I87)</f>
        <v/>
      </c>
      <c r="E87" s="44" t="str">
        <f>IF('QUICK ENTRY'!$B87="","",'QUICK ENTRY'!$D87)</f>
        <v/>
      </c>
      <c r="F87" s="44" t="str">
        <f>IF('QUICK ENTRY'!$B87="","",'QUICK ENTRY'!$K87)</f>
        <v/>
      </c>
      <c r="G87" s="58" t="str">
        <f>IF('QUICK ENTRY'!$B87="","",'QUICK ENTRY'!$E87)</f>
        <v/>
      </c>
      <c r="H87" s="44" t="str">
        <f>IF('QUICK ENTRY'!$B87="","",'QUICK ENTRY'!$F87)</f>
        <v/>
      </c>
      <c r="I87" s="44" t="str">
        <f>IF('QUICK ENTRY'!$B87="","",'QUICK ENTRY'!$L87)</f>
        <v/>
      </c>
      <c r="J87" s="44" t="str">
        <f>IF('QUICK ENTRY'!$B87="","",'QUICK ENTRY'!$M87)</f>
        <v/>
      </c>
      <c r="K87" s="44" t="str">
        <f>IF('QUICK ENTRY'!$B87="","",'QUICK ENTRY'!$V87)</f>
        <v/>
      </c>
      <c r="L87" s="44" t="str">
        <f>IF('QUICK ENTRY'!$B87="","",'QUICK ENTRY'!$R87)</f>
        <v/>
      </c>
      <c r="M87" s="44" t="str">
        <f>IF('QUICK ENTRY'!$B87="","",'QUICK ENTRY'!$O87)</f>
        <v/>
      </c>
      <c r="N87" s="44" t="str">
        <f>IF('QUICK ENTRY'!$B87="","",'QUICK ENTRY'!$AA87)</f>
        <v/>
      </c>
      <c r="O87" s="44" t="str">
        <f>IF('QUICK ENTRY'!$B87="","",'QUICK ENTRY'!$AG87)</f>
        <v/>
      </c>
      <c r="P87" s="44" t="str">
        <f>IF('QUICK ENTRY'!$B87="","",'QUICK ENTRY'!$AF87)</f>
        <v/>
      </c>
    </row>
    <row r="88" spans="1:16" ht="14.4">
      <c r="A88" s="44" t="str">
        <f>IF('QUICK ENTRY'!$B88="","",'QUICK ENTRY'!$U88)</f>
        <v/>
      </c>
      <c r="B88" s="55" t="str">
        <f>IF('QUICK ENTRY'!$B88="","",'QUICK ENTRY'!$B88)</f>
        <v/>
      </c>
      <c r="C88" s="44" t="str">
        <f>IF('QUICK ENTRY'!$B88="","",'QUICK ENTRY'!$C88)</f>
        <v/>
      </c>
      <c r="D88" s="44" t="str">
        <f>IF('QUICK ENTRY'!$B88="","",'QUICK ENTRY'!$I88)</f>
        <v/>
      </c>
      <c r="E88" s="44" t="str">
        <f>IF('QUICK ENTRY'!$B88="","",'QUICK ENTRY'!$D88)</f>
        <v/>
      </c>
      <c r="F88" s="44" t="str">
        <f>IF('QUICK ENTRY'!$B88="","",'QUICK ENTRY'!$K88)</f>
        <v/>
      </c>
      <c r="G88" s="58" t="str">
        <f>IF('QUICK ENTRY'!$B88="","",'QUICK ENTRY'!$E88)</f>
        <v/>
      </c>
      <c r="H88" s="44" t="str">
        <f>IF('QUICK ENTRY'!$B88="","",'QUICK ENTRY'!$F88)</f>
        <v/>
      </c>
      <c r="I88" s="44" t="str">
        <f>IF('QUICK ENTRY'!$B88="","",'QUICK ENTRY'!$L88)</f>
        <v/>
      </c>
      <c r="J88" s="44" t="str">
        <f>IF('QUICK ENTRY'!$B88="","",'QUICK ENTRY'!$M88)</f>
        <v/>
      </c>
      <c r="K88" s="44" t="str">
        <f>IF('QUICK ENTRY'!$B88="","",'QUICK ENTRY'!$V88)</f>
        <v/>
      </c>
      <c r="L88" s="44" t="str">
        <f>IF('QUICK ENTRY'!$B88="","",'QUICK ENTRY'!$R88)</f>
        <v/>
      </c>
      <c r="M88" s="44" t="str">
        <f>IF('QUICK ENTRY'!$B88="","",'QUICK ENTRY'!$O88)</f>
        <v/>
      </c>
      <c r="N88" s="44" t="str">
        <f>IF('QUICK ENTRY'!$B88="","",'QUICK ENTRY'!$AA88)</f>
        <v/>
      </c>
      <c r="O88" s="44" t="str">
        <f>IF('QUICK ENTRY'!$B88="","",'QUICK ENTRY'!$AG88)</f>
        <v/>
      </c>
      <c r="P88" s="44" t="str">
        <f>IF('QUICK ENTRY'!$B88="","",'QUICK ENTRY'!$AF88)</f>
        <v/>
      </c>
    </row>
    <row r="89" spans="1:16" ht="14.4">
      <c r="A89" s="44" t="str">
        <f>IF('QUICK ENTRY'!$B89="","",'QUICK ENTRY'!$U89)</f>
        <v/>
      </c>
      <c r="B89" s="55" t="str">
        <f>IF('QUICK ENTRY'!$B89="","",'QUICK ENTRY'!$B89)</f>
        <v/>
      </c>
      <c r="C89" s="44" t="str">
        <f>IF('QUICK ENTRY'!$B89="","",'QUICK ENTRY'!$C89)</f>
        <v/>
      </c>
      <c r="D89" s="44" t="str">
        <f>IF('QUICK ENTRY'!$B89="","",'QUICK ENTRY'!$I89)</f>
        <v/>
      </c>
      <c r="E89" s="44" t="str">
        <f>IF('QUICK ENTRY'!$B89="","",'QUICK ENTRY'!$D89)</f>
        <v/>
      </c>
      <c r="F89" s="44" t="str">
        <f>IF('QUICK ENTRY'!$B89="","",'QUICK ENTRY'!$K89)</f>
        <v/>
      </c>
      <c r="G89" s="58" t="str">
        <f>IF('QUICK ENTRY'!$B89="","",'QUICK ENTRY'!$E89)</f>
        <v/>
      </c>
      <c r="H89" s="44" t="str">
        <f>IF('QUICK ENTRY'!$B89="","",'QUICK ENTRY'!$F89)</f>
        <v/>
      </c>
      <c r="I89" s="44" t="str">
        <f>IF('QUICK ENTRY'!$B89="","",'QUICK ENTRY'!$L89)</f>
        <v/>
      </c>
      <c r="J89" s="44" t="str">
        <f>IF('QUICK ENTRY'!$B89="","",'QUICK ENTRY'!$M89)</f>
        <v/>
      </c>
      <c r="K89" s="44" t="str">
        <f>IF('QUICK ENTRY'!$B89="","",'QUICK ENTRY'!$V89)</f>
        <v/>
      </c>
      <c r="L89" s="44" t="str">
        <f>IF('QUICK ENTRY'!$B89="","",'QUICK ENTRY'!$R89)</f>
        <v/>
      </c>
      <c r="M89" s="44" t="str">
        <f>IF('QUICK ENTRY'!$B89="","",'QUICK ENTRY'!$O89)</f>
        <v/>
      </c>
      <c r="N89" s="44" t="str">
        <f>IF('QUICK ENTRY'!$B89="","",'QUICK ENTRY'!$AA89)</f>
        <v/>
      </c>
      <c r="O89" s="44" t="str">
        <f>IF('QUICK ENTRY'!$B89="","",'QUICK ENTRY'!$AG89)</f>
        <v/>
      </c>
      <c r="P89" s="44" t="str">
        <f>IF('QUICK ENTRY'!$B89="","",'QUICK ENTRY'!$AF89)</f>
        <v/>
      </c>
    </row>
    <row r="90" spans="1:16" ht="14.4">
      <c r="A90" s="44" t="str">
        <f>IF('QUICK ENTRY'!$B90="","",'QUICK ENTRY'!$U90)</f>
        <v/>
      </c>
      <c r="B90" s="55" t="str">
        <f>IF('QUICK ENTRY'!$B90="","",'QUICK ENTRY'!$B90)</f>
        <v/>
      </c>
      <c r="C90" s="44" t="str">
        <f>IF('QUICK ENTRY'!$B90="","",'QUICK ENTRY'!$C90)</f>
        <v/>
      </c>
      <c r="D90" s="44" t="str">
        <f>IF('QUICK ENTRY'!$B90="","",'QUICK ENTRY'!$I90)</f>
        <v/>
      </c>
      <c r="E90" s="44" t="str">
        <f>IF('QUICK ENTRY'!$B90="","",'QUICK ENTRY'!$D90)</f>
        <v/>
      </c>
      <c r="F90" s="44" t="str">
        <f>IF('QUICK ENTRY'!$B90="","",'QUICK ENTRY'!$K90)</f>
        <v/>
      </c>
      <c r="G90" s="58" t="str">
        <f>IF('QUICK ENTRY'!$B90="","",'QUICK ENTRY'!$E90)</f>
        <v/>
      </c>
      <c r="H90" s="44" t="str">
        <f>IF('QUICK ENTRY'!$B90="","",'QUICK ENTRY'!$F90)</f>
        <v/>
      </c>
      <c r="I90" s="44" t="str">
        <f>IF('QUICK ENTRY'!$B90="","",'QUICK ENTRY'!$L90)</f>
        <v/>
      </c>
      <c r="J90" s="44" t="str">
        <f>IF('QUICK ENTRY'!$B90="","",'QUICK ENTRY'!$M90)</f>
        <v/>
      </c>
      <c r="K90" s="44" t="str">
        <f>IF('QUICK ENTRY'!$B90="","",'QUICK ENTRY'!$V90)</f>
        <v/>
      </c>
      <c r="L90" s="44" t="str">
        <f>IF('QUICK ENTRY'!$B90="","",'QUICK ENTRY'!$R90)</f>
        <v/>
      </c>
      <c r="M90" s="44" t="str">
        <f>IF('QUICK ENTRY'!$B90="","",'QUICK ENTRY'!$O90)</f>
        <v/>
      </c>
      <c r="N90" s="44" t="str">
        <f>IF('QUICK ENTRY'!$B90="","",'QUICK ENTRY'!$AA90)</f>
        <v/>
      </c>
      <c r="O90" s="44" t="str">
        <f>IF('QUICK ENTRY'!$B90="","",'QUICK ENTRY'!$AG90)</f>
        <v/>
      </c>
      <c r="P90" s="44" t="str">
        <f>IF('QUICK ENTRY'!$B90="","",'QUICK ENTRY'!$AF90)</f>
        <v/>
      </c>
    </row>
    <row r="91" spans="1:16" ht="14.4">
      <c r="A91" s="44" t="str">
        <f>IF('QUICK ENTRY'!$B91="","",'QUICK ENTRY'!$U91)</f>
        <v/>
      </c>
      <c r="B91" s="55" t="str">
        <f>IF('QUICK ENTRY'!$B91="","",'QUICK ENTRY'!$B91)</f>
        <v/>
      </c>
      <c r="C91" s="44" t="str">
        <f>IF('QUICK ENTRY'!$B91="","",'QUICK ENTRY'!$C91)</f>
        <v/>
      </c>
      <c r="D91" s="44" t="str">
        <f>IF('QUICK ENTRY'!$B91="","",'QUICK ENTRY'!$I91)</f>
        <v/>
      </c>
      <c r="E91" s="44" t="str">
        <f>IF('QUICK ENTRY'!$B91="","",'QUICK ENTRY'!$D91)</f>
        <v/>
      </c>
      <c r="F91" s="44" t="str">
        <f>IF('QUICK ENTRY'!$B91="","",'QUICK ENTRY'!$K91)</f>
        <v/>
      </c>
      <c r="G91" s="58" t="str">
        <f>IF('QUICK ENTRY'!$B91="","",'QUICK ENTRY'!$E91)</f>
        <v/>
      </c>
      <c r="H91" s="44" t="str">
        <f>IF('QUICK ENTRY'!$B91="","",'QUICK ENTRY'!$F91)</f>
        <v/>
      </c>
      <c r="I91" s="44" t="str">
        <f>IF('QUICK ENTRY'!$B91="","",'QUICK ENTRY'!$L91)</f>
        <v/>
      </c>
      <c r="J91" s="44" t="str">
        <f>IF('QUICK ENTRY'!$B91="","",'QUICK ENTRY'!$M91)</f>
        <v/>
      </c>
      <c r="K91" s="44" t="str">
        <f>IF('QUICK ENTRY'!$B91="","",'QUICK ENTRY'!$V91)</f>
        <v/>
      </c>
      <c r="L91" s="44" t="str">
        <f>IF('QUICK ENTRY'!$B91="","",'QUICK ENTRY'!$R91)</f>
        <v/>
      </c>
      <c r="M91" s="44" t="str">
        <f>IF('QUICK ENTRY'!$B91="","",'QUICK ENTRY'!$O91)</f>
        <v/>
      </c>
      <c r="N91" s="44" t="str">
        <f>IF('QUICK ENTRY'!$B91="","",'QUICK ENTRY'!$AA91)</f>
        <v/>
      </c>
      <c r="O91" s="44" t="str">
        <f>IF('QUICK ENTRY'!$B91="","",'QUICK ENTRY'!$AG91)</f>
        <v/>
      </c>
      <c r="P91" s="44" t="str">
        <f>IF('QUICK ENTRY'!$B91="","",'QUICK ENTRY'!$AF91)</f>
        <v/>
      </c>
    </row>
    <row r="92" spans="1:16" ht="14.4">
      <c r="A92" s="44" t="str">
        <f>IF('QUICK ENTRY'!$B92="","",'QUICK ENTRY'!$U92)</f>
        <v/>
      </c>
      <c r="B92" s="55" t="str">
        <f>IF('QUICK ENTRY'!$B92="","",'QUICK ENTRY'!$B92)</f>
        <v/>
      </c>
      <c r="C92" s="44" t="str">
        <f>IF('QUICK ENTRY'!$B92="","",'QUICK ENTRY'!$C92)</f>
        <v/>
      </c>
      <c r="D92" s="44" t="str">
        <f>IF('QUICK ENTRY'!$B92="","",'QUICK ENTRY'!$I92)</f>
        <v/>
      </c>
      <c r="E92" s="44" t="str">
        <f>IF('QUICK ENTRY'!$B92="","",'QUICK ENTRY'!$D92)</f>
        <v/>
      </c>
      <c r="F92" s="44" t="str">
        <f>IF('QUICK ENTRY'!$B92="","",'QUICK ENTRY'!$K92)</f>
        <v/>
      </c>
      <c r="G92" s="58" t="str">
        <f>IF('QUICK ENTRY'!$B92="","",'QUICK ENTRY'!$E92)</f>
        <v/>
      </c>
      <c r="H92" s="44" t="str">
        <f>IF('QUICK ENTRY'!$B92="","",'QUICK ENTRY'!$F92)</f>
        <v/>
      </c>
      <c r="I92" s="44" t="str">
        <f>IF('QUICK ENTRY'!$B92="","",'QUICK ENTRY'!$L92)</f>
        <v/>
      </c>
      <c r="J92" s="44" t="str">
        <f>IF('QUICK ENTRY'!$B92="","",'QUICK ENTRY'!$M92)</f>
        <v/>
      </c>
      <c r="K92" s="44" t="str">
        <f>IF('QUICK ENTRY'!$B92="","",'QUICK ENTRY'!$V92)</f>
        <v/>
      </c>
      <c r="L92" s="44" t="str">
        <f>IF('QUICK ENTRY'!$B92="","",'QUICK ENTRY'!$R92)</f>
        <v/>
      </c>
      <c r="M92" s="44" t="str">
        <f>IF('QUICK ENTRY'!$B92="","",'QUICK ENTRY'!$O92)</f>
        <v/>
      </c>
      <c r="N92" s="44" t="str">
        <f>IF('QUICK ENTRY'!$B92="","",'QUICK ENTRY'!$AA92)</f>
        <v/>
      </c>
      <c r="O92" s="44" t="str">
        <f>IF('QUICK ENTRY'!$B92="","",'QUICK ENTRY'!$AG92)</f>
        <v/>
      </c>
      <c r="P92" s="44" t="str">
        <f>IF('QUICK ENTRY'!$B92="","",'QUICK ENTRY'!$AF92)</f>
        <v/>
      </c>
    </row>
    <row r="93" spans="1:16" ht="14.4">
      <c r="A93" s="44" t="str">
        <f>IF('QUICK ENTRY'!$B93="","",'QUICK ENTRY'!$U93)</f>
        <v/>
      </c>
      <c r="B93" s="55" t="str">
        <f>IF('QUICK ENTRY'!$B93="","",'QUICK ENTRY'!$B93)</f>
        <v/>
      </c>
      <c r="C93" s="44" t="str">
        <f>IF('QUICK ENTRY'!$B93="","",'QUICK ENTRY'!$C93)</f>
        <v/>
      </c>
      <c r="D93" s="44" t="str">
        <f>IF('QUICK ENTRY'!$B93="","",'QUICK ENTRY'!$I93)</f>
        <v/>
      </c>
      <c r="E93" s="44" t="str">
        <f>IF('QUICK ENTRY'!$B93="","",'QUICK ENTRY'!$D93)</f>
        <v/>
      </c>
      <c r="F93" s="44" t="str">
        <f>IF('QUICK ENTRY'!$B93="","",'QUICK ENTRY'!$K93)</f>
        <v/>
      </c>
      <c r="G93" s="58" t="str">
        <f>IF('QUICK ENTRY'!$B93="","",'QUICK ENTRY'!$E93)</f>
        <v/>
      </c>
      <c r="H93" s="44" t="str">
        <f>IF('QUICK ENTRY'!$B93="","",'QUICK ENTRY'!$F93)</f>
        <v/>
      </c>
      <c r="I93" s="44" t="str">
        <f>IF('QUICK ENTRY'!$B93="","",'QUICK ENTRY'!$L93)</f>
        <v/>
      </c>
      <c r="J93" s="44" t="str">
        <f>IF('QUICK ENTRY'!$B93="","",'QUICK ENTRY'!$M93)</f>
        <v/>
      </c>
      <c r="K93" s="44" t="str">
        <f>IF('QUICK ENTRY'!$B93="","",'QUICK ENTRY'!$V93)</f>
        <v/>
      </c>
      <c r="L93" s="44" t="str">
        <f>IF('QUICK ENTRY'!$B93="","",'QUICK ENTRY'!$R93)</f>
        <v/>
      </c>
      <c r="M93" s="44" t="str">
        <f>IF('QUICK ENTRY'!$B93="","",'QUICK ENTRY'!$O93)</f>
        <v/>
      </c>
      <c r="N93" s="44" t="str">
        <f>IF('QUICK ENTRY'!$B93="","",'QUICK ENTRY'!$AA93)</f>
        <v/>
      </c>
      <c r="O93" s="44" t="str">
        <f>IF('QUICK ENTRY'!$B93="","",'QUICK ENTRY'!$AG93)</f>
        <v/>
      </c>
      <c r="P93" s="44" t="str">
        <f>IF('QUICK ENTRY'!$B93="","",'QUICK ENTRY'!$AF93)</f>
        <v/>
      </c>
    </row>
    <row r="94" spans="1:16" ht="14.4">
      <c r="A94" s="44" t="str">
        <f>IF('QUICK ENTRY'!$B94="","",'QUICK ENTRY'!$U94)</f>
        <v/>
      </c>
      <c r="B94" s="55" t="str">
        <f>IF('QUICK ENTRY'!$B94="","",'QUICK ENTRY'!$B94)</f>
        <v/>
      </c>
      <c r="C94" s="44" t="str">
        <f>IF('QUICK ENTRY'!$B94="","",'QUICK ENTRY'!$C94)</f>
        <v/>
      </c>
      <c r="D94" s="44" t="str">
        <f>IF('QUICK ENTRY'!$B94="","",'QUICK ENTRY'!$I94)</f>
        <v/>
      </c>
      <c r="E94" s="44" t="str">
        <f>IF('QUICK ENTRY'!$B94="","",'QUICK ENTRY'!$D94)</f>
        <v/>
      </c>
      <c r="F94" s="44" t="str">
        <f>IF('QUICK ENTRY'!$B94="","",'QUICK ENTRY'!$K94)</f>
        <v/>
      </c>
      <c r="G94" s="58" t="str">
        <f>IF('QUICK ENTRY'!$B94="","",'QUICK ENTRY'!$E94)</f>
        <v/>
      </c>
      <c r="H94" s="44" t="str">
        <f>IF('QUICK ENTRY'!$B94="","",'QUICK ENTRY'!$F94)</f>
        <v/>
      </c>
      <c r="I94" s="44" t="str">
        <f>IF('QUICK ENTRY'!$B94="","",'QUICK ENTRY'!$L94)</f>
        <v/>
      </c>
      <c r="J94" s="44" t="str">
        <f>IF('QUICK ENTRY'!$B94="","",'QUICK ENTRY'!$M94)</f>
        <v/>
      </c>
      <c r="K94" s="44" t="str">
        <f>IF('QUICK ENTRY'!$B94="","",'QUICK ENTRY'!$V94)</f>
        <v/>
      </c>
      <c r="L94" s="44" t="str">
        <f>IF('QUICK ENTRY'!$B94="","",'QUICK ENTRY'!$R94)</f>
        <v/>
      </c>
      <c r="M94" s="44" t="str">
        <f>IF('QUICK ENTRY'!$B94="","",'QUICK ENTRY'!$O94)</f>
        <v/>
      </c>
      <c r="N94" s="44" t="str">
        <f>IF('QUICK ENTRY'!$B94="","",'QUICK ENTRY'!$AA94)</f>
        <v/>
      </c>
      <c r="O94" s="44" t="str">
        <f>IF('QUICK ENTRY'!$B94="","",'QUICK ENTRY'!$AG94)</f>
        <v/>
      </c>
      <c r="P94" s="44" t="str">
        <f>IF('QUICK ENTRY'!$B94="","",'QUICK ENTRY'!$AF94)</f>
        <v/>
      </c>
    </row>
    <row r="95" spans="1:16" ht="14.4">
      <c r="A95" s="44" t="str">
        <f>IF('QUICK ENTRY'!$B95="","",'QUICK ENTRY'!$U95)</f>
        <v/>
      </c>
      <c r="B95" s="55" t="str">
        <f>IF('QUICK ENTRY'!$B95="","",'QUICK ENTRY'!$B95)</f>
        <v/>
      </c>
      <c r="C95" s="44" t="str">
        <f>IF('QUICK ENTRY'!$B95="","",'QUICK ENTRY'!$C95)</f>
        <v/>
      </c>
      <c r="D95" s="44" t="str">
        <f>IF('QUICK ENTRY'!$B95="","",'QUICK ENTRY'!$I95)</f>
        <v/>
      </c>
      <c r="E95" s="44" t="str">
        <f>IF('QUICK ENTRY'!$B95="","",'QUICK ENTRY'!$D95)</f>
        <v/>
      </c>
      <c r="F95" s="44" t="str">
        <f>IF('QUICK ENTRY'!$B95="","",'QUICK ENTRY'!$K95)</f>
        <v/>
      </c>
      <c r="G95" s="58" t="str">
        <f>IF('QUICK ENTRY'!$B95="","",'QUICK ENTRY'!$E95)</f>
        <v/>
      </c>
      <c r="H95" s="44" t="str">
        <f>IF('QUICK ENTRY'!$B95="","",'QUICK ENTRY'!$F95)</f>
        <v/>
      </c>
      <c r="I95" s="44" t="str">
        <f>IF('QUICK ENTRY'!$B95="","",'QUICK ENTRY'!$L95)</f>
        <v/>
      </c>
      <c r="J95" s="44" t="str">
        <f>IF('QUICK ENTRY'!$B95="","",'QUICK ENTRY'!$M95)</f>
        <v/>
      </c>
      <c r="K95" s="44" t="str">
        <f>IF('QUICK ENTRY'!$B95="","",'QUICK ENTRY'!$V95)</f>
        <v/>
      </c>
      <c r="L95" s="44" t="str">
        <f>IF('QUICK ENTRY'!$B95="","",'QUICK ENTRY'!$R95)</f>
        <v/>
      </c>
      <c r="M95" s="44" t="str">
        <f>IF('QUICK ENTRY'!$B95="","",'QUICK ENTRY'!$O95)</f>
        <v/>
      </c>
      <c r="N95" s="44" t="str">
        <f>IF('QUICK ENTRY'!$B95="","",'QUICK ENTRY'!$AA95)</f>
        <v/>
      </c>
      <c r="O95" s="44" t="str">
        <f>IF('QUICK ENTRY'!$B95="","",'QUICK ENTRY'!$AG95)</f>
        <v/>
      </c>
      <c r="P95" s="44" t="str">
        <f>IF('QUICK ENTRY'!$B95="","",'QUICK ENTRY'!$AF95)</f>
        <v/>
      </c>
    </row>
    <row r="96" spans="1:16" ht="14.4">
      <c r="A96" s="44" t="str">
        <f>IF('QUICK ENTRY'!$B96="","",'QUICK ENTRY'!$U96)</f>
        <v/>
      </c>
      <c r="B96" s="55" t="str">
        <f>IF('QUICK ENTRY'!$B96="","",'QUICK ENTRY'!$B96)</f>
        <v/>
      </c>
      <c r="C96" s="44" t="str">
        <f>IF('QUICK ENTRY'!$B96="","",'QUICK ENTRY'!$C96)</f>
        <v/>
      </c>
      <c r="D96" s="44" t="str">
        <f>IF('QUICK ENTRY'!$B96="","",'QUICK ENTRY'!$I96)</f>
        <v/>
      </c>
      <c r="E96" s="44" t="str">
        <f>IF('QUICK ENTRY'!$B96="","",'QUICK ENTRY'!$D96)</f>
        <v/>
      </c>
      <c r="F96" s="44" t="str">
        <f>IF('QUICK ENTRY'!$B96="","",'QUICK ENTRY'!$K96)</f>
        <v/>
      </c>
      <c r="G96" s="58" t="str">
        <f>IF('QUICK ENTRY'!$B96="","",'QUICK ENTRY'!$E96)</f>
        <v/>
      </c>
      <c r="H96" s="44" t="str">
        <f>IF('QUICK ENTRY'!$B96="","",'QUICK ENTRY'!$F96)</f>
        <v/>
      </c>
      <c r="I96" s="44" t="str">
        <f>IF('QUICK ENTRY'!$B96="","",'QUICK ENTRY'!$L96)</f>
        <v/>
      </c>
      <c r="J96" s="44" t="str">
        <f>IF('QUICK ENTRY'!$B96="","",'QUICK ENTRY'!$M96)</f>
        <v/>
      </c>
      <c r="K96" s="44" t="str">
        <f>IF('QUICK ENTRY'!$B96="","",'QUICK ENTRY'!$V96)</f>
        <v/>
      </c>
      <c r="L96" s="44" t="str">
        <f>IF('QUICK ENTRY'!$B96="","",'QUICK ENTRY'!$R96)</f>
        <v/>
      </c>
      <c r="M96" s="44" t="str">
        <f>IF('QUICK ENTRY'!$B96="","",'QUICK ENTRY'!$O96)</f>
        <v/>
      </c>
      <c r="N96" s="44" t="str">
        <f>IF('QUICK ENTRY'!$B96="","",'QUICK ENTRY'!$AA96)</f>
        <v/>
      </c>
      <c r="O96" s="44" t="str">
        <f>IF('QUICK ENTRY'!$B96="","",'QUICK ENTRY'!$AG96)</f>
        <v/>
      </c>
      <c r="P96" s="44" t="str">
        <f>IF('QUICK ENTRY'!$B96="","",'QUICK ENTRY'!$AF96)</f>
        <v/>
      </c>
    </row>
    <row r="97" spans="1:16" ht="14.4">
      <c r="A97" s="44" t="str">
        <f>IF('QUICK ENTRY'!$B97="","",'QUICK ENTRY'!$U97)</f>
        <v/>
      </c>
      <c r="B97" s="55" t="str">
        <f>IF('QUICK ENTRY'!$B97="","",'QUICK ENTRY'!$B97)</f>
        <v/>
      </c>
      <c r="C97" s="44" t="str">
        <f>IF('QUICK ENTRY'!$B97="","",'QUICK ENTRY'!$C97)</f>
        <v/>
      </c>
      <c r="D97" s="44" t="str">
        <f>IF('QUICK ENTRY'!$B97="","",'QUICK ENTRY'!$I97)</f>
        <v/>
      </c>
      <c r="E97" s="44" t="str">
        <f>IF('QUICK ENTRY'!$B97="","",'QUICK ENTRY'!$D97)</f>
        <v/>
      </c>
      <c r="F97" s="44" t="str">
        <f>IF('QUICK ENTRY'!$B97="","",'QUICK ENTRY'!$K97)</f>
        <v/>
      </c>
      <c r="G97" s="58" t="str">
        <f>IF('QUICK ENTRY'!$B97="","",'QUICK ENTRY'!$E97)</f>
        <v/>
      </c>
      <c r="H97" s="44" t="str">
        <f>IF('QUICK ENTRY'!$B97="","",'QUICK ENTRY'!$F97)</f>
        <v/>
      </c>
      <c r="I97" s="44" t="str">
        <f>IF('QUICK ENTRY'!$B97="","",'QUICK ENTRY'!$L97)</f>
        <v/>
      </c>
      <c r="J97" s="44" t="str">
        <f>IF('QUICK ENTRY'!$B97="","",'QUICK ENTRY'!$M97)</f>
        <v/>
      </c>
      <c r="K97" s="44" t="str">
        <f>IF('QUICK ENTRY'!$B97="","",'QUICK ENTRY'!$V97)</f>
        <v/>
      </c>
      <c r="L97" s="44" t="str">
        <f>IF('QUICK ENTRY'!$B97="","",'QUICK ENTRY'!$R97)</f>
        <v/>
      </c>
      <c r="M97" s="44" t="str">
        <f>IF('QUICK ENTRY'!$B97="","",'QUICK ENTRY'!$O97)</f>
        <v/>
      </c>
      <c r="N97" s="44" t="str">
        <f>IF('QUICK ENTRY'!$B97="","",'QUICK ENTRY'!$AA97)</f>
        <v/>
      </c>
      <c r="O97" s="44" t="str">
        <f>IF('QUICK ENTRY'!$B97="","",'QUICK ENTRY'!$AG97)</f>
        <v/>
      </c>
      <c r="P97" s="44" t="str">
        <f>IF('QUICK ENTRY'!$B97="","",'QUICK ENTRY'!$AF97)</f>
        <v/>
      </c>
    </row>
    <row r="98" spans="1:16" ht="14.4">
      <c r="A98" s="44" t="str">
        <f>IF('QUICK ENTRY'!$B98="","",'QUICK ENTRY'!$U98)</f>
        <v/>
      </c>
      <c r="B98" s="55" t="str">
        <f>IF('QUICK ENTRY'!$B98="","",'QUICK ENTRY'!$B98)</f>
        <v/>
      </c>
      <c r="C98" s="44" t="str">
        <f>IF('QUICK ENTRY'!$B98="","",'QUICK ENTRY'!$C98)</f>
        <v/>
      </c>
      <c r="D98" s="44" t="str">
        <f>IF('QUICK ENTRY'!$B98="","",'QUICK ENTRY'!$I98)</f>
        <v/>
      </c>
      <c r="E98" s="44" t="str">
        <f>IF('QUICK ENTRY'!$B98="","",'QUICK ENTRY'!$D98)</f>
        <v/>
      </c>
      <c r="F98" s="44" t="str">
        <f>IF('QUICK ENTRY'!$B98="","",'QUICK ENTRY'!$K98)</f>
        <v/>
      </c>
      <c r="G98" s="58" t="str">
        <f>IF('QUICK ENTRY'!$B98="","",'QUICK ENTRY'!$E98)</f>
        <v/>
      </c>
      <c r="H98" s="44" t="str">
        <f>IF('QUICK ENTRY'!$B98="","",'QUICK ENTRY'!$F98)</f>
        <v/>
      </c>
      <c r="I98" s="44" t="str">
        <f>IF('QUICK ENTRY'!$B98="","",'QUICK ENTRY'!$L98)</f>
        <v/>
      </c>
      <c r="J98" s="44" t="str">
        <f>IF('QUICK ENTRY'!$B98="","",'QUICK ENTRY'!$M98)</f>
        <v/>
      </c>
      <c r="K98" s="44" t="str">
        <f>IF('QUICK ENTRY'!$B98="","",'QUICK ENTRY'!$V98)</f>
        <v/>
      </c>
      <c r="L98" s="44" t="str">
        <f>IF('QUICK ENTRY'!$B98="","",'QUICK ENTRY'!$R98)</f>
        <v/>
      </c>
      <c r="M98" s="44" t="str">
        <f>IF('QUICK ENTRY'!$B98="","",'QUICK ENTRY'!$O98)</f>
        <v/>
      </c>
      <c r="N98" s="44" t="str">
        <f>IF('QUICK ENTRY'!$B98="","",'QUICK ENTRY'!$AA98)</f>
        <v/>
      </c>
      <c r="O98" s="44" t="str">
        <f>IF('QUICK ENTRY'!$B98="","",'QUICK ENTRY'!$AG98)</f>
        <v/>
      </c>
      <c r="P98" s="44" t="str">
        <f>IF('QUICK ENTRY'!$B98="","",'QUICK ENTRY'!$AF98)</f>
        <v/>
      </c>
    </row>
    <row r="99" spans="1:16" ht="14.4">
      <c r="A99" s="44" t="str">
        <f>IF('QUICK ENTRY'!$B99="","",'QUICK ENTRY'!$U99)</f>
        <v/>
      </c>
      <c r="B99" s="55" t="str">
        <f>IF('QUICK ENTRY'!$B99="","",'QUICK ENTRY'!$B99)</f>
        <v/>
      </c>
      <c r="C99" s="44" t="str">
        <f>IF('QUICK ENTRY'!$B99="","",'QUICK ENTRY'!$C99)</f>
        <v/>
      </c>
      <c r="D99" s="44" t="str">
        <f>IF('QUICK ENTRY'!$B99="","",'QUICK ENTRY'!$I99)</f>
        <v/>
      </c>
      <c r="E99" s="44" t="str">
        <f>IF('QUICK ENTRY'!$B99="","",'QUICK ENTRY'!$D99)</f>
        <v/>
      </c>
      <c r="F99" s="44" t="str">
        <f>IF('QUICK ENTRY'!$B99="","",'QUICK ENTRY'!$K99)</f>
        <v/>
      </c>
      <c r="G99" s="58" t="str">
        <f>IF('QUICK ENTRY'!$B99="","",'QUICK ENTRY'!$E99)</f>
        <v/>
      </c>
      <c r="H99" s="44" t="str">
        <f>IF('QUICK ENTRY'!$B99="","",'QUICK ENTRY'!$F99)</f>
        <v/>
      </c>
      <c r="I99" s="44" t="str">
        <f>IF('QUICK ENTRY'!$B99="","",'QUICK ENTRY'!$L99)</f>
        <v/>
      </c>
      <c r="J99" s="44" t="str">
        <f>IF('QUICK ENTRY'!$B99="","",'QUICK ENTRY'!$M99)</f>
        <v/>
      </c>
      <c r="K99" s="44" t="str">
        <f>IF('QUICK ENTRY'!$B99="","",'QUICK ENTRY'!$V99)</f>
        <v/>
      </c>
      <c r="L99" s="44" t="str">
        <f>IF('QUICK ENTRY'!$B99="","",'QUICK ENTRY'!$R99)</f>
        <v/>
      </c>
      <c r="M99" s="44" t="str">
        <f>IF('QUICK ENTRY'!$B99="","",'QUICK ENTRY'!$O99)</f>
        <v/>
      </c>
      <c r="N99" s="44" t="str">
        <f>IF('QUICK ENTRY'!$B99="","",'QUICK ENTRY'!$AA99)</f>
        <v/>
      </c>
      <c r="O99" s="44" t="str">
        <f>IF('QUICK ENTRY'!$B99="","",'QUICK ENTRY'!$AG99)</f>
        <v/>
      </c>
      <c r="P99" s="44" t="str">
        <f>IF('QUICK ENTRY'!$B99="","",'QUICK ENTRY'!$AF99)</f>
        <v/>
      </c>
    </row>
    <row r="100" spans="1:16" ht="14.4">
      <c r="A100" s="44" t="str">
        <f>IF('QUICK ENTRY'!$B100="","",'QUICK ENTRY'!$U100)</f>
        <v/>
      </c>
      <c r="B100" s="55" t="str">
        <f>IF('QUICK ENTRY'!$B100="","",'QUICK ENTRY'!$B100)</f>
        <v/>
      </c>
      <c r="C100" s="44" t="str">
        <f>IF('QUICK ENTRY'!$B100="","",'QUICK ENTRY'!$C100)</f>
        <v/>
      </c>
      <c r="D100" s="44" t="str">
        <f>IF('QUICK ENTRY'!$B100="","",'QUICK ENTRY'!$I100)</f>
        <v/>
      </c>
      <c r="E100" s="44" t="str">
        <f>IF('QUICK ENTRY'!$B100="","",'QUICK ENTRY'!$D100)</f>
        <v/>
      </c>
      <c r="F100" s="44" t="str">
        <f>IF('QUICK ENTRY'!$B100="","",'QUICK ENTRY'!$K100)</f>
        <v/>
      </c>
      <c r="G100" s="58" t="str">
        <f>IF('QUICK ENTRY'!$B100="","",'QUICK ENTRY'!$E100)</f>
        <v/>
      </c>
      <c r="H100" s="44" t="str">
        <f>IF('QUICK ENTRY'!$B100="","",'QUICK ENTRY'!$F100)</f>
        <v/>
      </c>
      <c r="I100" s="44" t="str">
        <f>IF('QUICK ENTRY'!$B100="","",'QUICK ENTRY'!$L100)</f>
        <v/>
      </c>
      <c r="J100" s="44" t="str">
        <f>IF('QUICK ENTRY'!$B100="","",'QUICK ENTRY'!$M100)</f>
        <v/>
      </c>
      <c r="K100" s="44" t="str">
        <f>IF('QUICK ENTRY'!$B100="","",'QUICK ENTRY'!$V100)</f>
        <v/>
      </c>
      <c r="L100" s="44" t="str">
        <f>IF('QUICK ENTRY'!$B100="","",'QUICK ENTRY'!$R100)</f>
        <v/>
      </c>
      <c r="M100" s="44" t="str">
        <f>IF('QUICK ENTRY'!$B100="","",'QUICK ENTRY'!$O100)</f>
        <v/>
      </c>
      <c r="N100" s="44" t="str">
        <f>IF('QUICK ENTRY'!$B100="","",'QUICK ENTRY'!$AA100)</f>
        <v/>
      </c>
      <c r="O100" s="44" t="str">
        <f>IF('QUICK ENTRY'!$B100="","",'QUICK ENTRY'!$AG100)</f>
        <v/>
      </c>
      <c r="P100" s="44" t="str">
        <f>IF('QUICK ENTRY'!$B100="","",'QUICK ENTRY'!$AF100)</f>
        <v/>
      </c>
    </row>
    <row r="101" spans="1:16" ht="14.4">
      <c r="A101" s="44" t="str">
        <f>IF('QUICK ENTRY'!$B101="","",'QUICK ENTRY'!$U101)</f>
        <v/>
      </c>
      <c r="B101" s="55" t="str">
        <f>IF('QUICK ENTRY'!$B101="","",'QUICK ENTRY'!$B101)</f>
        <v/>
      </c>
      <c r="C101" s="44" t="str">
        <f>IF('QUICK ENTRY'!$B101="","",'QUICK ENTRY'!$C101)</f>
        <v/>
      </c>
      <c r="D101" s="44" t="str">
        <f>IF('QUICK ENTRY'!$B101="","",'QUICK ENTRY'!$I101)</f>
        <v/>
      </c>
      <c r="E101" s="44" t="str">
        <f>IF('QUICK ENTRY'!$B101="","",'QUICK ENTRY'!$D101)</f>
        <v/>
      </c>
      <c r="F101" s="44" t="str">
        <f>IF('QUICK ENTRY'!$B101="","",'QUICK ENTRY'!$K101)</f>
        <v/>
      </c>
      <c r="G101" s="58" t="str">
        <f>IF('QUICK ENTRY'!$B101="","",'QUICK ENTRY'!$E101)</f>
        <v/>
      </c>
      <c r="H101" s="44" t="str">
        <f>IF('QUICK ENTRY'!$B101="","",'QUICK ENTRY'!$F101)</f>
        <v/>
      </c>
      <c r="I101" s="44" t="str">
        <f>IF('QUICK ENTRY'!$B101="","",'QUICK ENTRY'!$L101)</f>
        <v/>
      </c>
      <c r="J101" s="44" t="str">
        <f>IF('QUICK ENTRY'!$B101="","",'QUICK ENTRY'!$M101)</f>
        <v/>
      </c>
      <c r="K101" s="44" t="str">
        <f>IF('QUICK ENTRY'!$B101="","",'QUICK ENTRY'!$V101)</f>
        <v/>
      </c>
      <c r="L101" s="44" t="str">
        <f>IF('QUICK ENTRY'!$B101="","",'QUICK ENTRY'!$R101)</f>
        <v/>
      </c>
      <c r="M101" s="44" t="str">
        <f>IF('QUICK ENTRY'!$B101="","",'QUICK ENTRY'!$O101)</f>
        <v/>
      </c>
      <c r="N101" s="44" t="str">
        <f>IF('QUICK ENTRY'!$B101="","",'QUICK ENTRY'!$AA101)</f>
        <v/>
      </c>
      <c r="O101" s="44" t="str">
        <f>IF('QUICK ENTRY'!$B101="","",'QUICK ENTRY'!$AG101)</f>
        <v/>
      </c>
      <c r="P101" s="44" t="str">
        <f>IF('QUICK ENTRY'!$B101="","",'QUICK ENTRY'!$AF101)</f>
        <v/>
      </c>
    </row>
    <row r="102" spans="1:16" ht="14.4">
      <c r="A102" s="44" t="str">
        <f>IF('QUICK ENTRY'!$B102="","",'QUICK ENTRY'!$U102)</f>
        <v/>
      </c>
      <c r="B102" s="55" t="str">
        <f>IF('QUICK ENTRY'!$B102="","",'QUICK ENTRY'!$B102)</f>
        <v/>
      </c>
      <c r="C102" s="44" t="str">
        <f>IF('QUICK ENTRY'!$B102="","",'QUICK ENTRY'!$C102)</f>
        <v/>
      </c>
      <c r="D102" s="44" t="str">
        <f>IF('QUICK ENTRY'!$B102="","",'QUICK ENTRY'!$I102)</f>
        <v/>
      </c>
      <c r="E102" s="44" t="str">
        <f>IF('QUICK ENTRY'!$B102="","",'QUICK ENTRY'!$D102)</f>
        <v/>
      </c>
      <c r="F102" s="44" t="str">
        <f>IF('QUICK ENTRY'!$B102="","",'QUICK ENTRY'!$K102)</f>
        <v/>
      </c>
      <c r="G102" s="58" t="str">
        <f>IF('QUICK ENTRY'!$B102="","",'QUICK ENTRY'!$E102)</f>
        <v/>
      </c>
      <c r="H102" s="44" t="str">
        <f>IF('QUICK ENTRY'!$B102="","",'QUICK ENTRY'!$F102)</f>
        <v/>
      </c>
      <c r="I102" s="44" t="str">
        <f>IF('QUICK ENTRY'!$B102="","",'QUICK ENTRY'!$L102)</f>
        <v/>
      </c>
      <c r="J102" s="44" t="str">
        <f>IF('QUICK ENTRY'!$B102="","",'QUICK ENTRY'!$M102)</f>
        <v/>
      </c>
      <c r="K102" s="44" t="str">
        <f>IF('QUICK ENTRY'!$B102="","",'QUICK ENTRY'!$V102)</f>
        <v/>
      </c>
      <c r="L102" s="44" t="str">
        <f>IF('QUICK ENTRY'!$B102="","",'QUICK ENTRY'!$R102)</f>
        <v/>
      </c>
      <c r="M102" s="44" t="str">
        <f>IF('QUICK ENTRY'!$B102="","",'QUICK ENTRY'!$O102)</f>
        <v/>
      </c>
      <c r="N102" s="44" t="str">
        <f>IF('QUICK ENTRY'!$B102="","",'QUICK ENTRY'!$AA102)</f>
        <v/>
      </c>
      <c r="O102" s="44" t="str">
        <f>IF('QUICK ENTRY'!$B102="","",'QUICK ENTRY'!$AG102)</f>
        <v/>
      </c>
      <c r="P102" s="44" t="str">
        <f>IF('QUICK ENTRY'!$B102="","",'QUICK ENTRY'!$AF102)</f>
        <v/>
      </c>
    </row>
    <row r="103" spans="1:16" ht="14.4">
      <c r="A103" s="44" t="str">
        <f>IF('QUICK ENTRY'!$B103="","",'QUICK ENTRY'!$U103)</f>
        <v/>
      </c>
      <c r="B103" s="55" t="str">
        <f>IF('QUICK ENTRY'!$B103="","",'QUICK ENTRY'!$B103)</f>
        <v/>
      </c>
      <c r="C103" s="44" t="str">
        <f>IF('QUICK ENTRY'!$B103="","",'QUICK ENTRY'!$C103)</f>
        <v/>
      </c>
      <c r="D103" s="44" t="str">
        <f>IF('QUICK ENTRY'!$B103="","",'QUICK ENTRY'!$I103)</f>
        <v/>
      </c>
      <c r="E103" s="44" t="str">
        <f>IF('QUICK ENTRY'!$B103="","",'QUICK ENTRY'!$D103)</f>
        <v/>
      </c>
      <c r="F103" s="44" t="str">
        <f>IF('QUICK ENTRY'!$B103="","",'QUICK ENTRY'!$K103)</f>
        <v/>
      </c>
      <c r="G103" s="58" t="str">
        <f>IF('QUICK ENTRY'!$B103="","",'QUICK ENTRY'!$E103)</f>
        <v/>
      </c>
      <c r="H103" s="44" t="str">
        <f>IF('QUICK ENTRY'!$B103="","",'QUICK ENTRY'!$F103)</f>
        <v/>
      </c>
      <c r="I103" s="44" t="str">
        <f>IF('QUICK ENTRY'!$B103="","",'QUICK ENTRY'!$L103)</f>
        <v/>
      </c>
      <c r="J103" s="44" t="str">
        <f>IF('QUICK ENTRY'!$B103="","",'QUICK ENTRY'!$M103)</f>
        <v/>
      </c>
      <c r="K103" s="44" t="str">
        <f>IF('QUICK ENTRY'!$B103="","",'QUICK ENTRY'!$V103)</f>
        <v/>
      </c>
      <c r="L103" s="44" t="str">
        <f>IF('QUICK ENTRY'!$B103="","",'QUICK ENTRY'!$R103)</f>
        <v/>
      </c>
      <c r="M103" s="44" t="str">
        <f>IF('QUICK ENTRY'!$B103="","",'QUICK ENTRY'!$O103)</f>
        <v/>
      </c>
      <c r="N103" s="44" t="str">
        <f>IF('QUICK ENTRY'!$B103="","",'QUICK ENTRY'!$AA103)</f>
        <v/>
      </c>
      <c r="O103" s="44" t="str">
        <f>IF('QUICK ENTRY'!$B103="","",'QUICK ENTRY'!$AG103)</f>
        <v/>
      </c>
      <c r="P103" s="44" t="str">
        <f>IF('QUICK ENTRY'!$B103="","",'QUICK ENTRY'!$AF103)</f>
        <v/>
      </c>
    </row>
    <row r="104" spans="1:16" ht="14.4">
      <c r="A104" s="44" t="str">
        <f>IF('QUICK ENTRY'!$B104="","",'QUICK ENTRY'!$U104)</f>
        <v/>
      </c>
      <c r="B104" s="55" t="str">
        <f>IF('QUICK ENTRY'!$B104="","",'QUICK ENTRY'!$B104)</f>
        <v/>
      </c>
      <c r="C104" s="44" t="str">
        <f>IF('QUICK ENTRY'!$B104="","",'QUICK ENTRY'!$C104)</f>
        <v/>
      </c>
      <c r="D104" s="44" t="str">
        <f>IF('QUICK ENTRY'!$B104="","",'QUICK ENTRY'!$I104)</f>
        <v/>
      </c>
      <c r="E104" s="44" t="str">
        <f>IF('QUICK ENTRY'!$B104="","",'QUICK ENTRY'!$D104)</f>
        <v/>
      </c>
      <c r="F104" s="44" t="str">
        <f>IF('QUICK ENTRY'!$B104="","",'QUICK ENTRY'!$K104)</f>
        <v/>
      </c>
      <c r="G104" s="58" t="str">
        <f>IF('QUICK ENTRY'!$B104="","",'QUICK ENTRY'!$E104)</f>
        <v/>
      </c>
      <c r="H104" s="44" t="str">
        <f>IF('QUICK ENTRY'!$B104="","",'QUICK ENTRY'!$F104)</f>
        <v/>
      </c>
      <c r="I104" s="44" t="str">
        <f>IF('QUICK ENTRY'!$B104="","",'QUICK ENTRY'!$L104)</f>
        <v/>
      </c>
      <c r="J104" s="44" t="str">
        <f>IF('QUICK ENTRY'!$B104="","",'QUICK ENTRY'!$M104)</f>
        <v/>
      </c>
      <c r="K104" s="44" t="str">
        <f>IF('QUICK ENTRY'!$B104="","",'QUICK ENTRY'!$V104)</f>
        <v/>
      </c>
      <c r="L104" s="44" t="str">
        <f>IF('QUICK ENTRY'!$B104="","",'QUICK ENTRY'!$R104)</f>
        <v/>
      </c>
      <c r="M104" s="44" t="str">
        <f>IF('QUICK ENTRY'!$B104="","",'QUICK ENTRY'!$O104)</f>
        <v/>
      </c>
      <c r="N104" s="44" t="str">
        <f>IF('QUICK ENTRY'!$B104="","",'QUICK ENTRY'!$AA104)</f>
        <v/>
      </c>
      <c r="O104" s="44" t="str">
        <f>IF('QUICK ENTRY'!$B104="","",'QUICK ENTRY'!$AG104)</f>
        <v/>
      </c>
      <c r="P104" s="44" t="str">
        <f>IF('QUICK ENTRY'!$B104="","",'QUICK ENTRY'!$AF104)</f>
        <v/>
      </c>
    </row>
    <row r="105" spans="1:16" ht="14.4">
      <c r="A105" s="44" t="str">
        <f>IF('QUICK ENTRY'!$B105="","",'QUICK ENTRY'!$U105)</f>
        <v/>
      </c>
      <c r="B105" s="55" t="str">
        <f>IF('QUICK ENTRY'!$B105="","",'QUICK ENTRY'!$B105)</f>
        <v/>
      </c>
      <c r="C105" s="44" t="str">
        <f>IF('QUICK ENTRY'!$B105="","",'QUICK ENTRY'!$C105)</f>
        <v/>
      </c>
      <c r="D105" s="44" t="str">
        <f>IF('QUICK ENTRY'!$B105="","",'QUICK ENTRY'!$I105)</f>
        <v/>
      </c>
      <c r="E105" s="44" t="str">
        <f>IF('QUICK ENTRY'!$B105="","",'QUICK ENTRY'!$D105)</f>
        <v/>
      </c>
      <c r="F105" s="44" t="str">
        <f>IF('QUICK ENTRY'!$B105="","",'QUICK ENTRY'!$K105)</f>
        <v/>
      </c>
      <c r="G105" s="58" t="str">
        <f>IF('QUICK ENTRY'!$B105="","",'QUICK ENTRY'!$E105)</f>
        <v/>
      </c>
      <c r="H105" s="44" t="str">
        <f>IF('QUICK ENTRY'!$B105="","",'QUICK ENTRY'!$F105)</f>
        <v/>
      </c>
      <c r="I105" s="44" t="str">
        <f>IF('QUICK ENTRY'!$B105="","",'QUICK ENTRY'!$L105)</f>
        <v/>
      </c>
      <c r="J105" s="44" t="str">
        <f>IF('QUICK ENTRY'!$B105="","",'QUICK ENTRY'!$M105)</f>
        <v/>
      </c>
      <c r="K105" s="44" t="str">
        <f>IF('QUICK ENTRY'!$B105="","",'QUICK ENTRY'!$V105)</f>
        <v/>
      </c>
      <c r="L105" s="44" t="str">
        <f>IF('QUICK ENTRY'!$B105="","",'QUICK ENTRY'!$R105)</f>
        <v/>
      </c>
      <c r="M105" s="44" t="str">
        <f>IF('QUICK ENTRY'!$B105="","",'QUICK ENTRY'!$O105)</f>
        <v/>
      </c>
      <c r="N105" s="44" t="str">
        <f>IF('QUICK ENTRY'!$B105="","",'QUICK ENTRY'!$AA105)</f>
        <v/>
      </c>
      <c r="O105" s="44" t="str">
        <f>IF('QUICK ENTRY'!$B105="","",'QUICK ENTRY'!$AG105)</f>
        <v/>
      </c>
      <c r="P105" s="44" t="str">
        <f>IF('QUICK ENTRY'!$B105="","",'QUICK ENTRY'!$AF105)</f>
        <v/>
      </c>
    </row>
    <row r="106" spans="1:16" ht="14.4">
      <c r="A106" s="44" t="str">
        <f>IF('QUICK ENTRY'!$B106="","",'QUICK ENTRY'!$U106)</f>
        <v/>
      </c>
      <c r="B106" s="55" t="str">
        <f>IF('QUICK ENTRY'!$B106="","",'QUICK ENTRY'!$B106)</f>
        <v/>
      </c>
      <c r="C106" s="44" t="str">
        <f>IF('QUICK ENTRY'!$B106="","",'QUICK ENTRY'!$C106)</f>
        <v/>
      </c>
      <c r="D106" s="44" t="str">
        <f>IF('QUICK ENTRY'!$B106="","",'QUICK ENTRY'!$I106)</f>
        <v/>
      </c>
      <c r="E106" s="44" t="str">
        <f>IF('QUICK ENTRY'!$B106="","",'QUICK ENTRY'!$D106)</f>
        <v/>
      </c>
      <c r="F106" s="44" t="str">
        <f>IF('QUICK ENTRY'!$B106="","",'QUICK ENTRY'!$K106)</f>
        <v/>
      </c>
      <c r="G106" s="58" t="str">
        <f>IF('QUICK ENTRY'!$B106="","",'QUICK ENTRY'!$E106)</f>
        <v/>
      </c>
      <c r="H106" s="44" t="str">
        <f>IF('QUICK ENTRY'!$B106="","",'QUICK ENTRY'!$F106)</f>
        <v/>
      </c>
      <c r="I106" s="44" t="str">
        <f>IF('QUICK ENTRY'!$B106="","",'QUICK ENTRY'!$L106)</f>
        <v/>
      </c>
      <c r="J106" s="44" t="str">
        <f>IF('QUICK ENTRY'!$B106="","",'QUICK ENTRY'!$M106)</f>
        <v/>
      </c>
      <c r="K106" s="44" t="str">
        <f>IF('QUICK ENTRY'!$B106="","",'QUICK ENTRY'!$V106)</f>
        <v/>
      </c>
      <c r="L106" s="44" t="str">
        <f>IF('QUICK ENTRY'!$B106="","",'QUICK ENTRY'!$R106)</f>
        <v/>
      </c>
      <c r="M106" s="44" t="str">
        <f>IF('QUICK ENTRY'!$B106="","",'QUICK ENTRY'!$O106)</f>
        <v/>
      </c>
      <c r="N106" s="44" t="str">
        <f>IF('QUICK ENTRY'!$B106="","",'QUICK ENTRY'!$AA106)</f>
        <v/>
      </c>
      <c r="O106" s="44" t="str">
        <f>IF('QUICK ENTRY'!$B106="","",'QUICK ENTRY'!$AG106)</f>
        <v/>
      </c>
      <c r="P106" s="44" t="str">
        <f>IF('QUICK ENTRY'!$B106="","",'QUICK ENTRY'!$AF106)</f>
        <v/>
      </c>
    </row>
    <row r="107" spans="1:16" ht="14.4">
      <c r="A107" s="44" t="str">
        <f>IF('QUICK ENTRY'!$B107="","",'QUICK ENTRY'!$U107)</f>
        <v/>
      </c>
      <c r="B107" s="55" t="str">
        <f>IF('QUICK ENTRY'!$B107="","",'QUICK ENTRY'!$B107)</f>
        <v/>
      </c>
      <c r="C107" s="44" t="str">
        <f>IF('QUICK ENTRY'!$B107="","",'QUICK ENTRY'!$C107)</f>
        <v/>
      </c>
      <c r="D107" s="44" t="str">
        <f>IF('QUICK ENTRY'!$B107="","",'QUICK ENTRY'!$I107)</f>
        <v/>
      </c>
      <c r="E107" s="44" t="str">
        <f>IF('QUICK ENTRY'!$B107="","",'QUICK ENTRY'!$D107)</f>
        <v/>
      </c>
      <c r="F107" s="44" t="str">
        <f>IF('QUICK ENTRY'!$B107="","",'QUICK ENTRY'!$K107)</f>
        <v/>
      </c>
      <c r="G107" s="58" t="str">
        <f>IF('QUICK ENTRY'!$B107="","",'QUICK ENTRY'!$E107)</f>
        <v/>
      </c>
      <c r="H107" s="44" t="str">
        <f>IF('QUICK ENTRY'!$B107="","",'QUICK ENTRY'!$F107)</f>
        <v/>
      </c>
      <c r="I107" s="44" t="str">
        <f>IF('QUICK ENTRY'!$B107="","",'QUICK ENTRY'!$L107)</f>
        <v/>
      </c>
      <c r="J107" s="44" t="str">
        <f>IF('QUICK ENTRY'!$B107="","",'QUICK ENTRY'!$M107)</f>
        <v/>
      </c>
      <c r="K107" s="44" t="str">
        <f>IF('QUICK ENTRY'!$B107="","",'QUICK ENTRY'!$V107)</f>
        <v/>
      </c>
      <c r="L107" s="44" t="str">
        <f>IF('QUICK ENTRY'!$B107="","",'QUICK ENTRY'!$R107)</f>
        <v/>
      </c>
      <c r="M107" s="44" t="str">
        <f>IF('QUICK ENTRY'!$B107="","",'QUICK ENTRY'!$O107)</f>
        <v/>
      </c>
      <c r="N107" s="44" t="str">
        <f>IF('QUICK ENTRY'!$B107="","",'QUICK ENTRY'!$AA107)</f>
        <v/>
      </c>
      <c r="O107" s="44" t="str">
        <f>IF('QUICK ENTRY'!$B107="","",'QUICK ENTRY'!$AG107)</f>
        <v/>
      </c>
      <c r="P107" s="44" t="str">
        <f>IF('QUICK ENTRY'!$B107="","",'QUICK ENTRY'!$AF107)</f>
        <v/>
      </c>
    </row>
    <row r="108" spans="1:16" ht="14.4">
      <c r="A108" s="44" t="str">
        <f>IF('QUICK ENTRY'!$B108="","",'QUICK ENTRY'!$U108)</f>
        <v/>
      </c>
      <c r="B108" s="55" t="str">
        <f>IF('QUICK ENTRY'!$B108="","",'QUICK ENTRY'!$B108)</f>
        <v/>
      </c>
      <c r="C108" s="44" t="str">
        <f>IF('QUICK ENTRY'!$B108="","",'QUICK ENTRY'!$C108)</f>
        <v/>
      </c>
      <c r="D108" s="44" t="str">
        <f>IF('QUICK ENTRY'!$B108="","",'QUICK ENTRY'!$I108)</f>
        <v/>
      </c>
      <c r="E108" s="44" t="str">
        <f>IF('QUICK ENTRY'!$B108="","",'QUICK ENTRY'!$D108)</f>
        <v/>
      </c>
      <c r="F108" s="44" t="str">
        <f>IF('QUICK ENTRY'!$B108="","",'QUICK ENTRY'!$K108)</f>
        <v/>
      </c>
      <c r="G108" s="58" t="str">
        <f>IF('QUICK ENTRY'!$B108="","",'QUICK ENTRY'!$E108)</f>
        <v/>
      </c>
      <c r="H108" s="44" t="str">
        <f>IF('QUICK ENTRY'!$B108="","",'QUICK ENTRY'!$F108)</f>
        <v/>
      </c>
      <c r="I108" s="44" t="str">
        <f>IF('QUICK ENTRY'!$B108="","",'QUICK ENTRY'!$L108)</f>
        <v/>
      </c>
      <c r="J108" s="44" t="str">
        <f>IF('QUICK ENTRY'!$B108="","",'QUICK ENTRY'!$M108)</f>
        <v/>
      </c>
      <c r="K108" s="44" t="str">
        <f>IF('QUICK ENTRY'!$B108="","",'QUICK ENTRY'!$V108)</f>
        <v/>
      </c>
      <c r="L108" s="44" t="str">
        <f>IF('QUICK ENTRY'!$B108="","",'QUICK ENTRY'!$R108)</f>
        <v/>
      </c>
      <c r="M108" s="44" t="str">
        <f>IF('QUICK ENTRY'!$B108="","",'QUICK ENTRY'!$O108)</f>
        <v/>
      </c>
      <c r="N108" s="44" t="str">
        <f>IF('QUICK ENTRY'!$B108="","",'QUICK ENTRY'!$AA108)</f>
        <v/>
      </c>
      <c r="O108" s="44" t="str">
        <f>IF('QUICK ENTRY'!$B108="","",'QUICK ENTRY'!$AG108)</f>
        <v/>
      </c>
      <c r="P108" s="44" t="str">
        <f>IF('QUICK ENTRY'!$B108="","",'QUICK ENTRY'!$AF108)</f>
        <v/>
      </c>
    </row>
    <row r="109" spans="1:16" ht="14.4">
      <c r="A109" s="44" t="str">
        <f>IF('QUICK ENTRY'!$B109="","",'QUICK ENTRY'!$U109)</f>
        <v/>
      </c>
      <c r="B109" s="55" t="str">
        <f>IF('QUICK ENTRY'!$B109="","",'QUICK ENTRY'!$B109)</f>
        <v/>
      </c>
      <c r="C109" s="44" t="str">
        <f>IF('QUICK ENTRY'!$B109="","",'QUICK ENTRY'!$C109)</f>
        <v/>
      </c>
      <c r="D109" s="44" t="str">
        <f>IF('QUICK ENTRY'!$B109="","",'QUICK ENTRY'!$I109)</f>
        <v/>
      </c>
      <c r="E109" s="44" t="str">
        <f>IF('QUICK ENTRY'!$B109="","",'QUICK ENTRY'!$D109)</f>
        <v/>
      </c>
      <c r="F109" s="44" t="str">
        <f>IF('QUICK ENTRY'!$B109="","",'QUICK ENTRY'!$K109)</f>
        <v/>
      </c>
      <c r="G109" s="58" t="str">
        <f>IF('QUICK ENTRY'!$B109="","",'QUICK ENTRY'!$E109)</f>
        <v/>
      </c>
      <c r="H109" s="44" t="str">
        <f>IF('QUICK ENTRY'!$B109="","",'QUICK ENTRY'!$F109)</f>
        <v/>
      </c>
      <c r="I109" s="44" t="str">
        <f>IF('QUICK ENTRY'!$B109="","",'QUICK ENTRY'!$L109)</f>
        <v/>
      </c>
      <c r="J109" s="44" t="str">
        <f>IF('QUICK ENTRY'!$B109="","",'QUICK ENTRY'!$M109)</f>
        <v/>
      </c>
      <c r="K109" s="44" t="str">
        <f>IF('QUICK ENTRY'!$B109="","",'QUICK ENTRY'!$V109)</f>
        <v/>
      </c>
      <c r="L109" s="44" t="str">
        <f>IF('QUICK ENTRY'!$B109="","",'QUICK ENTRY'!$R109)</f>
        <v/>
      </c>
      <c r="M109" s="44" t="str">
        <f>IF('QUICK ENTRY'!$B109="","",'QUICK ENTRY'!$O109)</f>
        <v/>
      </c>
      <c r="N109" s="44" t="str">
        <f>IF('QUICK ENTRY'!$B109="","",'QUICK ENTRY'!$AA109)</f>
        <v/>
      </c>
      <c r="O109" s="44" t="str">
        <f>IF('QUICK ENTRY'!$B109="","",'QUICK ENTRY'!$AG109)</f>
        <v/>
      </c>
      <c r="P109" s="44" t="str">
        <f>IF('QUICK ENTRY'!$B109="","",'QUICK ENTRY'!$AF109)</f>
        <v/>
      </c>
    </row>
    <row r="110" spans="1:16" ht="14.4">
      <c r="A110" s="44" t="str">
        <f>IF('QUICK ENTRY'!$B110="","",'QUICK ENTRY'!$U110)</f>
        <v/>
      </c>
      <c r="B110" s="55" t="str">
        <f>IF('QUICK ENTRY'!$B110="","",'QUICK ENTRY'!$B110)</f>
        <v/>
      </c>
      <c r="C110" s="44" t="str">
        <f>IF('QUICK ENTRY'!$B110="","",'QUICK ENTRY'!$C110)</f>
        <v/>
      </c>
      <c r="D110" s="44" t="str">
        <f>IF('QUICK ENTRY'!$B110="","",'QUICK ENTRY'!$I110)</f>
        <v/>
      </c>
      <c r="E110" s="44" t="str">
        <f>IF('QUICK ENTRY'!$B110="","",'QUICK ENTRY'!$D110)</f>
        <v/>
      </c>
      <c r="F110" s="44" t="str">
        <f>IF('QUICK ENTRY'!$B110="","",'QUICK ENTRY'!$K110)</f>
        <v/>
      </c>
      <c r="G110" s="58" t="str">
        <f>IF('QUICK ENTRY'!$B110="","",'QUICK ENTRY'!$E110)</f>
        <v/>
      </c>
      <c r="H110" s="44" t="str">
        <f>IF('QUICK ENTRY'!$B110="","",'QUICK ENTRY'!$F110)</f>
        <v/>
      </c>
      <c r="I110" s="44" t="str">
        <f>IF('QUICK ENTRY'!$B110="","",'QUICK ENTRY'!$L110)</f>
        <v/>
      </c>
      <c r="J110" s="44" t="str">
        <f>IF('QUICK ENTRY'!$B110="","",'QUICK ENTRY'!$M110)</f>
        <v/>
      </c>
      <c r="K110" s="44" t="str">
        <f>IF('QUICK ENTRY'!$B110="","",'QUICK ENTRY'!$V110)</f>
        <v/>
      </c>
      <c r="L110" s="44" t="str">
        <f>IF('QUICK ENTRY'!$B110="","",'QUICK ENTRY'!$R110)</f>
        <v/>
      </c>
      <c r="M110" s="44" t="str">
        <f>IF('QUICK ENTRY'!$B110="","",'QUICK ENTRY'!$O110)</f>
        <v/>
      </c>
      <c r="N110" s="44" t="str">
        <f>IF('QUICK ENTRY'!$B110="","",'QUICK ENTRY'!$AA110)</f>
        <v/>
      </c>
      <c r="O110" s="44" t="str">
        <f>IF('QUICK ENTRY'!$B110="","",'QUICK ENTRY'!$AG110)</f>
        <v/>
      </c>
      <c r="P110" s="44" t="str">
        <f>IF('QUICK ENTRY'!$B110="","",'QUICK ENTRY'!$AF110)</f>
        <v/>
      </c>
    </row>
    <row r="111" spans="1:16" ht="14.4">
      <c r="A111" s="44" t="str">
        <f>IF('QUICK ENTRY'!$B111="","",'QUICK ENTRY'!$U111)</f>
        <v/>
      </c>
      <c r="B111" s="55" t="str">
        <f>IF('QUICK ENTRY'!$B111="","",'QUICK ENTRY'!$B111)</f>
        <v/>
      </c>
      <c r="C111" s="44" t="str">
        <f>IF('QUICK ENTRY'!$B111="","",'QUICK ENTRY'!$C111)</f>
        <v/>
      </c>
      <c r="D111" s="44" t="str">
        <f>IF('QUICK ENTRY'!$B111="","",'QUICK ENTRY'!$I111)</f>
        <v/>
      </c>
      <c r="E111" s="44" t="str">
        <f>IF('QUICK ENTRY'!$B111="","",'QUICK ENTRY'!$D111)</f>
        <v/>
      </c>
      <c r="F111" s="44" t="str">
        <f>IF('QUICK ENTRY'!$B111="","",'QUICK ENTRY'!$K111)</f>
        <v/>
      </c>
      <c r="G111" s="58" t="str">
        <f>IF('QUICK ENTRY'!$B111="","",'QUICK ENTRY'!$E111)</f>
        <v/>
      </c>
      <c r="H111" s="44" t="str">
        <f>IF('QUICK ENTRY'!$B111="","",'QUICK ENTRY'!$F111)</f>
        <v/>
      </c>
      <c r="I111" s="44" t="str">
        <f>IF('QUICK ENTRY'!$B111="","",'QUICK ENTRY'!$L111)</f>
        <v/>
      </c>
      <c r="J111" s="44" t="str">
        <f>IF('QUICK ENTRY'!$B111="","",'QUICK ENTRY'!$M111)</f>
        <v/>
      </c>
      <c r="K111" s="44" t="str">
        <f>IF('QUICK ENTRY'!$B111="","",'QUICK ENTRY'!$V111)</f>
        <v/>
      </c>
      <c r="L111" s="44" t="str">
        <f>IF('QUICK ENTRY'!$B111="","",'QUICK ENTRY'!$R111)</f>
        <v/>
      </c>
      <c r="M111" s="44" t="str">
        <f>IF('QUICK ENTRY'!$B111="","",'QUICK ENTRY'!$O111)</f>
        <v/>
      </c>
      <c r="N111" s="44" t="str">
        <f>IF('QUICK ENTRY'!$B111="","",'QUICK ENTRY'!$AA111)</f>
        <v/>
      </c>
      <c r="O111" s="44" t="str">
        <f>IF('QUICK ENTRY'!$B111="","",'QUICK ENTRY'!$AG111)</f>
        <v/>
      </c>
      <c r="P111" s="44" t="str">
        <f>IF('QUICK ENTRY'!$B111="","",'QUICK ENTRY'!$AF111)</f>
        <v/>
      </c>
    </row>
    <row r="112" spans="1:16" ht="14.4">
      <c r="A112" s="44" t="str">
        <f>IF('QUICK ENTRY'!$B112="","",'QUICK ENTRY'!$U112)</f>
        <v/>
      </c>
      <c r="B112" s="55" t="str">
        <f>IF('QUICK ENTRY'!$B112="","",'QUICK ENTRY'!$B112)</f>
        <v/>
      </c>
      <c r="C112" s="44" t="str">
        <f>IF('QUICK ENTRY'!$B112="","",'QUICK ENTRY'!$C112)</f>
        <v/>
      </c>
      <c r="D112" s="44" t="str">
        <f>IF('QUICK ENTRY'!$B112="","",'QUICK ENTRY'!$I112)</f>
        <v/>
      </c>
      <c r="E112" s="44" t="str">
        <f>IF('QUICK ENTRY'!$B112="","",'QUICK ENTRY'!$D112)</f>
        <v/>
      </c>
      <c r="F112" s="44" t="str">
        <f>IF('QUICK ENTRY'!$B112="","",'QUICK ENTRY'!$K112)</f>
        <v/>
      </c>
      <c r="G112" s="58" t="str">
        <f>IF('QUICK ENTRY'!$B112="","",'QUICK ENTRY'!$E112)</f>
        <v/>
      </c>
      <c r="H112" s="44" t="str">
        <f>IF('QUICK ENTRY'!$B112="","",'QUICK ENTRY'!$F112)</f>
        <v/>
      </c>
      <c r="I112" s="44" t="str">
        <f>IF('QUICK ENTRY'!$B112="","",'QUICK ENTRY'!$L112)</f>
        <v/>
      </c>
      <c r="J112" s="44" t="str">
        <f>IF('QUICK ENTRY'!$B112="","",'QUICK ENTRY'!$M112)</f>
        <v/>
      </c>
      <c r="K112" s="44" t="str">
        <f>IF('QUICK ENTRY'!$B112="","",'QUICK ENTRY'!$V112)</f>
        <v/>
      </c>
      <c r="L112" s="44" t="str">
        <f>IF('QUICK ENTRY'!$B112="","",'QUICK ENTRY'!$R112)</f>
        <v/>
      </c>
      <c r="M112" s="44" t="str">
        <f>IF('QUICK ENTRY'!$B112="","",'QUICK ENTRY'!$O112)</f>
        <v/>
      </c>
      <c r="N112" s="44" t="str">
        <f>IF('QUICK ENTRY'!$B112="","",'QUICK ENTRY'!$AA112)</f>
        <v/>
      </c>
      <c r="O112" s="44" t="str">
        <f>IF('QUICK ENTRY'!$B112="","",'QUICK ENTRY'!$AG112)</f>
        <v/>
      </c>
      <c r="P112" s="44" t="str">
        <f>IF('QUICK ENTRY'!$B112="","",'QUICK ENTRY'!$AF112)</f>
        <v/>
      </c>
    </row>
    <row r="113" spans="1:16" ht="14.4">
      <c r="A113" s="44" t="str">
        <f>IF('QUICK ENTRY'!$B113="","",'QUICK ENTRY'!$U113)</f>
        <v/>
      </c>
      <c r="B113" s="55" t="str">
        <f>IF('QUICK ENTRY'!$B113="","",'QUICK ENTRY'!$B113)</f>
        <v/>
      </c>
      <c r="C113" s="44" t="str">
        <f>IF('QUICK ENTRY'!$B113="","",'QUICK ENTRY'!$C113)</f>
        <v/>
      </c>
      <c r="D113" s="44" t="str">
        <f>IF('QUICK ENTRY'!$B113="","",'QUICK ENTRY'!$I113)</f>
        <v/>
      </c>
      <c r="E113" s="44" t="str">
        <f>IF('QUICK ENTRY'!$B113="","",'QUICK ENTRY'!$D113)</f>
        <v/>
      </c>
      <c r="F113" s="44" t="str">
        <f>IF('QUICK ENTRY'!$B113="","",'QUICK ENTRY'!$K113)</f>
        <v/>
      </c>
      <c r="G113" s="58" t="str">
        <f>IF('QUICK ENTRY'!$B113="","",'QUICK ENTRY'!$E113)</f>
        <v/>
      </c>
      <c r="H113" s="44" t="str">
        <f>IF('QUICK ENTRY'!$B113="","",'QUICK ENTRY'!$F113)</f>
        <v/>
      </c>
      <c r="I113" s="44" t="str">
        <f>IF('QUICK ENTRY'!$B113="","",'QUICK ENTRY'!$L113)</f>
        <v/>
      </c>
      <c r="J113" s="44" t="str">
        <f>IF('QUICK ENTRY'!$B113="","",'QUICK ENTRY'!$M113)</f>
        <v/>
      </c>
      <c r="K113" s="44" t="str">
        <f>IF('QUICK ENTRY'!$B113="","",'QUICK ENTRY'!$V113)</f>
        <v/>
      </c>
      <c r="L113" s="44" t="str">
        <f>IF('QUICK ENTRY'!$B113="","",'QUICK ENTRY'!$R113)</f>
        <v/>
      </c>
      <c r="M113" s="44" t="str">
        <f>IF('QUICK ENTRY'!$B113="","",'QUICK ENTRY'!$O113)</f>
        <v/>
      </c>
      <c r="N113" s="44" t="str">
        <f>IF('QUICK ENTRY'!$B113="","",'QUICK ENTRY'!$AA113)</f>
        <v/>
      </c>
      <c r="O113" s="44" t="str">
        <f>IF('QUICK ENTRY'!$B113="","",'QUICK ENTRY'!$AG113)</f>
        <v/>
      </c>
      <c r="P113" s="44" t="str">
        <f>IF('QUICK ENTRY'!$B113="","",'QUICK ENTRY'!$AF113)</f>
        <v/>
      </c>
    </row>
    <row r="114" spans="1:16" ht="14.4">
      <c r="A114" s="44" t="str">
        <f>IF('QUICK ENTRY'!$B114="","",'QUICK ENTRY'!$U114)</f>
        <v/>
      </c>
      <c r="B114" s="55" t="str">
        <f>IF('QUICK ENTRY'!$B114="","",'QUICK ENTRY'!$B114)</f>
        <v/>
      </c>
      <c r="C114" s="44" t="str">
        <f>IF('QUICK ENTRY'!$B114="","",'QUICK ENTRY'!$C114)</f>
        <v/>
      </c>
      <c r="D114" s="44" t="str">
        <f>IF('QUICK ENTRY'!$B114="","",'QUICK ENTRY'!$I114)</f>
        <v/>
      </c>
      <c r="E114" s="44" t="str">
        <f>IF('QUICK ENTRY'!$B114="","",'QUICK ENTRY'!$D114)</f>
        <v/>
      </c>
      <c r="F114" s="44" t="str">
        <f>IF('QUICK ENTRY'!$B114="","",'QUICK ENTRY'!$K114)</f>
        <v/>
      </c>
      <c r="G114" s="58" t="str">
        <f>IF('QUICK ENTRY'!$B114="","",'QUICK ENTRY'!$E114)</f>
        <v/>
      </c>
      <c r="H114" s="44" t="str">
        <f>IF('QUICK ENTRY'!$B114="","",'QUICK ENTRY'!$F114)</f>
        <v/>
      </c>
      <c r="I114" s="44" t="str">
        <f>IF('QUICK ENTRY'!$B114="","",'QUICK ENTRY'!$L114)</f>
        <v/>
      </c>
      <c r="J114" s="44" t="str">
        <f>IF('QUICK ENTRY'!$B114="","",'QUICK ENTRY'!$M114)</f>
        <v/>
      </c>
      <c r="K114" s="44" t="str">
        <f>IF('QUICK ENTRY'!$B114="","",'QUICK ENTRY'!$V114)</f>
        <v/>
      </c>
      <c r="L114" s="44" t="str">
        <f>IF('QUICK ENTRY'!$B114="","",'QUICK ENTRY'!$R114)</f>
        <v/>
      </c>
      <c r="M114" s="44" t="str">
        <f>IF('QUICK ENTRY'!$B114="","",'QUICK ENTRY'!$O114)</f>
        <v/>
      </c>
      <c r="N114" s="44" t="str">
        <f>IF('QUICK ENTRY'!$B114="","",'QUICK ENTRY'!$AA114)</f>
        <v/>
      </c>
      <c r="O114" s="44" t="str">
        <f>IF('QUICK ENTRY'!$B114="","",'QUICK ENTRY'!$AG114)</f>
        <v/>
      </c>
      <c r="P114" s="44" t="str">
        <f>IF('QUICK ENTRY'!$B114="","",'QUICK ENTRY'!$AF114)</f>
        <v/>
      </c>
    </row>
    <row r="115" spans="1:16" ht="14.4">
      <c r="A115" s="44" t="str">
        <f>IF('QUICK ENTRY'!$B115="","",'QUICK ENTRY'!$U115)</f>
        <v/>
      </c>
      <c r="B115" s="55" t="str">
        <f>IF('QUICK ENTRY'!$B115="","",'QUICK ENTRY'!$B115)</f>
        <v/>
      </c>
      <c r="C115" s="44" t="str">
        <f>IF('QUICK ENTRY'!$B115="","",'QUICK ENTRY'!$C115)</f>
        <v/>
      </c>
      <c r="D115" s="44" t="str">
        <f>IF('QUICK ENTRY'!$B115="","",'QUICK ENTRY'!$I115)</f>
        <v/>
      </c>
      <c r="E115" s="44" t="str">
        <f>IF('QUICK ENTRY'!$B115="","",'QUICK ENTRY'!$D115)</f>
        <v/>
      </c>
      <c r="F115" s="44" t="str">
        <f>IF('QUICK ENTRY'!$B115="","",'QUICK ENTRY'!$K115)</f>
        <v/>
      </c>
      <c r="G115" s="58" t="str">
        <f>IF('QUICK ENTRY'!$B115="","",'QUICK ENTRY'!$E115)</f>
        <v/>
      </c>
      <c r="H115" s="44" t="str">
        <f>IF('QUICK ENTRY'!$B115="","",'QUICK ENTRY'!$F115)</f>
        <v/>
      </c>
      <c r="I115" s="44" t="str">
        <f>IF('QUICK ENTRY'!$B115="","",'QUICK ENTRY'!$L115)</f>
        <v/>
      </c>
      <c r="J115" s="44" t="str">
        <f>IF('QUICK ENTRY'!$B115="","",'QUICK ENTRY'!$M115)</f>
        <v/>
      </c>
      <c r="K115" s="44" t="str">
        <f>IF('QUICK ENTRY'!$B115="","",'QUICK ENTRY'!$V115)</f>
        <v/>
      </c>
      <c r="L115" s="44" t="str">
        <f>IF('QUICK ENTRY'!$B115="","",'QUICK ENTRY'!$R115)</f>
        <v/>
      </c>
      <c r="M115" s="44" t="str">
        <f>IF('QUICK ENTRY'!$B115="","",'QUICK ENTRY'!$O115)</f>
        <v/>
      </c>
      <c r="N115" s="44" t="str">
        <f>IF('QUICK ENTRY'!$B115="","",'QUICK ENTRY'!$AA115)</f>
        <v/>
      </c>
      <c r="O115" s="44" t="str">
        <f>IF('QUICK ENTRY'!$B115="","",'QUICK ENTRY'!$AG115)</f>
        <v/>
      </c>
      <c r="P115" s="44" t="str">
        <f>IF('QUICK ENTRY'!$B115="","",'QUICK ENTRY'!$AF115)</f>
        <v/>
      </c>
    </row>
    <row r="116" spans="1:16" ht="14.4">
      <c r="A116" s="44" t="str">
        <f>IF('QUICK ENTRY'!$B116="","",'QUICK ENTRY'!$U116)</f>
        <v/>
      </c>
      <c r="B116" s="55" t="str">
        <f>IF('QUICK ENTRY'!$B116="","",'QUICK ENTRY'!$B116)</f>
        <v/>
      </c>
      <c r="C116" s="44" t="str">
        <f>IF('QUICK ENTRY'!$B116="","",'QUICK ENTRY'!$C116)</f>
        <v/>
      </c>
      <c r="D116" s="44" t="str">
        <f>IF('QUICK ENTRY'!$B116="","",'QUICK ENTRY'!$I116)</f>
        <v/>
      </c>
      <c r="E116" s="44" t="str">
        <f>IF('QUICK ENTRY'!$B116="","",'QUICK ENTRY'!$D116)</f>
        <v/>
      </c>
      <c r="F116" s="44" t="str">
        <f>IF('QUICK ENTRY'!$B116="","",'QUICK ENTRY'!$K116)</f>
        <v/>
      </c>
      <c r="G116" s="58" t="str">
        <f>IF('QUICK ENTRY'!$B116="","",'QUICK ENTRY'!$E116)</f>
        <v/>
      </c>
      <c r="H116" s="44" t="str">
        <f>IF('QUICK ENTRY'!$B116="","",'QUICK ENTRY'!$F116)</f>
        <v/>
      </c>
      <c r="I116" s="44" t="str">
        <f>IF('QUICK ENTRY'!$B116="","",'QUICK ENTRY'!$L116)</f>
        <v/>
      </c>
      <c r="J116" s="44" t="str">
        <f>IF('QUICK ENTRY'!$B116="","",'QUICK ENTRY'!$M116)</f>
        <v/>
      </c>
      <c r="K116" s="44" t="str">
        <f>IF('QUICK ENTRY'!$B116="","",'QUICK ENTRY'!$V116)</f>
        <v/>
      </c>
      <c r="L116" s="44" t="str">
        <f>IF('QUICK ENTRY'!$B116="","",'QUICK ENTRY'!$R116)</f>
        <v/>
      </c>
      <c r="M116" s="44" t="str">
        <f>IF('QUICK ENTRY'!$B116="","",'QUICK ENTRY'!$O116)</f>
        <v/>
      </c>
      <c r="N116" s="44" t="str">
        <f>IF('QUICK ENTRY'!$B116="","",'QUICK ENTRY'!$AA116)</f>
        <v/>
      </c>
      <c r="O116" s="44" t="str">
        <f>IF('QUICK ENTRY'!$B116="","",'QUICK ENTRY'!$AG116)</f>
        <v/>
      </c>
      <c r="P116" s="44" t="str">
        <f>IF('QUICK ENTRY'!$B116="","",'QUICK ENTRY'!$AF116)</f>
        <v/>
      </c>
    </row>
    <row r="117" spans="1:16" ht="14.4">
      <c r="A117" s="44" t="str">
        <f>IF('QUICK ENTRY'!$B117="","",'QUICK ENTRY'!$U117)</f>
        <v/>
      </c>
      <c r="B117" s="55" t="str">
        <f>IF('QUICK ENTRY'!$B117="","",'QUICK ENTRY'!$B117)</f>
        <v/>
      </c>
      <c r="C117" s="44" t="str">
        <f>IF('QUICK ENTRY'!$B117="","",'QUICK ENTRY'!$C117)</f>
        <v/>
      </c>
      <c r="D117" s="44" t="str">
        <f>IF('QUICK ENTRY'!$B117="","",'QUICK ENTRY'!$I117)</f>
        <v/>
      </c>
      <c r="E117" s="44" t="str">
        <f>IF('QUICK ENTRY'!$B117="","",'QUICK ENTRY'!$D117)</f>
        <v/>
      </c>
      <c r="F117" s="44" t="str">
        <f>IF('QUICK ENTRY'!$B117="","",'QUICK ENTRY'!$K117)</f>
        <v/>
      </c>
      <c r="G117" s="58" t="str">
        <f>IF('QUICK ENTRY'!$B117="","",'QUICK ENTRY'!$E117)</f>
        <v/>
      </c>
      <c r="H117" s="44" t="str">
        <f>IF('QUICK ENTRY'!$B117="","",'QUICK ENTRY'!$F117)</f>
        <v/>
      </c>
      <c r="I117" s="44" t="str">
        <f>IF('QUICK ENTRY'!$B117="","",'QUICK ENTRY'!$L117)</f>
        <v/>
      </c>
      <c r="J117" s="44" t="str">
        <f>IF('QUICK ENTRY'!$B117="","",'QUICK ENTRY'!$M117)</f>
        <v/>
      </c>
      <c r="K117" s="44" t="str">
        <f>IF('QUICK ENTRY'!$B117="","",'QUICK ENTRY'!$V117)</f>
        <v/>
      </c>
      <c r="L117" s="44" t="str">
        <f>IF('QUICK ENTRY'!$B117="","",'QUICK ENTRY'!$R117)</f>
        <v/>
      </c>
      <c r="M117" s="44" t="str">
        <f>IF('QUICK ENTRY'!$B117="","",'QUICK ENTRY'!$O117)</f>
        <v/>
      </c>
      <c r="N117" s="44" t="str">
        <f>IF('QUICK ENTRY'!$B117="","",'QUICK ENTRY'!$AA117)</f>
        <v/>
      </c>
      <c r="O117" s="44" t="str">
        <f>IF('QUICK ENTRY'!$B117="","",'QUICK ENTRY'!$AG117)</f>
        <v/>
      </c>
      <c r="P117" s="44" t="str">
        <f>IF('QUICK ENTRY'!$B117="","",'QUICK ENTRY'!$AF117)</f>
        <v/>
      </c>
    </row>
    <row r="118" spans="1:16" ht="14.4">
      <c r="A118" s="44" t="str">
        <f>IF('QUICK ENTRY'!$B118="","",'QUICK ENTRY'!$U118)</f>
        <v/>
      </c>
      <c r="B118" s="55" t="str">
        <f>IF('QUICK ENTRY'!$B118="","",'QUICK ENTRY'!$B118)</f>
        <v/>
      </c>
      <c r="C118" s="44" t="str">
        <f>IF('QUICK ENTRY'!$B118="","",'QUICK ENTRY'!$C118)</f>
        <v/>
      </c>
      <c r="D118" s="44" t="str">
        <f>IF('QUICK ENTRY'!$B118="","",'QUICK ENTRY'!$I118)</f>
        <v/>
      </c>
      <c r="E118" s="44" t="str">
        <f>IF('QUICK ENTRY'!$B118="","",'QUICK ENTRY'!$D118)</f>
        <v/>
      </c>
      <c r="F118" s="44" t="str">
        <f>IF('QUICK ENTRY'!$B118="","",'QUICK ENTRY'!$K118)</f>
        <v/>
      </c>
      <c r="G118" s="58" t="str">
        <f>IF('QUICK ENTRY'!$B118="","",'QUICK ENTRY'!$E118)</f>
        <v/>
      </c>
      <c r="H118" s="44" t="str">
        <f>IF('QUICK ENTRY'!$B118="","",'QUICK ENTRY'!$F118)</f>
        <v/>
      </c>
      <c r="I118" s="44" t="str">
        <f>IF('QUICK ENTRY'!$B118="","",'QUICK ENTRY'!$L118)</f>
        <v/>
      </c>
      <c r="J118" s="44" t="str">
        <f>IF('QUICK ENTRY'!$B118="","",'QUICK ENTRY'!$M118)</f>
        <v/>
      </c>
      <c r="K118" s="44" t="str">
        <f>IF('QUICK ENTRY'!$B118="","",'QUICK ENTRY'!$V118)</f>
        <v/>
      </c>
      <c r="L118" s="44" t="str">
        <f>IF('QUICK ENTRY'!$B118="","",'QUICK ENTRY'!$R118)</f>
        <v/>
      </c>
      <c r="M118" s="44" t="str">
        <f>IF('QUICK ENTRY'!$B118="","",'QUICK ENTRY'!$O118)</f>
        <v/>
      </c>
      <c r="N118" s="44" t="str">
        <f>IF('QUICK ENTRY'!$B118="","",'QUICK ENTRY'!$AA118)</f>
        <v/>
      </c>
      <c r="O118" s="44" t="str">
        <f>IF('QUICK ENTRY'!$B118="","",'QUICK ENTRY'!$AG118)</f>
        <v/>
      </c>
      <c r="P118" s="44" t="str">
        <f>IF('QUICK ENTRY'!$B118="","",'QUICK ENTRY'!$AF118)</f>
        <v/>
      </c>
    </row>
    <row r="119" spans="1:16" ht="14.4">
      <c r="A119" s="44" t="str">
        <f>IF('QUICK ENTRY'!$B119="","",'QUICK ENTRY'!$U119)</f>
        <v/>
      </c>
      <c r="B119" s="55" t="str">
        <f>IF('QUICK ENTRY'!$B119="","",'QUICK ENTRY'!$B119)</f>
        <v/>
      </c>
      <c r="C119" s="44" t="str">
        <f>IF('QUICK ENTRY'!$B119="","",'QUICK ENTRY'!$C119)</f>
        <v/>
      </c>
      <c r="D119" s="44" t="str">
        <f>IF('QUICK ENTRY'!$B119="","",'QUICK ENTRY'!$I119)</f>
        <v/>
      </c>
      <c r="E119" s="44" t="str">
        <f>IF('QUICK ENTRY'!$B119="","",'QUICK ENTRY'!$D119)</f>
        <v/>
      </c>
      <c r="F119" s="44" t="str">
        <f>IF('QUICK ENTRY'!$B119="","",'QUICK ENTRY'!$K119)</f>
        <v/>
      </c>
      <c r="G119" s="58" t="str">
        <f>IF('QUICK ENTRY'!$B119="","",'QUICK ENTRY'!$E119)</f>
        <v/>
      </c>
      <c r="H119" s="44" t="str">
        <f>IF('QUICK ENTRY'!$B119="","",'QUICK ENTRY'!$F119)</f>
        <v/>
      </c>
      <c r="I119" s="44" t="str">
        <f>IF('QUICK ENTRY'!$B119="","",'QUICK ENTRY'!$L119)</f>
        <v/>
      </c>
      <c r="J119" s="44" t="str">
        <f>IF('QUICK ENTRY'!$B119="","",'QUICK ENTRY'!$M119)</f>
        <v/>
      </c>
      <c r="K119" s="44" t="str">
        <f>IF('QUICK ENTRY'!$B119="","",'QUICK ENTRY'!$V119)</f>
        <v/>
      </c>
      <c r="L119" s="44" t="str">
        <f>IF('QUICK ENTRY'!$B119="","",'QUICK ENTRY'!$R119)</f>
        <v/>
      </c>
      <c r="M119" s="44" t="str">
        <f>IF('QUICK ENTRY'!$B119="","",'QUICK ENTRY'!$O119)</f>
        <v/>
      </c>
      <c r="N119" s="44" t="str">
        <f>IF('QUICK ENTRY'!$B119="","",'QUICK ENTRY'!$AA119)</f>
        <v/>
      </c>
      <c r="O119" s="44" t="str">
        <f>IF('QUICK ENTRY'!$B119="","",'QUICK ENTRY'!$AG119)</f>
        <v/>
      </c>
      <c r="P119" s="44" t="str">
        <f>IF('QUICK ENTRY'!$B119="","",'QUICK ENTRY'!$AF119)</f>
        <v/>
      </c>
    </row>
    <row r="120" spans="1:16" ht="14.4">
      <c r="A120" s="44" t="str">
        <f>IF('QUICK ENTRY'!$B120="","",'QUICK ENTRY'!$U120)</f>
        <v/>
      </c>
      <c r="B120" s="55" t="str">
        <f>IF('QUICK ENTRY'!$B120="","",'QUICK ENTRY'!$B120)</f>
        <v/>
      </c>
      <c r="C120" s="44" t="str">
        <f>IF('QUICK ENTRY'!$B120="","",'QUICK ENTRY'!$C120)</f>
        <v/>
      </c>
      <c r="D120" s="44" t="str">
        <f>IF('QUICK ENTRY'!$B120="","",'QUICK ENTRY'!$I120)</f>
        <v/>
      </c>
      <c r="E120" s="44" t="str">
        <f>IF('QUICK ENTRY'!$B120="","",'QUICK ENTRY'!$D120)</f>
        <v/>
      </c>
      <c r="F120" s="44" t="str">
        <f>IF('QUICK ENTRY'!$B120="","",'QUICK ENTRY'!$K120)</f>
        <v/>
      </c>
      <c r="G120" s="58" t="str">
        <f>IF('QUICK ENTRY'!$B120="","",'QUICK ENTRY'!$E120)</f>
        <v/>
      </c>
      <c r="H120" s="44" t="str">
        <f>IF('QUICK ENTRY'!$B120="","",'QUICK ENTRY'!$F120)</f>
        <v/>
      </c>
      <c r="I120" s="44" t="str">
        <f>IF('QUICK ENTRY'!$B120="","",'QUICK ENTRY'!$L120)</f>
        <v/>
      </c>
      <c r="J120" s="44" t="str">
        <f>IF('QUICK ENTRY'!$B120="","",'QUICK ENTRY'!$M120)</f>
        <v/>
      </c>
      <c r="K120" s="44" t="str">
        <f>IF('QUICK ENTRY'!$B120="","",'QUICK ENTRY'!$V120)</f>
        <v/>
      </c>
      <c r="L120" s="44" t="str">
        <f>IF('QUICK ENTRY'!$B120="","",'QUICK ENTRY'!$R120)</f>
        <v/>
      </c>
      <c r="M120" s="44" t="str">
        <f>IF('QUICK ENTRY'!$B120="","",'QUICK ENTRY'!$O120)</f>
        <v/>
      </c>
      <c r="N120" s="44" t="str">
        <f>IF('QUICK ENTRY'!$B120="","",'QUICK ENTRY'!$AA120)</f>
        <v/>
      </c>
      <c r="O120" s="44" t="str">
        <f>IF('QUICK ENTRY'!$B120="","",'QUICK ENTRY'!$AG120)</f>
        <v/>
      </c>
      <c r="P120" s="44" t="str">
        <f>IF('QUICK ENTRY'!$B120="","",'QUICK ENTRY'!$AF120)</f>
        <v/>
      </c>
    </row>
    <row r="121" spans="1:16" ht="14.4">
      <c r="A121" s="44" t="str">
        <f>IF('QUICK ENTRY'!$B121="","",'QUICK ENTRY'!$U121)</f>
        <v/>
      </c>
      <c r="B121" s="55" t="str">
        <f>IF('QUICK ENTRY'!$B121="","",'QUICK ENTRY'!$B121)</f>
        <v/>
      </c>
      <c r="C121" s="44" t="str">
        <f>IF('QUICK ENTRY'!$B121="","",'QUICK ENTRY'!$C121)</f>
        <v/>
      </c>
      <c r="D121" s="44" t="str">
        <f>IF('QUICK ENTRY'!$B121="","",'QUICK ENTRY'!$I121)</f>
        <v/>
      </c>
      <c r="E121" s="44" t="str">
        <f>IF('QUICK ENTRY'!$B121="","",'QUICK ENTRY'!$D121)</f>
        <v/>
      </c>
      <c r="F121" s="44" t="str">
        <f>IF('QUICK ENTRY'!$B121="","",'QUICK ENTRY'!$K121)</f>
        <v/>
      </c>
      <c r="G121" s="58" t="str">
        <f>IF('QUICK ENTRY'!$B121="","",'QUICK ENTRY'!$E121)</f>
        <v/>
      </c>
      <c r="H121" s="44" t="str">
        <f>IF('QUICK ENTRY'!$B121="","",'QUICK ENTRY'!$F121)</f>
        <v/>
      </c>
      <c r="I121" s="44" t="str">
        <f>IF('QUICK ENTRY'!$B121="","",'QUICK ENTRY'!$L121)</f>
        <v/>
      </c>
      <c r="J121" s="44" t="str">
        <f>IF('QUICK ENTRY'!$B121="","",'QUICK ENTRY'!$M121)</f>
        <v/>
      </c>
      <c r="K121" s="44" t="str">
        <f>IF('QUICK ENTRY'!$B121="","",'QUICK ENTRY'!$V121)</f>
        <v/>
      </c>
      <c r="L121" s="44" t="str">
        <f>IF('QUICK ENTRY'!$B121="","",'QUICK ENTRY'!$R121)</f>
        <v/>
      </c>
      <c r="M121" s="44" t="str">
        <f>IF('QUICK ENTRY'!$B121="","",'QUICK ENTRY'!$O121)</f>
        <v/>
      </c>
      <c r="N121" s="44" t="str">
        <f>IF('QUICK ENTRY'!$B121="","",'QUICK ENTRY'!$AA121)</f>
        <v/>
      </c>
      <c r="O121" s="44" t="str">
        <f>IF('QUICK ENTRY'!$B121="","",'QUICK ENTRY'!$AG121)</f>
        <v/>
      </c>
      <c r="P121" s="44" t="str">
        <f>IF('QUICK ENTRY'!$B121="","",'QUICK ENTRY'!$AF121)</f>
        <v/>
      </c>
    </row>
    <row r="122" spans="1:16" ht="14.4">
      <c r="A122" s="44" t="str">
        <f>IF('QUICK ENTRY'!$B122="","",'QUICK ENTRY'!$U122)</f>
        <v/>
      </c>
      <c r="B122" s="55" t="str">
        <f>IF('QUICK ENTRY'!$B122="","",'QUICK ENTRY'!$B122)</f>
        <v/>
      </c>
      <c r="C122" s="44" t="str">
        <f>IF('QUICK ENTRY'!$B122="","",'QUICK ENTRY'!$C122)</f>
        <v/>
      </c>
      <c r="D122" s="44" t="str">
        <f>IF('QUICK ENTRY'!$B122="","",'QUICK ENTRY'!$I122)</f>
        <v/>
      </c>
      <c r="E122" s="44" t="str">
        <f>IF('QUICK ENTRY'!$B122="","",'QUICK ENTRY'!$D122)</f>
        <v/>
      </c>
      <c r="F122" s="44" t="str">
        <f>IF('QUICK ENTRY'!$B122="","",'QUICK ENTRY'!$K122)</f>
        <v/>
      </c>
      <c r="G122" s="58" t="str">
        <f>IF('QUICK ENTRY'!$B122="","",'QUICK ENTRY'!$E122)</f>
        <v/>
      </c>
      <c r="H122" s="44" t="str">
        <f>IF('QUICK ENTRY'!$B122="","",'QUICK ENTRY'!$F122)</f>
        <v/>
      </c>
      <c r="I122" s="44" t="str">
        <f>IF('QUICK ENTRY'!$B122="","",'QUICK ENTRY'!$L122)</f>
        <v/>
      </c>
      <c r="J122" s="44" t="str">
        <f>IF('QUICK ENTRY'!$B122="","",'QUICK ENTRY'!$M122)</f>
        <v/>
      </c>
      <c r="K122" s="44" t="str">
        <f>IF('QUICK ENTRY'!$B122="","",'QUICK ENTRY'!$V122)</f>
        <v/>
      </c>
      <c r="L122" s="44" t="str">
        <f>IF('QUICK ENTRY'!$B122="","",'QUICK ENTRY'!$R122)</f>
        <v/>
      </c>
      <c r="M122" s="44" t="str">
        <f>IF('QUICK ENTRY'!$B122="","",'QUICK ENTRY'!$O122)</f>
        <v/>
      </c>
      <c r="N122" s="44" t="str">
        <f>IF('QUICK ENTRY'!$B122="","",'QUICK ENTRY'!$AA122)</f>
        <v/>
      </c>
      <c r="O122" s="44" t="str">
        <f>IF('QUICK ENTRY'!$B122="","",'QUICK ENTRY'!$AG122)</f>
        <v/>
      </c>
      <c r="P122" s="44" t="str">
        <f>IF('QUICK ENTRY'!$B122="","",'QUICK ENTRY'!$AF122)</f>
        <v/>
      </c>
    </row>
    <row r="123" spans="1:16" ht="14.4">
      <c r="A123" s="44" t="str">
        <f>IF('QUICK ENTRY'!$B123="","",'QUICK ENTRY'!$U123)</f>
        <v/>
      </c>
      <c r="B123" s="55" t="str">
        <f>IF('QUICK ENTRY'!$B123="","",'QUICK ENTRY'!$B123)</f>
        <v/>
      </c>
      <c r="C123" s="44" t="str">
        <f>IF('QUICK ENTRY'!$B123="","",'QUICK ENTRY'!$C123)</f>
        <v/>
      </c>
      <c r="D123" s="44" t="str">
        <f>IF('QUICK ENTRY'!$B123="","",'QUICK ENTRY'!$I123)</f>
        <v/>
      </c>
      <c r="E123" s="44" t="str">
        <f>IF('QUICK ENTRY'!$B123="","",'QUICK ENTRY'!$D123)</f>
        <v/>
      </c>
      <c r="F123" s="44" t="str">
        <f>IF('QUICK ENTRY'!$B123="","",'QUICK ENTRY'!$K123)</f>
        <v/>
      </c>
      <c r="G123" s="58" t="str">
        <f>IF('QUICK ENTRY'!$B123="","",'QUICK ENTRY'!$E123)</f>
        <v/>
      </c>
      <c r="H123" s="44" t="str">
        <f>IF('QUICK ENTRY'!$B123="","",'QUICK ENTRY'!$F123)</f>
        <v/>
      </c>
      <c r="I123" s="44" t="str">
        <f>IF('QUICK ENTRY'!$B123="","",'QUICK ENTRY'!$L123)</f>
        <v/>
      </c>
      <c r="J123" s="44" t="str">
        <f>IF('QUICK ENTRY'!$B123="","",'QUICK ENTRY'!$M123)</f>
        <v/>
      </c>
      <c r="K123" s="44" t="str">
        <f>IF('QUICK ENTRY'!$B123="","",'QUICK ENTRY'!$V123)</f>
        <v/>
      </c>
      <c r="L123" s="44" t="str">
        <f>IF('QUICK ENTRY'!$B123="","",'QUICK ENTRY'!$R123)</f>
        <v/>
      </c>
      <c r="M123" s="44" t="str">
        <f>IF('QUICK ENTRY'!$B123="","",'QUICK ENTRY'!$O123)</f>
        <v/>
      </c>
      <c r="N123" s="44" t="str">
        <f>IF('QUICK ENTRY'!$B123="","",'QUICK ENTRY'!$AA123)</f>
        <v/>
      </c>
      <c r="O123" s="44" t="str">
        <f>IF('QUICK ENTRY'!$B123="","",'QUICK ENTRY'!$AG123)</f>
        <v/>
      </c>
      <c r="P123" s="44" t="str">
        <f>IF('QUICK ENTRY'!$B123="","",'QUICK ENTRY'!$AF123)</f>
        <v/>
      </c>
    </row>
    <row r="124" spans="1:16" ht="14.4">
      <c r="A124" s="44" t="str">
        <f>IF('QUICK ENTRY'!$B124="","",'QUICK ENTRY'!$U124)</f>
        <v/>
      </c>
      <c r="B124" s="55" t="str">
        <f>IF('QUICK ENTRY'!$B124="","",'QUICK ENTRY'!$B124)</f>
        <v/>
      </c>
      <c r="C124" s="44" t="str">
        <f>IF('QUICK ENTRY'!$B124="","",'QUICK ENTRY'!$C124)</f>
        <v/>
      </c>
      <c r="D124" s="44" t="str">
        <f>IF('QUICK ENTRY'!$B124="","",'QUICK ENTRY'!$I124)</f>
        <v/>
      </c>
      <c r="E124" s="44" t="str">
        <f>IF('QUICK ENTRY'!$B124="","",'QUICK ENTRY'!$D124)</f>
        <v/>
      </c>
      <c r="F124" s="44" t="str">
        <f>IF('QUICK ENTRY'!$B124="","",'QUICK ENTRY'!$K124)</f>
        <v/>
      </c>
      <c r="G124" s="58" t="str">
        <f>IF('QUICK ENTRY'!$B124="","",'QUICK ENTRY'!$E124)</f>
        <v/>
      </c>
      <c r="H124" s="44" t="str">
        <f>IF('QUICK ENTRY'!$B124="","",'QUICK ENTRY'!$F124)</f>
        <v/>
      </c>
      <c r="I124" s="44" t="str">
        <f>IF('QUICK ENTRY'!$B124="","",'QUICK ENTRY'!$L124)</f>
        <v/>
      </c>
      <c r="J124" s="44" t="str">
        <f>IF('QUICK ENTRY'!$B124="","",'QUICK ENTRY'!$M124)</f>
        <v/>
      </c>
      <c r="K124" s="44" t="str">
        <f>IF('QUICK ENTRY'!$B124="","",'QUICK ENTRY'!$V124)</f>
        <v/>
      </c>
      <c r="L124" s="44" t="str">
        <f>IF('QUICK ENTRY'!$B124="","",'QUICK ENTRY'!$R124)</f>
        <v/>
      </c>
      <c r="M124" s="44" t="str">
        <f>IF('QUICK ENTRY'!$B124="","",'QUICK ENTRY'!$O124)</f>
        <v/>
      </c>
      <c r="N124" s="44" t="str">
        <f>IF('QUICK ENTRY'!$B124="","",'QUICK ENTRY'!$AA124)</f>
        <v/>
      </c>
      <c r="O124" s="44" t="str">
        <f>IF('QUICK ENTRY'!$B124="","",'QUICK ENTRY'!$AG124)</f>
        <v/>
      </c>
      <c r="P124" s="44" t="str">
        <f>IF('QUICK ENTRY'!$B124="","",'QUICK ENTRY'!$AF124)</f>
        <v/>
      </c>
    </row>
    <row r="125" spans="1:16" ht="14.4">
      <c r="A125" s="44" t="str">
        <f>IF('QUICK ENTRY'!$B125="","",'QUICK ENTRY'!$U125)</f>
        <v/>
      </c>
      <c r="B125" s="55" t="str">
        <f>IF('QUICK ENTRY'!$B125="","",'QUICK ENTRY'!$B125)</f>
        <v/>
      </c>
      <c r="C125" s="44" t="str">
        <f>IF('QUICK ENTRY'!$B125="","",'QUICK ENTRY'!$C125)</f>
        <v/>
      </c>
      <c r="D125" s="44" t="str">
        <f>IF('QUICK ENTRY'!$B125="","",'QUICK ENTRY'!$I125)</f>
        <v/>
      </c>
      <c r="E125" s="44" t="str">
        <f>IF('QUICK ENTRY'!$B125="","",'QUICK ENTRY'!$D125)</f>
        <v/>
      </c>
      <c r="F125" s="44" t="str">
        <f>IF('QUICK ENTRY'!$B125="","",'QUICK ENTRY'!$K125)</f>
        <v/>
      </c>
      <c r="G125" s="58" t="str">
        <f>IF('QUICK ENTRY'!$B125="","",'QUICK ENTRY'!$E125)</f>
        <v/>
      </c>
      <c r="H125" s="44" t="str">
        <f>IF('QUICK ENTRY'!$B125="","",'QUICK ENTRY'!$F125)</f>
        <v/>
      </c>
      <c r="I125" s="44" t="str">
        <f>IF('QUICK ENTRY'!$B125="","",'QUICK ENTRY'!$L125)</f>
        <v/>
      </c>
      <c r="J125" s="44" t="str">
        <f>IF('QUICK ENTRY'!$B125="","",'QUICK ENTRY'!$M125)</f>
        <v/>
      </c>
      <c r="K125" s="44" t="str">
        <f>IF('QUICK ENTRY'!$B125="","",'QUICK ENTRY'!$V125)</f>
        <v/>
      </c>
      <c r="L125" s="44" t="str">
        <f>IF('QUICK ENTRY'!$B125="","",'QUICK ENTRY'!$R125)</f>
        <v/>
      </c>
      <c r="M125" s="44" t="str">
        <f>IF('QUICK ENTRY'!$B125="","",'QUICK ENTRY'!$O125)</f>
        <v/>
      </c>
      <c r="N125" s="44" t="str">
        <f>IF('QUICK ENTRY'!$B125="","",'QUICK ENTRY'!$AA125)</f>
        <v/>
      </c>
      <c r="O125" s="44" t="str">
        <f>IF('QUICK ENTRY'!$B125="","",'QUICK ENTRY'!$AG125)</f>
        <v/>
      </c>
      <c r="P125" s="44" t="str">
        <f>IF('QUICK ENTRY'!$B125="","",'QUICK ENTRY'!$AF125)</f>
        <v/>
      </c>
    </row>
    <row r="126" spans="1:16" ht="14.4">
      <c r="A126" s="44" t="str">
        <f>IF('QUICK ENTRY'!$B126="","",'QUICK ENTRY'!$U126)</f>
        <v/>
      </c>
      <c r="B126" s="55" t="str">
        <f>IF('QUICK ENTRY'!$B126="","",'QUICK ENTRY'!$B126)</f>
        <v/>
      </c>
      <c r="C126" s="44" t="str">
        <f>IF('QUICK ENTRY'!$B126="","",'QUICK ENTRY'!$C126)</f>
        <v/>
      </c>
      <c r="D126" s="44" t="str">
        <f>IF('QUICK ENTRY'!$B126="","",'QUICK ENTRY'!$I126)</f>
        <v/>
      </c>
      <c r="E126" s="44" t="str">
        <f>IF('QUICK ENTRY'!$B126="","",'QUICK ENTRY'!$D126)</f>
        <v/>
      </c>
      <c r="F126" s="44" t="str">
        <f>IF('QUICK ENTRY'!$B126="","",'QUICK ENTRY'!$K126)</f>
        <v/>
      </c>
      <c r="G126" s="58" t="str">
        <f>IF('QUICK ENTRY'!$B126="","",'QUICK ENTRY'!$E126)</f>
        <v/>
      </c>
      <c r="H126" s="44" t="str">
        <f>IF('QUICK ENTRY'!$B126="","",'QUICK ENTRY'!$F126)</f>
        <v/>
      </c>
      <c r="I126" s="44" t="str">
        <f>IF('QUICK ENTRY'!$B126="","",'QUICK ENTRY'!$L126)</f>
        <v/>
      </c>
      <c r="J126" s="44" t="str">
        <f>IF('QUICK ENTRY'!$B126="","",'QUICK ENTRY'!$M126)</f>
        <v/>
      </c>
      <c r="K126" s="44" t="str">
        <f>IF('QUICK ENTRY'!$B126="","",'QUICK ENTRY'!$V126)</f>
        <v/>
      </c>
      <c r="L126" s="44" t="str">
        <f>IF('QUICK ENTRY'!$B126="","",'QUICK ENTRY'!$R126)</f>
        <v/>
      </c>
      <c r="M126" s="44" t="str">
        <f>IF('QUICK ENTRY'!$B126="","",'QUICK ENTRY'!$O126)</f>
        <v/>
      </c>
      <c r="N126" s="44" t="str">
        <f>IF('QUICK ENTRY'!$B126="","",'QUICK ENTRY'!$AA126)</f>
        <v/>
      </c>
      <c r="O126" s="44" t="str">
        <f>IF('QUICK ENTRY'!$B126="","",'QUICK ENTRY'!$AG126)</f>
        <v/>
      </c>
      <c r="P126" s="44" t="str">
        <f>IF('QUICK ENTRY'!$B126="","",'QUICK ENTRY'!$AF126)</f>
        <v/>
      </c>
    </row>
    <row r="127" spans="1:16" ht="14.4">
      <c r="A127" s="44" t="str">
        <f>IF('QUICK ENTRY'!$B127="","",'QUICK ENTRY'!$U127)</f>
        <v/>
      </c>
      <c r="B127" s="55" t="str">
        <f>IF('QUICK ENTRY'!$B127="","",'QUICK ENTRY'!$B127)</f>
        <v/>
      </c>
      <c r="C127" s="44" t="str">
        <f>IF('QUICK ENTRY'!$B127="","",'QUICK ENTRY'!$C127)</f>
        <v/>
      </c>
      <c r="D127" s="44" t="str">
        <f>IF('QUICK ENTRY'!$B127="","",'QUICK ENTRY'!$I127)</f>
        <v/>
      </c>
      <c r="E127" s="44" t="str">
        <f>IF('QUICK ENTRY'!$B127="","",'QUICK ENTRY'!$D127)</f>
        <v/>
      </c>
      <c r="F127" s="44" t="str">
        <f>IF('QUICK ENTRY'!$B127="","",'QUICK ENTRY'!$K127)</f>
        <v/>
      </c>
      <c r="G127" s="58" t="str">
        <f>IF('QUICK ENTRY'!$B127="","",'QUICK ENTRY'!$E127)</f>
        <v/>
      </c>
      <c r="H127" s="44" t="str">
        <f>IF('QUICK ENTRY'!$B127="","",'QUICK ENTRY'!$F127)</f>
        <v/>
      </c>
      <c r="I127" s="44" t="str">
        <f>IF('QUICK ENTRY'!$B127="","",'QUICK ENTRY'!$L127)</f>
        <v/>
      </c>
      <c r="J127" s="44" t="str">
        <f>IF('QUICK ENTRY'!$B127="","",'QUICK ENTRY'!$M127)</f>
        <v/>
      </c>
      <c r="K127" s="44" t="str">
        <f>IF('QUICK ENTRY'!$B127="","",'QUICK ENTRY'!$V127)</f>
        <v/>
      </c>
      <c r="L127" s="44" t="str">
        <f>IF('QUICK ENTRY'!$B127="","",'QUICK ENTRY'!$R127)</f>
        <v/>
      </c>
      <c r="M127" s="44" t="str">
        <f>IF('QUICK ENTRY'!$B127="","",'QUICK ENTRY'!$O127)</f>
        <v/>
      </c>
      <c r="N127" s="44" t="str">
        <f>IF('QUICK ENTRY'!$B127="","",'QUICK ENTRY'!$AA127)</f>
        <v/>
      </c>
      <c r="O127" s="44" t="str">
        <f>IF('QUICK ENTRY'!$B127="","",'QUICK ENTRY'!$AG127)</f>
        <v/>
      </c>
      <c r="P127" s="44" t="str">
        <f>IF('QUICK ENTRY'!$B127="","",'QUICK ENTRY'!$AF127)</f>
        <v/>
      </c>
    </row>
    <row r="128" spans="1:16" ht="14.4">
      <c r="A128" s="44" t="str">
        <f>IF('QUICK ENTRY'!$B128="","",'QUICK ENTRY'!$U128)</f>
        <v/>
      </c>
      <c r="B128" s="55" t="str">
        <f>IF('QUICK ENTRY'!$B128="","",'QUICK ENTRY'!$B128)</f>
        <v/>
      </c>
      <c r="C128" s="44" t="str">
        <f>IF('QUICK ENTRY'!$B128="","",'QUICK ENTRY'!$C128)</f>
        <v/>
      </c>
      <c r="D128" s="44" t="str">
        <f>IF('QUICK ENTRY'!$B128="","",'QUICK ENTRY'!$I128)</f>
        <v/>
      </c>
      <c r="E128" s="44" t="str">
        <f>IF('QUICK ENTRY'!$B128="","",'QUICK ENTRY'!$D128)</f>
        <v/>
      </c>
      <c r="F128" s="44" t="str">
        <f>IF('QUICK ENTRY'!$B128="","",'QUICK ENTRY'!$K128)</f>
        <v/>
      </c>
      <c r="G128" s="58" t="str">
        <f>IF('QUICK ENTRY'!$B128="","",'QUICK ENTRY'!$E128)</f>
        <v/>
      </c>
      <c r="H128" s="44" t="str">
        <f>IF('QUICK ENTRY'!$B128="","",'QUICK ENTRY'!$F128)</f>
        <v/>
      </c>
      <c r="I128" s="44" t="str">
        <f>IF('QUICK ENTRY'!$B128="","",'QUICK ENTRY'!$L128)</f>
        <v/>
      </c>
      <c r="J128" s="44" t="str">
        <f>IF('QUICK ENTRY'!$B128="","",'QUICK ENTRY'!$M128)</f>
        <v/>
      </c>
      <c r="K128" s="44" t="str">
        <f>IF('QUICK ENTRY'!$B128="","",'QUICK ENTRY'!$V128)</f>
        <v/>
      </c>
      <c r="L128" s="44" t="str">
        <f>IF('QUICK ENTRY'!$B128="","",'QUICK ENTRY'!$R128)</f>
        <v/>
      </c>
      <c r="M128" s="44" t="str">
        <f>IF('QUICK ENTRY'!$B128="","",'QUICK ENTRY'!$O128)</f>
        <v/>
      </c>
      <c r="N128" s="44" t="str">
        <f>IF('QUICK ENTRY'!$B128="","",'QUICK ENTRY'!$AA128)</f>
        <v/>
      </c>
      <c r="O128" s="44" t="str">
        <f>IF('QUICK ENTRY'!$B128="","",'QUICK ENTRY'!$AG128)</f>
        <v/>
      </c>
      <c r="P128" s="44" t="str">
        <f>IF('QUICK ENTRY'!$B128="","",'QUICK ENTRY'!$AF128)</f>
        <v/>
      </c>
    </row>
    <row r="129" spans="1:16" ht="14.4">
      <c r="A129" s="44" t="str">
        <f>IF('QUICK ENTRY'!$B129="","",'QUICK ENTRY'!$U129)</f>
        <v/>
      </c>
      <c r="B129" s="55" t="str">
        <f>IF('QUICK ENTRY'!$B129="","",'QUICK ENTRY'!$B129)</f>
        <v/>
      </c>
      <c r="C129" s="44" t="str">
        <f>IF('QUICK ENTRY'!$B129="","",'QUICK ENTRY'!$C129)</f>
        <v/>
      </c>
      <c r="D129" s="44" t="str">
        <f>IF('QUICK ENTRY'!$B129="","",'QUICK ENTRY'!$I129)</f>
        <v/>
      </c>
      <c r="E129" s="44" t="str">
        <f>IF('QUICK ENTRY'!$B129="","",'QUICK ENTRY'!$D129)</f>
        <v/>
      </c>
      <c r="F129" s="44" t="str">
        <f>IF('QUICK ENTRY'!$B129="","",'QUICK ENTRY'!$K129)</f>
        <v/>
      </c>
      <c r="G129" s="58" t="str">
        <f>IF('QUICK ENTRY'!$B129="","",'QUICK ENTRY'!$E129)</f>
        <v/>
      </c>
      <c r="H129" s="44" t="str">
        <f>IF('QUICK ENTRY'!$B129="","",'QUICK ENTRY'!$F129)</f>
        <v/>
      </c>
      <c r="I129" s="44" t="str">
        <f>IF('QUICK ENTRY'!$B129="","",'QUICK ENTRY'!$L129)</f>
        <v/>
      </c>
      <c r="J129" s="44" t="str">
        <f>IF('QUICK ENTRY'!$B129="","",'QUICK ENTRY'!$M129)</f>
        <v/>
      </c>
      <c r="K129" s="44" t="str">
        <f>IF('QUICK ENTRY'!$B129="","",'QUICK ENTRY'!$V129)</f>
        <v/>
      </c>
      <c r="L129" s="44" t="str">
        <f>IF('QUICK ENTRY'!$B129="","",'QUICK ENTRY'!$R129)</f>
        <v/>
      </c>
      <c r="M129" s="44" t="str">
        <f>IF('QUICK ENTRY'!$B129="","",'QUICK ENTRY'!$O129)</f>
        <v/>
      </c>
      <c r="N129" s="44" t="str">
        <f>IF('QUICK ENTRY'!$B129="","",'QUICK ENTRY'!$AA129)</f>
        <v/>
      </c>
      <c r="O129" s="44" t="str">
        <f>IF('QUICK ENTRY'!$B129="","",'QUICK ENTRY'!$AG129)</f>
        <v/>
      </c>
      <c r="P129" s="44" t="str">
        <f>IF('QUICK ENTRY'!$B129="","",'QUICK ENTRY'!$AF129)</f>
        <v/>
      </c>
    </row>
    <row r="130" spans="1:16" ht="14.4">
      <c r="A130" s="44" t="str">
        <f>IF('QUICK ENTRY'!$B130="","",'QUICK ENTRY'!$U130)</f>
        <v/>
      </c>
      <c r="B130" s="55" t="str">
        <f>IF('QUICK ENTRY'!$B130="","",'QUICK ENTRY'!$B130)</f>
        <v/>
      </c>
      <c r="C130" s="44" t="str">
        <f>IF('QUICK ENTRY'!$B130="","",'QUICK ENTRY'!$C130)</f>
        <v/>
      </c>
      <c r="D130" s="44" t="str">
        <f>IF('QUICK ENTRY'!$B130="","",'QUICK ENTRY'!$I130)</f>
        <v/>
      </c>
      <c r="E130" s="44" t="str">
        <f>IF('QUICK ENTRY'!$B130="","",'QUICK ENTRY'!$D130)</f>
        <v/>
      </c>
      <c r="F130" s="44" t="str">
        <f>IF('QUICK ENTRY'!$B130="","",'QUICK ENTRY'!$K130)</f>
        <v/>
      </c>
      <c r="G130" s="58" t="str">
        <f>IF('QUICK ENTRY'!$B130="","",'QUICK ENTRY'!$E130)</f>
        <v/>
      </c>
      <c r="H130" s="44" t="str">
        <f>IF('QUICK ENTRY'!$B130="","",'QUICK ENTRY'!$F130)</f>
        <v/>
      </c>
      <c r="I130" s="44" t="str">
        <f>IF('QUICK ENTRY'!$B130="","",'QUICK ENTRY'!$L130)</f>
        <v/>
      </c>
      <c r="J130" s="44" t="str">
        <f>IF('QUICK ENTRY'!$B130="","",'QUICK ENTRY'!$M130)</f>
        <v/>
      </c>
      <c r="K130" s="44" t="str">
        <f>IF('QUICK ENTRY'!$B130="","",'QUICK ENTRY'!$V130)</f>
        <v/>
      </c>
      <c r="L130" s="44" t="str">
        <f>IF('QUICK ENTRY'!$B130="","",'QUICK ENTRY'!$R130)</f>
        <v/>
      </c>
      <c r="M130" s="44" t="str">
        <f>IF('QUICK ENTRY'!$B130="","",'QUICK ENTRY'!$O130)</f>
        <v/>
      </c>
      <c r="N130" s="44" t="str">
        <f>IF('QUICK ENTRY'!$B130="","",'QUICK ENTRY'!$AA130)</f>
        <v/>
      </c>
      <c r="O130" s="44" t="str">
        <f>IF('QUICK ENTRY'!$B130="","",'QUICK ENTRY'!$AG130)</f>
        <v/>
      </c>
      <c r="P130" s="44" t="str">
        <f>IF('QUICK ENTRY'!$B130="","",'QUICK ENTRY'!$AF130)</f>
        <v/>
      </c>
    </row>
    <row r="131" spans="1:16" ht="14.4">
      <c r="A131" s="44" t="str">
        <f>IF('QUICK ENTRY'!$B131="","",'QUICK ENTRY'!$U131)</f>
        <v/>
      </c>
      <c r="B131" s="55" t="str">
        <f>IF('QUICK ENTRY'!$B131="","",'QUICK ENTRY'!$B131)</f>
        <v/>
      </c>
      <c r="C131" s="44" t="str">
        <f>IF('QUICK ENTRY'!$B131="","",'QUICK ENTRY'!$C131)</f>
        <v/>
      </c>
      <c r="D131" s="44" t="str">
        <f>IF('QUICK ENTRY'!$B131="","",'QUICK ENTRY'!$I131)</f>
        <v/>
      </c>
      <c r="E131" s="44" t="str">
        <f>IF('QUICK ENTRY'!$B131="","",'QUICK ENTRY'!$D131)</f>
        <v/>
      </c>
      <c r="F131" s="44" t="str">
        <f>IF('QUICK ENTRY'!$B131="","",'QUICK ENTRY'!$K131)</f>
        <v/>
      </c>
      <c r="G131" s="58" t="str">
        <f>IF('QUICK ENTRY'!$B131="","",'QUICK ENTRY'!$E131)</f>
        <v/>
      </c>
      <c r="H131" s="44" t="str">
        <f>IF('QUICK ENTRY'!$B131="","",'QUICK ENTRY'!$F131)</f>
        <v/>
      </c>
      <c r="I131" s="44" t="str">
        <f>IF('QUICK ENTRY'!$B131="","",'QUICK ENTRY'!$L131)</f>
        <v/>
      </c>
      <c r="J131" s="44" t="str">
        <f>IF('QUICK ENTRY'!$B131="","",'QUICK ENTRY'!$M131)</f>
        <v/>
      </c>
      <c r="K131" s="44" t="str">
        <f>IF('QUICK ENTRY'!$B131="","",'QUICK ENTRY'!$V131)</f>
        <v/>
      </c>
      <c r="L131" s="44" t="str">
        <f>IF('QUICK ENTRY'!$B131="","",'QUICK ENTRY'!$R131)</f>
        <v/>
      </c>
      <c r="M131" s="44" t="str">
        <f>IF('QUICK ENTRY'!$B131="","",'QUICK ENTRY'!$O131)</f>
        <v/>
      </c>
      <c r="N131" s="44" t="str">
        <f>IF('QUICK ENTRY'!$B131="","",'QUICK ENTRY'!$AA131)</f>
        <v/>
      </c>
      <c r="O131" s="44" t="str">
        <f>IF('QUICK ENTRY'!$B131="","",'QUICK ENTRY'!$AG131)</f>
        <v/>
      </c>
      <c r="P131" s="44" t="str">
        <f>IF('QUICK ENTRY'!$B131="","",'QUICK ENTRY'!$AF131)</f>
        <v/>
      </c>
    </row>
    <row r="132" spans="1:16" ht="14.4">
      <c r="A132" s="44" t="str">
        <f>IF('QUICK ENTRY'!$B132="","",'QUICK ENTRY'!$U132)</f>
        <v/>
      </c>
      <c r="B132" s="55" t="str">
        <f>IF('QUICK ENTRY'!$B132="","",'QUICK ENTRY'!$B132)</f>
        <v/>
      </c>
      <c r="C132" s="44" t="str">
        <f>IF('QUICK ENTRY'!$B132="","",'QUICK ENTRY'!$C132)</f>
        <v/>
      </c>
      <c r="D132" s="44" t="str">
        <f>IF('QUICK ENTRY'!$B132="","",'QUICK ENTRY'!$I132)</f>
        <v/>
      </c>
      <c r="E132" s="44" t="str">
        <f>IF('QUICK ENTRY'!$B132="","",'QUICK ENTRY'!$D132)</f>
        <v/>
      </c>
      <c r="F132" s="44" t="str">
        <f>IF('QUICK ENTRY'!$B132="","",'QUICK ENTRY'!$K132)</f>
        <v/>
      </c>
      <c r="G132" s="58" t="str">
        <f>IF('QUICK ENTRY'!$B132="","",'QUICK ENTRY'!$E132)</f>
        <v/>
      </c>
      <c r="H132" s="44" t="str">
        <f>IF('QUICK ENTRY'!$B132="","",'QUICK ENTRY'!$F132)</f>
        <v/>
      </c>
      <c r="I132" s="44" t="str">
        <f>IF('QUICK ENTRY'!$B132="","",'QUICK ENTRY'!$L132)</f>
        <v/>
      </c>
      <c r="J132" s="44" t="str">
        <f>IF('QUICK ENTRY'!$B132="","",'QUICK ENTRY'!$M132)</f>
        <v/>
      </c>
      <c r="K132" s="44" t="str">
        <f>IF('QUICK ENTRY'!$B132="","",'QUICK ENTRY'!$V132)</f>
        <v/>
      </c>
      <c r="L132" s="44" t="str">
        <f>IF('QUICK ENTRY'!$B132="","",'QUICK ENTRY'!$R132)</f>
        <v/>
      </c>
      <c r="M132" s="44" t="str">
        <f>IF('QUICK ENTRY'!$B132="","",'QUICK ENTRY'!$O132)</f>
        <v/>
      </c>
      <c r="N132" s="44" t="str">
        <f>IF('QUICK ENTRY'!$B132="","",'QUICK ENTRY'!$AA132)</f>
        <v/>
      </c>
      <c r="O132" s="44" t="str">
        <f>IF('QUICK ENTRY'!$B132="","",'QUICK ENTRY'!$AG132)</f>
        <v/>
      </c>
      <c r="P132" s="44" t="str">
        <f>IF('QUICK ENTRY'!$B132="","",'QUICK ENTRY'!$AF132)</f>
        <v/>
      </c>
    </row>
    <row r="133" spans="1:16" ht="14.4">
      <c r="A133" s="44" t="str">
        <f>IF('QUICK ENTRY'!$B133="","",'QUICK ENTRY'!$U133)</f>
        <v/>
      </c>
      <c r="B133" s="55" t="str">
        <f>IF('QUICK ENTRY'!$B133="","",'QUICK ENTRY'!$B133)</f>
        <v/>
      </c>
      <c r="C133" s="44" t="str">
        <f>IF('QUICK ENTRY'!$B133="","",'QUICK ENTRY'!$C133)</f>
        <v/>
      </c>
      <c r="D133" s="44" t="str">
        <f>IF('QUICK ENTRY'!$B133="","",'QUICK ENTRY'!$I133)</f>
        <v/>
      </c>
      <c r="E133" s="44" t="str">
        <f>IF('QUICK ENTRY'!$B133="","",'QUICK ENTRY'!$D133)</f>
        <v/>
      </c>
      <c r="F133" s="44" t="str">
        <f>IF('QUICK ENTRY'!$B133="","",'QUICK ENTRY'!$K133)</f>
        <v/>
      </c>
      <c r="G133" s="58" t="str">
        <f>IF('QUICK ENTRY'!$B133="","",'QUICK ENTRY'!$E133)</f>
        <v/>
      </c>
      <c r="H133" s="44" t="str">
        <f>IF('QUICK ENTRY'!$B133="","",'QUICK ENTRY'!$F133)</f>
        <v/>
      </c>
      <c r="I133" s="44" t="str">
        <f>IF('QUICK ENTRY'!$B133="","",'QUICK ENTRY'!$L133)</f>
        <v/>
      </c>
      <c r="J133" s="44" t="str">
        <f>IF('QUICK ENTRY'!$B133="","",'QUICK ENTRY'!$M133)</f>
        <v/>
      </c>
      <c r="K133" s="44" t="str">
        <f>IF('QUICK ENTRY'!$B133="","",'QUICK ENTRY'!$V133)</f>
        <v/>
      </c>
      <c r="L133" s="44" t="str">
        <f>IF('QUICK ENTRY'!$B133="","",'QUICK ENTRY'!$R133)</f>
        <v/>
      </c>
      <c r="M133" s="44" t="str">
        <f>IF('QUICK ENTRY'!$B133="","",'QUICK ENTRY'!$O133)</f>
        <v/>
      </c>
      <c r="N133" s="44" t="str">
        <f>IF('QUICK ENTRY'!$B133="","",'QUICK ENTRY'!$AA133)</f>
        <v/>
      </c>
      <c r="O133" s="44" t="str">
        <f>IF('QUICK ENTRY'!$B133="","",'QUICK ENTRY'!$AG133)</f>
        <v/>
      </c>
      <c r="P133" s="44" t="str">
        <f>IF('QUICK ENTRY'!$B133="","",'QUICK ENTRY'!$AF133)</f>
        <v/>
      </c>
    </row>
    <row r="134" spans="1:16" ht="14.4">
      <c r="A134" s="44" t="str">
        <f>IF('QUICK ENTRY'!$B134="","",'QUICK ENTRY'!$U134)</f>
        <v/>
      </c>
      <c r="B134" s="55" t="str">
        <f>IF('QUICK ENTRY'!$B134="","",'QUICK ENTRY'!$B134)</f>
        <v/>
      </c>
      <c r="C134" s="44" t="str">
        <f>IF('QUICK ENTRY'!$B134="","",'QUICK ENTRY'!$C134)</f>
        <v/>
      </c>
      <c r="D134" s="44" t="str">
        <f>IF('QUICK ENTRY'!$B134="","",'QUICK ENTRY'!$I134)</f>
        <v/>
      </c>
      <c r="E134" s="44" t="str">
        <f>IF('QUICK ENTRY'!$B134="","",'QUICK ENTRY'!$D134)</f>
        <v/>
      </c>
      <c r="F134" s="44" t="str">
        <f>IF('QUICK ENTRY'!$B134="","",'QUICK ENTRY'!$K134)</f>
        <v/>
      </c>
      <c r="G134" s="58" t="str">
        <f>IF('QUICK ENTRY'!$B134="","",'QUICK ENTRY'!$E134)</f>
        <v/>
      </c>
      <c r="H134" s="44" t="str">
        <f>IF('QUICK ENTRY'!$B134="","",'QUICK ENTRY'!$F134)</f>
        <v/>
      </c>
      <c r="I134" s="44" t="str">
        <f>IF('QUICK ENTRY'!$B134="","",'QUICK ENTRY'!$L134)</f>
        <v/>
      </c>
      <c r="J134" s="44" t="str">
        <f>IF('QUICK ENTRY'!$B134="","",'QUICK ENTRY'!$M134)</f>
        <v/>
      </c>
      <c r="K134" s="44" t="str">
        <f>IF('QUICK ENTRY'!$B134="","",'QUICK ENTRY'!$V134)</f>
        <v/>
      </c>
      <c r="L134" s="44" t="str">
        <f>IF('QUICK ENTRY'!$B134="","",'QUICK ENTRY'!$R134)</f>
        <v/>
      </c>
      <c r="M134" s="44" t="str">
        <f>IF('QUICK ENTRY'!$B134="","",'QUICK ENTRY'!$O134)</f>
        <v/>
      </c>
      <c r="N134" s="44" t="str">
        <f>IF('QUICK ENTRY'!$B134="","",'QUICK ENTRY'!$AA134)</f>
        <v/>
      </c>
      <c r="O134" s="44" t="str">
        <f>IF('QUICK ENTRY'!$B134="","",'QUICK ENTRY'!$AG134)</f>
        <v/>
      </c>
      <c r="P134" s="44" t="str">
        <f>IF('QUICK ENTRY'!$B134="","",'QUICK ENTRY'!$AF134)</f>
        <v/>
      </c>
    </row>
    <row r="135" spans="1:16" ht="14.4">
      <c r="A135" s="44" t="str">
        <f>IF('QUICK ENTRY'!$B135="","",'QUICK ENTRY'!$U135)</f>
        <v/>
      </c>
      <c r="B135" s="55" t="str">
        <f>IF('QUICK ENTRY'!$B135="","",'QUICK ENTRY'!$B135)</f>
        <v/>
      </c>
      <c r="C135" s="44" t="str">
        <f>IF('QUICK ENTRY'!$B135="","",'QUICK ENTRY'!$C135)</f>
        <v/>
      </c>
      <c r="D135" s="44" t="str">
        <f>IF('QUICK ENTRY'!$B135="","",'QUICK ENTRY'!$I135)</f>
        <v/>
      </c>
      <c r="E135" s="44" t="str">
        <f>IF('QUICK ENTRY'!$B135="","",'QUICK ENTRY'!$D135)</f>
        <v/>
      </c>
      <c r="F135" s="44" t="str">
        <f>IF('QUICK ENTRY'!$B135="","",'QUICK ENTRY'!$K135)</f>
        <v/>
      </c>
      <c r="G135" s="58" t="str">
        <f>IF('QUICK ENTRY'!$B135="","",'QUICK ENTRY'!$E135)</f>
        <v/>
      </c>
      <c r="H135" s="44" t="str">
        <f>IF('QUICK ENTRY'!$B135="","",'QUICK ENTRY'!$F135)</f>
        <v/>
      </c>
      <c r="I135" s="44" t="str">
        <f>IF('QUICK ENTRY'!$B135="","",'QUICK ENTRY'!$L135)</f>
        <v/>
      </c>
      <c r="J135" s="44" t="str">
        <f>IF('QUICK ENTRY'!$B135="","",'QUICK ENTRY'!$M135)</f>
        <v/>
      </c>
      <c r="K135" s="44" t="str">
        <f>IF('QUICK ENTRY'!$B135="","",'QUICK ENTRY'!$V135)</f>
        <v/>
      </c>
      <c r="L135" s="44" t="str">
        <f>IF('QUICK ENTRY'!$B135="","",'QUICK ENTRY'!$R135)</f>
        <v/>
      </c>
      <c r="M135" s="44" t="str">
        <f>IF('QUICK ENTRY'!$B135="","",'QUICK ENTRY'!$O135)</f>
        <v/>
      </c>
      <c r="N135" s="44" t="str">
        <f>IF('QUICK ENTRY'!$B135="","",'QUICK ENTRY'!$AA135)</f>
        <v/>
      </c>
      <c r="O135" s="44" t="str">
        <f>IF('QUICK ENTRY'!$B135="","",'QUICK ENTRY'!$AG135)</f>
        <v/>
      </c>
      <c r="P135" s="44" t="str">
        <f>IF('QUICK ENTRY'!$B135="","",'QUICK ENTRY'!$AF135)</f>
        <v/>
      </c>
    </row>
    <row r="136" spans="1:16" ht="14.4">
      <c r="A136" s="44" t="str">
        <f>IF('QUICK ENTRY'!$B136="","",'QUICK ENTRY'!$U136)</f>
        <v/>
      </c>
      <c r="B136" s="55" t="str">
        <f>IF('QUICK ENTRY'!$B136="","",'QUICK ENTRY'!$B136)</f>
        <v/>
      </c>
      <c r="C136" s="44" t="str">
        <f>IF('QUICK ENTRY'!$B136="","",'QUICK ENTRY'!$C136)</f>
        <v/>
      </c>
      <c r="D136" s="44" t="str">
        <f>IF('QUICK ENTRY'!$B136="","",'QUICK ENTRY'!$I136)</f>
        <v/>
      </c>
      <c r="E136" s="44" t="str">
        <f>IF('QUICK ENTRY'!$B136="","",'QUICK ENTRY'!$D136)</f>
        <v/>
      </c>
      <c r="F136" s="44" t="str">
        <f>IF('QUICK ENTRY'!$B136="","",'QUICK ENTRY'!$K136)</f>
        <v/>
      </c>
      <c r="G136" s="58" t="str">
        <f>IF('QUICK ENTRY'!$B136="","",'QUICK ENTRY'!$E136)</f>
        <v/>
      </c>
      <c r="H136" s="44" t="str">
        <f>IF('QUICK ENTRY'!$B136="","",'QUICK ENTRY'!$F136)</f>
        <v/>
      </c>
      <c r="I136" s="44" t="str">
        <f>IF('QUICK ENTRY'!$B136="","",'QUICK ENTRY'!$L136)</f>
        <v/>
      </c>
      <c r="J136" s="44" t="str">
        <f>IF('QUICK ENTRY'!$B136="","",'QUICK ENTRY'!$M136)</f>
        <v/>
      </c>
      <c r="K136" s="44" t="str">
        <f>IF('QUICK ENTRY'!$B136="","",'QUICK ENTRY'!$V136)</f>
        <v/>
      </c>
      <c r="L136" s="44" t="str">
        <f>IF('QUICK ENTRY'!$B136="","",'QUICK ENTRY'!$R136)</f>
        <v/>
      </c>
      <c r="M136" s="44" t="str">
        <f>IF('QUICK ENTRY'!$B136="","",'QUICK ENTRY'!$O136)</f>
        <v/>
      </c>
      <c r="N136" s="44" t="str">
        <f>IF('QUICK ENTRY'!$B136="","",'QUICK ENTRY'!$AA136)</f>
        <v/>
      </c>
      <c r="O136" s="44" t="str">
        <f>IF('QUICK ENTRY'!$B136="","",'QUICK ENTRY'!$AG136)</f>
        <v/>
      </c>
      <c r="P136" s="44" t="str">
        <f>IF('QUICK ENTRY'!$B136="","",'QUICK ENTRY'!$AF136)</f>
        <v/>
      </c>
    </row>
    <row r="137" spans="1:16" ht="14.4">
      <c r="A137" s="44" t="str">
        <f>IF('QUICK ENTRY'!$B137="","",'QUICK ENTRY'!$U137)</f>
        <v/>
      </c>
      <c r="B137" s="55" t="str">
        <f>IF('QUICK ENTRY'!$B137="","",'QUICK ENTRY'!$B137)</f>
        <v/>
      </c>
      <c r="C137" s="44" t="str">
        <f>IF('QUICK ENTRY'!$B137="","",'QUICK ENTRY'!$C137)</f>
        <v/>
      </c>
      <c r="D137" s="44" t="str">
        <f>IF('QUICK ENTRY'!$B137="","",'QUICK ENTRY'!$I137)</f>
        <v/>
      </c>
      <c r="E137" s="44" t="str">
        <f>IF('QUICK ENTRY'!$B137="","",'QUICK ENTRY'!$D137)</f>
        <v/>
      </c>
      <c r="F137" s="44" t="str">
        <f>IF('QUICK ENTRY'!$B137="","",'QUICK ENTRY'!$K137)</f>
        <v/>
      </c>
      <c r="G137" s="58" t="str">
        <f>IF('QUICK ENTRY'!$B137="","",'QUICK ENTRY'!$E137)</f>
        <v/>
      </c>
      <c r="H137" s="44" t="str">
        <f>IF('QUICK ENTRY'!$B137="","",'QUICK ENTRY'!$F137)</f>
        <v/>
      </c>
      <c r="I137" s="44" t="str">
        <f>IF('QUICK ENTRY'!$B137="","",'QUICK ENTRY'!$L137)</f>
        <v/>
      </c>
      <c r="J137" s="44" t="str">
        <f>IF('QUICK ENTRY'!$B137="","",'QUICK ENTRY'!$M137)</f>
        <v/>
      </c>
      <c r="K137" s="44" t="str">
        <f>IF('QUICK ENTRY'!$B137="","",'QUICK ENTRY'!$V137)</f>
        <v/>
      </c>
      <c r="L137" s="44" t="str">
        <f>IF('QUICK ENTRY'!$B137="","",'QUICK ENTRY'!$R137)</f>
        <v/>
      </c>
      <c r="M137" s="44" t="str">
        <f>IF('QUICK ENTRY'!$B137="","",'QUICK ENTRY'!$O137)</f>
        <v/>
      </c>
      <c r="N137" s="44" t="str">
        <f>IF('QUICK ENTRY'!$B137="","",'QUICK ENTRY'!$AA137)</f>
        <v/>
      </c>
      <c r="O137" s="44" t="str">
        <f>IF('QUICK ENTRY'!$B137="","",'QUICK ENTRY'!$AG137)</f>
        <v/>
      </c>
      <c r="P137" s="44" t="str">
        <f>IF('QUICK ENTRY'!$B137="","",'QUICK ENTRY'!$AF137)</f>
        <v/>
      </c>
    </row>
    <row r="138" spans="1:16" ht="14.4">
      <c r="A138" s="44" t="str">
        <f>IF('QUICK ENTRY'!$B138="","",'QUICK ENTRY'!$U138)</f>
        <v/>
      </c>
      <c r="B138" s="55" t="str">
        <f>IF('QUICK ENTRY'!$B138="","",'QUICK ENTRY'!$B138)</f>
        <v/>
      </c>
      <c r="C138" s="44" t="str">
        <f>IF('QUICK ENTRY'!$B138="","",'QUICK ENTRY'!$C138)</f>
        <v/>
      </c>
      <c r="D138" s="44" t="str">
        <f>IF('QUICK ENTRY'!$B138="","",'QUICK ENTRY'!$I138)</f>
        <v/>
      </c>
      <c r="E138" s="44" t="str">
        <f>IF('QUICK ENTRY'!$B138="","",'QUICK ENTRY'!$D138)</f>
        <v/>
      </c>
      <c r="F138" s="44" t="str">
        <f>IF('QUICK ENTRY'!$B138="","",'QUICK ENTRY'!$K138)</f>
        <v/>
      </c>
      <c r="G138" s="58" t="str">
        <f>IF('QUICK ENTRY'!$B138="","",'QUICK ENTRY'!$E138)</f>
        <v/>
      </c>
      <c r="H138" s="44" t="str">
        <f>IF('QUICK ENTRY'!$B138="","",'QUICK ENTRY'!$F138)</f>
        <v/>
      </c>
      <c r="I138" s="44" t="str">
        <f>IF('QUICK ENTRY'!$B138="","",'QUICK ENTRY'!$L138)</f>
        <v/>
      </c>
      <c r="J138" s="44" t="str">
        <f>IF('QUICK ENTRY'!$B138="","",'QUICK ENTRY'!$M138)</f>
        <v/>
      </c>
      <c r="K138" s="44" t="str">
        <f>IF('QUICK ENTRY'!$B138="","",'QUICK ENTRY'!$V138)</f>
        <v/>
      </c>
      <c r="L138" s="44" t="str">
        <f>IF('QUICK ENTRY'!$B138="","",'QUICK ENTRY'!$R138)</f>
        <v/>
      </c>
      <c r="M138" s="44" t="str">
        <f>IF('QUICK ENTRY'!$B138="","",'QUICK ENTRY'!$O138)</f>
        <v/>
      </c>
      <c r="N138" s="44" t="str">
        <f>IF('QUICK ENTRY'!$B138="","",'QUICK ENTRY'!$AA138)</f>
        <v/>
      </c>
      <c r="O138" s="44" t="str">
        <f>IF('QUICK ENTRY'!$B138="","",'QUICK ENTRY'!$AG138)</f>
        <v/>
      </c>
      <c r="P138" s="44" t="str">
        <f>IF('QUICK ENTRY'!$B138="","",'QUICK ENTRY'!$AF138)</f>
        <v/>
      </c>
    </row>
    <row r="139" spans="1:16" ht="14.4">
      <c r="A139" s="44" t="str">
        <f>IF('QUICK ENTRY'!$B139="","",'QUICK ENTRY'!$U139)</f>
        <v/>
      </c>
      <c r="B139" s="55" t="str">
        <f>IF('QUICK ENTRY'!$B139="","",'QUICK ENTRY'!$B139)</f>
        <v/>
      </c>
      <c r="C139" s="44" t="str">
        <f>IF('QUICK ENTRY'!$B139="","",'QUICK ENTRY'!$C139)</f>
        <v/>
      </c>
      <c r="D139" s="44" t="str">
        <f>IF('QUICK ENTRY'!$B139="","",'QUICK ENTRY'!$I139)</f>
        <v/>
      </c>
      <c r="E139" s="44" t="str">
        <f>IF('QUICK ENTRY'!$B139="","",'QUICK ENTRY'!$D139)</f>
        <v/>
      </c>
      <c r="F139" s="44" t="str">
        <f>IF('QUICK ENTRY'!$B139="","",'QUICK ENTRY'!$K139)</f>
        <v/>
      </c>
      <c r="G139" s="58" t="str">
        <f>IF('QUICK ENTRY'!$B139="","",'QUICK ENTRY'!$E139)</f>
        <v/>
      </c>
      <c r="H139" s="44" t="str">
        <f>IF('QUICK ENTRY'!$B139="","",'QUICK ENTRY'!$F139)</f>
        <v/>
      </c>
      <c r="I139" s="44" t="str">
        <f>IF('QUICK ENTRY'!$B139="","",'QUICK ENTRY'!$L139)</f>
        <v/>
      </c>
      <c r="J139" s="44" t="str">
        <f>IF('QUICK ENTRY'!$B139="","",'QUICK ENTRY'!$M139)</f>
        <v/>
      </c>
      <c r="K139" s="44" t="str">
        <f>IF('QUICK ENTRY'!$B139="","",'QUICK ENTRY'!$V139)</f>
        <v/>
      </c>
      <c r="L139" s="44" t="str">
        <f>IF('QUICK ENTRY'!$B139="","",'QUICK ENTRY'!$R139)</f>
        <v/>
      </c>
      <c r="M139" s="44" t="str">
        <f>IF('QUICK ENTRY'!$B139="","",'QUICK ENTRY'!$O139)</f>
        <v/>
      </c>
      <c r="N139" s="44" t="str">
        <f>IF('QUICK ENTRY'!$B139="","",'QUICK ENTRY'!$AA139)</f>
        <v/>
      </c>
      <c r="O139" s="44" t="str">
        <f>IF('QUICK ENTRY'!$B139="","",'QUICK ENTRY'!$AG139)</f>
        <v/>
      </c>
      <c r="P139" s="44" t="str">
        <f>IF('QUICK ENTRY'!$B139="","",'QUICK ENTRY'!$AF139)</f>
        <v/>
      </c>
    </row>
    <row r="140" spans="1:16" ht="14.4">
      <c r="A140" s="44" t="str">
        <f>IF('QUICK ENTRY'!$B140="","",'QUICK ENTRY'!$U140)</f>
        <v/>
      </c>
      <c r="B140" s="55" t="str">
        <f>IF('QUICK ENTRY'!$B140="","",'QUICK ENTRY'!$B140)</f>
        <v/>
      </c>
      <c r="C140" s="44" t="str">
        <f>IF('QUICK ENTRY'!$B140="","",'QUICK ENTRY'!$C140)</f>
        <v/>
      </c>
      <c r="D140" s="44" t="str">
        <f>IF('QUICK ENTRY'!$B140="","",'QUICK ENTRY'!$I140)</f>
        <v/>
      </c>
      <c r="E140" s="44" t="str">
        <f>IF('QUICK ENTRY'!$B140="","",'QUICK ENTRY'!$D140)</f>
        <v/>
      </c>
      <c r="F140" s="44" t="str">
        <f>IF('QUICK ENTRY'!$B140="","",'QUICK ENTRY'!$K140)</f>
        <v/>
      </c>
      <c r="G140" s="58" t="str">
        <f>IF('QUICK ENTRY'!$B140="","",'QUICK ENTRY'!$E140)</f>
        <v/>
      </c>
      <c r="H140" s="44" t="str">
        <f>IF('QUICK ENTRY'!$B140="","",'QUICK ENTRY'!$F140)</f>
        <v/>
      </c>
      <c r="I140" s="44" t="str">
        <f>IF('QUICK ENTRY'!$B140="","",'QUICK ENTRY'!$L140)</f>
        <v/>
      </c>
      <c r="J140" s="44" t="str">
        <f>IF('QUICK ENTRY'!$B140="","",'QUICK ENTRY'!$M140)</f>
        <v/>
      </c>
      <c r="K140" s="44" t="str">
        <f>IF('QUICK ENTRY'!$B140="","",'QUICK ENTRY'!$V140)</f>
        <v/>
      </c>
      <c r="L140" s="44" t="str">
        <f>IF('QUICK ENTRY'!$B140="","",'QUICK ENTRY'!$R140)</f>
        <v/>
      </c>
      <c r="M140" s="44" t="str">
        <f>IF('QUICK ENTRY'!$B140="","",'QUICK ENTRY'!$O140)</f>
        <v/>
      </c>
      <c r="N140" s="44" t="str">
        <f>IF('QUICK ENTRY'!$B140="","",'QUICK ENTRY'!$AA140)</f>
        <v/>
      </c>
      <c r="O140" s="44" t="str">
        <f>IF('QUICK ENTRY'!$B140="","",'QUICK ENTRY'!$AG140)</f>
        <v/>
      </c>
      <c r="P140" s="44" t="str">
        <f>IF('QUICK ENTRY'!$B140="","",'QUICK ENTRY'!$AF140)</f>
        <v/>
      </c>
    </row>
    <row r="141" spans="1:16" ht="14.4">
      <c r="A141" s="44" t="str">
        <f>IF('QUICK ENTRY'!$B141="","",'QUICK ENTRY'!$U141)</f>
        <v/>
      </c>
      <c r="B141" s="55" t="str">
        <f>IF('QUICK ENTRY'!$B141="","",'QUICK ENTRY'!$B141)</f>
        <v/>
      </c>
      <c r="C141" s="44" t="str">
        <f>IF('QUICK ENTRY'!$B141="","",'QUICK ENTRY'!$C141)</f>
        <v/>
      </c>
      <c r="D141" s="44" t="str">
        <f>IF('QUICK ENTRY'!$B141="","",'QUICK ENTRY'!$I141)</f>
        <v/>
      </c>
      <c r="E141" s="44" t="str">
        <f>IF('QUICK ENTRY'!$B141="","",'QUICK ENTRY'!$D141)</f>
        <v/>
      </c>
      <c r="F141" s="44" t="str">
        <f>IF('QUICK ENTRY'!$B141="","",'QUICK ENTRY'!$K141)</f>
        <v/>
      </c>
      <c r="G141" s="58" t="str">
        <f>IF('QUICK ENTRY'!$B141="","",'QUICK ENTRY'!$E141)</f>
        <v/>
      </c>
      <c r="H141" s="44" t="str">
        <f>IF('QUICK ENTRY'!$B141="","",'QUICK ENTRY'!$F141)</f>
        <v/>
      </c>
      <c r="I141" s="44" t="str">
        <f>IF('QUICK ENTRY'!$B141="","",'QUICK ENTRY'!$L141)</f>
        <v/>
      </c>
      <c r="J141" s="44" t="str">
        <f>IF('QUICK ENTRY'!$B141="","",'QUICK ENTRY'!$M141)</f>
        <v/>
      </c>
      <c r="K141" s="44" t="str">
        <f>IF('QUICK ENTRY'!$B141="","",'QUICK ENTRY'!$V141)</f>
        <v/>
      </c>
      <c r="L141" s="44" t="str">
        <f>IF('QUICK ENTRY'!$B141="","",'QUICK ENTRY'!$R141)</f>
        <v/>
      </c>
      <c r="M141" s="44" t="str">
        <f>IF('QUICK ENTRY'!$B141="","",'QUICK ENTRY'!$O141)</f>
        <v/>
      </c>
      <c r="N141" s="44" t="str">
        <f>IF('QUICK ENTRY'!$B141="","",'QUICK ENTRY'!$AA141)</f>
        <v/>
      </c>
      <c r="O141" s="44" t="str">
        <f>IF('QUICK ENTRY'!$B141="","",'QUICK ENTRY'!$AG141)</f>
        <v/>
      </c>
      <c r="P141" s="44" t="str">
        <f>IF('QUICK ENTRY'!$B141="","",'QUICK ENTRY'!$AF141)</f>
        <v/>
      </c>
    </row>
    <row r="142" spans="1:16" ht="14.4">
      <c r="A142" s="44" t="str">
        <f>IF('QUICK ENTRY'!$B142="","",'QUICK ENTRY'!$U142)</f>
        <v/>
      </c>
      <c r="B142" s="55" t="str">
        <f>IF('QUICK ENTRY'!$B142="","",'QUICK ENTRY'!$B142)</f>
        <v/>
      </c>
      <c r="C142" s="44" t="str">
        <f>IF('QUICK ENTRY'!$B142="","",'QUICK ENTRY'!$C142)</f>
        <v/>
      </c>
      <c r="D142" s="44" t="str">
        <f>IF('QUICK ENTRY'!$B142="","",'QUICK ENTRY'!$I142)</f>
        <v/>
      </c>
      <c r="E142" s="44" t="str">
        <f>IF('QUICK ENTRY'!$B142="","",'QUICK ENTRY'!$D142)</f>
        <v/>
      </c>
      <c r="F142" s="44" t="str">
        <f>IF('QUICK ENTRY'!$B142="","",'QUICK ENTRY'!$K142)</f>
        <v/>
      </c>
      <c r="G142" s="58" t="str">
        <f>IF('QUICK ENTRY'!$B142="","",'QUICK ENTRY'!$E142)</f>
        <v/>
      </c>
      <c r="H142" s="44" t="str">
        <f>IF('QUICK ENTRY'!$B142="","",'QUICK ENTRY'!$F142)</f>
        <v/>
      </c>
      <c r="I142" s="44" t="str">
        <f>IF('QUICK ENTRY'!$B142="","",'QUICK ENTRY'!$L142)</f>
        <v/>
      </c>
      <c r="J142" s="44" t="str">
        <f>IF('QUICK ENTRY'!$B142="","",'QUICK ENTRY'!$M142)</f>
        <v/>
      </c>
      <c r="K142" s="44" t="str">
        <f>IF('QUICK ENTRY'!$B142="","",'QUICK ENTRY'!$V142)</f>
        <v/>
      </c>
      <c r="L142" s="44" t="str">
        <f>IF('QUICK ENTRY'!$B142="","",'QUICK ENTRY'!$R142)</f>
        <v/>
      </c>
      <c r="M142" s="44" t="str">
        <f>IF('QUICK ENTRY'!$B142="","",'QUICK ENTRY'!$O142)</f>
        <v/>
      </c>
      <c r="N142" s="44" t="str">
        <f>IF('QUICK ENTRY'!$B142="","",'QUICK ENTRY'!$AA142)</f>
        <v/>
      </c>
      <c r="O142" s="44" t="str">
        <f>IF('QUICK ENTRY'!$B142="","",'QUICK ENTRY'!$AG142)</f>
        <v/>
      </c>
      <c r="P142" s="44" t="str">
        <f>IF('QUICK ENTRY'!$B142="","",'QUICK ENTRY'!$AF142)</f>
        <v/>
      </c>
    </row>
    <row r="143" spans="1:16" ht="14.4">
      <c r="A143" s="44" t="str">
        <f>IF('QUICK ENTRY'!$B143="","",'QUICK ENTRY'!$U143)</f>
        <v/>
      </c>
      <c r="B143" s="55" t="str">
        <f>IF('QUICK ENTRY'!$B143="","",'QUICK ENTRY'!$B143)</f>
        <v/>
      </c>
      <c r="C143" s="44" t="str">
        <f>IF('QUICK ENTRY'!$B143="","",'QUICK ENTRY'!$C143)</f>
        <v/>
      </c>
      <c r="D143" s="44" t="str">
        <f>IF('QUICK ENTRY'!$B143="","",'QUICK ENTRY'!$I143)</f>
        <v/>
      </c>
      <c r="E143" s="44" t="str">
        <f>IF('QUICK ENTRY'!$B143="","",'QUICK ENTRY'!$D143)</f>
        <v/>
      </c>
      <c r="F143" s="44" t="str">
        <f>IF('QUICK ENTRY'!$B143="","",'QUICK ENTRY'!$K143)</f>
        <v/>
      </c>
      <c r="G143" s="58" t="str">
        <f>IF('QUICK ENTRY'!$B143="","",'QUICK ENTRY'!$E143)</f>
        <v/>
      </c>
      <c r="H143" s="44" t="str">
        <f>IF('QUICK ENTRY'!$B143="","",'QUICK ENTRY'!$F143)</f>
        <v/>
      </c>
      <c r="I143" s="44" t="str">
        <f>IF('QUICK ENTRY'!$B143="","",'QUICK ENTRY'!$L143)</f>
        <v/>
      </c>
      <c r="J143" s="44" t="str">
        <f>IF('QUICK ENTRY'!$B143="","",'QUICK ENTRY'!$M143)</f>
        <v/>
      </c>
      <c r="K143" s="44" t="str">
        <f>IF('QUICK ENTRY'!$B143="","",'QUICK ENTRY'!$V143)</f>
        <v/>
      </c>
      <c r="L143" s="44" t="str">
        <f>IF('QUICK ENTRY'!$B143="","",'QUICK ENTRY'!$R143)</f>
        <v/>
      </c>
      <c r="M143" s="44" t="str">
        <f>IF('QUICK ENTRY'!$B143="","",'QUICK ENTRY'!$O143)</f>
        <v/>
      </c>
      <c r="N143" s="44" t="str">
        <f>IF('QUICK ENTRY'!$B143="","",'QUICK ENTRY'!$AA143)</f>
        <v/>
      </c>
      <c r="O143" s="44" t="str">
        <f>IF('QUICK ENTRY'!$B143="","",'QUICK ENTRY'!$AG143)</f>
        <v/>
      </c>
      <c r="P143" s="44" t="str">
        <f>IF('QUICK ENTRY'!$B143="","",'QUICK ENTRY'!$AF143)</f>
        <v/>
      </c>
    </row>
    <row r="144" spans="1:16" ht="14.4">
      <c r="A144" s="44" t="str">
        <f>IF('QUICK ENTRY'!$B144="","",'QUICK ENTRY'!$U144)</f>
        <v/>
      </c>
      <c r="B144" s="55" t="str">
        <f>IF('QUICK ENTRY'!$B144="","",'QUICK ENTRY'!$B144)</f>
        <v/>
      </c>
      <c r="C144" s="44" t="str">
        <f>IF('QUICK ENTRY'!$B144="","",'QUICK ENTRY'!$C144)</f>
        <v/>
      </c>
      <c r="D144" s="44" t="str">
        <f>IF('QUICK ENTRY'!$B144="","",'QUICK ENTRY'!$I144)</f>
        <v/>
      </c>
      <c r="E144" s="44" t="str">
        <f>IF('QUICK ENTRY'!$B144="","",'QUICK ENTRY'!$D144)</f>
        <v/>
      </c>
      <c r="F144" s="44" t="str">
        <f>IF('QUICK ENTRY'!$B144="","",'QUICK ENTRY'!$K144)</f>
        <v/>
      </c>
      <c r="G144" s="58" t="str">
        <f>IF('QUICK ENTRY'!$B144="","",'QUICK ENTRY'!$E144)</f>
        <v/>
      </c>
      <c r="H144" s="44" t="str">
        <f>IF('QUICK ENTRY'!$B144="","",'QUICK ENTRY'!$F144)</f>
        <v/>
      </c>
      <c r="I144" s="44" t="str">
        <f>IF('QUICK ENTRY'!$B144="","",'QUICK ENTRY'!$L144)</f>
        <v/>
      </c>
      <c r="J144" s="44" t="str">
        <f>IF('QUICK ENTRY'!$B144="","",'QUICK ENTRY'!$M144)</f>
        <v/>
      </c>
      <c r="K144" s="44" t="str">
        <f>IF('QUICK ENTRY'!$B144="","",'QUICK ENTRY'!$V144)</f>
        <v/>
      </c>
      <c r="L144" s="44" t="str">
        <f>IF('QUICK ENTRY'!$B144="","",'QUICK ENTRY'!$R144)</f>
        <v/>
      </c>
      <c r="M144" s="44" t="str">
        <f>IF('QUICK ENTRY'!$B144="","",'QUICK ENTRY'!$O144)</f>
        <v/>
      </c>
      <c r="N144" s="44" t="str">
        <f>IF('QUICK ENTRY'!$B144="","",'QUICK ENTRY'!$AA144)</f>
        <v/>
      </c>
      <c r="O144" s="44" t="str">
        <f>IF('QUICK ENTRY'!$B144="","",'QUICK ENTRY'!$AG144)</f>
        <v/>
      </c>
      <c r="P144" s="44" t="str">
        <f>IF('QUICK ENTRY'!$B144="","",'QUICK ENTRY'!$AF144)</f>
        <v/>
      </c>
    </row>
    <row r="145" spans="1:16" ht="14.4">
      <c r="A145" s="44" t="str">
        <f>IF('QUICK ENTRY'!$B145="","",'QUICK ENTRY'!$U145)</f>
        <v/>
      </c>
      <c r="B145" s="55" t="str">
        <f>IF('QUICK ENTRY'!$B145="","",'QUICK ENTRY'!$B145)</f>
        <v/>
      </c>
      <c r="C145" s="44" t="str">
        <f>IF('QUICK ENTRY'!$B145="","",'QUICK ENTRY'!$C145)</f>
        <v/>
      </c>
      <c r="D145" s="44" t="str">
        <f>IF('QUICK ENTRY'!$B145="","",'QUICK ENTRY'!$I145)</f>
        <v/>
      </c>
      <c r="E145" s="44" t="str">
        <f>IF('QUICK ENTRY'!$B145="","",'QUICK ENTRY'!$D145)</f>
        <v/>
      </c>
      <c r="F145" s="44" t="str">
        <f>IF('QUICK ENTRY'!$B145="","",'QUICK ENTRY'!$K145)</f>
        <v/>
      </c>
      <c r="G145" s="58" t="str">
        <f>IF('QUICK ENTRY'!$B145="","",'QUICK ENTRY'!$E145)</f>
        <v/>
      </c>
      <c r="H145" s="44" t="str">
        <f>IF('QUICK ENTRY'!$B145="","",'QUICK ENTRY'!$F145)</f>
        <v/>
      </c>
      <c r="I145" s="44" t="str">
        <f>IF('QUICK ENTRY'!$B145="","",'QUICK ENTRY'!$L145)</f>
        <v/>
      </c>
      <c r="J145" s="44" t="str">
        <f>IF('QUICK ENTRY'!$B145="","",'QUICK ENTRY'!$M145)</f>
        <v/>
      </c>
      <c r="K145" s="44" t="str">
        <f>IF('QUICK ENTRY'!$B145="","",'QUICK ENTRY'!$V145)</f>
        <v/>
      </c>
      <c r="L145" s="44" t="str">
        <f>IF('QUICK ENTRY'!$B145="","",'QUICK ENTRY'!$R145)</f>
        <v/>
      </c>
      <c r="M145" s="44" t="str">
        <f>IF('QUICK ENTRY'!$B145="","",'QUICK ENTRY'!$O145)</f>
        <v/>
      </c>
      <c r="N145" s="44" t="str">
        <f>IF('QUICK ENTRY'!$B145="","",'QUICK ENTRY'!$AA145)</f>
        <v/>
      </c>
      <c r="O145" s="44" t="str">
        <f>IF('QUICK ENTRY'!$B145="","",'QUICK ENTRY'!$AG145)</f>
        <v/>
      </c>
      <c r="P145" s="44" t="str">
        <f>IF('QUICK ENTRY'!$B145="","",'QUICK ENTRY'!$AF145)</f>
        <v/>
      </c>
    </row>
    <row r="146" spans="1:16" ht="14.4">
      <c r="A146" s="44" t="str">
        <f>IF('QUICK ENTRY'!$B146="","",'QUICK ENTRY'!$U146)</f>
        <v/>
      </c>
      <c r="B146" s="55" t="str">
        <f>IF('QUICK ENTRY'!$B146="","",'QUICK ENTRY'!$B146)</f>
        <v/>
      </c>
      <c r="C146" s="44" t="str">
        <f>IF('QUICK ENTRY'!$B146="","",'QUICK ENTRY'!$C146)</f>
        <v/>
      </c>
      <c r="D146" s="44" t="str">
        <f>IF('QUICK ENTRY'!$B146="","",'QUICK ENTRY'!$I146)</f>
        <v/>
      </c>
      <c r="E146" s="44" t="str">
        <f>IF('QUICK ENTRY'!$B146="","",'QUICK ENTRY'!$D146)</f>
        <v/>
      </c>
      <c r="F146" s="44" t="str">
        <f>IF('QUICK ENTRY'!$B146="","",'QUICK ENTRY'!$K146)</f>
        <v/>
      </c>
      <c r="G146" s="58" t="str">
        <f>IF('QUICK ENTRY'!$B146="","",'QUICK ENTRY'!$E146)</f>
        <v/>
      </c>
      <c r="H146" s="44" t="str">
        <f>IF('QUICK ENTRY'!$B146="","",'QUICK ENTRY'!$F146)</f>
        <v/>
      </c>
      <c r="I146" s="44" t="str">
        <f>IF('QUICK ENTRY'!$B146="","",'QUICK ENTRY'!$L146)</f>
        <v/>
      </c>
      <c r="J146" s="44" t="str">
        <f>IF('QUICK ENTRY'!$B146="","",'QUICK ENTRY'!$M146)</f>
        <v/>
      </c>
      <c r="K146" s="44" t="str">
        <f>IF('QUICK ENTRY'!$B146="","",'QUICK ENTRY'!$V146)</f>
        <v/>
      </c>
      <c r="L146" s="44" t="str">
        <f>IF('QUICK ENTRY'!$B146="","",'QUICK ENTRY'!$R146)</f>
        <v/>
      </c>
      <c r="M146" s="44" t="str">
        <f>IF('QUICK ENTRY'!$B146="","",'QUICK ENTRY'!$O146)</f>
        <v/>
      </c>
      <c r="N146" s="44" t="str">
        <f>IF('QUICK ENTRY'!$B146="","",'QUICK ENTRY'!$AA146)</f>
        <v/>
      </c>
      <c r="O146" s="44" t="str">
        <f>IF('QUICK ENTRY'!$B146="","",'QUICK ENTRY'!$AG146)</f>
        <v/>
      </c>
      <c r="P146" s="44" t="str">
        <f>IF('QUICK ENTRY'!$B146="","",'QUICK ENTRY'!$AF146)</f>
        <v/>
      </c>
    </row>
    <row r="147" spans="1:16" ht="14.4">
      <c r="A147" s="44" t="str">
        <f>IF('QUICK ENTRY'!$B147="","",'QUICK ENTRY'!$U147)</f>
        <v/>
      </c>
      <c r="B147" s="55" t="str">
        <f>IF('QUICK ENTRY'!$B147="","",'QUICK ENTRY'!$B147)</f>
        <v/>
      </c>
      <c r="C147" s="44" t="str">
        <f>IF('QUICK ENTRY'!$B147="","",'QUICK ENTRY'!$C147)</f>
        <v/>
      </c>
      <c r="D147" s="44" t="str">
        <f>IF('QUICK ENTRY'!$B147="","",'QUICK ENTRY'!$I147)</f>
        <v/>
      </c>
      <c r="E147" s="44" t="str">
        <f>IF('QUICK ENTRY'!$B147="","",'QUICK ENTRY'!$D147)</f>
        <v/>
      </c>
      <c r="F147" s="44" t="str">
        <f>IF('QUICK ENTRY'!$B147="","",'QUICK ENTRY'!$K147)</f>
        <v/>
      </c>
      <c r="G147" s="58" t="str">
        <f>IF('QUICK ENTRY'!$B147="","",'QUICK ENTRY'!$E147)</f>
        <v/>
      </c>
      <c r="H147" s="44" t="str">
        <f>IF('QUICK ENTRY'!$B147="","",'QUICK ENTRY'!$F147)</f>
        <v/>
      </c>
      <c r="I147" s="44" t="str">
        <f>IF('QUICK ENTRY'!$B147="","",'QUICK ENTRY'!$L147)</f>
        <v/>
      </c>
      <c r="J147" s="44" t="str">
        <f>IF('QUICK ENTRY'!$B147="","",'QUICK ENTRY'!$M147)</f>
        <v/>
      </c>
      <c r="K147" s="44" t="str">
        <f>IF('QUICK ENTRY'!$B147="","",'QUICK ENTRY'!$V147)</f>
        <v/>
      </c>
      <c r="L147" s="44" t="str">
        <f>IF('QUICK ENTRY'!$B147="","",'QUICK ENTRY'!$R147)</f>
        <v/>
      </c>
      <c r="M147" s="44" t="str">
        <f>IF('QUICK ENTRY'!$B147="","",'QUICK ENTRY'!$O147)</f>
        <v/>
      </c>
      <c r="N147" s="44" t="str">
        <f>IF('QUICK ENTRY'!$B147="","",'QUICK ENTRY'!$AA147)</f>
        <v/>
      </c>
      <c r="O147" s="44" t="str">
        <f>IF('QUICK ENTRY'!$B147="","",'QUICK ENTRY'!$AG147)</f>
        <v/>
      </c>
      <c r="P147" s="44" t="str">
        <f>IF('QUICK ENTRY'!$B147="","",'QUICK ENTRY'!$AF147)</f>
        <v/>
      </c>
    </row>
    <row r="148" spans="1:16" ht="14.4">
      <c r="A148" s="44" t="str">
        <f>IF('QUICK ENTRY'!$B148="","",'QUICK ENTRY'!$U148)</f>
        <v/>
      </c>
      <c r="B148" s="55" t="str">
        <f>IF('QUICK ENTRY'!$B148="","",'QUICK ENTRY'!$B148)</f>
        <v/>
      </c>
      <c r="C148" s="44" t="str">
        <f>IF('QUICK ENTRY'!$B148="","",'QUICK ENTRY'!$C148)</f>
        <v/>
      </c>
      <c r="D148" s="44" t="str">
        <f>IF('QUICK ENTRY'!$B148="","",'QUICK ENTRY'!$I148)</f>
        <v/>
      </c>
      <c r="E148" s="44" t="str">
        <f>IF('QUICK ENTRY'!$B148="","",'QUICK ENTRY'!$D148)</f>
        <v/>
      </c>
      <c r="F148" s="44" t="str">
        <f>IF('QUICK ENTRY'!$B148="","",'QUICK ENTRY'!$K148)</f>
        <v/>
      </c>
      <c r="G148" s="58" t="str">
        <f>IF('QUICK ENTRY'!$B148="","",'QUICK ENTRY'!$E148)</f>
        <v/>
      </c>
      <c r="H148" s="44" t="str">
        <f>IF('QUICK ENTRY'!$B148="","",'QUICK ENTRY'!$F148)</f>
        <v/>
      </c>
      <c r="I148" s="44" t="str">
        <f>IF('QUICK ENTRY'!$B148="","",'QUICK ENTRY'!$L148)</f>
        <v/>
      </c>
      <c r="J148" s="44" t="str">
        <f>IF('QUICK ENTRY'!$B148="","",'QUICK ENTRY'!$M148)</f>
        <v/>
      </c>
      <c r="K148" s="44" t="str">
        <f>IF('QUICK ENTRY'!$B148="","",'QUICK ENTRY'!$V148)</f>
        <v/>
      </c>
      <c r="L148" s="44" t="str">
        <f>IF('QUICK ENTRY'!$B148="","",'QUICK ENTRY'!$R148)</f>
        <v/>
      </c>
      <c r="M148" s="44" t="str">
        <f>IF('QUICK ENTRY'!$B148="","",'QUICK ENTRY'!$O148)</f>
        <v/>
      </c>
      <c r="N148" s="44" t="str">
        <f>IF('QUICK ENTRY'!$B148="","",'QUICK ENTRY'!$AA148)</f>
        <v/>
      </c>
      <c r="O148" s="44" t="str">
        <f>IF('QUICK ENTRY'!$B148="","",'QUICK ENTRY'!$AG148)</f>
        <v/>
      </c>
      <c r="P148" s="44" t="str">
        <f>IF('QUICK ENTRY'!$B148="","",'QUICK ENTRY'!$AF148)</f>
        <v/>
      </c>
    </row>
    <row r="149" spans="1:16" ht="14.4">
      <c r="A149" s="44" t="str">
        <f>IF('QUICK ENTRY'!$B149="","",'QUICK ENTRY'!$U149)</f>
        <v/>
      </c>
      <c r="B149" s="55" t="str">
        <f>IF('QUICK ENTRY'!$B149="","",'QUICK ENTRY'!$B149)</f>
        <v/>
      </c>
      <c r="C149" s="44" t="str">
        <f>IF('QUICK ENTRY'!$B149="","",'QUICK ENTRY'!$C149)</f>
        <v/>
      </c>
      <c r="D149" s="44" t="str">
        <f>IF('QUICK ENTRY'!$B149="","",'QUICK ENTRY'!$I149)</f>
        <v/>
      </c>
      <c r="E149" s="44" t="str">
        <f>IF('QUICK ENTRY'!$B149="","",'QUICK ENTRY'!$D149)</f>
        <v/>
      </c>
      <c r="F149" s="44" t="str">
        <f>IF('QUICK ENTRY'!$B149="","",'QUICK ENTRY'!$K149)</f>
        <v/>
      </c>
      <c r="G149" s="58" t="str">
        <f>IF('QUICK ENTRY'!$B149="","",'QUICK ENTRY'!$E149)</f>
        <v/>
      </c>
      <c r="H149" s="44" t="str">
        <f>IF('QUICK ENTRY'!$B149="","",'QUICK ENTRY'!$F149)</f>
        <v/>
      </c>
      <c r="I149" s="44" t="str">
        <f>IF('QUICK ENTRY'!$B149="","",'QUICK ENTRY'!$L149)</f>
        <v/>
      </c>
      <c r="J149" s="44" t="str">
        <f>IF('QUICK ENTRY'!$B149="","",'QUICK ENTRY'!$M149)</f>
        <v/>
      </c>
      <c r="K149" s="44" t="str">
        <f>IF('QUICK ENTRY'!$B149="","",'QUICK ENTRY'!$V149)</f>
        <v/>
      </c>
      <c r="L149" s="44" t="str">
        <f>IF('QUICK ENTRY'!$B149="","",'QUICK ENTRY'!$R149)</f>
        <v/>
      </c>
      <c r="M149" s="44" t="str">
        <f>IF('QUICK ENTRY'!$B149="","",'QUICK ENTRY'!$O149)</f>
        <v/>
      </c>
      <c r="N149" s="44" t="str">
        <f>IF('QUICK ENTRY'!$B149="","",'QUICK ENTRY'!$AA149)</f>
        <v/>
      </c>
      <c r="O149" s="44" t="str">
        <f>IF('QUICK ENTRY'!$B149="","",'QUICK ENTRY'!$AG149)</f>
        <v/>
      </c>
      <c r="P149" s="44" t="str">
        <f>IF('QUICK ENTRY'!$B149="","",'QUICK ENTRY'!$AF149)</f>
        <v/>
      </c>
    </row>
    <row r="150" spans="1:16" ht="14.4">
      <c r="A150" s="44" t="str">
        <f>IF('QUICK ENTRY'!$B150="","",'QUICK ENTRY'!$U150)</f>
        <v/>
      </c>
      <c r="B150" s="55" t="str">
        <f>IF('QUICK ENTRY'!$B150="","",'QUICK ENTRY'!$B150)</f>
        <v/>
      </c>
      <c r="C150" s="44" t="str">
        <f>IF('QUICK ENTRY'!$B150="","",'QUICK ENTRY'!$C150)</f>
        <v/>
      </c>
      <c r="D150" s="44" t="str">
        <f>IF('QUICK ENTRY'!$B150="","",'QUICK ENTRY'!$I150)</f>
        <v/>
      </c>
      <c r="E150" s="44" t="str">
        <f>IF('QUICK ENTRY'!$B150="","",'QUICK ENTRY'!$D150)</f>
        <v/>
      </c>
      <c r="F150" s="44" t="str">
        <f>IF('QUICK ENTRY'!$B150="","",'QUICK ENTRY'!$K150)</f>
        <v/>
      </c>
      <c r="G150" s="58" t="str">
        <f>IF('QUICK ENTRY'!$B150="","",'QUICK ENTRY'!$E150)</f>
        <v/>
      </c>
      <c r="H150" s="44" t="str">
        <f>IF('QUICK ENTRY'!$B150="","",'QUICK ENTRY'!$F150)</f>
        <v/>
      </c>
      <c r="I150" s="44" t="str">
        <f>IF('QUICK ENTRY'!$B150="","",'QUICK ENTRY'!$L150)</f>
        <v/>
      </c>
      <c r="J150" s="44" t="str">
        <f>IF('QUICK ENTRY'!$B150="","",'QUICK ENTRY'!$M150)</f>
        <v/>
      </c>
      <c r="K150" s="44" t="str">
        <f>IF('QUICK ENTRY'!$B150="","",'QUICK ENTRY'!$V150)</f>
        <v/>
      </c>
      <c r="L150" s="44" t="str">
        <f>IF('QUICK ENTRY'!$B150="","",'QUICK ENTRY'!$R150)</f>
        <v/>
      </c>
      <c r="M150" s="44" t="str">
        <f>IF('QUICK ENTRY'!$B150="","",'QUICK ENTRY'!$O150)</f>
        <v/>
      </c>
      <c r="N150" s="44" t="str">
        <f>IF('QUICK ENTRY'!$B150="","",'QUICK ENTRY'!$AA150)</f>
        <v/>
      </c>
      <c r="O150" s="44" t="str">
        <f>IF('QUICK ENTRY'!$B150="","",'QUICK ENTRY'!$AG150)</f>
        <v/>
      </c>
      <c r="P150" s="44" t="str">
        <f>IF('QUICK ENTRY'!$B150="","",'QUICK ENTRY'!$AF150)</f>
        <v/>
      </c>
    </row>
    <row r="151" spans="1:16" ht="14.4">
      <c r="A151" s="44" t="str">
        <f>IF('QUICK ENTRY'!$B151="","",'QUICK ENTRY'!$U151)</f>
        <v/>
      </c>
      <c r="B151" s="55" t="str">
        <f>IF('QUICK ENTRY'!$B151="","",'QUICK ENTRY'!$B151)</f>
        <v/>
      </c>
      <c r="C151" s="44" t="str">
        <f>IF('QUICK ENTRY'!$B151="","",'QUICK ENTRY'!$C151)</f>
        <v/>
      </c>
      <c r="D151" s="44" t="str">
        <f>IF('QUICK ENTRY'!$B151="","",'QUICK ENTRY'!$I151)</f>
        <v/>
      </c>
      <c r="E151" s="44" t="str">
        <f>IF('QUICK ENTRY'!$B151="","",'QUICK ENTRY'!$D151)</f>
        <v/>
      </c>
      <c r="F151" s="44" t="str">
        <f>IF('QUICK ENTRY'!$B151="","",'QUICK ENTRY'!$K151)</f>
        <v/>
      </c>
      <c r="G151" s="58" t="str">
        <f>IF('QUICK ENTRY'!$B151="","",'QUICK ENTRY'!$E151)</f>
        <v/>
      </c>
      <c r="H151" s="44" t="str">
        <f>IF('QUICK ENTRY'!$B151="","",'QUICK ENTRY'!$F151)</f>
        <v/>
      </c>
      <c r="I151" s="44" t="str">
        <f>IF('QUICK ENTRY'!$B151="","",'QUICK ENTRY'!$L151)</f>
        <v/>
      </c>
      <c r="J151" s="44" t="str">
        <f>IF('QUICK ENTRY'!$B151="","",'QUICK ENTRY'!$M151)</f>
        <v/>
      </c>
      <c r="K151" s="44" t="str">
        <f>IF('QUICK ENTRY'!$B151="","",'QUICK ENTRY'!$V151)</f>
        <v/>
      </c>
      <c r="L151" s="44" t="str">
        <f>IF('QUICK ENTRY'!$B151="","",'QUICK ENTRY'!$R151)</f>
        <v/>
      </c>
      <c r="M151" s="44" t="str">
        <f>IF('QUICK ENTRY'!$B151="","",'QUICK ENTRY'!$O151)</f>
        <v/>
      </c>
      <c r="N151" s="44" t="str">
        <f>IF('QUICK ENTRY'!$B151="","",'QUICK ENTRY'!$AA151)</f>
        <v/>
      </c>
      <c r="O151" s="44" t="str">
        <f>IF('QUICK ENTRY'!$B151="","",'QUICK ENTRY'!$AG151)</f>
        <v/>
      </c>
      <c r="P151" s="44" t="str">
        <f>IF('QUICK ENTRY'!$B151="","",'QUICK ENTRY'!$AF151)</f>
        <v/>
      </c>
    </row>
    <row r="152" spans="1:16" ht="14.4">
      <c r="A152" s="44" t="str">
        <f>IF('QUICK ENTRY'!$B152="","",'QUICK ENTRY'!$U152)</f>
        <v/>
      </c>
      <c r="B152" s="55" t="str">
        <f>IF('QUICK ENTRY'!$B152="","",'QUICK ENTRY'!$B152)</f>
        <v/>
      </c>
      <c r="C152" s="44" t="str">
        <f>IF('QUICK ENTRY'!$B152="","",'QUICK ENTRY'!$C152)</f>
        <v/>
      </c>
      <c r="D152" s="44" t="str">
        <f>IF('QUICK ENTRY'!$B152="","",'QUICK ENTRY'!$I152)</f>
        <v/>
      </c>
      <c r="E152" s="44" t="str">
        <f>IF('QUICK ENTRY'!$B152="","",'QUICK ENTRY'!$D152)</f>
        <v/>
      </c>
      <c r="F152" s="44" t="str">
        <f>IF('QUICK ENTRY'!$B152="","",'QUICK ENTRY'!$K152)</f>
        <v/>
      </c>
      <c r="G152" s="58" t="str">
        <f>IF('QUICK ENTRY'!$B152="","",'QUICK ENTRY'!$E152)</f>
        <v/>
      </c>
      <c r="H152" s="44" t="str">
        <f>IF('QUICK ENTRY'!$B152="","",'QUICK ENTRY'!$F152)</f>
        <v/>
      </c>
      <c r="I152" s="44" t="str">
        <f>IF('QUICK ENTRY'!$B152="","",'QUICK ENTRY'!$L152)</f>
        <v/>
      </c>
      <c r="J152" s="44" t="str">
        <f>IF('QUICK ENTRY'!$B152="","",'QUICK ENTRY'!$M152)</f>
        <v/>
      </c>
      <c r="K152" s="44" t="str">
        <f>IF('QUICK ENTRY'!$B152="","",'QUICK ENTRY'!$V152)</f>
        <v/>
      </c>
      <c r="L152" s="44" t="str">
        <f>IF('QUICK ENTRY'!$B152="","",'QUICK ENTRY'!$R152)</f>
        <v/>
      </c>
      <c r="M152" s="44" t="str">
        <f>IF('QUICK ENTRY'!$B152="","",'QUICK ENTRY'!$O152)</f>
        <v/>
      </c>
      <c r="N152" s="44" t="str">
        <f>IF('QUICK ENTRY'!$B152="","",'QUICK ENTRY'!$AA152)</f>
        <v/>
      </c>
      <c r="O152" s="44" t="str">
        <f>IF('QUICK ENTRY'!$B152="","",'QUICK ENTRY'!$AG152)</f>
        <v/>
      </c>
      <c r="P152" s="44" t="str">
        <f>IF('QUICK ENTRY'!$B152="","",'QUICK ENTRY'!$AF152)</f>
        <v/>
      </c>
    </row>
    <row r="153" spans="1:16" ht="14.4">
      <c r="A153" s="44" t="str">
        <f>IF('QUICK ENTRY'!$B153="","",'QUICK ENTRY'!$U153)</f>
        <v/>
      </c>
      <c r="B153" s="55" t="str">
        <f>IF('QUICK ENTRY'!$B153="","",'QUICK ENTRY'!$B153)</f>
        <v/>
      </c>
      <c r="C153" s="44" t="str">
        <f>IF('QUICK ENTRY'!$B153="","",'QUICK ENTRY'!$C153)</f>
        <v/>
      </c>
      <c r="D153" s="44" t="str">
        <f>IF('QUICK ENTRY'!$B153="","",'QUICK ENTRY'!$I153)</f>
        <v/>
      </c>
      <c r="E153" s="44" t="str">
        <f>IF('QUICK ENTRY'!$B153="","",'QUICK ENTRY'!$D153)</f>
        <v/>
      </c>
      <c r="F153" s="44" t="str">
        <f>IF('QUICK ENTRY'!$B153="","",'QUICK ENTRY'!$K153)</f>
        <v/>
      </c>
      <c r="G153" s="58" t="str">
        <f>IF('QUICK ENTRY'!$B153="","",'QUICK ENTRY'!$E153)</f>
        <v/>
      </c>
      <c r="H153" s="44" t="str">
        <f>IF('QUICK ENTRY'!$B153="","",'QUICK ENTRY'!$F153)</f>
        <v/>
      </c>
      <c r="I153" s="44" t="str">
        <f>IF('QUICK ENTRY'!$B153="","",'QUICK ENTRY'!$L153)</f>
        <v/>
      </c>
      <c r="J153" s="44" t="str">
        <f>IF('QUICK ENTRY'!$B153="","",'QUICK ENTRY'!$M153)</f>
        <v/>
      </c>
      <c r="K153" s="44" t="str">
        <f>IF('QUICK ENTRY'!$B153="","",'QUICK ENTRY'!$V153)</f>
        <v/>
      </c>
      <c r="L153" s="44" t="str">
        <f>IF('QUICK ENTRY'!$B153="","",'QUICK ENTRY'!$R153)</f>
        <v/>
      </c>
      <c r="M153" s="44" t="str">
        <f>IF('QUICK ENTRY'!$B153="","",'QUICK ENTRY'!$O153)</f>
        <v/>
      </c>
      <c r="N153" s="44" t="str">
        <f>IF('QUICK ENTRY'!$B153="","",'QUICK ENTRY'!$AA153)</f>
        <v/>
      </c>
      <c r="O153" s="44" t="str">
        <f>IF('QUICK ENTRY'!$B153="","",'QUICK ENTRY'!$AG153)</f>
        <v/>
      </c>
      <c r="P153" s="44" t="str">
        <f>IF('QUICK ENTRY'!$B153="","",'QUICK ENTRY'!$AF153)</f>
        <v/>
      </c>
    </row>
    <row r="154" spans="1:16" ht="14.4">
      <c r="A154" s="44" t="str">
        <f>IF('QUICK ENTRY'!$B154="","",'QUICK ENTRY'!$U154)</f>
        <v/>
      </c>
      <c r="B154" s="55" t="str">
        <f>IF('QUICK ENTRY'!$B154="","",'QUICK ENTRY'!$B154)</f>
        <v/>
      </c>
      <c r="C154" s="44" t="str">
        <f>IF('QUICK ENTRY'!$B154="","",'QUICK ENTRY'!$C154)</f>
        <v/>
      </c>
      <c r="D154" s="44" t="str">
        <f>IF('QUICK ENTRY'!$B154="","",'QUICK ENTRY'!$I154)</f>
        <v/>
      </c>
      <c r="E154" s="44" t="str">
        <f>IF('QUICK ENTRY'!$B154="","",'QUICK ENTRY'!$D154)</f>
        <v/>
      </c>
      <c r="F154" s="44" t="str">
        <f>IF('QUICK ENTRY'!$B154="","",'QUICK ENTRY'!$K154)</f>
        <v/>
      </c>
      <c r="G154" s="58" t="str">
        <f>IF('QUICK ENTRY'!$B154="","",'QUICK ENTRY'!$E154)</f>
        <v/>
      </c>
      <c r="H154" s="44" t="str">
        <f>IF('QUICK ENTRY'!$B154="","",'QUICK ENTRY'!$F154)</f>
        <v/>
      </c>
      <c r="I154" s="44" t="str">
        <f>IF('QUICK ENTRY'!$B154="","",'QUICK ENTRY'!$L154)</f>
        <v/>
      </c>
      <c r="J154" s="44" t="str">
        <f>IF('QUICK ENTRY'!$B154="","",'QUICK ENTRY'!$M154)</f>
        <v/>
      </c>
      <c r="K154" s="44" t="str">
        <f>IF('QUICK ENTRY'!$B154="","",'QUICK ENTRY'!$V154)</f>
        <v/>
      </c>
      <c r="L154" s="44" t="str">
        <f>IF('QUICK ENTRY'!$B154="","",'QUICK ENTRY'!$R154)</f>
        <v/>
      </c>
      <c r="M154" s="44" t="str">
        <f>IF('QUICK ENTRY'!$B154="","",'QUICK ENTRY'!$O154)</f>
        <v/>
      </c>
      <c r="N154" s="44" t="str">
        <f>IF('QUICK ENTRY'!$B154="","",'QUICK ENTRY'!$AA154)</f>
        <v/>
      </c>
      <c r="O154" s="44" t="str">
        <f>IF('QUICK ENTRY'!$B154="","",'QUICK ENTRY'!$AG154)</f>
        <v/>
      </c>
      <c r="P154" s="44" t="str">
        <f>IF('QUICK ENTRY'!$B154="","",'QUICK ENTRY'!$AF154)</f>
        <v/>
      </c>
    </row>
    <row r="155" spans="1:16" ht="14.4">
      <c r="A155" s="44" t="str">
        <f>IF('QUICK ENTRY'!$B155="","",'QUICK ENTRY'!$U155)</f>
        <v/>
      </c>
      <c r="B155" s="55" t="str">
        <f>IF('QUICK ENTRY'!$B155="","",'QUICK ENTRY'!$B155)</f>
        <v/>
      </c>
      <c r="C155" s="44" t="str">
        <f>IF('QUICK ENTRY'!$B155="","",'QUICK ENTRY'!$C155)</f>
        <v/>
      </c>
      <c r="D155" s="44" t="str">
        <f>IF('QUICK ENTRY'!$B155="","",'QUICK ENTRY'!$I155)</f>
        <v/>
      </c>
      <c r="E155" s="44" t="str">
        <f>IF('QUICK ENTRY'!$B155="","",'QUICK ENTRY'!$D155)</f>
        <v/>
      </c>
      <c r="F155" s="44" t="str">
        <f>IF('QUICK ENTRY'!$B155="","",'QUICK ENTRY'!$K155)</f>
        <v/>
      </c>
      <c r="G155" s="58" t="str">
        <f>IF('QUICK ENTRY'!$B155="","",'QUICK ENTRY'!$E155)</f>
        <v/>
      </c>
      <c r="H155" s="44" t="str">
        <f>IF('QUICK ENTRY'!$B155="","",'QUICK ENTRY'!$F155)</f>
        <v/>
      </c>
      <c r="I155" s="44" t="str">
        <f>IF('QUICK ENTRY'!$B155="","",'QUICK ENTRY'!$L155)</f>
        <v/>
      </c>
      <c r="J155" s="44" t="str">
        <f>IF('QUICK ENTRY'!$B155="","",'QUICK ENTRY'!$M155)</f>
        <v/>
      </c>
      <c r="K155" s="44" t="str">
        <f>IF('QUICK ENTRY'!$B155="","",'QUICK ENTRY'!$V155)</f>
        <v/>
      </c>
      <c r="L155" s="44" t="str">
        <f>IF('QUICK ENTRY'!$B155="","",'QUICK ENTRY'!$R155)</f>
        <v/>
      </c>
      <c r="M155" s="44" t="str">
        <f>IF('QUICK ENTRY'!$B155="","",'QUICK ENTRY'!$O155)</f>
        <v/>
      </c>
      <c r="N155" s="44" t="str">
        <f>IF('QUICK ENTRY'!$B155="","",'QUICK ENTRY'!$AA155)</f>
        <v/>
      </c>
      <c r="O155" s="44" t="str">
        <f>IF('QUICK ENTRY'!$B155="","",'QUICK ENTRY'!$AG155)</f>
        <v/>
      </c>
      <c r="P155" s="44" t="str">
        <f>IF('QUICK ENTRY'!$B155="","",'QUICK ENTRY'!$AF155)</f>
        <v/>
      </c>
    </row>
    <row r="156" spans="1:16" ht="14.4">
      <c r="A156" s="44" t="str">
        <f>IF('QUICK ENTRY'!$B156="","",'QUICK ENTRY'!$U156)</f>
        <v/>
      </c>
      <c r="B156" s="55" t="str">
        <f>IF('QUICK ENTRY'!$B156="","",'QUICK ENTRY'!$B156)</f>
        <v/>
      </c>
      <c r="C156" s="44" t="str">
        <f>IF('QUICK ENTRY'!$B156="","",'QUICK ENTRY'!$C156)</f>
        <v/>
      </c>
      <c r="D156" s="44" t="str">
        <f>IF('QUICK ENTRY'!$B156="","",'QUICK ENTRY'!$I156)</f>
        <v/>
      </c>
      <c r="E156" s="44" t="str">
        <f>IF('QUICK ENTRY'!$B156="","",'QUICK ENTRY'!$D156)</f>
        <v/>
      </c>
      <c r="F156" s="44" t="str">
        <f>IF('QUICK ENTRY'!$B156="","",'QUICK ENTRY'!$K156)</f>
        <v/>
      </c>
      <c r="G156" s="58" t="str">
        <f>IF('QUICK ENTRY'!$B156="","",'QUICK ENTRY'!$E156)</f>
        <v/>
      </c>
      <c r="H156" s="44" t="str">
        <f>IF('QUICK ENTRY'!$B156="","",'QUICK ENTRY'!$F156)</f>
        <v/>
      </c>
      <c r="I156" s="44" t="str">
        <f>IF('QUICK ENTRY'!$B156="","",'QUICK ENTRY'!$L156)</f>
        <v/>
      </c>
      <c r="J156" s="44" t="str">
        <f>IF('QUICK ENTRY'!$B156="","",'QUICK ENTRY'!$M156)</f>
        <v/>
      </c>
      <c r="K156" s="44" t="str">
        <f>IF('QUICK ENTRY'!$B156="","",'QUICK ENTRY'!$V156)</f>
        <v/>
      </c>
      <c r="L156" s="44" t="str">
        <f>IF('QUICK ENTRY'!$B156="","",'QUICK ENTRY'!$R156)</f>
        <v/>
      </c>
      <c r="M156" s="44" t="str">
        <f>IF('QUICK ENTRY'!$B156="","",'QUICK ENTRY'!$O156)</f>
        <v/>
      </c>
      <c r="N156" s="44" t="str">
        <f>IF('QUICK ENTRY'!$B156="","",'QUICK ENTRY'!$AA156)</f>
        <v/>
      </c>
      <c r="O156" s="44" t="str">
        <f>IF('QUICK ENTRY'!$B156="","",'QUICK ENTRY'!$AG156)</f>
        <v/>
      </c>
      <c r="P156" s="44" t="str">
        <f>IF('QUICK ENTRY'!$B156="","",'QUICK ENTRY'!$AF156)</f>
        <v/>
      </c>
    </row>
    <row r="157" spans="1:16" ht="14.4">
      <c r="A157" s="44" t="str">
        <f>IF('QUICK ENTRY'!$B157="","",'QUICK ENTRY'!$U157)</f>
        <v/>
      </c>
      <c r="B157" s="55" t="str">
        <f>IF('QUICK ENTRY'!$B157="","",'QUICK ENTRY'!$B157)</f>
        <v/>
      </c>
      <c r="C157" s="44" t="str">
        <f>IF('QUICK ENTRY'!$B157="","",'QUICK ENTRY'!$C157)</f>
        <v/>
      </c>
      <c r="D157" s="44" t="str">
        <f>IF('QUICK ENTRY'!$B157="","",'QUICK ENTRY'!$I157)</f>
        <v/>
      </c>
      <c r="E157" s="44" t="str">
        <f>IF('QUICK ENTRY'!$B157="","",'QUICK ENTRY'!$D157)</f>
        <v/>
      </c>
      <c r="F157" s="44" t="str">
        <f>IF('QUICK ENTRY'!$B157="","",'QUICK ENTRY'!$K157)</f>
        <v/>
      </c>
      <c r="G157" s="58" t="str">
        <f>IF('QUICK ENTRY'!$B157="","",'QUICK ENTRY'!$E157)</f>
        <v/>
      </c>
      <c r="H157" s="44" t="str">
        <f>IF('QUICK ENTRY'!$B157="","",'QUICK ENTRY'!$F157)</f>
        <v/>
      </c>
      <c r="I157" s="44" t="str">
        <f>IF('QUICK ENTRY'!$B157="","",'QUICK ENTRY'!$L157)</f>
        <v/>
      </c>
      <c r="J157" s="44" t="str">
        <f>IF('QUICK ENTRY'!$B157="","",'QUICK ENTRY'!$M157)</f>
        <v/>
      </c>
      <c r="K157" s="44" t="str">
        <f>IF('QUICK ENTRY'!$B157="","",'QUICK ENTRY'!$V157)</f>
        <v/>
      </c>
      <c r="L157" s="44" t="str">
        <f>IF('QUICK ENTRY'!$B157="","",'QUICK ENTRY'!$R157)</f>
        <v/>
      </c>
      <c r="M157" s="44" t="str">
        <f>IF('QUICK ENTRY'!$B157="","",'QUICK ENTRY'!$O157)</f>
        <v/>
      </c>
      <c r="N157" s="44" t="str">
        <f>IF('QUICK ENTRY'!$B157="","",'QUICK ENTRY'!$AA157)</f>
        <v/>
      </c>
      <c r="O157" s="44" t="str">
        <f>IF('QUICK ENTRY'!$B157="","",'QUICK ENTRY'!$AG157)</f>
        <v/>
      </c>
      <c r="P157" s="44" t="str">
        <f>IF('QUICK ENTRY'!$B157="","",'QUICK ENTRY'!$AF157)</f>
        <v/>
      </c>
    </row>
    <row r="158" spans="1:16" ht="14.4">
      <c r="A158" s="44" t="str">
        <f>IF('QUICK ENTRY'!$B158="","",'QUICK ENTRY'!$U158)</f>
        <v/>
      </c>
      <c r="B158" s="55" t="str">
        <f>IF('QUICK ENTRY'!$B158="","",'QUICK ENTRY'!$B158)</f>
        <v/>
      </c>
      <c r="C158" s="44" t="str">
        <f>IF('QUICK ENTRY'!$B158="","",'QUICK ENTRY'!$C158)</f>
        <v/>
      </c>
      <c r="D158" s="44" t="str">
        <f>IF('QUICK ENTRY'!$B158="","",'QUICK ENTRY'!$I158)</f>
        <v/>
      </c>
      <c r="E158" s="44" t="str">
        <f>IF('QUICK ENTRY'!$B158="","",'QUICK ENTRY'!$D158)</f>
        <v/>
      </c>
      <c r="F158" s="44" t="str">
        <f>IF('QUICK ENTRY'!$B158="","",'QUICK ENTRY'!$K158)</f>
        <v/>
      </c>
      <c r="G158" s="58" t="str">
        <f>IF('QUICK ENTRY'!$B158="","",'QUICK ENTRY'!$E158)</f>
        <v/>
      </c>
      <c r="H158" s="44" t="str">
        <f>IF('QUICK ENTRY'!$B158="","",'QUICK ENTRY'!$F158)</f>
        <v/>
      </c>
      <c r="I158" s="44" t="str">
        <f>IF('QUICK ENTRY'!$B158="","",'QUICK ENTRY'!$L158)</f>
        <v/>
      </c>
      <c r="J158" s="44" t="str">
        <f>IF('QUICK ENTRY'!$B158="","",'QUICK ENTRY'!$M158)</f>
        <v/>
      </c>
      <c r="K158" s="44" t="str">
        <f>IF('QUICK ENTRY'!$B158="","",'QUICK ENTRY'!$V158)</f>
        <v/>
      </c>
      <c r="L158" s="44" t="str">
        <f>IF('QUICK ENTRY'!$B158="","",'QUICK ENTRY'!$R158)</f>
        <v/>
      </c>
      <c r="M158" s="44" t="str">
        <f>IF('QUICK ENTRY'!$B158="","",'QUICK ENTRY'!$O158)</f>
        <v/>
      </c>
      <c r="N158" s="44" t="str">
        <f>IF('QUICK ENTRY'!$B158="","",'QUICK ENTRY'!$AA158)</f>
        <v/>
      </c>
      <c r="O158" s="44" t="str">
        <f>IF('QUICK ENTRY'!$B158="","",'QUICK ENTRY'!$AG158)</f>
        <v/>
      </c>
      <c r="P158" s="44" t="str">
        <f>IF('QUICK ENTRY'!$B158="","",'QUICK ENTRY'!$AF158)</f>
        <v/>
      </c>
    </row>
    <row r="159" spans="1:16" ht="14.4">
      <c r="A159" s="44" t="str">
        <f>IF('QUICK ENTRY'!$B159="","",'QUICK ENTRY'!$U159)</f>
        <v/>
      </c>
      <c r="B159" s="55" t="str">
        <f>IF('QUICK ENTRY'!$B159="","",'QUICK ENTRY'!$B159)</f>
        <v/>
      </c>
      <c r="C159" s="44" t="str">
        <f>IF('QUICK ENTRY'!$B159="","",'QUICK ENTRY'!$C159)</f>
        <v/>
      </c>
      <c r="D159" s="44" t="str">
        <f>IF('QUICK ENTRY'!$B159="","",'QUICK ENTRY'!$I159)</f>
        <v/>
      </c>
      <c r="E159" s="44" t="str">
        <f>IF('QUICK ENTRY'!$B159="","",'QUICK ENTRY'!$D159)</f>
        <v/>
      </c>
      <c r="F159" s="44" t="str">
        <f>IF('QUICK ENTRY'!$B159="","",'QUICK ENTRY'!$K159)</f>
        <v/>
      </c>
      <c r="G159" s="58" t="str">
        <f>IF('QUICK ENTRY'!$B159="","",'QUICK ENTRY'!$E159)</f>
        <v/>
      </c>
      <c r="H159" s="44" t="str">
        <f>IF('QUICK ENTRY'!$B159="","",'QUICK ENTRY'!$F159)</f>
        <v/>
      </c>
      <c r="I159" s="44" t="str">
        <f>IF('QUICK ENTRY'!$B159="","",'QUICK ENTRY'!$L159)</f>
        <v/>
      </c>
      <c r="J159" s="44" t="str">
        <f>IF('QUICK ENTRY'!$B159="","",'QUICK ENTRY'!$M159)</f>
        <v/>
      </c>
      <c r="K159" s="44" t="str">
        <f>IF('QUICK ENTRY'!$B159="","",'QUICK ENTRY'!$V159)</f>
        <v/>
      </c>
      <c r="L159" s="44" t="str">
        <f>IF('QUICK ENTRY'!$B159="","",'QUICK ENTRY'!$R159)</f>
        <v/>
      </c>
      <c r="M159" s="44" t="str">
        <f>IF('QUICK ENTRY'!$B159="","",'QUICK ENTRY'!$O159)</f>
        <v/>
      </c>
      <c r="N159" s="44" t="str">
        <f>IF('QUICK ENTRY'!$B159="","",'QUICK ENTRY'!$AA159)</f>
        <v/>
      </c>
      <c r="O159" s="44" t="str">
        <f>IF('QUICK ENTRY'!$B159="","",'QUICK ENTRY'!$AG159)</f>
        <v/>
      </c>
      <c r="P159" s="44" t="str">
        <f>IF('QUICK ENTRY'!$B159="","",'QUICK ENTRY'!$AF159)</f>
        <v/>
      </c>
    </row>
    <row r="160" spans="1:16" ht="14.4">
      <c r="A160" s="44" t="str">
        <f>IF('QUICK ENTRY'!$B160="","",'QUICK ENTRY'!$U160)</f>
        <v/>
      </c>
      <c r="B160" s="55" t="str">
        <f>IF('QUICK ENTRY'!$B160="","",'QUICK ENTRY'!$B160)</f>
        <v/>
      </c>
      <c r="C160" s="44" t="str">
        <f>IF('QUICK ENTRY'!$B160="","",'QUICK ENTRY'!$C160)</f>
        <v/>
      </c>
      <c r="D160" s="44" t="str">
        <f>IF('QUICK ENTRY'!$B160="","",'QUICK ENTRY'!$I160)</f>
        <v/>
      </c>
      <c r="E160" s="44" t="str">
        <f>IF('QUICK ENTRY'!$B160="","",'QUICK ENTRY'!$D160)</f>
        <v/>
      </c>
      <c r="F160" s="44" t="str">
        <f>IF('QUICK ENTRY'!$B160="","",'QUICK ENTRY'!$K160)</f>
        <v/>
      </c>
      <c r="G160" s="58" t="str">
        <f>IF('QUICK ENTRY'!$B160="","",'QUICK ENTRY'!$E160)</f>
        <v/>
      </c>
      <c r="H160" s="44" t="str">
        <f>IF('QUICK ENTRY'!$B160="","",'QUICK ENTRY'!$F160)</f>
        <v/>
      </c>
      <c r="I160" s="44" t="str">
        <f>IF('QUICK ENTRY'!$B160="","",'QUICK ENTRY'!$L160)</f>
        <v/>
      </c>
      <c r="J160" s="44" t="str">
        <f>IF('QUICK ENTRY'!$B160="","",'QUICK ENTRY'!$M160)</f>
        <v/>
      </c>
      <c r="K160" s="44" t="str">
        <f>IF('QUICK ENTRY'!$B160="","",'QUICK ENTRY'!$V160)</f>
        <v/>
      </c>
      <c r="L160" s="44" t="str">
        <f>IF('QUICK ENTRY'!$B160="","",'QUICK ENTRY'!$R160)</f>
        <v/>
      </c>
      <c r="M160" s="44" t="str">
        <f>IF('QUICK ENTRY'!$B160="","",'QUICK ENTRY'!$O160)</f>
        <v/>
      </c>
      <c r="N160" s="44" t="str">
        <f>IF('QUICK ENTRY'!$B160="","",'QUICK ENTRY'!$AA160)</f>
        <v/>
      </c>
      <c r="O160" s="44" t="str">
        <f>IF('QUICK ENTRY'!$B160="","",'QUICK ENTRY'!$AG160)</f>
        <v/>
      </c>
      <c r="P160" s="44" t="str">
        <f>IF('QUICK ENTRY'!$B160="","",'QUICK ENTRY'!$AF160)</f>
        <v/>
      </c>
    </row>
    <row r="161" spans="1:16" ht="14.4">
      <c r="A161" s="44" t="str">
        <f>IF('QUICK ENTRY'!$B161="","",'QUICK ENTRY'!$U161)</f>
        <v/>
      </c>
      <c r="B161" s="55" t="str">
        <f>IF('QUICK ENTRY'!$B161="","",'QUICK ENTRY'!$B161)</f>
        <v/>
      </c>
      <c r="C161" s="44" t="str">
        <f>IF('QUICK ENTRY'!$B161="","",'QUICK ENTRY'!$C161)</f>
        <v/>
      </c>
      <c r="D161" s="44" t="str">
        <f>IF('QUICK ENTRY'!$B161="","",'QUICK ENTRY'!$I161)</f>
        <v/>
      </c>
      <c r="E161" s="44" t="str">
        <f>IF('QUICK ENTRY'!$B161="","",'QUICK ENTRY'!$D161)</f>
        <v/>
      </c>
      <c r="F161" s="44" t="str">
        <f>IF('QUICK ENTRY'!$B161="","",'QUICK ENTRY'!$K161)</f>
        <v/>
      </c>
      <c r="G161" s="58" t="str">
        <f>IF('QUICK ENTRY'!$B161="","",'QUICK ENTRY'!$E161)</f>
        <v/>
      </c>
      <c r="H161" s="44" t="str">
        <f>IF('QUICK ENTRY'!$B161="","",'QUICK ENTRY'!$F161)</f>
        <v/>
      </c>
      <c r="I161" s="44" t="str">
        <f>IF('QUICK ENTRY'!$B161="","",'QUICK ENTRY'!$L161)</f>
        <v/>
      </c>
      <c r="J161" s="44" t="str">
        <f>IF('QUICK ENTRY'!$B161="","",'QUICK ENTRY'!$M161)</f>
        <v/>
      </c>
      <c r="K161" s="44" t="str">
        <f>IF('QUICK ENTRY'!$B161="","",'QUICK ENTRY'!$V161)</f>
        <v/>
      </c>
      <c r="L161" s="44" t="str">
        <f>IF('QUICK ENTRY'!$B161="","",'QUICK ENTRY'!$R161)</f>
        <v/>
      </c>
      <c r="M161" s="44" t="str">
        <f>IF('QUICK ENTRY'!$B161="","",'QUICK ENTRY'!$O161)</f>
        <v/>
      </c>
      <c r="N161" s="44" t="str">
        <f>IF('QUICK ENTRY'!$B161="","",'QUICK ENTRY'!$AA161)</f>
        <v/>
      </c>
      <c r="O161" s="44" t="str">
        <f>IF('QUICK ENTRY'!$B161="","",'QUICK ENTRY'!$AG161)</f>
        <v/>
      </c>
      <c r="P161" s="44" t="str">
        <f>IF('QUICK ENTRY'!$B161="","",'QUICK ENTRY'!$AF161)</f>
        <v/>
      </c>
    </row>
    <row r="162" spans="1:16" ht="14.4">
      <c r="A162" s="44" t="str">
        <f>IF('QUICK ENTRY'!$B162="","",'QUICK ENTRY'!$U162)</f>
        <v/>
      </c>
      <c r="B162" s="55" t="str">
        <f>IF('QUICK ENTRY'!$B162="","",'QUICK ENTRY'!$B162)</f>
        <v/>
      </c>
      <c r="C162" s="44" t="str">
        <f>IF('QUICK ENTRY'!$B162="","",'QUICK ENTRY'!$C162)</f>
        <v/>
      </c>
      <c r="D162" s="44" t="str">
        <f>IF('QUICK ENTRY'!$B162="","",'QUICK ENTRY'!$I162)</f>
        <v/>
      </c>
      <c r="E162" s="44" t="str">
        <f>IF('QUICK ENTRY'!$B162="","",'QUICK ENTRY'!$D162)</f>
        <v/>
      </c>
      <c r="F162" s="44" t="str">
        <f>IF('QUICK ENTRY'!$B162="","",'QUICK ENTRY'!$K162)</f>
        <v/>
      </c>
      <c r="G162" s="58" t="str">
        <f>IF('QUICK ENTRY'!$B162="","",'QUICK ENTRY'!$E162)</f>
        <v/>
      </c>
      <c r="H162" s="44" t="str">
        <f>IF('QUICK ENTRY'!$B162="","",'QUICK ENTRY'!$F162)</f>
        <v/>
      </c>
      <c r="I162" s="44" t="str">
        <f>IF('QUICK ENTRY'!$B162="","",'QUICK ENTRY'!$L162)</f>
        <v/>
      </c>
      <c r="J162" s="44" t="str">
        <f>IF('QUICK ENTRY'!$B162="","",'QUICK ENTRY'!$M162)</f>
        <v/>
      </c>
      <c r="K162" s="44" t="str">
        <f>IF('QUICK ENTRY'!$B162="","",'QUICK ENTRY'!$V162)</f>
        <v/>
      </c>
      <c r="L162" s="44" t="str">
        <f>IF('QUICK ENTRY'!$B162="","",'QUICK ENTRY'!$R162)</f>
        <v/>
      </c>
      <c r="M162" s="44" t="str">
        <f>IF('QUICK ENTRY'!$B162="","",'QUICK ENTRY'!$O162)</f>
        <v/>
      </c>
      <c r="N162" s="44" t="str">
        <f>IF('QUICK ENTRY'!$B162="","",'QUICK ENTRY'!$AA162)</f>
        <v/>
      </c>
      <c r="O162" s="44" t="str">
        <f>IF('QUICK ENTRY'!$B162="","",'QUICK ENTRY'!$AG162)</f>
        <v/>
      </c>
      <c r="P162" s="44" t="str">
        <f>IF('QUICK ENTRY'!$B162="","",'QUICK ENTRY'!$AF162)</f>
        <v/>
      </c>
    </row>
    <row r="163" spans="1:16" ht="14.4">
      <c r="A163" s="44" t="str">
        <f>IF('QUICK ENTRY'!$B163="","",'QUICK ENTRY'!$U163)</f>
        <v/>
      </c>
      <c r="B163" s="55" t="str">
        <f>IF('QUICK ENTRY'!$B163="","",'QUICK ENTRY'!$B163)</f>
        <v/>
      </c>
      <c r="C163" s="44" t="str">
        <f>IF('QUICK ENTRY'!$B163="","",'QUICK ENTRY'!$C163)</f>
        <v/>
      </c>
      <c r="D163" s="44" t="str">
        <f>IF('QUICK ENTRY'!$B163="","",'QUICK ENTRY'!$I163)</f>
        <v/>
      </c>
      <c r="E163" s="44" t="str">
        <f>IF('QUICK ENTRY'!$B163="","",'QUICK ENTRY'!$D163)</f>
        <v/>
      </c>
      <c r="F163" s="44" t="str">
        <f>IF('QUICK ENTRY'!$B163="","",'QUICK ENTRY'!$K163)</f>
        <v/>
      </c>
      <c r="G163" s="58" t="str">
        <f>IF('QUICK ENTRY'!$B163="","",'QUICK ENTRY'!$E163)</f>
        <v/>
      </c>
      <c r="H163" s="44" t="str">
        <f>IF('QUICK ENTRY'!$B163="","",'QUICK ENTRY'!$F163)</f>
        <v/>
      </c>
      <c r="I163" s="44" t="str">
        <f>IF('QUICK ENTRY'!$B163="","",'QUICK ENTRY'!$L163)</f>
        <v/>
      </c>
      <c r="J163" s="44" t="str">
        <f>IF('QUICK ENTRY'!$B163="","",'QUICK ENTRY'!$M163)</f>
        <v/>
      </c>
      <c r="K163" s="44" t="str">
        <f>IF('QUICK ENTRY'!$B163="","",'QUICK ENTRY'!$V163)</f>
        <v/>
      </c>
      <c r="L163" s="44" t="str">
        <f>IF('QUICK ENTRY'!$B163="","",'QUICK ENTRY'!$R163)</f>
        <v/>
      </c>
      <c r="M163" s="44" t="str">
        <f>IF('QUICK ENTRY'!$B163="","",'QUICK ENTRY'!$O163)</f>
        <v/>
      </c>
      <c r="N163" s="44" t="str">
        <f>IF('QUICK ENTRY'!$B163="","",'QUICK ENTRY'!$AA163)</f>
        <v/>
      </c>
      <c r="O163" s="44" t="str">
        <f>IF('QUICK ENTRY'!$B163="","",'QUICK ENTRY'!$AG163)</f>
        <v/>
      </c>
      <c r="P163" s="44" t="str">
        <f>IF('QUICK ENTRY'!$B163="","",'QUICK ENTRY'!$AF163)</f>
        <v/>
      </c>
    </row>
    <row r="164" spans="1:16" ht="14.4">
      <c r="A164" s="44" t="str">
        <f>IF('QUICK ENTRY'!$B164="","",'QUICK ENTRY'!$U164)</f>
        <v/>
      </c>
      <c r="B164" s="55" t="str">
        <f>IF('QUICK ENTRY'!$B164="","",'QUICK ENTRY'!$B164)</f>
        <v/>
      </c>
      <c r="C164" s="44" t="str">
        <f>IF('QUICK ENTRY'!$B164="","",'QUICK ENTRY'!$C164)</f>
        <v/>
      </c>
      <c r="D164" s="44" t="str">
        <f>IF('QUICK ENTRY'!$B164="","",'QUICK ENTRY'!$I164)</f>
        <v/>
      </c>
      <c r="E164" s="44" t="str">
        <f>IF('QUICK ENTRY'!$B164="","",'QUICK ENTRY'!$D164)</f>
        <v/>
      </c>
      <c r="F164" s="44" t="str">
        <f>IF('QUICK ENTRY'!$B164="","",'QUICK ENTRY'!$K164)</f>
        <v/>
      </c>
      <c r="G164" s="58" t="str">
        <f>IF('QUICK ENTRY'!$B164="","",'QUICK ENTRY'!$E164)</f>
        <v/>
      </c>
      <c r="H164" s="44" t="str">
        <f>IF('QUICK ENTRY'!$B164="","",'QUICK ENTRY'!$F164)</f>
        <v/>
      </c>
      <c r="I164" s="44" t="str">
        <f>IF('QUICK ENTRY'!$B164="","",'QUICK ENTRY'!$L164)</f>
        <v/>
      </c>
      <c r="J164" s="44" t="str">
        <f>IF('QUICK ENTRY'!$B164="","",'QUICK ENTRY'!$M164)</f>
        <v/>
      </c>
      <c r="K164" s="44" t="str">
        <f>IF('QUICK ENTRY'!$B164="","",'QUICK ENTRY'!$V164)</f>
        <v/>
      </c>
      <c r="L164" s="44" t="str">
        <f>IF('QUICK ENTRY'!$B164="","",'QUICK ENTRY'!$R164)</f>
        <v/>
      </c>
      <c r="M164" s="44" t="str">
        <f>IF('QUICK ENTRY'!$B164="","",'QUICK ENTRY'!$O164)</f>
        <v/>
      </c>
      <c r="N164" s="44" t="str">
        <f>IF('QUICK ENTRY'!$B164="","",'QUICK ENTRY'!$AA164)</f>
        <v/>
      </c>
      <c r="O164" s="44" t="str">
        <f>IF('QUICK ENTRY'!$B164="","",'QUICK ENTRY'!$AG164)</f>
        <v/>
      </c>
      <c r="P164" s="44" t="str">
        <f>IF('QUICK ENTRY'!$B164="","",'QUICK ENTRY'!$AF164)</f>
        <v/>
      </c>
    </row>
    <row r="165" spans="1:16" ht="14.4">
      <c r="A165" s="44" t="str">
        <f>IF('QUICK ENTRY'!$B165="","",'QUICK ENTRY'!$U165)</f>
        <v/>
      </c>
      <c r="B165" s="55" t="str">
        <f>IF('QUICK ENTRY'!$B165="","",'QUICK ENTRY'!$B165)</f>
        <v/>
      </c>
      <c r="C165" s="44" t="str">
        <f>IF('QUICK ENTRY'!$B165="","",'QUICK ENTRY'!$C165)</f>
        <v/>
      </c>
      <c r="D165" s="44" t="str">
        <f>IF('QUICK ENTRY'!$B165="","",'QUICK ENTRY'!$I165)</f>
        <v/>
      </c>
      <c r="E165" s="44" t="str">
        <f>IF('QUICK ENTRY'!$B165="","",'QUICK ENTRY'!$D165)</f>
        <v/>
      </c>
      <c r="F165" s="44" t="str">
        <f>IF('QUICK ENTRY'!$B165="","",'QUICK ENTRY'!$K165)</f>
        <v/>
      </c>
      <c r="G165" s="58" t="str">
        <f>IF('QUICK ENTRY'!$B165="","",'QUICK ENTRY'!$E165)</f>
        <v/>
      </c>
      <c r="H165" s="44" t="str">
        <f>IF('QUICK ENTRY'!$B165="","",'QUICK ENTRY'!$F165)</f>
        <v/>
      </c>
      <c r="I165" s="44" t="str">
        <f>IF('QUICK ENTRY'!$B165="","",'QUICK ENTRY'!$L165)</f>
        <v/>
      </c>
      <c r="J165" s="44" t="str">
        <f>IF('QUICK ENTRY'!$B165="","",'QUICK ENTRY'!$M165)</f>
        <v/>
      </c>
      <c r="K165" s="44" t="str">
        <f>IF('QUICK ENTRY'!$B165="","",'QUICK ENTRY'!$V165)</f>
        <v/>
      </c>
      <c r="L165" s="44" t="str">
        <f>IF('QUICK ENTRY'!$B165="","",'QUICK ENTRY'!$R165)</f>
        <v/>
      </c>
      <c r="M165" s="44" t="str">
        <f>IF('QUICK ENTRY'!$B165="","",'QUICK ENTRY'!$O165)</f>
        <v/>
      </c>
      <c r="N165" s="44" t="str">
        <f>IF('QUICK ENTRY'!$B165="","",'QUICK ENTRY'!$AA165)</f>
        <v/>
      </c>
      <c r="O165" s="44" t="str">
        <f>IF('QUICK ENTRY'!$B165="","",'QUICK ENTRY'!$AG165)</f>
        <v/>
      </c>
      <c r="P165" s="44" t="str">
        <f>IF('QUICK ENTRY'!$B165="","",'QUICK ENTRY'!$AF165)</f>
        <v/>
      </c>
    </row>
    <row r="166" spans="1:16" ht="14.4">
      <c r="A166" s="44" t="str">
        <f>IF('QUICK ENTRY'!$B166="","",'QUICK ENTRY'!$U166)</f>
        <v/>
      </c>
      <c r="B166" s="55" t="str">
        <f>IF('QUICK ENTRY'!$B166="","",'QUICK ENTRY'!$B166)</f>
        <v/>
      </c>
      <c r="C166" s="44" t="str">
        <f>IF('QUICK ENTRY'!$B166="","",'QUICK ENTRY'!$C166)</f>
        <v/>
      </c>
      <c r="D166" s="44" t="str">
        <f>IF('QUICK ENTRY'!$B166="","",'QUICK ENTRY'!$I166)</f>
        <v/>
      </c>
      <c r="E166" s="44" t="str">
        <f>IF('QUICK ENTRY'!$B166="","",'QUICK ENTRY'!$D166)</f>
        <v/>
      </c>
      <c r="F166" s="44" t="str">
        <f>IF('QUICK ENTRY'!$B166="","",'QUICK ENTRY'!$K166)</f>
        <v/>
      </c>
      <c r="G166" s="58" t="str">
        <f>IF('QUICK ENTRY'!$B166="","",'QUICK ENTRY'!$E166)</f>
        <v/>
      </c>
      <c r="H166" s="44" t="str">
        <f>IF('QUICK ENTRY'!$B166="","",'QUICK ENTRY'!$F166)</f>
        <v/>
      </c>
      <c r="I166" s="44" t="str">
        <f>IF('QUICK ENTRY'!$B166="","",'QUICK ENTRY'!$L166)</f>
        <v/>
      </c>
      <c r="J166" s="44" t="str">
        <f>IF('QUICK ENTRY'!$B166="","",'QUICK ENTRY'!$M166)</f>
        <v/>
      </c>
      <c r="K166" s="44" t="str">
        <f>IF('QUICK ENTRY'!$B166="","",'QUICK ENTRY'!$V166)</f>
        <v/>
      </c>
      <c r="L166" s="44" t="str">
        <f>IF('QUICK ENTRY'!$B166="","",'QUICK ENTRY'!$R166)</f>
        <v/>
      </c>
      <c r="M166" s="44" t="str">
        <f>IF('QUICK ENTRY'!$B166="","",'QUICK ENTRY'!$O166)</f>
        <v/>
      </c>
      <c r="N166" s="44" t="str">
        <f>IF('QUICK ENTRY'!$B166="","",'QUICK ENTRY'!$AA166)</f>
        <v/>
      </c>
      <c r="O166" s="44" t="str">
        <f>IF('QUICK ENTRY'!$B166="","",'QUICK ENTRY'!$AG166)</f>
        <v/>
      </c>
      <c r="P166" s="44" t="str">
        <f>IF('QUICK ENTRY'!$B166="","",'QUICK ENTRY'!$AF166)</f>
        <v/>
      </c>
    </row>
    <row r="167" spans="1:16" ht="14.4">
      <c r="A167" s="44" t="str">
        <f>IF('QUICK ENTRY'!$B167="","",'QUICK ENTRY'!$U167)</f>
        <v/>
      </c>
      <c r="B167" s="55" t="str">
        <f>IF('QUICK ENTRY'!$B167="","",'QUICK ENTRY'!$B167)</f>
        <v/>
      </c>
      <c r="C167" s="44" t="str">
        <f>IF('QUICK ENTRY'!$B167="","",'QUICK ENTRY'!$C167)</f>
        <v/>
      </c>
      <c r="D167" s="44" t="str">
        <f>IF('QUICK ENTRY'!$B167="","",'QUICK ENTRY'!$I167)</f>
        <v/>
      </c>
      <c r="E167" s="44" t="str">
        <f>IF('QUICK ENTRY'!$B167="","",'QUICK ENTRY'!$D167)</f>
        <v/>
      </c>
      <c r="F167" s="44" t="str">
        <f>IF('QUICK ENTRY'!$B167="","",'QUICK ENTRY'!$K167)</f>
        <v/>
      </c>
      <c r="G167" s="58" t="str">
        <f>IF('QUICK ENTRY'!$B167="","",'QUICK ENTRY'!$E167)</f>
        <v/>
      </c>
      <c r="H167" s="44" t="str">
        <f>IF('QUICK ENTRY'!$B167="","",'QUICK ENTRY'!$F167)</f>
        <v/>
      </c>
      <c r="I167" s="44" t="str">
        <f>IF('QUICK ENTRY'!$B167="","",'QUICK ENTRY'!$L167)</f>
        <v/>
      </c>
      <c r="J167" s="44" t="str">
        <f>IF('QUICK ENTRY'!$B167="","",'QUICK ENTRY'!$M167)</f>
        <v/>
      </c>
      <c r="K167" s="44" t="str">
        <f>IF('QUICK ENTRY'!$B167="","",'QUICK ENTRY'!$V167)</f>
        <v/>
      </c>
      <c r="L167" s="44" t="str">
        <f>IF('QUICK ENTRY'!$B167="","",'QUICK ENTRY'!$R167)</f>
        <v/>
      </c>
      <c r="M167" s="44" t="str">
        <f>IF('QUICK ENTRY'!$B167="","",'QUICK ENTRY'!$O167)</f>
        <v/>
      </c>
      <c r="N167" s="44" t="str">
        <f>IF('QUICK ENTRY'!$B167="","",'QUICK ENTRY'!$AA167)</f>
        <v/>
      </c>
      <c r="O167" s="44" t="str">
        <f>IF('QUICK ENTRY'!$B167="","",'QUICK ENTRY'!$AG167)</f>
        <v/>
      </c>
      <c r="P167" s="44" t="str">
        <f>IF('QUICK ENTRY'!$B167="","",'QUICK ENTRY'!$AF167)</f>
        <v/>
      </c>
    </row>
    <row r="168" spans="1:16" ht="14.4">
      <c r="A168" s="44" t="str">
        <f>IF('QUICK ENTRY'!$B168="","",'QUICK ENTRY'!$U168)</f>
        <v/>
      </c>
      <c r="B168" s="55" t="str">
        <f>IF('QUICK ENTRY'!$B168="","",'QUICK ENTRY'!$B168)</f>
        <v/>
      </c>
      <c r="C168" s="44" t="str">
        <f>IF('QUICK ENTRY'!$B168="","",'QUICK ENTRY'!$C168)</f>
        <v/>
      </c>
      <c r="D168" s="44" t="str">
        <f>IF('QUICK ENTRY'!$B168="","",'QUICK ENTRY'!$I168)</f>
        <v/>
      </c>
      <c r="E168" s="44" t="str">
        <f>IF('QUICK ENTRY'!$B168="","",'QUICK ENTRY'!$D168)</f>
        <v/>
      </c>
      <c r="F168" s="44" t="str">
        <f>IF('QUICK ENTRY'!$B168="","",'QUICK ENTRY'!$K168)</f>
        <v/>
      </c>
      <c r="G168" s="58" t="str">
        <f>IF('QUICK ENTRY'!$B168="","",'QUICK ENTRY'!$E168)</f>
        <v/>
      </c>
      <c r="H168" s="44" t="str">
        <f>IF('QUICK ENTRY'!$B168="","",'QUICK ENTRY'!$F168)</f>
        <v/>
      </c>
      <c r="I168" s="44" t="str">
        <f>IF('QUICK ENTRY'!$B168="","",'QUICK ENTRY'!$L168)</f>
        <v/>
      </c>
      <c r="J168" s="44" t="str">
        <f>IF('QUICK ENTRY'!$B168="","",'QUICK ENTRY'!$M168)</f>
        <v/>
      </c>
      <c r="K168" s="44" t="str">
        <f>IF('QUICK ENTRY'!$B168="","",'QUICK ENTRY'!$V168)</f>
        <v/>
      </c>
      <c r="L168" s="44" t="str">
        <f>IF('QUICK ENTRY'!$B168="","",'QUICK ENTRY'!$R168)</f>
        <v/>
      </c>
      <c r="M168" s="44" t="str">
        <f>IF('QUICK ENTRY'!$B168="","",'QUICK ENTRY'!$O168)</f>
        <v/>
      </c>
      <c r="N168" s="44" t="str">
        <f>IF('QUICK ENTRY'!$B168="","",'QUICK ENTRY'!$AA168)</f>
        <v/>
      </c>
      <c r="O168" s="44" t="str">
        <f>IF('QUICK ENTRY'!$B168="","",'QUICK ENTRY'!$AG168)</f>
        <v/>
      </c>
      <c r="P168" s="44" t="str">
        <f>IF('QUICK ENTRY'!$B168="","",'QUICK ENTRY'!$AF168)</f>
        <v/>
      </c>
    </row>
    <row r="169" spans="1:16" ht="14.4">
      <c r="A169" s="44" t="str">
        <f>IF('QUICK ENTRY'!$B169="","",'QUICK ENTRY'!$U169)</f>
        <v/>
      </c>
      <c r="B169" s="55" t="str">
        <f>IF('QUICK ENTRY'!$B169="","",'QUICK ENTRY'!$B169)</f>
        <v/>
      </c>
      <c r="C169" s="44" t="str">
        <f>IF('QUICK ENTRY'!$B169="","",'QUICK ENTRY'!$C169)</f>
        <v/>
      </c>
      <c r="D169" s="44" t="str">
        <f>IF('QUICK ENTRY'!$B169="","",'QUICK ENTRY'!$I169)</f>
        <v/>
      </c>
      <c r="E169" s="44" t="str">
        <f>IF('QUICK ENTRY'!$B169="","",'QUICK ENTRY'!$D169)</f>
        <v/>
      </c>
      <c r="F169" s="44" t="str">
        <f>IF('QUICK ENTRY'!$B169="","",'QUICK ENTRY'!$K169)</f>
        <v/>
      </c>
      <c r="G169" s="58" t="str">
        <f>IF('QUICK ENTRY'!$B169="","",'QUICK ENTRY'!$E169)</f>
        <v/>
      </c>
      <c r="H169" s="44" t="str">
        <f>IF('QUICK ENTRY'!$B169="","",'QUICK ENTRY'!$F169)</f>
        <v/>
      </c>
      <c r="I169" s="44" t="str">
        <f>IF('QUICK ENTRY'!$B169="","",'QUICK ENTRY'!$L169)</f>
        <v/>
      </c>
      <c r="J169" s="44" t="str">
        <f>IF('QUICK ENTRY'!$B169="","",'QUICK ENTRY'!$M169)</f>
        <v/>
      </c>
      <c r="K169" s="44" t="str">
        <f>IF('QUICK ENTRY'!$B169="","",'QUICK ENTRY'!$V169)</f>
        <v/>
      </c>
      <c r="L169" s="44" t="str">
        <f>IF('QUICK ENTRY'!$B169="","",'QUICK ENTRY'!$R169)</f>
        <v/>
      </c>
      <c r="M169" s="44" t="str">
        <f>IF('QUICK ENTRY'!$B169="","",'QUICK ENTRY'!$O169)</f>
        <v/>
      </c>
      <c r="N169" s="44" t="str">
        <f>IF('QUICK ENTRY'!$B169="","",'QUICK ENTRY'!$AA169)</f>
        <v/>
      </c>
      <c r="O169" s="44" t="str">
        <f>IF('QUICK ENTRY'!$B169="","",'QUICK ENTRY'!$AG169)</f>
        <v/>
      </c>
      <c r="P169" s="44" t="str">
        <f>IF('QUICK ENTRY'!$B169="","",'QUICK ENTRY'!$AF169)</f>
        <v/>
      </c>
    </row>
    <row r="170" spans="1:16" ht="14.4">
      <c r="A170" s="44" t="str">
        <f>IF('QUICK ENTRY'!$B170="","",'QUICK ENTRY'!$U170)</f>
        <v/>
      </c>
      <c r="B170" s="55" t="str">
        <f>IF('QUICK ENTRY'!$B170="","",'QUICK ENTRY'!$B170)</f>
        <v/>
      </c>
      <c r="C170" s="44" t="str">
        <f>IF('QUICK ENTRY'!$B170="","",'QUICK ENTRY'!$C170)</f>
        <v/>
      </c>
      <c r="D170" s="44" t="str">
        <f>IF('QUICK ENTRY'!$B170="","",'QUICK ENTRY'!$I170)</f>
        <v/>
      </c>
      <c r="E170" s="44" t="str">
        <f>IF('QUICK ENTRY'!$B170="","",'QUICK ENTRY'!$D170)</f>
        <v/>
      </c>
      <c r="F170" s="44" t="str">
        <f>IF('QUICK ENTRY'!$B170="","",'QUICK ENTRY'!$K170)</f>
        <v/>
      </c>
      <c r="G170" s="58" t="str">
        <f>IF('QUICK ENTRY'!$B170="","",'QUICK ENTRY'!$E170)</f>
        <v/>
      </c>
      <c r="H170" s="44" t="str">
        <f>IF('QUICK ENTRY'!$B170="","",'QUICK ENTRY'!$F170)</f>
        <v/>
      </c>
      <c r="I170" s="44" t="str">
        <f>IF('QUICK ENTRY'!$B170="","",'QUICK ENTRY'!$L170)</f>
        <v/>
      </c>
      <c r="J170" s="44" t="str">
        <f>IF('QUICK ENTRY'!$B170="","",'QUICK ENTRY'!$M170)</f>
        <v/>
      </c>
      <c r="K170" s="44" t="str">
        <f>IF('QUICK ENTRY'!$B170="","",'QUICK ENTRY'!$V170)</f>
        <v/>
      </c>
      <c r="L170" s="44" t="str">
        <f>IF('QUICK ENTRY'!$B170="","",'QUICK ENTRY'!$R170)</f>
        <v/>
      </c>
      <c r="M170" s="44" t="str">
        <f>IF('QUICK ENTRY'!$B170="","",'QUICK ENTRY'!$O170)</f>
        <v/>
      </c>
      <c r="N170" s="44" t="str">
        <f>IF('QUICK ENTRY'!$B170="","",'QUICK ENTRY'!$AA170)</f>
        <v/>
      </c>
      <c r="O170" s="44" t="str">
        <f>IF('QUICK ENTRY'!$B170="","",'QUICK ENTRY'!$AG170)</f>
        <v/>
      </c>
      <c r="P170" s="44" t="str">
        <f>IF('QUICK ENTRY'!$B170="","",'QUICK ENTRY'!$AF170)</f>
        <v/>
      </c>
    </row>
    <row r="171" spans="1:16" ht="14.4">
      <c r="A171" s="44" t="str">
        <f>IF('QUICK ENTRY'!$B171="","",'QUICK ENTRY'!$U171)</f>
        <v/>
      </c>
      <c r="B171" s="55" t="str">
        <f>IF('QUICK ENTRY'!$B171="","",'QUICK ENTRY'!$B171)</f>
        <v/>
      </c>
      <c r="C171" s="44" t="str">
        <f>IF('QUICK ENTRY'!$B171="","",'QUICK ENTRY'!$C171)</f>
        <v/>
      </c>
      <c r="D171" s="44" t="str">
        <f>IF('QUICK ENTRY'!$B171="","",'QUICK ENTRY'!$I171)</f>
        <v/>
      </c>
      <c r="E171" s="44" t="str">
        <f>IF('QUICK ENTRY'!$B171="","",'QUICK ENTRY'!$D171)</f>
        <v/>
      </c>
      <c r="F171" s="44" t="str">
        <f>IF('QUICK ENTRY'!$B171="","",'QUICK ENTRY'!$K171)</f>
        <v/>
      </c>
      <c r="G171" s="58" t="str">
        <f>IF('QUICK ENTRY'!$B171="","",'QUICK ENTRY'!$E171)</f>
        <v/>
      </c>
      <c r="H171" s="44" t="str">
        <f>IF('QUICK ENTRY'!$B171="","",'QUICK ENTRY'!$F171)</f>
        <v/>
      </c>
      <c r="I171" s="44" t="str">
        <f>IF('QUICK ENTRY'!$B171="","",'QUICK ENTRY'!$L171)</f>
        <v/>
      </c>
      <c r="J171" s="44" t="str">
        <f>IF('QUICK ENTRY'!$B171="","",'QUICK ENTRY'!$M171)</f>
        <v/>
      </c>
      <c r="K171" s="44" t="str">
        <f>IF('QUICK ENTRY'!$B171="","",'QUICK ENTRY'!$V171)</f>
        <v/>
      </c>
      <c r="L171" s="44" t="str">
        <f>IF('QUICK ENTRY'!$B171="","",'QUICK ENTRY'!$R171)</f>
        <v/>
      </c>
      <c r="M171" s="44" t="str">
        <f>IF('QUICK ENTRY'!$B171="","",'QUICK ENTRY'!$O171)</f>
        <v/>
      </c>
      <c r="N171" s="44" t="str">
        <f>IF('QUICK ENTRY'!$B171="","",'QUICK ENTRY'!$AA171)</f>
        <v/>
      </c>
      <c r="O171" s="44" t="str">
        <f>IF('QUICK ENTRY'!$B171="","",'QUICK ENTRY'!$AG171)</f>
        <v/>
      </c>
      <c r="P171" s="44" t="str">
        <f>IF('QUICK ENTRY'!$B171="","",'QUICK ENTRY'!$AF171)</f>
        <v/>
      </c>
    </row>
    <row r="172" spans="1:16" ht="14.4">
      <c r="A172" s="44" t="str">
        <f>IF('QUICK ENTRY'!$B172="","",'QUICK ENTRY'!$U172)</f>
        <v/>
      </c>
      <c r="B172" s="55" t="str">
        <f>IF('QUICK ENTRY'!$B172="","",'QUICK ENTRY'!$B172)</f>
        <v/>
      </c>
      <c r="C172" s="44" t="str">
        <f>IF('QUICK ENTRY'!$B172="","",'QUICK ENTRY'!$C172)</f>
        <v/>
      </c>
      <c r="D172" s="44" t="str">
        <f>IF('QUICK ENTRY'!$B172="","",'QUICK ENTRY'!$I172)</f>
        <v/>
      </c>
      <c r="E172" s="44" t="str">
        <f>IF('QUICK ENTRY'!$B172="","",'QUICK ENTRY'!$D172)</f>
        <v/>
      </c>
      <c r="F172" s="44" t="str">
        <f>IF('QUICK ENTRY'!$B172="","",'QUICK ENTRY'!$K172)</f>
        <v/>
      </c>
      <c r="G172" s="58" t="str">
        <f>IF('QUICK ENTRY'!$B172="","",'QUICK ENTRY'!$E172)</f>
        <v/>
      </c>
      <c r="H172" s="44" t="str">
        <f>IF('QUICK ENTRY'!$B172="","",'QUICK ENTRY'!$F172)</f>
        <v/>
      </c>
      <c r="I172" s="44" t="str">
        <f>IF('QUICK ENTRY'!$B172="","",'QUICK ENTRY'!$L172)</f>
        <v/>
      </c>
      <c r="J172" s="44" t="str">
        <f>IF('QUICK ENTRY'!$B172="","",'QUICK ENTRY'!$M172)</f>
        <v/>
      </c>
      <c r="K172" s="44" t="str">
        <f>IF('QUICK ENTRY'!$B172="","",'QUICK ENTRY'!$V172)</f>
        <v/>
      </c>
      <c r="L172" s="44" t="str">
        <f>IF('QUICK ENTRY'!$B172="","",'QUICK ENTRY'!$R172)</f>
        <v/>
      </c>
      <c r="M172" s="44" t="str">
        <f>IF('QUICK ENTRY'!$B172="","",'QUICK ENTRY'!$O172)</f>
        <v/>
      </c>
      <c r="N172" s="44" t="str">
        <f>IF('QUICK ENTRY'!$B172="","",'QUICK ENTRY'!$AA172)</f>
        <v/>
      </c>
      <c r="O172" s="44" t="str">
        <f>IF('QUICK ENTRY'!$B172="","",'QUICK ENTRY'!$AG172)</f>
        <v/>
      </c>
      <c r="P172" s="44" t="str">
        <f>IF('QUICK ENTRY'!$B172="","",'QUICK ENTRY'!$AF172)</f>
        <v/>
      </c>
    </row>
    <row r="173" spans="1:16" ht="14.4">
      <c r="A173" s="44" t="str">
        <f>IF('QUICK ENTRY'!$B173="","",'QUICK ENTRY'!$U173)</f>
        <v/>
      </c>
      <c r="B173" s="55" t="str">
        <f>IF('QUICK ENTRY'!$B173="","",'QUICK ENTRY'!$B173)</f>
        <v/>
      </c>
      <c r="C173" s="44" t="str">
        <f>IF('QUICK ENTRY'!$B173="","",'QUICK ENTRY'!$C173)</f>
        <v/>
      </c>
      <c r="D173" s="44" t="str">
        <f>IF('QUICK ENTRY'!$B173="","",'QUICK ENTRY'!$I173)</f>
        <v/>
      </c>
      <c r="E173" s="44" t="str">
        <f>IF('QUICK ENTRY'!$B173="","",'QUICK ENTRY'!$D173)</f>
        <v/>
      </c>
      <c r="F173" s="44" t="str">
        <f>IF('QUICK ENTRY'!$B173="","",'QUICK ENTRY'!$K173)</f>
        <v/>
      </c>
      <c r="G173" s="58" t="str">
        <f>IF('QUICK ENTRY'!$B173="","",'QUICK ENTRY'!$E173)</f>
        <v/>
      </c>
      <c r="H173" s="44" t="str">
        <f>IF('QUICK ENTRY'!$B173="","",'QUICK ENTRY'!$F173)</f>
        <v/>
      </c>
      <c r="I173" s="44" t="str">
        <f>IF('QUICK ENTRY'!$B173="","",'QUICK ENTRY'!$L173)</f>
        <v/>
      </c>
      <c r="J173" s="44" t="str">
        <f>IF('QUICK ENTRY'!$B173="","",'QUICK ENTRY'!$M173)</f>
        <v/>
      </c>
      <c r="K173" s="44" t="str">
        <f>IF('QUICK ENTRY'!$B173="","",'QUICK ENTRY'!$V173)</f>
        <v/>
      </c>
      <c r="L173" s="44" t="str">
        <f>IF('QUICK ENTRY'!$B173="","",'QUICK ENTRY'!$R173)</f>
        <v/>
      </c>
      <c r="M173" s="44" t="str">
        <f>IF('QUICK ENTRY'!$B173="","",'QUICK ENTRY'!$O173)</f>
        <v/>
      </c>
      <c r="N173" s="44" t="str">
        <f>IF('QUICK ENTRY'!$B173="","",'QUICK ENTRY'!$AA173)</f>
        <v/>
      </c>
      <c r="O173" s="44" t="str">
        <f>IF('QUICK ENTRY'!$B173="","",'QUICK ENTRY'!$AG173)</f>
        <v/>
      </c>
      <c r="P173" s="44" t="str">
        <f>IF('QUICK ENTRY'!$B173="","",'QUICK ENTRY'!$AF173)</f>
        <v/>
      </c>
    </row>
    <row r="174" spans="1:16" ht="14.4">
      <c r="A174" s="44" t="str">
        <f>IF('QUICK ENTRY'!$B174="","",'QUICK ENTRY'!$U174)</f>
        <v/>
      </c>
      <c r="B174" s="55" t="str">
        <f>IF('QUICK ENTRY'!$B174="","",'QUICK ENTRY'!$B174)</f>
        <v/>
      </c>
      <c r="C174" s="44" t="str">
        <f>IF('QUICK ENTRY'!$B174="","",'QUICK ENTRY'!$C174)</f>
        <v/>
      </c>
      <c r="D174" s="44" t="str">
        <f>IF('QUICK ENTRY'!$B174="","",'QUICK ENTRY'!$I174)</f>
        <v/>
      </c>
      <c r="E174" s="44" t="str">
        <f>IF('QUICK ENTRY'!$B174="","",'QUICK ENTRY'!$D174)</f>
        <v/>
      </c>
      <c r="F174" s="44" t="str">
        <f>IF('QUICK ENTRY'!$B174="","",'QUICK ENTRY'!$K174)</f>
        <v/>
      </c>
      <c r="G174" s="58" t="str">
        <f>IF('QUICK ENTRY'!$B174="","",'QUICK ENTRY'!$E174)</f>
        <v/>
      </c>
      <c r="H174" s="44" t="str">
        <f>IF('QUICK ENTRY'!$B174="","",'QUICK ENTRY'!$F174)</f>
        <v/>
      </c>
      <c r="I174" s="44" t="str">
        <f>IF('QUICK ENTRY'!$B174="","",'QUICK ENTRY'!$L174)</f>
        <v/>
      </c>
      <c r="J174" s="44" t="str">
        <f>IF('QUICK ENTRY'!$B174="","",'QUICK ENTRY'!$M174)</f>
        <v/>
      </c>
      <c r="K174" s="44" t="str">
        <f>IF('QUICK ENTRY'!$B174="","",'QUICK ENTRY'!$V174)</f>
        <v/>
      </c>
      <c r="L174" s="44" t="str">
        <f>IF('QUICK ENTRY'!$B174="","",'QUICK ENTRY'!$R174)</f>
        <v/>
      </c>
      <c r="M174" s="44" t="str">
        <f>IF('QUICK ENTRY'!$B174="","",'QUICK ENTRY'!$O174)</f>
        <v/>
      </c>
      <c r="N174" s="44" t="str">
        <f>IF('QUICK ENTRY'!$B174="","",'QUICK ENTRY'!$AA174)</f>
        <v/>
      </c>
      <c r="O174" s="44" t="str">
        <f>IF('QUICK ENTRY'!$B174="","",'QUICK ENTRY'!$AG174)</f>
        <v/>
      </c>
      <c r="P174" s="44" t="str">
        <f>IF('QUICK ENTRY'!$B174="","",'QUICK ENTRY'!$AF174)</f>
        <v/>
      </c>
    </row>
    <row r="175" spans="1:16" ht="14.4">
      <c r="A175" s="44" t="str">
        <f>IF('QUICK ENTRY'!$B175="","",'QUICK ENTRY'!$U175)</f>
        <v/>
      </c>
      <c r="B175" s="55" t="str">
        <f>IF('QUICK ENTRY'!$B175="","",'QUICK ENTRY'!$B175)</f>
        <v/>
      </c>
      <c r="C175" s="44" t="str">
        <f>IF('QUICK ENTRY'!$B175="","",'QUICK ENTRY'!$C175)</f>
        <v/>
      </c>
      <c r="D175" s="44" t="str">
        <f>IF('QUICK ENTRY'!$B175="","",'QUICK ENTRY'!$I175)</f>
        <v/>
      </c>
      <c r="E175" s="44" t="str">
        <f>IF('QUICK ENTRY'!$B175="","",'QUICK ENTRY'!$D175)</f>
        <v/>
      </c>
      <c r="F175" s="44" t="str">
        <f>IF('QUICK ENTRY'!$B175="","",'QUICK ENTRY'!$K175)</f>
        <v/>
      </c>
      <c r="G175" s="58" t="str">
        <f>IF('QUICK ENTRY'!$B175="","",'QUICK ENTRY'!$E175)</f>
        <v/>
      </c>
      <c r="H175" s="44" t="str">
        <f>IF('QUICK ENTRY'!$B175="","",'QUICK ENTRY'!$F175)</f>
        <v/>
      </c>
      <c r="I175" s="44" t="str">
        <f>IF('QUICK ENTRY'!$B175="","",'QUICK ENTRY'!$L175)</f>
        <v/>
      </c>
      <c r="J175" s="44" t="str">
        <f>IF('QUICK ENTRY'!$B175="","",'QUICK ENTRY'!$M175)</f>
        <v/>
      </c>
      <c r="K175" s="44" t="str">
        <f>IF('QUICK ENTRY'!$B175="","",'QUICK ENTRY'!$V175)</f>
        <v/>
      </c>
      <c r="L175" s="44" t="str">
        <f>IF('QUICK ENTRY'!$B175="","",'QUICK ENTRY'!$R175)</f>
        <v/>
      </c>
      <c r="M175" s="44" t="str">
        <f>IF('QUICK ENTRY'!$B175="","",'QUICK ENTRY'!$O175)</f>
        <v/>
      </c>
      <c r="N175" s="44" t="str">
        <f>IF('QUICK ENTRY'!$B175="","",'QUICK ENTRY'!$AA175)</f>
        <v/>
      </c>
      <c r="O175" s="44" t="str">
        <f>IF('QUICK ENTRY'!$B175="","",'QUICK ENTRY'!$AG175)</f>
        <v/>
      </c>
      <c r="P175" s="44" t="str">
        <f>IF('QUICK ENTRY'!$B175="","",'QUICK ENTRY'!$AF175)</f>
        <v/>
      </c>
    </row>
    <row r="176" spans="1:16" ht="14.4">
      <c r="A176" s="44" t="str">
        <f>IF('QUICK ENTRY'!$B176="","",'QUICK ENTRY'!$U176)</f>
        <v/>
      </c>
      <c r="B176" s="55" t="str">
        <f>IF('QUICK ENTRY'!$B176="","",'QUICK ENTRY'!$B176)</f>
        <v/>
      </c>
      <c r="C176" s="44" t="str">
        <f>IF('QUICK ENTRY'!$B176="","",'QUICK ENTRY'!$C176)</f>
        <v/>
      </c>
      <c r="D176" s="44" t="str">
        <f>IF('QUICK ENTRY'!$B176="","",'QUICK ENTRY'!$I176)</f>
        <v/>
      </c>
      <c r="E176" s="44" t="str">
        <f>IF('QUICK ENTRY'!$B176="","",'QUICK ENTRY'!$D176)</f>
        <v/>
      </c>
      <c r="F176" s="44" t="str">
        <f>IF('QUICK ENTRY'!$B176="","",'QUICK ENTRY'!$K176)</f>
        <v/>
      </c>
      <c r="G176" s="58" t="str">
        <f>IF('QUICK ENTRY'!$B176="","",'QUICK ENTRY'!$E176)</f>
        <v/>
      </c>
      <c r="H176" s="44" t="str">
        <f>IF('QUICK ENTRY'!$B176="","",'QUICK ENTRY'!$F176)</f>
        <v/>
      </c>
      <c r="I176" s="44" t="str">
        <f>IF('QUICK ENTRY'!$B176="","",'QUICK ENTRY'!$L176)</f>
        <v/>
      </c>
      <c r="J176" s="44" t="str">
        <f>IF('QUICK ENTRY'!$B176="","",'QUICK ENTRY'!$M176)</f>
        <v/>
      </c>
      <c r="K176" s="44" t="str">
        <f>IF('QUICK ENTRY'!$B176="","",'QUICK ENTRY'!$V176)</f>
        <v/>
      </c>
      <c r="L176" s="44" t="str">
        <f>IF('QUICK ENTRY'!$B176="","",'QUICK ENTRY'!$R176)</f>
        <v/>
      </c>
      <c r="M176" s="44" t="str">
        <f>IF('QUICK ENTRY'!$B176="","",'QUICK ENTRY'!$O176)</f>
        <v/>
      </c>
      <c r="N176" s="44" t="str">
        <f>IF('QUICK ENTRY'!$B176="","",'QUICK ENTRY'!$AA176)</f>
        <v/>
      </c>
      <c r="O176" s="44" t="str">
        <f>IF('QUICK ENTRY'!$B176="","",'QUICK ENTRY'!$AG176)</f>
        <v/>
      </c>
      <c r="P176" s="44" t="str">
        <f>IF('QUICK ENTRY'!$B176="","",'QUICK ENTRY'!$AF176)</f>
        <v/>
      </c>
    </row>
    <row r="177" spans="1:16" ht="14.4">
      <c r="A177" s="44" t="str">
        <f>IF('QUICK ENTRY'!$B177="","",'QUICK ENTRY'!$U177)</f>
        <v/>
      </c>
      <c r="B177" s="55" t="str">
        <f>IF('QUICK ENTRY'!$B177="","",'QUICK ENTRY'!$B177)</f>
        <v/>
      </c>
      <c r="C177" s="44" t="str">
        <f>IF('QUICK ENTRY'!$B177="","",'QUICK ENTRY'!$C177)</f>
        <v/>
      </c>
      <c r="D177" s="44" t="str">
        <f>IF('QUICK ENTRY'!$B177="","",'QUICK ENTRY'!$I177)</f>
        <v/>
      </c>
      <c r="E177" s="44" t="str">
        <f>IF('QUICK ENTRY'!$B177="","",'QUICK ENTRY'!$D177)</f>
        <v/>
      </c>
      <c r="F177" s="44" t="str">
        <f>IF('QUICK ENTRY'!$B177="","",'QUICK ENTRY'!$K177)</f>
        <v/>
      </c>
      <c r="G177" s="58" t="str">
        <f>IF('QUICK ENTRY'!$B177="","",'QUICK ENTRY'!$E177)</f>
        <v/>
      </c>
      <c r="H177" s="44" t="str">
        <f>IF('QUICK ENTRY'!$B177="","",'QUICK ENTRY'!$F177)</f>
        <v/>
      </c>
      <c r="I177" s="44" t="str">
        <f>IF('QUICK ENTRY'!$B177="","",'QUICK ENTRY'!$L177)</f>
        <v/>
      </c>
      <c r="J177" s="44" t="str">
        <f>IF('QUICK ENTRY'!$B177="","",'QUICK ENTRY'!$M177)</f>
        <v/>
      </c>
      <c r="K177" s="44" t="str">
        <f>IF('QUICK ENTRY'!$B177="","",'QUICK ENTRY'!$V177)</f>
        <v/>
      </c>
      <c r="L177" s="44" t="str">
        <f>IF('QUICK ENTRY'!$B177="","",'QUICK ENTRY'!$R177)</f>
        <v/>
      </c>
      <c r="M177" s="44" t="str">
        <f>IF('QUICK ENTRY'!$B177="","",'QUICK ENTRY'!$O177)</f>
        <v/>
      </c>
      <c r="N177" s="44" t="str">
        <f>IF('QUICK ENTRY'!$B177="","",'QUICK ENTRY'!$AA177)</f>
        <v/>
      </c>
      <c r="O177" s="44" t="str">
        <f>IF('QUICK ENTRY'!$B177="","",'QUICK ENTRY'!$AG177)</f>
        <v/>
      </c>
      <c r="P177" s="44" t="str">
        <f>IF('QUICK ENTRY'!$B177="","",'QUICK ENTRY'!$AF177)</f>
        <v/>
      </c>
    </row>
    <row r="178" spans="1:16" ht="14.4">
      <c r="A178" s="44" t="str">
        <f>IF('QUICK ENTRY'!$B178="","",'QUICK ENTRY'!$U178)</f>
        <v/>
      </c>
      <c r="B178" s="55" t="str">
        <f>IF('QUICK ENTRY'!$B178="","",'QUICK ENTRY'!$B178)</f>
        <v/>
      </c>
      <c r="C178" s="44" t="str">
        <f>IF('QUICK ENTRY'!$B178="","",'QUICK ENTRY'!$C178)</f>
        <v/>
      </c>
      <c r="D178" s="44" t="str">
        <f>IF('QUICK ENTRY'!$B178="","",'QUICK ENTRY'!$I178)</f>
        <v/>
      </c>
      <c r="E178" s="44" t="str">
        <f>IF('QUICK ENTRY'!$B178="","",'QUICK ENTRY'!$D178)</f>
        <v/>
      </c>
      <c r="F178" s="44" t="str">
        <f>IF('QUICK ENTRY'!$B178="","",'QUICK ENTRY'!$K178)</f>
        <v/>
      </c>
      <c r="G178" s="58" t="str">
        <f>IF('QUICK ENTRY'!$B178="","",'QUICK ENTRY'!$E178)</f>
        <v/>
      </c>
      <c r="H178" s="44" t="str">
        <f>IF('QUICK ENTRY'!$B178="","",'QUICK ENTRY'!$F178)</f>
        <v/>
      </c>
      <c r="I178" s="44" t="str">
        <f>IF('QUICK ENTRY'!$B178="","",'QUICK ENTRY'!$L178)</f>
        <v/>
      </c>
      <c r="J178" s="44" t="str">
        <f>IF('QUICK ENTRY'!$B178="","",'QUICK ENTRY'!$M178)</f>
        <v/>
      </c>
      <c r="K178" s="44" t="str">
        <f>IF('QUICK ENTRY'!$B178="","",'QUICK ENTRY'!$V178)</f>
        <v/>
      </c>
      <c r="L178" s="44" t="str">
        <f>IF('QUICK ENTRY'!$B178="","",'QUICK ENTRY'!$R178)</f>
        <v/>
      </c>
      <c r="M178" s="44" t="str">
        <f>IF('QUICK ENTRY'!$B178="","",'QUICK ENTRY'!$O178)</f>
        <v/>
      </c>
      <c r="N178" s="44" t="str">
        <f>IF('QUICK ENTRY'!$B178="","",'QUICK ENTRY'!$AA178)</f>
        <v/>
      </c>
      <c r="O178" s="44" t="str">
        <f>IF('QUICK ENTRY'!$B178="","",'QUICK ENTRY'!$AG178)</f>
        <v/>
      </c>
      <c r="P178" s="44" t="str">
        <f>IF('QUICK ENTRY'!$B178="","",'QUICK ENTRY'!$AF178)</f>
        <v/>
      </c>
    </row>
    <row r="179" spans="1:16" ht="14.4">
      <c r="A179" s="44" t="str">
        <f>IF('QUICK ENTRY'!$B179="","",'QUICK ENTRY'!$U179)</f>
        <v/>
      </c>
      <c r="B179" s="55" t="str">
        <f>IF('QUICK ENTRY'!$B179="","",'QUICK ENTRY'!$B179)</f>
        <v/>
      </c>
      <c r="C179" s="44" t="str">
        <f>IF('QUICK ENTRY'!$B179="","",'QUICK ENTRY'!$C179)</f>
        <v/>
      </c>
      <c r="D179" s="44" t="str">
        <f>IF('QUICK ENTRY'!$B179="","",'QUICK ENTRY'!$I179)</f>
        <v/>
      </c>
      <c r="E179" s="44" t="str">
        <f>IF('QUICK ENTRY'!$B179="","",'QUICK ENTRY'!$D179)</f>
        <v/>
      </c>
      <c r="F179" s="44" t="str">
        <f>IF('QUICK ENTRY'!$B179="","",'QUICK ENTRY'!$K179)</f>
        <v/>
      </c>
      <c r="G179" s="58" t="str">
        <f>IF('QUICK ENTRY'!$B179="","",'QUICK ENTRY'!$E179)</f>
        <v/>
      </c>
      <c r="H179" s="44" t="str">
        <f>IF('QUICK ENTRY'!$B179="","",'QUICK ENTRY'!$F179)</f>
        <v/>
      </c>
      <c r="I179" s="44" t="str">
        <f>IF('QUICK ENTRY'!$B179="","",'QUICK ENTRY'!$L179)</f>
        <v/>
      </c>
      <c r="J179" s="44" t="str">
        <f>IF('QUICK ENTRY'!$B179="","",'QUICK ENTRY'!$M179)</f>
        <v/>
      </c>
      <c r="K179" s="44" t="str">
        <f>IF('QUICK ENTRY'!$B179="","",'QUICK ENTRY'!$V179)</f>
        <v/>
      </c>
      <c r="L179" s="44" t="str">
        <f>IF('QUICK ENTRY'!$B179="","",'QUICK ENTRY'!$R179)</f>
        <v/>
      </c>
      <c r="M179" s="44" t="str">
        <f>IF('QUICK ENTRY'!$B179="","",'QUICK ENTRY'!$O179)</f>
        <v/>
      </c>
      <c r="N179" s="44" t="str">
        <f>IF('QUICK ENTRY'!$B179="","",'QUICK ENTRY'!$AA179)</f>
        <v/>
      </c>
      <c r="O179" s="44" t="str">
        <f>IF('QUICK ENTRY'!$B179="","",'QUICK ENTRY'!$AG179)</f>
        <v/>
      </c>
      <c r="P179" s="44" t="str">
        <f>IF('QUICK ENTRY'!$B179="","",'QUICK ENTRY'!$AF179)</f>
        <v/>
      </c>
    </row>
    <row r="180" spans="1:16" ht="14.4">
      <c r="A180" s="44" t="str">
        <f>IF('QUICK ENTRY'!$B180="","",'QUICK ENTRY'!$U180)</f>
        <v/>
      </c>
      <c r="B180" s="55" t="str">
        <f>IF('QUICK ENTRY'!$B180="","",'QUICK ENTRY'!$B180)</f>
        <v/>
      </c>
      <c r="C180" s="44" t="str">
        <f>IF('QUICK ENTRY'!$B180="","",'QUICK ENTRY'!$C180)</f>
        <v/>
      </c>
      <c r="D180" s="44" t="str">
        <f>IF('QUICK ENTRY'!$B180="","",'QUICK ENTRY'!$I180)</f>
        <v/>
      </c>
      <c r="E180" s="44" t="str">
        <f>IF('QUICK ENTRY'!$B180="","",'QUICK ENTRY'!$D180)</f>
        <v/>
      </c>
      <c r="F180" s="44" t="str">
        <f>IF('QUICK ENTRY'!$B180="","",'QUICK ENTRY'!$K180)</f>
        <v/>
      </c>
      <c r="G180" s="58" t="str">
        <f>IF('QUICK ENTRY'!$B180="","",'QUICK ENTRY'!$E180)</f>
        <v/>
      </c>
      <c r="H180" s="44" t="str">
        <f>IF('QUICK ENTRY'!$B180="","",'QUICK ENTRY'!$F180)</f>
        <v/>
      </c>
      <c r="I180" s="44" t="str">
        <f>IF('QUICK ENTRY'!$B180="","",'QUICK ENTRY'!$L180)</f>
        <v/>
      </c>
      <c r="J180" s="44" t="str">
        <f>IF('QUICK ENTRY'!$B180="","",'QUICK ENTRY'!$M180)</f>
        <v/>
      </c>
      <c r="K180" s="44" t="str">
        <f>IF('QUICK ENTRY'!$B180="","",'QUICK ENTRY'!$V180)</f>
        <v/>
      </c>
      <c r="L180" s="44" t="str">
        <f>IF('QUICK ENTRY'!$B180="","",'QUICK ENTRY'!$R180)</f>
        <v/>
      </c>
      <c r="M180" s="44" t="str">
        <f>IF('QUICK ENTRY'!$B180="","",'QUICK ENTRY'!$O180)</f>
        <v/>
      </c>
      <c r="N180" s="44" t="str">
        <f>IF('QUICK ENTRY'!$B180="","",'QUICK ENTRY'!$AA180)</f>
        <v/>
      </c>
      <c r="O180" s="44" t="str">
        <f>IF('QUICK ENTRY'!$B180="","",'QUICK ENTRY'!$AG180)</f>
        <v/>
      </c>
      <c r="P180" s="44" t="str">
        <f>IF('QUICK ENTRY'!$B180="","",'QUICK ENTRY'!$AF180)</f>
        <v/>
      </c>
    </row>
    <row r="181" spans="1:16" ht="14.4">
      <c r="A181" s="44" t="str">
        <f>IF('QUICK ENTRY'!$B181="","",'QUICK ENTRY'!$U181)</f>
        <v/>
      </c>
      <c r="B181" s="55" t="str">
        <f>IF('QUICK ENTRY'!$B181="","",'QUICK ENTRY'!$B181)</f>
        <v/>
      </c>
      <c r="C181" s="44" t="str">
        <f>IF('QUICK ENTRY'!$B181="","",'QUICK ENTRY'!$C181)</f>
        <v/>
      </c>
      <c r="D181" s="44" t="str">
        <f>IF('QUICK ENTRY'!$B181="","",'QUICK ENTRY'!$I181)</f>
        <v/>
      </c>
      <c r="E181" s="44" t="str">
        <f>IF('QUICK ENTRY'!$B181="","",'QUICK ENTRY'!$D181)</f>
        <v/>
      </c>
      <c r="F181" s="44" t="str">
        <f>IF('QUICK ENTRY'!$B181="","",'QUICK ENTRY'!$K181)</f>
        <v/>
      </c>
      <c r="G181" s="58" t="str">
        <f>IF('QUICK ENTRY'!$B181="","",'QUICK ENTRY'!$E181)</f>
        <v/>
      </c>
      <c r="H181" s="44" t="str">
        <f>IF('QUICK ENTRY'!$B181="","",'QUICK ENTRY'!$F181)</f>
        <v/>
      </c>
      <c r="I181" s="44" t="str">
        <f>IF('QUICK ENTRY'!$B181="","",'QUICK ENTRY'!$L181)</f>
        <v/>
      </c>
      <c r="J181" s="44" t="str">
        <f>IF('QUICK ENTRY'!$B181="","",'QUICK ENTRY'!$M181)</f>
        <v/>
      </c>
      <c r="K181" s="44" t="str">
        <f>IF('QUICK ENTRY'!$B181="","",'QUICK ENTRY'!$V181)</f>
        <v/>
      </c>
      <c r="L181" s="44" t="str">
        <f>IF('QUICK ENTRY'!$B181="","",'QUICK ENTRY'!$R181)</f>
        <v/>
      </c>
      <c r="M181" s="44" t="str">
        <f>IF('QUICK ENTRY'!$B181="","",'QUICK ENTRY'!$O181)</f>
        <v/>
      </c>
      <c r="N181" s="44" t="str">
        <f>IF('QUICK ENTRY'!$B181="","",'QUICK ENTRY'!$AA181)</f>
        <v/>
      </c>
      <c r="O181" s="44" t="str">
        <f>IF('QUICK ENTRY'!$B181="","",'QUICK ENTRY'!$AG181)</f>
        <v/>
      </c>
      <c r="P181" s="44" t="str">
        <f>IF('QUICK ENTRY'!$B181="","",'QUICK ENTRY'!$AF181)</f>
        <v/>
      </c>
    </row>
    <row r="182" spans="1:16" ht="14.4">
      <c r="A182" s="44" t="str">
        <f>IF('QUICK ENTRY'!$B182="","",'QUICK ENTRY'!$U182)</f>
        <v/>
      </c>
      <c r="B182" s="55" t="str">
        <f>IF('QUICK ENTRY'!$B182="","",'QUICK ENTRY'!$B182)</f>
        <v/>
      </c>
      <c r="C182" s="44" t="str">
        <f>IF('QUICK ENTRY'!$B182="","",'QUICK ENTRY'!$C182)</f>
        <v/>
      </c>
      <c r="D182" s="44" t="str">
        <f>IF('QUICK ENTRY'!$B182="","",'QUICK ENTRY'!$I182)</f>
        <v/>
      </c>
      <c r="E182" s="44" t="str">
        <f>IF('QUICK ENTRY'!$B182="","",'QUICK ENTRY'!$D182)</f>
        <v/>
      </c>
      <c r="F182" s="44" t="str">
        <f>IF('QUICK ENTRY'!$B182="","",'QUICK ENTRY'!$K182)</f>
        <v/>
      </c>
      <c r="G182" s="58" t="str">
        <f>IF('QUICK ENTRY'!$B182="","",'QUICK ENTRY'!$E182)</f>
        <v/>
      </c>
      <c r="H182" s="44" t="str">
        <f>IF('QUICK ENTRY'!$B182="","",'QUICK ENTRY'!$F182)</f>
        <v/>
      </c>
      <c r="I182" s="44" t="str">
        <f>IF('QUICK ENTRY'!$B182="","",'QUICK ENTRY'!$L182)</f>
        <v/>
      </c>
      <c r="J182" s="44" t="str">
        <f>IF('QUICK ENTRY'!$B182="","",'QUICK ENTRY'!$M182)</f>
        <v/>
      </c>
      <c r="K182" s="44" t="str">
        <f>IF('QUICK ENTRY'!$B182="","",'QUICK ENTRY'!$V182)</f>
        <v/>
      </c>
      <c r="L182" s="44" t="str">
        <f>IF('QUICK ENTRY'!$B182="","",'QUICK ENTRY'!$R182)</f>
        <v/>
      </c>
      <c r="M182" s="44" t="str">
        <f>IF('QUICK ENTRY'!$B182="","",'QUICK ENTRY'!$O182)</f>
        <v/>
      </c>
      <c r="N182" s="44" t="str">
        <f>IF('QUICK ENTRY'!$B182="","",'QUICK ENTRY'!$AA182)</f>
        <v/>
      </c>
      <c r="O182" s="44" t="str">
        <f>IF('QUICK ENTRY'!$B182="","",'QUICK ENTRY'!$AG182)</f>
        <v/>
      </c>
      <c r="P182" s="44" t="str">
        <f>IF('QUICK ENTRY'!$B182="","",'QUICK ENTRY'!$AF182)</f>
        <v/>
      </c>
    </row>
    <row r="183" spans="1:16" ht="14.4">
      <c r="A183" s="44" t="str">
        <f>IF('QUICK ENTRY'!$B183="","",'QUICK ENTRY'!$U183)</f>
        <v/>
      </c>
      <c r="B183" s="55" t="str">
        <f>IF('QUICK ENTRY'!$B183="","",'QUICK ENTRY'!$B183)</f>
        <v/>
      </c>
      <c r="C183" s="44" t="str">
        <f>IF('QUICK ENTRY'!$B183="","",'QUICK ENTRY'!$C183)</f>
        <v/>
      </c>
      <c r="D183" s="44" t="str">
        <f>IF('QUICK ENTRY'!$B183="","",'QUICK ENTRY'!$I183)</f>
        <v/>
      </c>
      <c r="E183" s="44" t="str">
        <f>IF('QUICK ENTRY'!$B183="","",'QUICK ENTRY'!$D183)</f>
        <v/>
      </c>
      <c r="F183" s="44" t="str">
        <f>IF('QUICK ENTRY'!$B183="","",'QUICK ENTRY'!$K183)</f>
        <v/>
      </c>
      <c r="G183" s="58" t="str">
        <f>IF('QUICK ENTRY'!$B183="","",'QUICK ENTRY'!$E183)</f>
        <v/>
      </c>
      <c r="H183" s="44" t="str">
        <f>IF('QUICK ENTRY'!$B183="","",'QUICK ENTRY'!$F183)</f>
        <v/>
      </c>
      <c r="I183" s="44" t="str">
        <f>IF('QUICK ENTRY'!$B183="","",'QUICK ENTRY'!$L183)</f>
        <v/>
      </c>
      <c r="J183" s="44" t="str">
        <f>IF('QUICK ENTRY'!$B183="","",'QUICK ENTRY'!$M183)</f>
        <v/>
      </c>
      <c r="K183" s="44" t="str">
        <f>IF('QUICK ENTRY'!$B183="","",'QUICK ENTRY'!$V183)</f>
        <v/>
      </c>
      <c r="L183" s="44" t="str">
        <f>IF('QUICK ENTRY'!$B183="","",'QUICK ENTRY'!$R183)</f>
        <v/>
      </c>
      <c r="M183" s="44" t="str">
        <f>IF('QUICK ENTRY'!$B183="","",'QUICK ENTRY'!$O183)</f>
        <v/>
      </c>
      <c r="N183" s="44" t="str">
        <f>IF('QUICK ENTRY'!$B183="","",'QUICK ENTRY'!$AA183)</f>
        <v/>
      </c>
      <c r="O183" s="44" t="str">
        <f>IF('QUICK ENTRY'!$B183="","",'QUICK ENTRY'!$AG183)</f>
        <v/>
      </c>
      <c r="P183" s="44" t="str">
        <f>IF('QUICK ENTRY'!$B183="","",'QUICK ENTRY'!$AF183)</f>
        <v/>
      </c>
    </row>
    <row r="184" spans="1:16" ht="14.4">
      <c r="A184" s="44" t="str">
        <f>IF('QUICK ENTRY'!$B184="","",'QUICK ENTRY'!$U184)</f>
        <v/>
      </c>
      <c r="B184" s="55" t="str">
        <f>IF('QUICK ENTRY'!$B184="","",'QUICK ENTRY'!$B184)</f>
        <v/>
      </c>
      <c r="C184" s="44" t="str">
        <f>IF('QUICK ENTRY'!$B184="","",'QUICK ENTRY'!$C184)</f>
        <v/>
      </c>
      <c r="D184" s="44" t="str">
        <f>IF('QUICK ENTRY'!$B184="","",'QUICK ENTRY'!$I184)</f>
        <v/>
      </c>
      <c r="E184" s="44" t="str">
        <f>IF('QUICK ENTRY'!$B184="","",'QUICK ENTRY'!$D184)</f>
        <v/>
      </c>
      <c r="F184" s="44" t="str">
        <f>IF('QUICK ENTRY'!$B184="","",'QUICK ENTRY'!$K184)</f>
        <v/>
      </c>
      <c r="G184" s="58" t="str">
        <f>IF('QUICK ENTRY'!$B184="","",'QUICK ENTRY'!$E184)</f>
        <v/>
      </c>
      <c r="H184" s="44" t="str">
        <f>IF('QUICK ENTRY'!$B184="","",'QUICK ENTRY'!$F184)</f>
        <v/>
      </c>
      <c r="I184" s="44" t="str">
        <f>IF('QUICK ENTRY'!$B184="","",'QUICK ENTRY'!$L184)</f>
        <v/>
      </c>
      <c r="J184" s="44" t="str">
        <f>IF('QUICK ENTRY'!$B184="","",'QUICK ENTRY'!$M184)</f>
        <v/>
      </c>
      <c r="K184" s="44" t="str">
        <f>IF('QUICK ENTRY'!$B184="","",'QUICK ENTRY'!$V184)</f>
        <v/>
      </c>
      <c r="L184" s="44" t="str">
        <f>IF('QUICK ENTRY'!$B184="","",'QUICK ENTRY'!$R184)</f>
        <v/>
      </c>
      <c r="M184" s="44" t="str">
        <f>IF('QUICK ENTRY'!$B184="","",'QUICK ENTRY'!$O184)</f>
        <v/>
      </c>
      <c r="N184" s="44" t="str">
        <f>IF('QUICK ENTRY'!$B184="","",'QUICK ENTRY'!$AA184)</f>
        <v/>
      </c>
      <c r="O184" s="44" t="str">
        <f>IF('QUICK ENTRY'!$B184="","",'QUICK ENTRY'!$AG184)</f>
        <v/>
      </c>
      <c r="P184" s="44" t="str">
        <f>IF('QUICK ENTRY'!$B184="","",'QUICK ENTRY'!$AF184)</f>
        <v/>
      </c>
    </row>
    <row r="185" spans="1:16" ht="14.4">
      <c r="A185" s="44" t="str">
        <f>IF('QUICK ENTRY'!$B185="","",'QUICK ENTRY'!$U185)</f>
        <v/>
      </c>
      <c r="B185" s="55" t="str">
        <f>IF('QUICK ENTRY'!$B185="","",'QUICK ENTRY'!$B185)</f>
        <v/>
      </c>
      <c r="C185" s="44" t="str">
        <f>IF('QUICK ENTRY'!$B185="","",'QUICK ENTRY'!$C185)</f>
        <v/>
      </c>
      <c r="D185" s="44" t="str">
        <f>IF('QUICK ENTRY'!$B185="","",'QUICK ENTRY'!$I185)</f>
        <v/>
      </c>
      <c r="E185" s="44" t="str">
        <f>IF('QUICK ENTRY'!$B185="","",'QUICK ENTRY'!$D185)</f>
        <v/>
      </c>
      <c r="F185" s="44" t="str">
        <f>IF('QUICK ENTRY'!$B185="","",'QUICK ENTRY'!$K185)</f>
        <v/>
      </c>
      <c r="G185" s="58" t="str">
        <f>IF('QUICK ENTRY'!$B185="","",'QUICK ENTRY'!$E185)</f>
        <v/>
      </c>
      <c r="H185" s="44" t="str">
        <f>IF('QUICK ENTRY'!$B185="","",'QUICK ENTRY'!$F185)</f>
        <v/>
      </c>
      <c r="I185" s="44" t="str">
        <f>IF('QUICK ENTRY'!$B185="","",'QUICK ENTRY'!$L185)</f>
        <v/>
      </c>
      <c r="J185" s="44" t="str">
        <f>IF('QUICK ENTRY'!$B185="","",'QUICK ENTRY'!$M185)</f>
        <v/>
      </c>
      <c r="K185" s="44" t="str">
        <f>IF('QUICK ENTRY'!$B185="","",'QUICK ENTRY'!$V185)</f>
        <v/>
      </c>
      <c r="L185" s="44" t="str">
        <f>IF('QUICK ENTRY'!$B185="","",'QUICK ENTRY'!$R185)</f>
        <v/>
      </c>
      <c r="M185" s="44" t="str">
        <f>IF('QUICK ENTRY'!$B185="","",'QUICK ENTRY'!$O185)</f>
        <v/>
      </c>
      <c r="N185" s="44" t="str">
        <f>IF('QUICK ENTRY'!$B185="","",'QUICK ENTRY'!$AA185)</f>
        <v/>
      </c>
      <c r="O185" s="44" t="str">
        <f>IF('QUICK ENTRY'!$B185="","",'QUICK ENTRY'!$AG185)</f>
        <v/>
      </c>
      <c r="P185" s="44" t="str">
        <f>IF('QUICK ENTRY'!$B185="","",'QUICK ENTRY'!$AF185)</f>
        <v/>
      </c>
    </row>
    <row r="186" spans="1:16" ht="14.4">
      <c r="A186" s="44" t="str">
        <f>IF('QUICK ENTRY'!$B186="","",'QUICK ENTRY'!$U186)</f>
        <v/>
      </c>
      <c r="B186" s="55" t="str">
        <f>IF('QUICK ENTRY'!$B186="","",'QUICK ENTRY'!$B186)</f>
        <v/>
      </c>
      <c r="C186" s="44" t="str">
        <f>IF('QUICK ENTRY'!$B186="","",'QUICK ENTRY'!$C186)</f>
        <v/>
      </c>
      <c r="D186" s="44" t="str">
        <f>IF('QUICK ENTRY'!$B186="","",'QUICK ENTRY'!$I186)</f>
        <v/>
      </c>
      <c r="E186" s="44" t="str">
        <f>IF('QUICK ENTRY'!$B186="","",'QUICK ENTRY'!$D186)</f>
        <v/>
      </c>
      <c r="F186" s="44" t="str">
        <f>IF('QUICK ENTRY'!$B186="","",'QUICK ENTRY'!$K186)</f>
        <v/>
      </c>
      <c r="G186" s="58" t="str">
        <f>IF('QUICK ENTRY'!$B186="","",'QUICK ENTRY'!$E186)</f>
        <v/>
      </c>
      <c r="H186" s="44" t="str">
        <f>IF('QUICK ENTRY'!$B186="","",'QUICK ENTRY'!$F186)</f>
        <v/>
      </c>
      <c r="I186" s="44" t="str">
        <f>IF('QUICK ENTRY'!$B186="","",'QUICK ENTRY'!$L186)</f>
        <v/>
      </c>
      <c r="J186" s="44" t="str">
        <f>IF('QUICK ENTRY'!$B186="","",'QUICK ENTRY'!$M186)</f>
        <v/>
      </c>
      <c r="K186" s="44" t="str">
        <f>IF('QUICK ENTRY'!$B186="","",'QUICK ENTRY'!$V186)</f>
        <v/>
      </c>
      <c r="L186" s="44" t="str">
        <f>IF('QUICK ENTRY'!$B186="","",'QUICK ENTRY'!$R186)</f>
        <v/>
      </c>
      <c r="M186" s="44" t="str">
        <f>IF('QUICK ENTRY'!$B186="","",'QUICK ENTRY'!$O186)</f>
        <v/>
      </c>
      <c r="N186" s="44" t="str">
        <f>IF('QUICK ENTRY'!$B186="","",'QUICK ENTRY'!$AA186)</f>
        <v/>
      </c>
      <c r="O186" s="44" t="str">
        <f>IF('QUICK ENTRY'!$B186="","",'QUICK ENTRY'!$AG186)</f>
        <v/>
      </c>
      <c r="P186" s="44" t="str">
        <f>IF('QUICK ENTRY'!$B186="","",'QUICK ENTRY'!$AF186)</f>
        <v/>
      </c>
    </row>
    <row r="187" spans="1:16" ht="14.4">
      <c r="A187" s="44" t="str">
        <f>IF('QUICK ENTRY'!$B187="","",'QUICK ENTRY'!$U187)</f>
        <v/>
      </c>
      <c r="B187" s="55" t="str">
        <f>IF('QUICK ENTRY'!$B187="","",'QUICK ENTRY'!$B187)</f>
        <v/>
      </c>
      <c r="C187" s="44" t="str">
        <f>IF('QUICK ENTRY'!$B187="","",'QUICK ENTRY'!$C187)</f>
        <v/>
      </c>
      <c r="D187" s="44" t="str">
        <f>IF('QUICK ENTRY'!$B187="","",'QUICK ENTRY'!$I187)</f>
        <v/>
      </c>
      <c r="E187" s="44" t="str">
        <f>IF('QUICK ENTRY'!$B187="","",'QUICK ENTRY'!$D187)</f>
        <v/>
      </c>
      <c r="F187" s="44" t="str">
        <f>IF('QUICK ENTRY'!$B187="","",'QUICK ENTRY'!$K187)</f>
        <v/>
      </c>
      <c r="G187" s="58" t="str">
        <f>IF('QUICK ENTRY'!$B187="","",'QUICK ENTRY'!$E187)</f>
        <v/>
      </c>
      <c r="H187" s="44" t="str">
        <f>IF('QUICK ENTRY'!$B187="","",'QUICK ENTRY'!$F187)</f>
        <v/>
      </c>
      <c r="I187" s="44" t="str">
        <f>IF('QUICK ENTRY'!$B187="","",'QUICK ENTRY'!$L187)</f>
        <v/>
      </c>
      <c r="J187" s="44" t="str">
        <f>IF('QUICK ENTRY'!$B187="","",'QUICK ENTRY'!$M187)</f>
        <v/>
      </c>
      <c r="K187" s="44" t="str">
        <f>IF('QUICK ENTRY'!$B187="","",'QUICK ENTRY'!$V187)</f>
        <v/>
      </c>
      <c r="L187" s="44" t="str">
        <f>IF('QUICK ENTRY'!$B187="","",'QUICK ENTRY'!$R187)</f>
        <v/>
      </c>
      <c r="M187" s="44" t="str">
        <f>IF('QUICK ENTRY'!$B187="","",'QUICK ENTRY'!$O187)</f>
        <v/>
      </c>
      <c r="N187" s="44" t="str">
        <f>IF('QUICK ENTRY'!$B187="","",'QUICK ENTRY'!$AA187)</f>
        <v/>
      </c>
      <c r="O187" s="44" t="str">
        <f>IF('QUICK ENTRY'!$B187="","",'QUICK ENTRY'!$AG187)</f>
        <v/>
      </c>
      <c r="P187" s="44" t="str">
        <f>IF('QUICK ENTRY'!$B187="","",'QUICK ENTRY'!$AF187)</f>
        <v/>
      </c>
    </row>
    <row r="188" spans="1:16" ht="14.4">
      <c r="A188" s="44" t="str">
        <f>IF('QUICK ENTRY'!$B188="","",'QUICK ENTRY'!$U188)</f>
        <v/>
      </c>
      <c r="B188" s="55" t="str">
        <f>IF('QUICK ENTRY'!$B188="","",'QUICK ENTRY'!$B188)</f>
        <v/>
      </c>
      <c r="C188" s="44" t="str">
        <f>IF('QUICK ENTRY'!$B188="","",'QUICK ENTRY'!$C188)</f>
        <v/>
      </c>
      <c r="D188" s="44" t="str">
        <f>IF('QUICK ENTRY'!$B188="","",'QUICK ENTRY'!$I188)</f>
        <v/>
      </c>
      <c r="E188" s="44" t="str">
        <f>IF('QUICK ENTRY'!$B188="","",'QUICK ENTRY'!$D188)</f>
        <v/>
      </c>
      <c r="F188" s="44" t="str">
        <f>IF('QUICK ENTRY'!$B188="","",'QUICK ENTRY'!$K188)</f>
        <v/>
      </c>
      <c r="G188" s="58" t="str">
        <f>IF('QUICK ENTRY'!$B188="","",'QUICK ENTRY'!$E188)</f>
        <v/>
      </c>
      <c r="H188" s="44" t="str">
        <f>IF('QUICK ENTRY'!$B188="","",'QUICK ENTRY'!$F188)</f>
        <v/>
      </c>
      <c r="I188" s="44" t="str">
        <f>IF('QUICK ENTRY'!$B188="","",'QUICK ENTRY'!$L188)</f>
        <v/>
      </c>
      <c r="J188" s="44" t="str">
        <f>IF('QUICK ENTRY'!$B188="","",'QUICK ENTRY'!$M188)</f>
        <v/>
      </c>
      <c r="K188" s="44" t="str">
        <f>IF('QUICK ENTRY'!$B188="","",'QUICK ENTRY'!$V188)</f>
        <v/>
      </c>
      <c r="L188" s="44" t="str">
        <f>IF('QUICK ENTRY'!$B188="","",'QUICK ENTRY'!$R188)</f>
        <v/>
      </c>
      <c r="M188" s="44" t="str">
        <f>IF('QUICK ENTRY'!$B188="","",'QUICK ENTRY'!$O188)</f>
        <v/>
      </c>
      <c r="N188" s="44" t="str">
        <f>IF('QUICK ENTRY'!$B188="","",'QUICK ENTRY'!$AA188)</f>
        <v/>
      </c>
      <c r="O188" s="44" t="str">
        <f>IF('QUICK ENTRY'!$B188="","",'QUICK ENTRY'!$AG188)</f>
        <v/>
      </c>
      <c r="P188" s="44" t="str">
        <f>IF('QUICK ENTRY'!$B188="","",'QUICK ENTRY'!$AF188)</f>
        <v/>
      </c>
    </row>
    <row r="189" spans="1:16" ht="14.4">
      <c r="A189" s="44" t="str">
        <f>IF('QUICK ENTRY'!$B189="","",'QUICK ENTRY'!$U189)</f>
        <v/>
      </c>
      <c r="B189" s="55" t="str">
        <f>IF('QUICK ENTRY'!$B189="","",'QUICK ENTRY'!$B189)</f>
        <v/>
      </c>
      <c r="C189" s="44" t="str">
        <f>IF('QUICK ENTRY'!$B189="","",'QUICK ENTRY'!$C189)</f>
        <v/>
      </c>
      <c r="D189" s="44" t="str">
        <f>IF('QUICK ENTRY'!$B189="","",'QUICK ENTRY'!$I189)</f>
        <v/>
      </c>
      <c r="E189" s="44" t="str">
        <f>IF('QUICK ENTRY'!$B189="","",'QUICK ENTRY'!$D189)</f>
        <v/>
      </c>
      <c r="F189" s="44" t="str">
        <f>IF('QUICK ENTRY'!$B189="","",'QUICK ENTRY'!$K189)</f>
        <v/>
      </c>
      <c r="G189" s="58" t="str">
        <f>IF('QUICK ENTRY'!$B189="","",'QUICK ENTRY'!$E189)</f>
        <v/>
      </c>
      <c r="H189" s="44" t="str">
        <f>IF('QUICK ENTRY'!$B189="","",'QUICK ENTRY'!$F189)</f>
        <v/>
      </c>
      <c r="I189" s="44" t="str">
        <f>IF('QUICK ENTRY'!$B189="","",'QUICK ENTRY'!$L189)</f>
        <v/>
      </c>
      <c r="J189" s="44" t="str">
        <f>IF('QUICK ENTRY'!$B189="","",'QUICK ENTRY'!$M189)</f>
        <v/>
      </c>
      <c r="K189" s="44" t="str">
        <f>IF('QUICK ENTRY'!$B189="","",'QUICK ENTRY'!$V189)</f>
        <v/>
      </c>
      <c r="L189" s="44" t="str">
        <f>IF('QUICK ENTRY'!$B189="","",'QUICK ENTRY'!$R189)</f>
        <v/>
      </c>
      <c r="M189" s="44" t="str">
        <f>IF('QUICK ENTRY'!$B189="","",'QUICK ENTRY'!$O189)</f>
        <v/>
      </c>
      <c r="N189" s="44" t="str">
        <f>IF('QUICK ENTRY'!$B189="","",'QUICK ENTRY'!$AA189)</f>
        <v/>
      </c>
      <c r="O189" s="44" t="str">
        <f>IF('QUICK ENTRY'!$B189="","",'QUICK ENTRY'!$AG189)</f>
        <v/>
      </c>
      <c r="P189" s="44" t="str">
        <f>IF('QUICK ENTRY'!$B189="","",'QUICK ENTRY'!$AF189)</f>
        <v/>
      </c>
    </row>
    <row r="190" spans="1:16" ht="14.4">
      <c r="A190" s="44" t="str">
        <f>IF('QUICK ENTRY'!$B190="","",'QUICK ENTRY'!$U190)</f>
        <v/>
      </c>
      <c r="B190" s="55" t="str">
        <f>IF('QUICK ENTRY'!$B190="","",'QUICK ENTRY'!$B190)</f>
        <v/>
      </c>
      <c r="C190" s="44" t="str">
        <f>IF('QUICK ENTRY'!$B190="","",'QUICK ENTRY'!$C190)</f>
        <v/>
      </c>
      <c r="D190" s="44" t="str">
        <f>IF('QUICK ENTRY'!$B190="","",'QUICK ENTRY'!$I190)</f>
        <v/>
      </c>
      <c r="E190" s="44" t="str">
        <f>IF('QUICK ENTRY'!$B190="","",'QUICK ENTRY'!$D190)</f>
        <v/>
      </c>
      <c r="F190" s="44" t="str">
        <f>IF('QUICK ENTRY'!$B190="","",'QUICK ENTRY'!$K190)</f>
        <v/>
      </c>
      <c r="G190" s="58" t="str">
        <f>IF('QUICK ENTRY'!$B190="","",'QUICK ENTRY'!$E190)</f>
        <v/>
      </c>
      <c r="H190" s="44" t="str">
        <f>IF('QUICK ENTRY'!$B190="","",'QUICK ENTRY'!$F190)</f>
        <v/>
      </c>
      <c r="I190" s="44" t="str">
        <f>IF('QUICK ENTRY'!$B190="","",'QUICK ENTRY'!$L190)</f>
        <v/>
      </c>
      <c r="J190" s="44" t="str">
        <f>IF('QUICK ENTRY'!$B190="","",'QUICK ENTRY'!$M190)</f>
        <v/>
      </c>
      <c r="K190" s="44" t="str">
        <f>IF('QUICK ENTRY'!$B190="","",'QUICK ENTRY'!$V190)</f>
        <v/>
      </c>
      <c r="L190" s="44" t="str">
        <f>IF('QUICK ENTRY'!$B190="","",'QUICK ENTRY'!$R190)</f>
        <v/>
      </c>
      <c r="M190" s="44" t="str">
        <f>IF('QUICK ENTRY'!$B190="","",'QUICK ENTRY'!$O190)</f>
        <v/>
      </c>
      <c r="N190" s="44" t="str">
        <f>IF('QUICK ENTRY'!$B190="","",'QUICK ENTRY'!$AA190)</f>
        <v/>
      </c>
      <c r="O190" s="44" t="str">
        <f>IF('QUICK ENTRY'!$B190="","",'QUICK ENTRY'!$AG190)</f>
        <v/>
      </c>
      <c r="P190" s="44" t="str">
        <f>IF('QUICK ENTRY'!$B190="","",'QUICK ENTRY'!$AF190)</f>
        <v/>
      </c>
    </row>
    <row r="191" spans="1:16" ht="14.4">
      <c r="A191" s="44" t="str">
        <f>IF('QUICK ENTRY'!$B191="","",'QUICK ENTRY'!$U191)</f>
        <v/>
      </c>
      <c r="B191" s="55" t="str">
        <f>IF('QUICK ENTRY'!$B191="","",'QUICK ENTRY'!$B191)</f>
        <v/>
      </c>
      <c r="C191" s="44" t="str">
        <f>IF('QUICK ENTRY'!$B191="","",'QUICK ENTRY'!$C191)</f>
        <v/>
      </c>
      <c r="D191" s="44" t="str">
        <f>IF('QUICK ENTRY'!$B191="","",'QUICK ENTRY'!$I191)</f>
        <v/>
      </c>
      <c r="E191" s="44" t="str">
        <f>IF('QUICK ENTRY'!$B191="","",'QUICK ENTRY'!$D191)</f>
        <v/>
      </c>
      <c r="F191" s="44" t="str">
        <f>IF('QUICK ENTRY'!$B191="","",'QUICK ENTRY'!$K191)</f>
        <v/>
      </c>
      <c r="G191" s="58" t="str">
        <f>IF('QUICK ENTRY'!$B191="","",'QUICK ENTRY'!$E191)</f>
        <v/>
      </c>
      <c r="H191" s="44" t="str">
        <f>IF('QUICK ENTRY'!$B191="","",'QUICK ENTRY'!$F191)</f>
        <v/>
      </c>
      <c r="I191" s="44" t="str">
        <f>IF('QUICK ENTRY'!$B191="","",'QUICK ENTRY'!$L191)</f>
        <v/>
      </c>
      <c r="J191" s="44" t="str">
        <f>IF('QUICK ENTRY'!$B191="","",'QUICK ENTRY'!$M191)</f>
        <v/>
      </c>
      <c r="K191" s="44" t="str">
        <f>IF('QUICK ENTRY'!$B191="","",'QUICK ENTRY'!$V191)</f>
        <v/>
      </c>
      <c r="L191" s="44" t="str">
        <f>IF('QUICK ENTRY'!$B191="","",'QUICK ENTRY'!$R191)</f>
        <v/>
      </c>
      <c r="M191" s="44" t="str">
        <f>IF('QUICK ENTRY'!$B191="","",'QUICK ENTRY'!$O191)</f>
        <v/>
      </c>
      <c r="N191" s="44" t="str">
        <f>IF('QUICK ENTRY'!$B191="","",'QUICK ENTRY'!$AA191)</f>
        <v/>
      </c>
      <c r="O191" s="44" t="str">
        <f>IF('QUICK ENTRY'!$B191="","",'QUICK ENTRY'!$AG191)</f>
        <v/>
      </c>
      <c r="P191" s="44" t="str">
        <f>IF('QUICK ENTRY'!$B191="","",'QUICK ENTRY'!$AF191)</f>
        <v/>
      </c>
    </row>
    <row r="192" spans="1:16" ht="14.4">
      <c r="A192" s="44" t="str">
        <f>IF('QUICK ENTRY'!$B192="","",'QUICK ENTRY'!$U192)</f>
        <v/>
      </c>
      <c r="B192" s="55" t="str">
        <f>IF('QUICK ENTRY'!$B192="","",'QUICK ENTRY'!$B192)</f>
        <v/>
      </c>
      <c r="C192" s="44" t="str">
        <f>IF('QUICK ENTRY'!$B192="","",'QUICK ENTRY'!$C192)</f>
        <v/>
      </c>
      <c r="D192" s="44" t="str">
        <f>IF('QUICK ENTRY'!$B192="","",'QUICK ENTRY'!$I192)</f>
        <v/>
      </c>
      <c r="E192" s="44" t="str">
        <f>IF('QUICK ENTRY'!$B192="","",'QUICK ENTRY'!$D192)</f>
        <v/>
      </c>
      <c r="F192" s="44" t="str">
        <f>IF('QUICK ENTRY'!$B192="","",'QUICK ENTRY'!$K192)</f>
        <v/>
      </c>
      <c r="G192" s="58" t="str">
        <f>IF('QUICK ENTRY'!$B192="","",'QUICK ENTRY'!$E192)</f>
        <v/>
      </c>
      <c r="H192" s="44" t="str">
        <f>IF('QUICK ENTRY'!$B192="","",'QUICK ENTRY'!$F192)</f>
        <v/>
      </c>
      <c r="I192" s="44" t="str">
        <f>IF('QUICK ENTRY'!$B192="","",'QUICK ENTRY'!$L192)</f>
        <v/>
      </c>
      <c r="J192" s="44" t="str">
        <f>IF('QUICK ENTRY'!$B192="","",'QUICK ENTRY'!$M192)</f>
        <v/>
      </c>
      <c r="K192" s="44" t="str">
        <f>IF('QUICK ENTRY'!$B192="","",'QUICK ENTRY'!$V192)</f>
        <v/>
      </c>
      <c r="L192" s="44" t="str">
        <f>IF('QUICK ENTRY'!$B192="","",'QUICK ENTRY'!$R192)</f>
        <v/>
      </c>
      <c r="M192" s="44" t="str">
        <f>IF('QUICK ENTRY'!$B192="","",'QUICK ENTRY'!$O192)</f>
        <v/>
      </c>
      <c r="N192" s="44" t="str">
        <f>IF('QUICK ENTRY'!$B192="","",'QUICK ENTRY'!$AA192)</f>
        <v/>
      </c>
      <c r="O192" s="44" t="str">
        <f>IF('QUICK ENTRY'!$B192="","",'QUICK ENTRY'!$AG192)</f>
        <v/>
      </c>
      <c r="P192" s="44" t="str">
        <f>IF('QUICK ENTRY'!$B192="","",'QUICK ENTRY'!$AF192)</f>
        <v/>
      </c>
    </row>
    <row r="193" spans="1:16" ht="14.4">
      <c r="A193" s="44" t="str">
        <f>IF('QUICK ENTRY'!$B193="","",'QUICK ENTRY'!$U193)</f>
        <v/>
      </c>
      <c r="B193" s="55" t="str">
        <f>IF('QUICK ENTRY'!$B193="","",'QUICK ENTRY'!$B193)</f>
        <v/>
      </c>
      <c r="C193" s="44" t="str">
        <f>IF('QUICK ENTRY'!$B193="","",'QUICK ENTRY'!$C193)</f>
        <v/>
      </c>
      <c r="D193" s="44" t="str">
        <f>IF('QUICK ENTRY'!$B193="","",'QUICK ENTRY'!$I193)</f>
        <v/>
      </c>
      <c r="E193" s="44" t="str">
        <f>IF('QUICK ENTRY'!$B193="","",'QUICK ENTRY'!$D193)</f>
        <v/>
      </c>
      <c r="F193" s="44" t="str">
        <f>IF('QUICK ENTRY'!$B193="","",'QUICK ENTRY'!$K193)</f>
        <v/>
      </c>
      <c r="G193" s="58" t="str">
        <f>IF('QUICK ENTRY'!$B193="","",'QUICK ENTRY'!$E193)</f>
        <v/>
      </c>
      <c r="H193" s="44" t="str">
        <f>IF('QUICK ENTRY'!$B193="","",'QUICK ENTRY'!$F193)</f>
        <v/>
      </c>
      <c r="I193" s="44" t="str">
        <f>IF('QUICK ENTRY'!$B193="","",'QUICK ENTRY'!$L193)</f>
        <v/>
      </c>
      <c r="J193" s="44" t="str">
        <f>IF('QUICK ENTRY'!$B193="","",'QUICK ENTRY'!$M193)</f>
        <v/>
      </c>
      <c r="K193" s="44" t="str">
        <f>IF('QUICK ENTRY'!$B193="","",'QUICK ENTRY'!$V193)</f>
        <v/>
      </c>
      <c r="L193" s="44" t="str">
        <f>IF('QUICK ENTRY'!$B193="","",'QUICK ENTRY'!$R193)</f>
        <v/>
      </c>
      <c r="M193" s="44" t="str">
        <f>IF('QUICK ENTRY'!$B193="","",'QUICK ENTRY'!$O193)</f>
        <v/>
      </c>
      <c r="N193" s="44" t="str">
        <f>IF('QUICK ENTRY'!$B193="","",'QUICK ENTRY'!$AA193)</f>
        <v/>
      </c>
      <c r="O193" s="44" t="str">
        <f>IF('QUICK ENTRY'!$B193="","",'QUICK ENTRY'!$AG193)</f>
        <v/>
      </c>
      <c r="P193" s="44" t="str">
        <f>IF('QUICK ENTRY'!$B193="","",'QUICK ENTRY'!$AF193)</f>
        <v/>
      </c>
    </row>
    <row r="194" spans="1:16" ht="14.4">
      <c r="A194" s="44" t="str">
        <f>IF('QUICK ENTRY'!$B194="","",'QUICK ENTRY'!$U194)</f>
        <v/>
      </c>
      <c r="B194" s="55" t="str">
        <f>IF('QUICK ENTRY'!$B194="","",'QUICK ENTRY'!$B194)</f>
        <v/>
      </c>
      <c r="C194" s="44" t="str">
        <f>IF('QUICK ENTRY'!$B194="","",'QUICK ENTRY'!$C194)</f>
        <v/>
      </c>
      <c r="D194" s="44" t="str">
        <f>IF('QUICK ENTRY'!$B194="","",'QUICK ENTRY'!$I194)</f>
        <v/>
      </c>
      <c r="E194" s="44" t="str">
        <f>IF('QUICK ENTRY'!$B194="","",'QUICK ENTRY'!$D194)</f>
        <v/>
      </c>
      <c r="F194" s="44" t="str">
        <f>IF('QUICK ENTRY'!$B194="","",'QUICK ENTRY'!$K194)</f>
        <v/>
      </c>
      <c r="G194" s="58" t="str">
        <f>IF('QUICK ENTRY'!$B194="","",'QUICK ENTRY'!$E194)</f>
        <v/>
      </c>
      <c r="H194" s="44" t="str">
        <f>IF('QUICK ENTRY'!$B194="","",'QUICK ENTRY'!$F194)</f>
        <v/>
      </c>
      <c r="I194" s="44" t="str">
        <f>IF('QUICK ENTRY'!$B194="","",'QUICK ENTRY'!$L194)</f>
        <v/>
      </c>
      <c r="J194" s="44" t="str">
        <f>IF('QUICK ENTRY'!$B194="","",'QUICK ENTRY'!$M194)</f>
        <v/>
      </c>
      <c r="K194" s="44" t="str">
        <f>IF('QUICK ENTRY'!$B194="","",'QUICK ENTRY'!$V194)</f>
        <v/>
      </c>
      <c r="L194" s="44" t="str">
        <f>IF('QUICK ENTRY'!$B194="","",'QUICK ENTRY'!$R194)</f>
        <v/>
      </c>
      <c r="M194" s="44" t="str">
        <f>IF('QUICK ENTRY'!$B194="","",'QUICK ENTRY'!$O194)</f>
        <v/>
      </c>
      <c r="N194" s="44" t="str">
        <f>IF('QUICK ENTRY'!$B194="","",'QUICK ENTRY'!$AA194)</f>
        <v/>
      </c>
      <c r="O194" s="44" t="str">
        <f>IF('QUICK ENTRY'!$B194="","",'QUICK ENTRY'!$AG194)</f>
        <v/>
      </c>
      <c r="P194" s="44" t="str">
        <f>IF('QUICK ENTRY'!$B194="","",'QUICK ENTRY'!$AF194)</f>
        <v/>
      </c>
    </row>
    <row r="195" spans="1:16" ht="14.4">
      <c r="A195" s="44" t="str">
        <f>IF('QUICK ENTRY'!$B195="","",'QUICK ENTRY'!$U195)</f>
        <v/>
      </c>
      <c r="B195" s="55" t="str">
        <f>IF('QUICK ENTRY'!$B195="","",'QUICK ENTRY'!$B195)</f>
        <v/>
      </c>
      <c r="C195" s="44" t="str">
        <f>IF('QUICK ENTRY'!$B195="","",'QUICK ENTRY'!$C195)</f>
        <v/>
      </c>
      <c r="D195" s="44" t="str">
        <f>IF('QUICK ENTRY'!$B195="","",'QUICK ENTRY'!$I195)</f>
        <v/>
      </c>
      <c r="E195" s="44" t="str">
        <f>IF('QUICK ENTRY'!$B195="","",'QUICK ENTRY'!$D195)</f>
        <v/>
      </c>
      <c r="F195" s="44" t="str">
        <f>IF('QUICK ENTRY'!$B195="","",'QUICK ENTRY'!$K195)</f>
        <v/>
      </c>
      <c r="G195" s="58" t="str">
        <f>IF('QUICK ENTRY'!$B195="","",'QUICK ENTRY'!$E195)</f>
        <v/>
      </c>
      <c r="H195" s="44" t="str">
        <f>IF('QUICK ENTRY'!$B195="","",'QUICK ENTRY'!$F195)</f>
        <v/>
      </c>
      <c r="I195" s="44" t="str">
        <f>IF('QUICK ENTRY'!$B195="","",'QUICK ENTRY'!$L195)</f>
        <v/>
      </c>
      <c r="J195" s="44" t="str">
        <f>IF('QUICK ENTRY'!$B195="","",'QUICK ENTRY'!$M195)</f>
        <v/>
      </c>
      <c r="K195" s="44" t="str">
        <f>IF('QUICK ENTRY'!$B195="","",'QUICK ENTRY'!$V195)</f>
        <v/>
      </c>
      <c r="L195" s="44" t="str">
        <f>IF('QUICK ENTRY'!$B195="","",'QUICK ENTRY'!$R195)</f>
        <v/>
      </c>
      <c r="M195" s="44" t="str">
        <f>IF('QUICK ENTRY'!$B195="","",'QUICK ENTRY'!$O195)</f>
        <v/>
      </c>
      <c r="N195" s="44" t="str">
        <f>IF('QUICK ENTRY'!$B195="","",'QUICK ENTRY'!$AA195)</f>
        <v/>
      </c>
      <c r="O195" s="44" t="str">
        <f>IF('QUICK ENTRY'!$B195="","",'QUICK ENTRY'!$AG195)</f>
        <v/>
      </c>
      <c r="P195" s="44" t="str">
        <f>IF('QUICK ENTRY'!$B195="","",'QUICK ENTRY'!$AF195)</f>
        <v/>
      </c>
    </row>
    <row r="196" spans="1:16" ht="14.4">
      <c r="A196" s="44" t="str">
        <f>IF('QUICK ENTRY'!$B196="","",'QUICK ENTRY'!$U196)</f>
        <v/>
      </c>
      <c r="B196" s="55" t="str">
        <f>IF('QUICK ENTRY'!$B196="","",'QUICK ENTRY'!$B196)</f>
        <v/>
      </c>
      <c r="C196" s="44" t="str">
        <f>IF('QUICK ENTRY'!$B196="","",'QUICK ENTRY'!$C196)</f>
        <v/>
      </c>
      <c r="D196" s="44" t="str">
        <f>IF('QUICK ENTRY'!$B196="","",'QUICK ENTRY'!$I196)</f>
        <v/>
      </c>
      <c r="E196" s="44" t="str">
        <f>IF('QUICK ENTRY'!$B196="","",'QUICK ENTRY'!$D196)</f>
        <v/>
      </c>
      <c r="F196" s="44" t="str">
        <f>IF('QUICK ENTRY'!$B196="","",'QUICK ENTRY'!$K196)</f>
        <v/>
      </c>
      <c r="G196" s="58" t="str">
        <f>IF('QUICK ENTRY'!$B196="","",'QUICK ENTRY'!$E196)</f>
        <v/>
      </c>
      <c r="H196" s="44" t="str">
        <f>IF('QUICK ENTRY'!$B196="","",'QUICK ENTRY'!$F196)</f>
        <v/>
      </c>
      <c r="I196" s="44" t="str">
        <f>IF('QUICK ENTRY'!$B196="","",'QUICK ENTRY'!$L196)</f>
        <v/>
      </c>
      <c r="J196" s="44" t="str">
        <f>IF('QUICK ENTRY'!$B196="","",'QUICK ENTRY'!$M196)</f>
        <v/>
      </c>
      <c r="K196" s="44" t="str">
        <f>IF('QUICK ENTRY'!$B196="","",'QUICK ENTRY'!$V196)</f>
        <v/>
      </c>
      <c r="L196" s="44" t="str">
        <f>IF('QUICK ENTRY'!$B196="","",'QUICK ENTRY'!$R196)</f>
        <v/>
      </c>
      <c r="M196" s="44" t="str">
        <f>IF('QUICK ENTRY'!$B196="","",'QUICK ENTRY'!$O196)</f>
        <v/>
      </c>
      <c r="N196" s="44" t="str">
        <f>IF('QUICK ENTRY'!$B196="","",'QUICK ENTRY'!$AA196)</f>
        <v/>
      </c>
      <c r="O196" s="44" t="str">
        <f>IF('QUICK ENTRY'!$B196="","",'QUICK ENTRY'!$AG196)</f>
        <v/>
      </c>
      <c r="P196" s="44" t="str">
        <f>IF('QUICK ENTRY'!$B196="","",'QUICK ENTRY'!$AF196)</f>
        <v/>
      </c>
    </row>
    <row r="197" spans="1:16" ht="14.4">
      <c r="A197" s="44" t="str">
        <f>IF('QUICK ENTRY'!$B197="","",'QUICK ENTRY'!$U197)</f>
        <v/>
      </c>
      <c r="B197" s="55" t="str">
        <f>IF('QUICK ENTRY'!$B197="","",'QUICK ENTRY'!$B197)</f>
        <v/>
      </c>
      <c r="C197" s="44" t="str">
        <f>IF('QUICK ENTRY'!$B197="","",'QUICK ENTRY'!$C197)</f>
        <v/>
      </c>
      <c r="D197" s="44" t="str">
        <f>IF('QUICK ENTRY'!$B197="","",'QUICK ENTRY'!$I197)</f>
        <v/>
      </c>
      <c r="E197" s="44" t="str">
        <f>IF('QUICK ENTRY'!$B197="","",'QUICK ENTRY'!$D197)</f>
        <v/>
      </c>
      <c r="F197" s="44" t="str">
        <f>IF('QUICK ENTRY'!$B197="","",'QUICK ENTRY'!$K197)</f>
        <v/>
      </c>
      <c r="G197" s="58" t="str">
        <f>IF('QUICK ENTRY'!$B197="","",'QUICK ENTRY'!$E197)</f>
        <v/>
      </c>
      <c r="H197" s="44" t="str">
        <f>IF('QUICK ENTRY'!$B197="","",'QUICK ENTRY'!$F197)</f>
        <v/>
      </c>
      <c r="I197" s="44" t="str">
        <f>IF('QUICK ENTRY'!$B197="","",'QUICK ENTRY'!$L197)</f>
        <v/>
      </c>
      <c r="J197" s="44" t="str">
        <f>IF('QUICK ENTRY'!$B197="","",'QUICK ENTRY'!$M197)</f>
        <v/>
      </c>
      <c r="K197" s="44" t="str">
        <f>IF('QUICK ENTRY'!$B197="","",'QUICK ENTRY'!$V197)</f>
        <v/>
      </c>
      <c r="L197" s="44" t="str">
        <f>IF('QUICK ENTRY'!$B197="","",'QUICK ENTRY'!$R197)</f>
        <v/>
      </c>
      <c r="M197" s="44" t="str">
        <f>IF('QUICK ENTRY'!$B197="","",'QUICK ENTRY'!$O197)</f>
        <v/>
      </c>
      <c r="N197" s="44" t="str">
        <f>IF('QUICK ENTRY'!$B197="","",'QUICK ENTRY'!$AA197)</f>
        <v/>
      </c>
      <c r="O197" s="44" t="str">
        <f>IF('QUICK ENTRY'!$B197="","",'QUICK ENTRY'!$AG197)</f>
        <v/>
      </c>
      <c r="P197" s="44" t="str">
        <f>IF('QUICK ENTRY'!$B197="","",'QUICK ENTRY'!$AF197)</f>
        <v/>
      </c>
    </row>
    <row r="198" spans="1:16" ht="14.4">
      <c r="A198" s="44" t="str">
        <f>IF('QUICK ENTRY'!$B198="","",'QUICK ENTRY'!$U198)</f>
        <v/>
      </c>
      <c r="B198" s="55" t="str">
        <f>IF('QUICK ENTRY'!$B198="","",'QUICK ENTRY'!$B198)</f>
        <v/>
      </c>
      <c r="C198" s="44" t="str">
        <f>IF('QUICK ENTRY'!$B198="","",'QUICK ENTRY'!$C198)</f>
        <v/>
      </c>
      <c r="D198" s="44" t="str">
        <f>IF('QUICK ENTRY'!$B198="","",'QUICK ENTRY'!$I198)</f>
        <v/>
      </c>
      <c r="E198" s="44" t="str">
        <f>IF('QUICK ENTRY'!$B198="","",'QUICK ENTRY'!$D198)</f>
        <v/>
      </c>
      <c r="F198" s="44" t="str">
        <f>IF('QUICK ENTRY'!$B198="","",'QUICK ENTRY'!$K198)</f>
        <v/>
      </c>
      <c r="G198" s="58" t="str">
        <f>IF('QUICK ENTRY'!$B198="","",'QUICK ENTRY'!$E198)</f>
        <v/>
      </c>
      <c r="H198" s="44" t="str">
        <f>IF('QUICK ENTRY'!$B198="","",'QUICK ENTRY'!$F198)</f>
        <v/>
      </c>
      <c r="I198" s="44" t="str">
        <f>IF('QUICK ENTRY'!$B198="","",'QUICK ENTRY'!$L198)</f>
        <v/>
      </c>
      <c r="J198" s="44" t="str">
        <f>IF('QUICK ENTRY'!$B198="","",'QUICK ENTRY'!$M198)</f>
        <v/>
      </c>
      <c r="K198" s="44" t="str">
        <f>IF('QUICK ENTRY'!$B198="","",'QUICK ENTRY'!$V198)</f>
        <v/>
      </c>
      <c r="L198" s="44" t="str">
        <f>IF('QUICK ENTRY'!$B198="","",'QUICK ENTRY'!$R198)</f>
        <v/>
      </c>
      <c r="M198" s="44" t="str">
        <f>IF('QUICK ENTRY'!$B198="","",'QUICK ENTRY'!$O198)</f>
        <v/>
      </c>
      <c r="N198" s="44" t="str">
        <f>IF('QUICK ENTRY'!$B198="","",'QUICK ENTRY'!$AA198)</f>
        <v/>
      </c>
      <c r="O198" s="44" t="str">
        <f>IF('QUICK ENTRY'!$B198="","",'QUICK ENTRY'!$AG198)</f>
        <v/>
      </c>
      <c r="P198" s="44" t="str">
        <f>IF('QUICK ENTRY'!$B198="","",'QUICK ENTRY'!$AF198)</f>
        <v/>
      </c>
    </row>
    <row r="199" spans="1:16" ht="14.4">
      <c r="A199" s="44" t="str">
        <f>IF('QUICK ENTRY'!$B199="","",'QUICK ENTRY'!$U199)</f>
        <v/>
      </c>
      <c r="B199" s="55" t="str">
        <f>IF('QUICK ENTRY'!$B199="","",'QUICK ENTRY'!$B199)</f>
        <v/>
      </c>
      <c r="C199" s="44" t="str">
        <f>IF('QUICK ENTRY'!$B199="","",'QUICK ENTRY'!$C199)</f>
        <v/>
      </c>
      <c r="D199" s="44" t="str">
        <f>IF('QUICK ENTRY'!$B199="","",'QUICK ENTRY'!$I199)</f>
        <v/>
      </c>
      <c r="E199" s="44" t="str">
        <f>IF('QUICK ENTRY'!$B199="","",'QUICK ENTRY'!$D199)</f>
        <v/>
      </c>
      <c r="F199" s="44" t="str">
        <f>IF('QUICK ENTRY'!$B199="","",'QUICK ENTRY'!$K199)</f>
        <v/>
      </c>
      <c r="G199" s="58" t="str">
        <f>IF('QUICK ENTRY'!$B199="","",'QUICK ENTRY'!$E199)</f>
        <v/>
      </c>
      <c r="H199" s="44" t="str">
        <f>IF('QUICK ENTRY'!$B199="","",'QUICK ENTRY'!$F199)</f>
        <v/>
      </c>
      <c r="I199" s="44" t="str">
        <f>IF('QUICK ENTRY'!$B199="","",'QUICK ENTRY'!$L199)</f>
        <v/>
      </c>
      <c r="J199" s="44" t="str">
        <f>IF('QUICK ENTRY'!$B199="","",'QUICK ENTRY'!$M199)</f>
        <v/>
      </c>
      <c r="K199" s="44" t="str">
        <f>IF('QUICK ENTRY'!$B199="","",'QUICK ENTRY'!$V199)</f>
        <v/>
      </c>
      <c r="L199" s="44" t="str">
        <f>IF('QUICK ENTRY'!$B199="","",'QUICK ENTRY'!$R199)</f>
        <v/>
      </c>
      <c r="M199" s="44" t="str">
        <f>IF('QUICK ENTRY'!$B199="","",'QUICK ENTRY'!$O199)</f>
        <v/>
      </c>
      <c r="N199" s="44" t="str">
        <f>IF('QUICK ENTRY'!$B199="","",'QUICK ENTRY'!$AA199)</f>
        <v/>
      </c>
      <c r="O199" s="44" t="str">
        <f>IF('QUICK ENTRY'!$B199="","",'QUICK ENTRY'!$AG199)</f>
        <v/>
      </c>
      <c r="P199" s="44" t="str">
        <f>IF('QUICK ENTRY'!$B199="","",'QUICK ENTRY'!$AF199)</f>
        <v/>
      </c>
    </row>
    <row r="200" spans="1:16" ht="14.4">
      <c r="A200" s="44" t="str">
        <f>IF('QUICK ENTRY'!$B200="","",'QUICK ENTRY'!$U200)</f>
        <v/>
      </c>
      <c r="B200" s="55" t="str">
        <f>IF('QUICK ENTRY'!$B200="","",'QUICK ENTRY'!$B200)</f>
        <v/>
      </c>
      <c r="C200" s="44" t="str">
        <f>IF('QUICK ENTRY'!$B200="","",'QUICK ENTRY'!$C200)</f>
        <v/>
      </c>
      <c r="D200" s="44" t="str">
        <f>IF('QUICK ENTRY'!$B200="","",'QUICK ENTRY'!$I200)</f>
        <v/>
      </c>
      <c r="E200" s="44" t="str">
        <f>IF('QUICK ENTRY'!$B200="","",'QUICK ENTRY'!$D200)</f>
        <v/>
      </c>
      <c r="F200" s="44" t="str">
        <f>IF('QUICK ENTRY'!$B200="","",'QUICK ENTRY'!$K200)</f>
        <v/>
      </c>
      <c r="G200" s="58" t="str">
        <f>IF('QUICK ENTRY'!$B200="","",'QUICK ENTRY'!$E200)</f>
        <v/>
      </c>
      <c r="H200" s="44" t="str">
        <f>IF('QUICK ENTRY'!$B200="","",'QUICK ENTRY'!$F200)</f>
        <v/>
      </c>
      <c r="I200" s="44" t="str">
        <f>IF('QUICK ENTRY'!$B200="","",'QUICK ENTRY'!$L200)</f>
        <v/>
      </c>
      <c r="J200" s="44" t="str">
        <f>IF('QUICK ENTRY'!$B200="","",'QUICK ENTRY'!$M200)</f>
        <v/>
      </c>
      <c r="K200" s="44" t="str">
        <f>IF('QUICK ENTRY'!$B200="","",'QUICK ENTRY'!$V200)</f>
        <v/>
      </c>
      <c r="L200" s="44" t="str">
        <f>IF('QUICK ENTRY'!$B200="","",'QUICK ENTRY'!$R200)</f>
        <v/>
      </c>
      <c r="M200" s="44" t="str">
        <f>IF('QUICK ENTRY'!$B200="","",'QUICK ENTRY'!$O200)</f>
        <v/>
      </c>
      <c r="N200" s="44" t="str">
        <f>IF('QUICK ENTRY'!$B200="","",'QUICK ENTRY'!$AA200)</f>
        <v/>
      </c>
      <c r="O200" s="44" t="str">
        <f>IF('QUICK ENTRY'!$B200="","",'QUICK ENTRY'!$AG200)</f>
        <v/>
      </c>
      <c r="P200" s="44" t="str">
        <f>IF('QUICK ENTRY'!$B200="","",'QUICK ENTRY'!$AF200)</f>
        <v/>
      </c>
    </row>
    <row r="201" spans="1:16" ht="14.4">
      <c r="A201" s="44" t="str">
        <f>IF('QUICK ENTRY'!$B201="","",'QUICK ENTRY'!$U201)</f>
        <v/>
      </c>
      <c r="B201" s="55" t="str">
        <f>IF('QUICK ENTRY'!$B201="","",'QUICK ENTRY'!$B201)</f>
        <v/>
      </c>
      <c r="C201" s="44" t="str">
        <f>IF('QUICK ENTRY'!$B201="","",'QUICK ENTRY'!$C201)</f>
        <v/>
      </c>
      <c r="D201" s="44" t="str">
        <f>IF('QUICK ENTRY'!$B201="","",'QUICK ENTRY'!$I201)</f>
        <v/>
      </c>
      <c r="E201" s="44" t="str">
        <f>IF('QUICK ENTRY'!$B201="","",'QUICK ENTRY'!$D201)</f>
        <v/>
      </c>
      <c r="F201" s="44" t="str">
        <f>IF('QUICK ENTRY'!$B201="","",'QUICK ENTRY'!$K201)</f>
        <v/>
      </c>
      <c r="G201" s="58" t="str">
        <f>IF('QUICK ENTRY'!$B201="","",'QUICK ENTRY'!$E201)</f>
        <v/>
      </c>
      <c r="H201" s="44" t="str">
        <f>IF('QUICK ENTRY'!$B201="","",'QUICK ENTRY'!$F201)</f>
        <v/>
      </c>
      <c r="I201" s="44" t="str">
        <f>IF('QUICK ENTRY'!$B201="","",'QUICK ENTRY'!$L201)</f>
        <v/>
      </c>
      <c r="J201" s="44" t="str">
        <f>IF('QUICK ENTRY'!$B201="","",'QUICK ENTRY'!$M201)</f>
        <v/>
      </c>
      <c r="K201" s="44" t="str">
        <f>IF('QUICK ENTRY'!$B201="","",'QUICK ENTRY'!$V201)</f>
        <v/>
      </c>
      <c r="L201" s="44" t="str">
        <f>IF('QUICK ENTRY'!$B201="","",'QUICK ENTRY'!$R201)</f>
        <v/>
      </c>
      <c r="M201" s="44" t="str">
        <f>IF('QUICK ENTRY'!$B201="","",'QUICK ENTRY'!$O201)</f>
        <v/>
      </c>
      <c r="N201" s="44" t="str">
        <f>IF('QUICK ENTRY'!$B201="","",'QUICK ENTRY'!$AA201)</f>
        <v/>
      </c>
      <c r="O201" s="44" t="str">
        <f>IF('QUICK ENTRY'!$B201="","",'QUICK ENTRY'!$AG201)</f>
        <v/>
      </c>
      <c r="P201" s="44" t="str">
        <f>IF('QUICK ENTRY'!$B201="","",'QUICK ENTRY'!$AF201)</f>
        <v/>
      </c>
    </row>
    <row r="202" spans="1:16" ht="14.4">
      <c r="A202" s="44" t="str">
        <f>IF('QUICK ENTRY'!$B202="","",'QUICK ENTRY'!$U202)</f>
        <v/>
      </c>
      <c r="B202" s="55" t="str">
        <f>IF('QUICK ENTRY'!$B202="","",'QUICK ENTRY'!$B202)</f>
        <v/>
      </c>
      <c r="C202" s="44" t="str">
        <f>IF('QUICK ENTRY'!$B202="","",'QUICK ENTRY'!$C202)</f>
        <v/>
      </c>
      <c r="D202" s="44" t="str">
        <f>IF('QUICK ENTRY'!$B202="","",'QUICK ENTRY'!$I202)</f>
        <v/>
      </c>
      <c r="E202" s="44" t="str">
        <f>IF('QUICK ENTRY'!$B202="","",'QUICK ENTRY'!$D202)</f>
        <v/>
      </c>
      <c r="F202" s="44" t="str">
        <f>IF('QUICK ENTRY'!$B202="","",'QUICK ENTRY'!$K202)</f>
        <v/>
      </c>
      <c r="G202" s="58" t="str">
        <f>IF('QUICK ENTRY'!$B202="","",'QUICK ENTRY'!$E202)</f>
        <v/>
      </c>
      <c r="H202" s="44" t="str">
        <f>IF('QUICK ENTRY'!$B202="","",'QUICK ENTRY'!$F202)</f>
        <v/>
      </c>
      <c r="I202" s="44" t="str">
        <f>IF('QUICK ENTRY'!$B202="","",'QUICK ENTRY'!$L202)</f>
        <v/>
      </c>
      <c r="J202" s="44" t="str">
        <f>IF('QUICK ENTRY'!$B202="","",'QUICK ENTRY'!$M202)</f>
        <v/>
      </c>
      <c r="K202" s="44" t="str">
        <f>IF('QUICK ENTRY'!$B202="","",'QUICK ENTRY'!$V202)</f>
        <v/>
      </c>
      <c r="L202" s="44" t="str">
        <f>IF('QUICK ENTRY'!$B202="","",'QUICK ENTRY'!$R202)</f>
        <v/>
      </c>
      <c r="M202" s="44" t="str">
        <f>IF('QUICK ENTRY'!$B202="","",'QUICK ENTRY'!$O202)</f>
        <v/>
      </c>
      <c r="N202" s="44" t="str">
        <f>IF('QUICK ENTRY'!$B202="","",'QUICK ENTRY'!$AA202)</f>
        <v/>
      </c>
      <c r="O202" s="44" t="str">
        <f>IF('QUICK ENTRY'!$B202="","",'QUICK ENTRY'!$AG202)</f>
        <v/>
      </c>
      <c r="P202" s="44" t="str">
        <f>IF('QUICK ENTRY'!$B202="","",'QUICK ENTRY'!$AF202)</f>
        <v/>
      </c>
    </row>
    <row r="203" spans="1:16" ht="14.4">
      <c r="A203" s="44" t="str">
        <f>IF('QUICK ENTRY'!$B203="","",'QUICK ENTRY'!$U203)</f>
        <v/>
      </c>
      <c r="B203" s="55" t="str">
        <f>IF('QUICK ENTRY'!$B203="","",'QUICK ENTRY'!$B203)</f>
        <v/>
      </c>
      <c r="C203" s="44" t="str">
        <f>IF('QUICK ENTRY'!$B203="","",'QUICK ENTRY'!$C203)</f>
        <v/>
      </c>
      <c r="D203" s="44" t="str">
        <f>IF('QUICK ENTRY'!$B203="","",'QUICK ENTRY'!$I203)</f>
        <v/>
      </c>
      <c r="E203" s="44" t="str">
        <f>IF('QUICK ENTRY'!$B203="","",'QUICK ENTRY'!$D203)</f>
        <v/>
      </c>
      <c r="F203" s="44" t="str">
        <f>IF('QUICK ENTRY'!$B203="","",'QUICK ENTRY'!$K203)</f>
        <v/>
      </c>
      <c r="G203" s="58" t="str">
        <f>IF('QUICK ENTRY'!$B203="","",'QUICK ENTRY'!$E203)</f>
        <v/>
      </c>
      <c r="H203" s="44" t="str">
        <f>IF('QUICK ENTRY'!$B203="","",'QUICK ENTRY'!$F203)</f>
        <v/>
      </c>
      <c r="I203" s="44" t="str">
        <f>IF('QUICK ENTRY'!$B203="","",'QUICK ENTRY'!$L203)</f>
        <v/>
      </c>
      <c r="J203" s="44" t="str">
        <f>IF('QUICK ENTRY'!$B203="","",'QUICK ENTRY'!$M203)</f>
        <v/>
      </c>
      <c r="K203" s="44" t="str">
        <f>IF('QUICK ENTRY'!$B203="","",'QUICK ENTRY'!$V203)</f>
        <v/>
      </c>
      <c r="L203" s="44" t="str">
        <f>IF('QUICK ENTRY'!$B203="","",'QUICK ENTRY'!$R203)</f>
        <v/>
      </c>
      <c r="M203" s="44" t="str">
        <f>IF('QUICK ENTRY'!$B203="","",'QUICK ENTRY'!$O203)</f>
        <v/>
      </c>
      <c r="N203" s="44" t="str">
        <f>IF('QUICK ENTRY'!$B203="","",'QUICK ENTRY'!$AA203)</f>
        <v/>
      </c>
      <c r="O203" s="44" t="str">
        <f>IF('QUICK ENTRY'!$B203="","",'QUICK ENTRY'!$AG203)</f>
        <v/>
      </c>
      <c r="P203" s="44" t="str">
        <f>IF('QUICK ENTRY'!$B203="","",'QUICK ENTRY'!$AF203)</f>
        <v/>
      </c>
    </row>
    <row r="204" spans="1:16" ht="14.4">
      <c r="A204" s="44" t="str">
        <f>IF('QUICK ENTRY'!$B204="","",'QUICK ENTRY'!$U204)</f>
        <v/>
      </c>
      <c r="B204" s="55" t="str">
        <f>IF('QUICK ENTRY'!$B204="","",'QUICK ENTRY'!$B204)</f>
        <v/>
      </c>
      <c r="C204" s="44" t="str">
        <f>IF('QUICK ENTRY'!$B204="","",'QUICK ENTRY'!$C204)</f>
        <v/>
      </c>
      <c r="D204" s="44" t="str">
        <f>IF('QUICK ENTRY'!$B204="","",'QUICK ENTRY'!$I204)</f>
        <v/>
      </c>
      <c r="E204" s="44" t="str">
        <f>IF('QUICK ENTRY'!$B204="","",'QUICK ENTRY'!$D204)</f>
        <v/>
      </c>
      <c r="F204" s="44" t="str">
        <f>IF('QUICK ENTRY'!$B204="","",'QUICK ENTRY'!$K204)</f>
        <v/>
      </c>
      <c r="G204" s="58" t="str">
        <f>IF('QUICK ENTRY'!$B204="","",'QUICK ENTRY'!$E204)</f>
        <v/>
      </c>
      <c r="H204" s="44" t="str">
        <f>IF('QUICK ENTRY'!$B204="","",'QUICK ENTRY'!$F204)</f>
        <v/>
      </c>
      <c r="I204" s="44" t="str">
        <f>IF('QUICK ENTRY'!$B204="","",'QUICK ENTRY'!$L204)</f>
        <v/>
      </c>
      <c r="J204" s="44" t="str">
        <f>IF('QUICK ENTRY'!$B204="","",'QUICK ENTRY'!$M204)</f>
        <v/>
      </c>
      <c r="K204" s="44" t="str">
        <f>IF('QUICK ENTRY'!$B204="","",'QUICK ENTRY'!$V204)</f>
        <v/>
      </c>
      <c r="L204" s="44" t="str">
        <f>IF('QUICK ENTRY'!$B204="","",'QUICK ENTRY'!$R204)</f>
        <v/>
      </c>
      <c r="M204" s="44" t="str">
        <f>IF('QUICK ENTRY'!$B204="","",'QUICK ENTRY'!$O204)</f>
        <v/>
      </c>
      <c r="N204" s="44" t="str">
        <f>IF('QUICK ENTRY'!$B204="","",'QUICK ENTRY'!$AA204)</f>
        <v/>
      </c>
      <c r="O204" s="44" t="str">
        <f>IF('QUICK ENTRY'!$B204="","",'QUICK ENTRY'!$AG204)</f>
        <v/>
      </c>
      <c r="P204" s="44" t="str">
        <f>IF('QUICK ENTRY'!$B204="","",'QUICK ENTRY'!$AF204)</f>
        <v/>
      </c>
    </row>
    <row r="205" spans="1:16" ht="14.4">
      <c r="A205" s="44" t="str">
        <f>IF('QUICK ENTRY'!$B205="","",'QUICK ENTRY'!$U205)</f>
        <v/>
      </c>
      <c r="B205" s="55" t="str">
        <f>IF('QUICK ENTRY'!$B205="","",'QUICK ENTRY'!$B205)</f>
        <v/>
      </c>
      <c r="C205" s="44" t="str">
        <f>IF('QUICK ENTRY'!$B205="","",'QUICK ENTRY'!$C205)</f>
        <v/>
      </c>
      <c r="D205" s="44" t="str">
        <f>IF('QUICK ENTRY'!$B205="","",'QUICK ENTRY'!$I205)</f>
        <v/>
      </c>
      <c r="E205" s="44" t="str">
        <f>IF('QUICK ENTRY'!$B205="","",'QUICK ENTRY'!$D205)</f>
        <v/>
      </c>
      <c r="F205" s="44" t="str">
        <f>IF('QUICK ENTRY'!$B205="","",'QUICK ENTRY'!$K205)</f>
        <v/>
      </c>
      <c r="G205" s="58" t="str">
        <f>IF('QUICK ENTRY'!$B205="","",'QUICK ENTRY'!$E205)</f>
        <v/>
      </c>
      <c r="H205" s="44" t="str">
        <f>IF('QUICK ENTRY'!$B205="","",'QUICK ENTRY'!$F205)</f>
        <v/>
      </c>
      <c r="I205" s="44" t="str">
        <f>IF('QUICK ENTRY'!$B205="","",'QUICK ENTRY'!$L205)</f>
        <v/>
      </c>
      <c r="J205" s="44" t="str">
        <f>IF('QUICK ENTRY'!$B205="","",'QUICK ENTRY'!$M205)</f>
        <v/>
      </c>
      <c r="K205" s="44" t="str">
        <f>IF('QUICK ENTRY'!$B205="","",'QUICK ENTRY'!$V205)</f>
        <v/>
      </c>
      <c r="L205" s="44" t="str">
        <f>IF('QUICK ENTRY'!$B205="","",'QUICK ENTRY'!$R205)</f>
        <v/>
      </c>
      <c r="M205" s="44" t="str">
        <f>IF('QUICK ENTRY'!$B205="","",'QUICK ENTRY'!$O205)</f>
        <v/>
      </c>
      <c r="N205" s="44" t="str">
        <f>IF('QUICK ENTRY'!$B205="","",'QUICK ENTRY'!$AA205)</f>
        <v/>
      </c>
      <c r="O205" s="44" t="str">
        <f>IF('QUICK ENTRY'!$B205="","",'QUICK ENTRY'!$AG205)</f>
        <v/>
      </c>
      <c r="P205" s="44" t="str">
        <f>IF('QUICK ENTRY'!$B205="","",'QUICK ENTRY'!$AF205)</f>
        <v/>
      </c>
    </row>
    <row r="206" spans="1:16" ht="14.4">
      <c r="A206" s="44" t="str">
        <f>IF('QUICK ENTRY'!$B206="","",'QUICK ENTRY'!$U206)</f>
        <v/>
      </c>
      <c r="B206" s="55" t="str">
        <f>IF('QUICK ENTRY'!$B206="","",'QUICK ENTRY'!$B206)</f>
        <v/>
      </c>
      <c r="C206" s="44" t="str">
        <f>IF('QUICK ENTRY'!$B206="","",'QUICK ENTRY'!$C206)</f>
        <v/>
      </c>
      <c r="D206" s="44" t="str">
        <f>IF('QUICK ENTRY'!$B206="","",'QUICK ENTRY'!$I206)</f>
        <v/>
      </c>
      <c r="E206" s="44" t="str">
        <f>IF('QUICK ENTRY'!$B206="","",'QUICK ENTRY'!$D206)</f>
        <v/>
      </c>
      <c r="F206" s="44" t="str">
        <f>IF('QUICK ENTRY'!$B206="","",'QUICK ENTRY'!$K206)</f>
        <v/>
      </c>
      <c r="G206" s="58" t="str">
        <f>IF('QUICK ENTRY'!$B206="","",'QUICK ENTRY'!$E206)</f>
        <v/>
      </c>
      <c r="H206" s="44" t="str">
        <f>IF('QUICK ENTRY'!$B206="","",'QUICK ENTRY'!$F206)</f>
        <v/>
      </c>
      <c r="I206" s="44" t="str">
        <f>IF('QUICK ENTRY'!$B206="","",'QUICK ENTRY'!$L206)</f>
        <v/>
      </c>
      <c r="J206" s="44" t="str">
        <f>IF('QUICK ENTRY'!$B206="","",'QUICK ENTRY'!$M206)</f>
        <v/>
      </c>
      <c r="K206" s="44" t="str">
        <f>IF('QUICK ENTRY'!$B206="","",'QUICK ENTRY'!$V206)</f>
        <v/>
      </c>
      <c r="L206" s="44" t="str">
        <f>IF('QUICK ENTRY'!$B206="","",'QUICK ENTRY'!$R206)</f>
        <v/>
      </c>
      <c r="M206" s="44" t="str">
        <f>IF('QUICK ENTRY'!$B206="","",'QUICK ENTRY'!$O206)</f>
        <v/>
      </c>
      <c r="N206" s="44" t="str">
        <f>IF('QUICK ENTRY'!$B206="","",'QUICK ENTRY'!$AA206)</f>
        <v/>
      </c>
      <c r="O206" s="44" t="str">
        <f>IF('QUICK ENTRY'!$B206="","",'QUICK ENTRY'!$AG206)</f>
        <v/>
      </c>
      <c r="P206" s="44" t="str">
        <f>IF('QUICK ENTRY'!$B206="","",'QUICK ENTRY'!$AF206)</f>
        <v/>
      </c>
    </row>
    <row r="207" spans="1:16" ht="14.4">
      <c r="A207" s="44" t="str">
        <f>IF('QUICK ENTRY'!$B207="","",'QUICK ENTRY'!$U207)</f>
        <v/>
      </c>
      <c r="B207" s="55" t="str">
        <f>IF('QUICK ENTRY'!$B207="","",'QUICK ENTRY'!$B207)</f>
        <v/>
      </c>
      <c r="C207" s="44" t="str">
        <f>IF('QUICK ENTRY'!$B207="","",'QUICK ENTRY'!$C207)</f>
        <v/>
      </c>
      <c r="D207" s="44" t="str">
        <f>IF('QUICK ENTRY'!$B207="","",'QUICK ENTRY'!$I207)</f>
        <v/>
      </c>
      <c r="E207" s="44" t="str">
        <f>IF('QUICK ENTRY'!$B207="","",'QUICK ENTRY'!$D207)</f>
        <v/>
      </c>
      <c r="F207" s="44" t="str">
        <f>IF('QUICK ENTRY'!$B207="","",'QUICK ENTRY'!$K207)</f>
        <v/>
      </c>
      <c r="G207" s="58" t="str">
        <f>IF('QUICK ENTRY'!$B207="","",'QUICK ENTRY'!$E207)</f>
        <v/>
      </c>
      <c r="H207" s="44" t="str">
        <f>IF('QUICK ENTRY'!$B207="","",'QUICK ENTRY'!$F207)</f>
        <v/>
      </c>
      <c r="I207" s="44" t="str">
        <f>IF('QUICK ENTRY'!$B207="","",'QUICK ENTRY'!$L207)</f>
        <v/>
      </c>
      <c r="J207" s="44" t="str">
        <f>IF('QUICK ENTRY'!$B207="","",'QUICK ENTRY'!$M207)</f>
        <v/>
      </c>
      <c r="K207" s="44" t="str">
        <f>IF('QUICK ENTRY'!$B207="","",'QUICK ENTRY'!$V207)</f>
        <v/>
      </c>
      <c r="L207" s="44" t="str">
        <f>IF('QUICK ENTRY'!$B207="","",'QUICK ENTRY'!$R207)</f>
        <v/>
      </c>
      <c r="M207" s="44" t="str">
        <f>IF('QUICK ENTRY'!$B207="","",'QUICK ENTRY'!$O207)</f>
        <v/>
      </c>
      <c r="N207" s="44" t="str">
        <f>IF('QUICK ENTRY'!$B207="","",'QUICK ENTRY'!$AA207)</f>
        <v/>
      </c>
      <c r="O207" s="44" t="str">
        <f>IF('QUICK ENTRY'!$B207="","",'QUICK ENTRY'!$AG207)</f>
        <v/>
      </c>
      <c r="P207" s="44" t="str">
        <f>IF('QUICK ENTRY'!$B207="","",'QUICK ENTRY'!$AF207)</f>
        <v/>
      </c>
    </row>
    <row r="208" spans="1:16" ht="14.4">
      <c r="A208" s="44" t="str">
        <f>IF('QUICK ENTRY'!$B208="","",'QUICK ENTRY'!$U208)</f>
        <v/>
      </c>
      <c r="B208" s="55" t="str">
        <f>IF('QUICK ENTRY'!$B208="","",'QUICK ENTRY'!$B208)</f>
        <v/>
      </c>
      <c r="C208" s="44" t="str">
        <f>IF('QUICK ENTRY'!$B208="","",'QUICK ENTRY'!$C208)</f>
        <v/>
      </c>
      <c r="D208" s="44" t="str">
        <f>IF('QUICK ENTRY'!$B208="","",'QUICK ENTRY'!$I208)</f>
        <v/>
      </c>
      <c r="E208" s="44" t="str">
        <f>IF('QUICK ENTRY'!$B208="","",'QUICK ENTRY'!$D208)</f>
        <v/>
      </c>
      <c r="F208" s="44" t="str">
        <f>IF('QUICK ENTRY'!$B208="","",'QUICK ENTRY'!$K208)</f>
        <v/>
      </c>
      <c r="G208" s="58" t="str">
        <f>IF('QUICK ENTRY'!$B208="","",'QUICK ENTRY'!$E208)</f>
        <v/>
      </c>
      <c r="H208" s="44" t="str">
        <f>IF('QUICK ENTRY'!$B208="","",'QUICK ENTRY'!$F208)</f>
        <v/>
      </c>
      <c r="I208" s="44" t="str">
        <f>IF('QUICK ENTRY'!$B208="","",'QUICK ENTRY'!$L208)</f>
        <v/>
      </c>
      <c r="J208" s="44" t="str">
        <f>IF('QUICK ENTRY'!$B208="","",'QUICK ENTRY'!$M208)</f>
        <v/>
      </c>
      <c r="K208" s="44" t="str">
        <f>IF('QUICK ENTRY'!$B208="","",'QUICK ENTRY'!$V208)</f>
        <v/>
      </c>
      <c r="L208" s="44" t="str">
        <f>IF('QUICK ENTRY'!$B208="","",'QUICK ENTRY'!$R208)</f>
        <v/>
      </c>
      <c r="M208" s="44" t="str">
        <f>IF('QUICK ENTRY'!$B208="","",'QUICK ENTRY'!$O208)</f>
        <v/>
      </c>
      <c r="N208" s="44" t="str">
        <f>IF('QUICK ENTRY'!$B208="","",'QUICK ENTRY'!$AA208)</f>
        <v/>
      </c>
      <c r="O208" s="44" t="str">
        <f>IF('QUICK ENTRY'!$B208="","",'QUICK ENTRY'!$AG208)</f>
        <v/>
      </c>
      <c r="P208" s="44" t="str">
        <f>IF('QUICK ENTRY'!$B208="","",'QUICK ENTRY'!$AF208)</f>
        <v/>
      </c>
    </row>
    <row r="209" spans="1:16" ht="14.4">
      <c r="A209" s="44" t="str">
        <f>IF('QUICK ENTRY'!$B209="","",'QUICK ENTRY'!$U209)</f>
        <v/>
      </c>
      <c r="B209" s="55" t="str">
        <f>IF('QUICK ENTRY'!$B209="","",'QUICK ENTRY'!$B209)</f>
        <v/>
      </c>
      <c r="C209" s="44" t="str">
        <f>IF('QUICK ENTRY'!$B209="","",'QUICK ENTRY'!$C209)</f>
        <v/>
      </c>
      <c r="D209" s="44" t="str">
        <f>IF('QUICK ENTRY'!$B209="","",'QUICK ENTRY'!$I209)</f>
        <v/>
      </c>
      <c r="E209" s="44" t="str">
        <f>IF('QUICK ENTRY'!$B209="","",'QUICK ENTRY'!$D209)</f>
        <v/>
      </c>
      <c r="F209" s="44" t="str">
        <f>IF('QUICK ENTRY'!$B209="","",'QUICK ENTRY'!$K209)</f>
        <v/>
      </c>
      <c r="G209" s="58" t="str">
        <f>IF('QUICK ENTRY'!$B209="","",'QUICK ENTRY'!$E209)</f>
        <v/>
      </c>
      <c r="H209" s="44" t="str">
        <f>IF('QUICK ENTRY'!$B209="","",'QUICK ENTRY'!$F209)</f>
        <v/>
      </c>
      <c r="I209" s="44" t="str">
        <f>IF('QUICK ENTRY'!$B209="","",'QUICK ENTRY'!$L209)</f>
        <v/>
      </c>
      <c r="J209" s="44" t="str">
        <f>IF('QUICK ENTRY'!$B209="","",'QUICK ENTRY'!$M209)</f>
        <v/>
      </c>
      <c r="K209" s="44" t="str">
        <f>IF('QUICK ENTRY'!$B209="","",'QUICK ENTRY'!$V209)</f>
        <v/>
      </c>
      <c r="L209" s="44" t="str">
        <f>IF('QUICK ENTRY'!$B209="","",'QUICK ENTRY'!$R209)</f>
        <v/>
      </c>
      <c r="M209" s="44" t="str">
        <f>IF('QUICK ENTRY'!$B209="","",'QUICK ENTRY'!$O209)</f>
        <v/>
      </c>
      <c r="N209" s="44" t="str">
        <f>IF('QUICK ENTRY'!$B209="","",'QUICK ENTRY'!$AA209)</f>
        <v/>
      </c>
      <c r="O209" s="44" t="str">
        <f>IF('QUICK ENTRY'!$B209="","",'QUICK ENTRY'!$AG209)</f>
        <v/>
      </c>
      <c r="P209" s="44" t="str">
        <f>IF('QUICK ENTRY'!$B209="","",'QUICK ENTRY'!$AF209)</f>
        <v/>
      </c>
    </row>
    <row r="210" spans="1:16" ht="14.4">
      <c r="A210" s="44" t="str">
        <f>IF('QUICK ENTRY'!$B210="","",'QUICK ENTRY'!$U210)</f>
        <v/>
      </c>
      <c r="B210" s="55" t="str">
        <f>IF('QUICK ENTRY'!$B210="","",'QUICK ENTRY'!$B210)</f>
        <v/>
      </c>
      <c r="C210" s="44" t="str">
        <f>IF('QUICK ENTRY'!$B210="","",'QUICK ENTRY'!$C210)</f>
        <v/>
      </c>
      <c r="D210" s="44" t="str">
        <f>IF('QUICK ENTRY'!$B210="","",'QUICK ENTRY'!$I210)</f>
        <v/>
      </c>
      <c r="E210" s="44" t="str">
        <f>IF('QUICK ENTRY'!$B210="","",'QUICK ENTRY'!$D210)</f>
        <v/>
      </c>
      <c r="F210" s="44" t="str">
        <f>IF('QUICK ENTRY'!$B210="","",'QUICK ENTRY'!$K210)</f>
        <v/>
      </c>
      <c r="G210" s="58" t="str">
        <f>IF('QUICK ENTRY'!$B210="","",'QUICK ENTRY'!$E210)</f>
        <v/>
      </c>
      <c r="H210" s="44" t="str">
        <f>IF('QUICK ENTRY'!$B210="","",'QUICK ENTRY'!$F210)</f>
        <v/>
      </c>
      <c r="I210" s="44" t="str">
        <f>IF('QUICK ENTRY'!$B210="","",'QUICK ENTRY'!$L210)</f>
        <v/>
      </c>
      <c r="J210" s="44" t="str">
        <f>IF('QUICK ENTRY'!$B210="","",'QUICK ENTRY'!$M210)</f>
        <v/>
      </c>
      <c r="K210" s="44" t="str">
        <f>IF('QUICK ENTRY'!$B210="","",'QUICK ENTRY'!$V210)</f>
        <v/>
      </c>
      <c r="L210" s="44" t="str">
        <f>IF('QUICK ENTRY'!$B210="","",'QUICK ENTRY'!$R210)</f>
        <v/>
      </c>
      <c r="M210" s="44" t="str">
        <f>IF('QUICK ENTRY'!$B210="","",'QUICK ENTRY'!$O210)</f>
        <v/>
      </c>
      <c r="N210" s="44" t="str">
        <f>IF('QUICK ENTRY'!$B210="","",'QUICK ENTRY'!$AA210)</f>
        <v/>
      </c>
      <c r="O210" s="44" t="str">
        <f>IF('QUICK ENTRY'!$B210="","",'QUICK ENTRY'!$AG210)</f>
        <v/>
      </c>
      <c r="P210" s="44" t="str">
        <f>IF('QUICK ENTRY'!$B210="","",'QUICK ENTRY'!$AF210)</f>
        <v/>
      </c>
    </row>
    <row r="211" spans="1:16" ht="14.4">
      <c r="A211" s="44" t="str">
        <f>IF('QUICK ENTRY'!$B211="","",'QUICK ENTRY'!$U211)</f>
        <v/>
      </c>
      <c r="B211" s="55" t="str">
        <f>IF('QUICK ENTRY'!$B211="","",'QUICK ENTRY'!$B211)</f>
        <v/>
      </c>
      <c r="C211" s="44" t="str">
        <f>IF('QUICK ENTRY'!$B211="","",'QUICK ENTRY'!$C211)</f>
        <v/>
      </c>
      <c r="D211" s="44" t="str">
        <f>IF('QUICK ENTRY'!$B211="","",'QUICK ENTRY'!$I211)</f>
        <v/>
      </c>
      <c r="E211" s="44" t="str">
        <f>IF('QUICK ENTRY'!$B211="","",'QUICK ENTRY'!$D211)</f>
        <v/>
      </c>
      <c r="F211" s="44" t="str">
        <f>IF('QUICK ENTRY'!$B211="","",'QUICK ENTRY'!$K211)</f>
        <v/>
      </c>
      <c r="G211" s="58" t="str">
        <f>IF('QUICK ENTRY'!$B211="","",'QUICK ENTRY'!$E211)</f>
        <v/>
      </c>
      <c r="H211" s="44" t="str">
        <f>IF('QUICK ENTRY'!$B211="","",'QUICK ENTRY'!$F211)</f>
        <v/>
      </c>
      <c r="I211" s="44" t="str">
        <f>IF('QUICK ENTRY'!$B211="","",'QUICK ENTRY'!$L211)</f>
        <v/>
      </c>
      <c r="J211" s="44" t="str">
        <f>IF('QUICK ENTRY'!$B211="","",'QUICK ENTRY'!$M211)</f>
        <v/>
      </c>
      <c r="K211" s="44" t="str">
        <f>IF('QUICK ENTRY'!$B211="","",'QUICK ENTRY'!$V211)</f>
        <v/>
      </c>
      <c r="L211" s="44" t="str">
        <f>IF('QUICK ENTRY'!$B211="","",'QUICK ENTRY'!$R211)</f>
        <v/>
      </c>
      <c r="M211" s="44" t="str">
        <f>IF('QUICK ENTRY'!$B211="","",'QUICK ENTRY'!$O211)</f>
        <v/>
      </c>
      <c r="N211" s="44" t="str">
        <f>IF('QUICK ENTRY'!$B211="","",'QUICK ENTRY'!$AA211)</f>
        <v/>
      </c>
      <c r="O211" s="44" t="str">
        <f>IF('QUICK ENTRY'!$B211="","",'QUICK ENTRY'!$AG211)</f>
        <v/>
      </c>
      <c r="P211" s="44" t="str">
        <f>IF('QUICK ENTRY'!$B211="","",'QUICK ENTRY'!$AF211)</f>
        <v/>
      </c>
    </row>
    <row r="212" spans="1:16" ht="14.4">
      <c r="A212" s="44" t="str">
        <f>IF('QUICK ENTRY'!$B212="","",'QUICK ENTRY'!$U212)</f>
        <v/>
      </c>
      <c r="B212" s="55" t="str">
        <f>IF('QUICK ENTRY'!$B212="","",'QUICK ENTRY'!$B212)</f>
        <v/>
      </c>
      <c r="C212" s="44" t="str">
        <f>IF('QUICK ENTRY'!$B212="","",'QUICK ENTRY'!$C212)</f>
        <v/>
      </c>
      <c r="D212" s="44" t="str">
        <f>IF('QUICK ENTRY'!$B212="","",'QUICK ENTRY'!$I212)</f>
        <v/>
      </c>
      <c r="E212" s="44" t="str">
        <f>IF('QUICK ENTRY'!$B212="","",'QUICK ENTRY'!$D212)</f>
        <v/>
      </c>
      <c r="F212" s="44" t="str">
        <f>IF('QUICK ENTRY'!$B212="","",'QUICK ENTRY'!$K212)</f>
        <v/>
      </c>
      <c r="G212" s="58" t="str">
        <f>IF('QUICK ENTRY'!$B212="","",'QUICK ENTRY'!$E212)</f>
        <v/>
      </c>
      <c r="H212" s="44" t="str">
        <f>IF('QUICK ENTRY'!$B212="","",'QUICK ENTRY'!$F212)</f>
        <v/>
      </c>
      <c r="I212" s="44" t="str">
        <f>IF('QUICK ENTRY'!$B212="","",'QUICK ENTRY'!$L212)</f>
        <v/>
      </c>
      <c r="J212" s="44" t="str">
        <f>IF('QUICK ENTRY'!$B212="","",'QUICK ENTRY'!$M212)</f>
        <v/>
      </c>
      <c r="K212" s="44" t="str">
        <f>IF('QUICK ENTRY'!$B212="","",'QUICK ENTRY'!$V212)</f>
        <v/>
      </c>
      <c r="L212" s="44" t="str">
        <f>IF('QUICK ENTRY'!$B212="","",'QUICK ENTRY'!$R212)</f>
        <v/>
      </c>
      <c r="M212" s="44" t="str">
        <f>IF('QUICK ENTRY'!$B212="","",'QUICK ENTRY'!$O212)</f>
        <v/>
      </c>
      <c r="N212" s="44" t="str">
        <f>IF('QUICK ENTRY'!$B212="","",'QUICK ENTRY'!$AA212)</f>
        <v/>
      </c>
      <c r="O212" s="44" t="str">
        <f>IF('QUICK ENTRY'!$B212="","",'QUICK ENTRY'!$AG212)</f>
        <v/>
      </c>
      <c r="P212" s="44" t="str">
        <f>IF('QUICK ENTRY'!$B212="","",'QUICK ENTRY'!$AF212)</f>
        <v/>
      </c>
    </row>
    <row r="213" spans="1:16" ht="14.4">
      <c r="A213" s="44" t="str">
        <f>IF('QUICK ENTRY'!$B213="","",'QUICK ENTRY'!$U213)</f>
        <v/>
      </c>
      <c r="B213" s="55" t="str">
        <f>IF('QUICK ENTRY'!$B213="","",'QUICK ENTRY'!$B213)</f>
        <v/>
      </c>
      <c r="C213" s="44" t="str">
        <f>IF('QUICK ENTRY'!$B213="","",'QUICK ENTRY'!$C213)</f>
        <v/>
      </c>
      <c r="D213" s="44" t="str">
        <f>IF('QUICK ENTRY'!$B213="","",'QUICK ENTRY'!$I213)</f>
        <v/>
      </c>
      <c r="E213" s="44" t="str">
        <f>IF('QUICK ENTRY'!$B213="","",'QUICK ENTRY'!$D213)</f>
        <v/>
      </c>
      <c r="F213" s="44" t="str">
        <f>IF('QUICK ENTRY'!$B213="","",'QUICK ENTRY'!$K213)</f>
        <v/>
      </c>
      <c r="G213" s="58" t="str">
        <f>IF('QUICK ENTRY'!$B213="","",'QUICK ENTRY'!$E213)</f>
        <v/>
      </c>
      <c r="H213" s="44" t="str">
        <f>IF('QUICK ENTRY'!$B213="","",'QUICK ENTRY'!$F213)</f>
        <v/>
      </c>
      <c r="I213" s="44" t="str">
        <f>IF('QUICK ENTRY'!$B213="","",'QUICK ENTRY'!$L213)</f>
        <v/>
      </c>
      <c r="J213" s="44" t="str">
        <f>IF('QUICK ENTRY'!$B213="","",'QUICK ENTRY'!$M213)</f>
        <v/>
      </c>
      <c r="K213" s="44" t="str">
        <f>IF('QUICK ENTRY'!$B213="","",'QUICK ENTRY'!$V213)</f>
        <v/>
      </c>
      <c r="L213" s="44" t="str">
        <f>IF('QUICK ENTRY'!$B213="","",'QUICK ENTRY'!$R213)</f>
        <v/>
      </c>
      <c r="M213" s="44" t="str">
        <f>IF('QUICK ENTRY'!$B213="","",'QUICK ENTRY'!$O213)</f>
        <v/>
      </c>
      <c r="N213" s="44" t="str">
        <f>IF('QUICK ENTRY'!$B213="","",'QUICK ENTRY'!$AA213)</f>
        <v/>
      </c>
      <c r="O213" s="44" t="str">
        <f>IF('QUICK ENTRY'!$B213="","",'QUICK ENTRY'!$AG213)</f>
        <v/>
      </c>
      <c r="P213" s="44" t="str">
        <f>IF('QUICK ENTRY'!$B213="","",'QUICK ENTRY'!$AF213)</f>
        <v/>
      </c>
    </row>
    <row r="214" spans="1:16" ht="14.4">
      <c r="A214" s="44" t="str">
        <f>IF('QUICK ENTRY'!$B214="","",'QUICK ENTRY'!$U214)</f>
        <v/>
      </c>
      <c r="B214" s="55" t="str">
        <f>IF('QUICK ENTRY'!$B214="","",'QUICK ENTRY'!$B214)</f>
        <v/>
      </c>
      <c r="C214" s="44" t="str">
        <f>IF('QUICK ENTRY'!$B214="","",'QUICK ENTRY'!$C214)</f>
        <v/>
      </c>
      <c r="D214" s="44" t="str">
        <f>IF('QUICK ENTRY'!$B214="","",'QUICK ENTRY'!$I214)</f>
        <v/>
      </c>
      <c r="E214" s="44" t="str">
        <f>IF('QUICK ENTRY'!$B214="","",'QUICK ENTRY'!$D214)</f>
        <v/>
      </c>
      <c r="F214" s="44" t="str">
        <f>IF('QUICK ENTRY'!$B214="","",'QUICK ENTRY'!$K214)</f>
        <v/>
      </c>
      <c r="G214" s="58" t="str">
        <f>IF('QUICK ENTRY'!$B214="","",'QUICK ENTRY'!$E214)</f>
        <v/>
      </c>
      <c r="H214" s="44" t="str">
        <f>IF('QUICK ENTRY'!$B214="","",'QUICK ENTRY'!$F214)</f>
        <v/>
      </c>
      <c r="I214" s="44" t="str">
        <f>IF('QUICK ENTRY'!$B214="","",'QUICK ENTRY'!$L214)</f>
        <v/>
      </c>
      <c r="J214" s="44" t="str">
        <f>IF('QUICK ENTRY'!$B214="","",'QUICK ENTRY'!$M214)</f>
        <v/>
      </c>
      <c r="K214" s="44" t="str">
        <f>IF('QUICK ENTRY'!$B214="","",'QUICK ENTRY'!$V214)</f>
        <v/>
      </c>
      <c r="L214" s="44" t="str">
        <f>IF('QUICK ENTRY'!$B214="","",'QUICK ENTRY'!$R214)</f>
        <v/>
      </c>
      <c r="M214" s="44" t="str">
        <f>IF('QUICK ENTRY'!$B214="","",'QUICK ENTRY'!$O214)</f>
        <v/>
      </c>
      <c r="N214" s="44" t="str">
        <f>IF('QUICK ENTRY'!$B214="","",'QUICK ENTRY'!$AA214)</f>
        <v/>
      </c>
      <c r="O214" s="44" t="str">
        <f>IF('QUICK ENTRY'!$B214="","",'QUICK ENTRY'!$AG214)</f>
        <v/>
      </c>
      <c r="P214" s="44" t="str">
        <f>IF('QUICK ENTRY'!$B214="","",'QUICK ENTRY'!$AF214)</f>
        <v/>
      </c>
    </row>
    <row r="215" spans="1:16" ht="14.4">
      <c r="A215" s="44" t="str">
        <f>IF('QUICK ENTRY'!$B215="","",'QUICK ENTRY'!$U215)</f>
        <v/>
      </c>
      <c r="B215" s="55" t="str">
        <f>IF('QUICK ENTRY'!$B215="","",'QUICK ENTRY'!$B215)</f>
        <v/>
      </c>
      <c r="C215" s="44" t="str">
        <f>IF('QUICK ENTRY'!$B215="","",'QUICK ENTRY'!$C215)</f>
        <v/>
      </c>
      <c r="D215" s="44" t="str">
        <f>IF('QUICK ENTRY'!$B215="","",'QUICK ENTRY'!$I215)</f>
        <v/>
      </c>
      <c r="E215" s="44" t="str">
        <f>IF('QUICK ENTRY'!$B215="","",'QUICK ENTRY'!$D215)</f>
        <v/>
      </c>
      <c r="F215" s="44" t="str">
        <f>IF('QUICK ENTRY'!$B215="","",'QUICK ENTRY'!$K215)</f>
        <v/>
      </c>
      <c r="G215" s="58" t="str">
        <f>IF('QUICK ENTRY'!$B215="","",'QUICK ENTRY'!$E215)</f>
        <v/>
      </c>
      <c r="H215" s="44" t="str">
        <f>IF('QUICK ENTRY'!$B215="","",'QUICK ENTRY'!$F215)</f>
        <v/>
      </c>
      <c r="I215" s="44" t="str">
        <f>IF('QUICK ENTRY'!$B215="","",'QUICK ENTRY'!$L215)</f>
        <v/>
      </c>
      <c r="J215" s="44" t="str">
        <f>IF('QUICK ENTRY'!$B215="","",'QUICK ENTRY'!$M215)</f>
        <v/>
      </c>
      <c r="K215" s="44" t="str">
        <f>IF('QUICK ENTRY'!$B215="","",'QUICK ENTRY'!$V215)</f>
        <v/>
      </c>
      <c r="L215" s="44" t="str">
        <f>IF('QUICK ENTRY'!$B215="","",'QUICK ENTRY'!$R215)</f>
        <v/>
      </c>
      <c r="M215" s="44" t="str">
        <f>IF('QUICK ENTRY'!$B215="","",'QUICK ENTRY'!$O215)</f>
        <v/>
      </c>
      <c r="N215" s="44" t="str">
        <f>IF('QUICK ENTRY'!$B215="","",'QUICK ENTRY'!$AA215)</f>
        <v/>
      </c>
      <c r="O215" s="44" t="str">
        <f>IF('QUICK ENTRY'!$B215="","",'QUICK ENTRY'!$AG215)</f>
        <v/>
      </c>
      <c r="P215" s="44" t="str">
        <f>IF('QUICK ENTRY'!$B215="","",'QUICK ENTRY'!$AF215)</f>
        <v/>
      </c>
    </row>
    <row r="216" spans="1:16" ht="14.4">
      <c r="A216" s="44" t="str">
        <f>IF('QUICK ENTRY'!$B216="","",'QUICK ENTRY'!$U216)</f>
        <v/>
      </c>
      <c r="B216" s="55" t="str">
        <f>IF('QUICK ENTRY'!$B216="","",'QUICK ENTRY'!$B216)</f>
        <v/>
      </c>
      <c r="C216" s="44" t="str">
        <f>IF('QUICK ENTRY'!$B216="","",'QUICK ENTRY'!$C216)</f>
        <v/>
      </c>
      <c r="D216" s="44" t="str">
        <f>IF('QUICK ENTRY'!$B216="","",'QUICK ENTRY'!$I216)</f>
        <v/>
      </c>
      <c r="E216" s="44" t="str">
        <f>IF('QUICK ENTRY'!$B216="","",'QUICK ENTRY'!$D216)</f>
        <v/>
      </c>
      <c r="F216" s="44" t="str">
        <f>IF('QUICK ENTRY'!$B216="","",'QUICK ENTRY'!$K216)</f>
        <v/>
      </c>
      <c r="G216" s="58" t="str">
        <f>IF('QUICK ENTRY'!$B216="","",'QUICK ENTRY'!$E216)</f>
        <v/>
      </c>
      <c r="H216" s="44" t="str">
        <f>IF('QUICK ENTRY'!$B216="","",'QUICK ENTRY'!$F216)</f>
        <v/>
      </c>
      <c r="I216" s="44" t="str">
        <f>IF('QUICK ENTRY'!$B216="","",'QUICK ENTRY'!$L216)</f>
        <v/>
      </c>
      <c r="J216" s="44" t="str">
        <f>IF('QUICK ENTRY'!$B216="","",'QUICK ENTRY'!$M216)</f>
        <v/>
      </c>
      <c r="K216" s="44" t="str">
        <f>IF('QUICK ENTRY'!$B216="","",'QUICK ENTRY'!$V216)</f>
        <v/>
      </c>
      <c r="L216" s="44" t="str">
        <f>IF('QUICK ENTRY'!$B216="","",'QUICK ENTRY'!$R216)</f>
        <v/>
      </c>
      <c r="M216" s="44" t="str">
        <f>IF('QUICK ENTRY'!$B216="","",'QUICK ENTRY'!$O216)</f>
        <v/>
      </c>
      <c r="N216" s="44" t="str">
        <f>IF('QUICK ENTRY'!$B216="","",'QUICK ENTRY'!$AA216)</f>
        <v/>
      </c>
      <c r="O216" s="44" t="str">
        <f>IF('QUICK ENTRY'!$B216="","",'QUICK ENTRY'!$AG216)</f>
        <v/>
      </c>
      <c r="P216" s="44" t="str">
        <f>IF('QUICK ENTRY'!$B216="","",'QUICK ENTRY'!$AF216)</f>
        <v/>
      </c>
    </row>
    <row r="217" spans="1:16" ht="14.4">
      <c r="A217" s="44" t="str">
        <f>IF('QUICK ENTRY'!$B217="","",'QUICK ENTRY'!$U217)</f>
        <v/>
      </c>
      <c r="B217" s="55" t="str">
        <f>IF('QUICK ENTRY'!$B217="","",'QUICK ENTRY'!$B217)</f>
        <v/>
      </c>
      <c r="C217" s="44" t="str">
        <f>IF('QUICK ENTRY'!$B217="","",'QUICK ENTRY'!$C217)</f>
        <v/>
      </c>
      <c r="D217" s="44" t="str">
        <f>IF('QUICK ENTRY'!$B217="","",'QUICK ENTRY'!$I217)</f>
        <v/>
      </c>
      <c r="E217" s="44" t="str">
        <f>IF('QUICK ENTRY'!$B217="","",'QUICK ENTRY'!$D217)</f>
        <v/>
      </c>
      <c r="F217" s="44" t="str">
        <f>IF('QUICK ENTRY'!$B217="","",'QUICK ENTRY'!$K217)</f>
        <v/>
      </c>
      <c r="G217" s="58" t="str">
        <f>IF('QUICK ENTRY'!$B217="","",'QUICK ENTRY'!$E217)</f>
        <v/>
      </c>
      <c r="H217" s="44" t="str">
        <f>IF('QUICK ENTRY'!$B217="","",'QUICK ENTRY'!$F217)</f>
        <v/>
      </c>
      <c r="I217" s="44" t="str">
        <f>IF('QUICK ENTRY'!$B217="","",'QUICK ENTRY'!$L217)</f>
        <v/>
      </c>
      <c r="J217" s="44" t="str">
        <f>IF('QUICK ENTRY'!$B217="","",'QUICK ENTRY'!$M217)</f>
        <v/>
      </c>
      <c r="K217" s="44" t="str">
        <f>IF('QUICK ENTRY'!$B217="","",'QUICK ENTRY'!$V217)</f>
        <v/>
      </c>
      <c r="L217" s="44" t="str">
        <f>IF('QUICK ENTRY'!$B217="","",'QUICK ENTRY'!$R217)</f>
        <v/>
      </c>
      <c r="M217" s="44" t="str">
        <f>IF('QUICK ENTRY'!$B217="","",'QUICK ENTRY'!$O217)</f>
        <v/>
      </c>
      <c r="N217" s="44" t="str">
        <f>IF('QUICK ENTRY'!$B217="","",'QUICK ENTRY'!$AA217)</f>
        <v/>
      </c>
      <c r="O217" s="44" t="str">
        <f>IF('QUICK ENTRY'!$B217="","",'QUICK ENTRY'!$AG217)</f>
        <v/>
      </c>
      <c r="P217" s="44" t="str">
        <f>IF('QUICK ENTRY'!$B217="","",'QUICK ENTRY'!$AF217)</f>
        <v/>
      </c>
    </row>
    <row r="218" spans="1:16" ht="14.4">
      <c r="A218" s="44" t="str">
        <f>IF('QUICK ENTRY'!$B218="","",'QUICK ENTRY'!$U218)</f>
        <v/>
      </c>
      <c r="B218" s="55" t="str">
        <f>IF('QUICK ENTRY'!$B218="","",'QUICK ENTRY'!$B218)</f>
        <v/>
      </c>
      <c r="C218" s="44" t="str">
        <f>IF('QUICK ENTRY'!$B218="","",'QUICK ENTRY'!$C218)</f>
        <v/>
      </c>
      <c r="D218" s="44" t="str">
        <f>IF('QUICK ENTRY'!$B218="","",'QUICK ENTRY'!$I218)</f>
        <v/>
      </c>
      <c r="E218" s="44" t="str">
        <f>IF('QUICK ENTRY'!$B218="","",'QUICK ENTRY'!$D218)</f>
        <v/>
      </c>
      <c r="F218" s="44" t="str">
        <f>IF('QUICK ENTRY'!$B218="","",'QUICK ENTRY'!$K218)</f>
        <v/>
      </c>
      <c r="G218" s="58" t="str">
        <f>IF('QUICK ENTRY'!$B218="","",'QUICK ENTRY'!$E218)</f>
        <v/>
      </c>
      <c r="H218" s="44" t="str">
        <f>IF('QUICK ENTRY'!$B218="","",'QUICK ENTRY'!$F218)</f>
        <v/>
      </c>
      <c r="I218" s="44" t="str">
        <f>IF('QUICK ENTRY'!$B218="","",'QUICK ENTRY'!$L218)</f>
        <v/>
      </c>
      <c r="J218" s="44" t="str">
        <f>IF('QUICK ENTRY'!$B218="","",'QUICK ENTRY'!$M218)</f>
        <v/>
      </c>
      <c r="K218" s="44" t="str">
        <f>IF('QUICK ENTRY'!$B218="","",'QUICK ENTRY'!$V218)</f>
        <v/>
      </c>
      <c r="L218" s="44" t="str">
        <f>IF('QUICK ENTRY'!$B218="","",'QUICK ENTRY'!$R218)</f>
        <v/>
      </c>
      <c r="M218" s="44" t="str">
        <f>IF('QUICK ENTRY'!$B218="","",'QUICK ENTRY'!$O218)</f>
        <v/>
      </c>
      <c r="N218" s="44" t="str">
        <f>IF('QUICK ENTRY'!$B218="","",'QUICK ENTRY'!$AA218)</f>
        <v/>
      </c>
      <c r="O218" s="44" t="str">
        <f>IF('QUICK ENTRY'!$B218="","",'QUICK ENTRY'!$AG218)</f>
        <v/>
      </c>
      <c r="P218" s="44" t="str">
        <f>IF('QUICK ENTRY'!$B218="","",'QUICK ENTRY'!$AF218)</f>
        <v/>
      </c>
    </row>
    <row r="219" spans="1:16" ht="14.4">
      <c r="A219" s="44" t="str">
        <f>IF('QUICK ENTRY'!$B219="","",'QUICK ENTRY'!$U219)</f>
        <v/>
      </c>
      <c r="B219" s="55" t="str">
        <f>IF('QUICK ENTRY'!$B219="","",'QUICK ENTRY'!$B219)</f>
        <v/>
      </c>
      <c r="C219" s="44" t="str">
        <f>IF('QUICK ENTRY'!$B219="","",'QUICK ENTRY'!$C219)</f>
        <v/>
      </c>
      <c r="D219" s="44" t="str">
        <f>IF('QUICK ENTRY'!$B219="","",'QUICK ENTRY'!$I219)</f>
        <v/>
      </c>
      <c r="E219" s="44" t="str">
        <f>IF('QUICK ENTRY'!$B219="","",'QUICK ENTRY'!$D219)</f>
        <v/>
      </c>
      <c r="F219" s="44" t="str">
        <f>IF('QUICK ENTRY'!$B219="","",'QUICK ENTRY'!$K219)</f>
        <v/>
      </c>
      <c r="G219" s="58" t="str">
        <f>IF('QUICK ENTRY'!$B219="","",'QUICK ENTRY'!$E219)</f>
        <v/>
      </c>
      <c r="H219" s="44" t="str">
        <f>IF('QUICK ENTRY'!$B219="","",'QUICK ENTRY'!$F219)</f>
        <v/>
      </c>
      <c r="I219" s="44" t="str">
        <f>IF('QUICK ENTRY'!$B219="","",'QUICK ENTRY'!$L219)</f>
        <v/>
      </c>
      <c r="J219" s="44" t="str">
        <f>IF('QUICK ENTRY'!$B219="","",'QUICK ENTRY'!$M219)</f>
        <v/>
      </c>
      <c r="K219" s="44" t="str">
        <f>IF('QUICK ENTRY'!$B219="","",'QUICK ENTRY'!$V219)</f>
        <v/>
      </c>
      <c r="L219" s="44" t="str">
        <f>IF('QUICK ENTRY'!$B219="","",'QUICK ENTRY'!$R219)</f>
        <v/>
      </c>
      <c r="M219" s="44" t="str">
        <f>IF('QUICK ENTRY'!$B219="","",'QUICK ENTRY'!$O219)</f>
        <v/>
      </c>
      <c r="N219" s="44" t="str">
        <f>IF('QUICK ENTRY'!$B219="","",'QUICK ENTRY'!$AA219)</f>
        <v/>
      </c>
      <c r="O219" s="44" t="str">
        <f>IF('QUICK ENTRY'!$B219="","",'QUICK ENTRY'!$AG219)</f>
        <v/>
      </c>
      <c r="P219" s="44" t="str">
        <f>IF('QUICK ENTRY'!$B219="","",'QUICK ENTRY'!$AF219)</f>
        <v/>
      </c>
    </row>
    <row r="220" spans="1:16" ht="14.4">
      <c r="A220" s="44" t="str">
        <f>IF('QUICK ENTRY'!$B220="","",'QUICK ENTRY'!$U220)</f>
        <v/>
      </c>
      <c r="B220" s="55" t="str">
        <f>IF('QUICK ENTRY'!$B220="","",'QUICK ENTRY'!$B220)</f>
        <v/>
      </c>
      <c r="C220" s="44" t="str">
        <f>IF('QUICK ENTRY'!$B220="","",'QUICK ENTRY'!$C220)</f>
        <v/>
      </c>
      <c r="D220" s="44" t="str">
        <f>IF('QUICK ENTRY'!$B220="","",'QUICK ENTRY'!$I220)</f>
        <v/>
      </c>
      <c r="E220" s="44" t="str">
        <f>IF('QUICK ENTRY'!$B220="","",'QUICK ENTRY'!$D220)</f>
        <v/>
      </c>
      <c r="F220" s="44" t="str">
        <f>IF('QUICK ENTRY'!$B220="","",'QUICK ENTRY'!$K220)</f>
        <v/>
      </c>
      <c r="G220" s="58" t="str">
        <f>IF('QUICK ENTRY'!$B220="","",'QUICK ENTRY'!$E220)</f>
        <v/>
      </c>
      <c r="H220" s="44" t="str">
        <f>IF('QUICK ENTRY'!$B220="","",'QUICK ENTRY'!$F220)</f>
        <v/>
      </c>
      <c r="I220" s="44" t="str">
        <f>IF('QUICK ENTRY'!$B220="","",'QUICK ENTRY'!$L220)</f>
        <v/>
      </c>
      <c r="J220" s="44" t="str">
        <f>IF('QUICK ENTRY'!$B220="","",'QUICK ENTRY'!$M220)</f>
        <v/>
      </c>
      <c r="K220" s="44" t="str">
        <f>IF('QUICK ENTRY'!$B220="","",'QUICK ENTRY'!$V220)</f>
        <v/>
      </c>
      <c r="L220" s="44" t="str">
        <f>IF('QUICK ENTRY'!$B220="","",'QUICK ENTRY'!$R220)</f>
        <v/>
      </c>
      <c r="M220" s="44" t="str">
        <f>IF('QUICK ENTRY'!$B220="","",'QUICK ENTRY'!$O220)</f>
        <v/>
      </c>
      <c r="N220" s="44" t="str">
        <f>IF('QUICK ENTRY'!$B220="","",'QUICK ENTRY'!$AA220)</f>
        <v/>
      </c>
      <c r="O220" s="44" t="str">
        <f>IF('QUICK ENTRY'!$B220="","",'QUICK ENTRY'!$AG220)</f>
        <v/>
      </c>
      <c r="P220" s="44" t="str">
        <f>IF('QUICK ENTRY'!$B220="","",'QUICK ENTRY'!$AF220)</f>
        <v/>
      </c>
    </row>
    <row r="221" spans="1:16" ht="14.4">
      <c r="A221" s="44" t="str">
        <f>IF('QUICK ENTRY'!$B221="","",'QUICK ENTRY'!$U221)</f>
        <v/>
      </c>
      <c r="B221" s="55" t="str">
        <f>IF('QUICK ENTRY'!$B221="","",'QUICK ENTRY'!$B221)</f>
        <v/>
      </c>
      <c r="C221" s="44" t="str">
        <f>IF('QUICK ENTRY'!$B221="","",'QUICK ENTRY'!$C221)</f>
        <v/>
      </c>
      <c r="D221" s="44" t="str">
        <f>IF('QUICK ENTRY'!$B221="","",'QUICK ENTRY'!$I221)</f>
        <v/>
      </c>
      <c r="E221" s="44" t="str">
        <f>IF('QUICK ENTRY'!$B221="","",'QUICK ENTRY'!$D221)</f>
        <v/>
      </c>
      <c r="F221" s="44" t="str">
        <f>IF('QUICK ENTRY'!$B221="","",'QUICK ENTRY'!$K221)</f>
        <v/>
      </c>
      <c r="G221" s="58" t="str">
        <f>IF('QUICK ENTRY'!$B221="","",'QUICK ENTRY'!$E221)</f>
        <v/>
      </c>
      <c r="H221" s="44" t="str">
        <f>IF('QUICK ENTRY'!$B221="","",'QUICK ENTRY'!$F221)</f>
        <v/>
      </c>
      <c r="I221" s="44" t="str">
        <f>IF('QUICK ENTRY'!$B221="","",'QUICK ENTRY'!$L221)</f>
        <v/>
      </c>
      <c r="J221" s="44" t="str">
        <f>IF('QUICK ENTRY'!$B221="","",'QUICK ENTRY'!$M221)</f>
        <v/>
      </c>
      <c r="K221" s="44" t="str">
        <f>IF('QUICK ENTRY'!$B221="","",'QUICK ENTRY'!$V221)</f>
        <v/>
      </c>
      <c r="L221" s="44" t="str">
        <f>IF('QUICK ENTRY'!$B221="","",'QUICK ENTRY'!$R221)</f>
        <v/>
      </c>
      <c r="M221" s="44" t="str">
        <f>IF('QUICK ENTRY'!$B221="","",'QUICK ENTRY'!$O221)</f>
        <v/>
      </c>
      <c r="N221" s="44" t="str">
        <f>IF('QUICK ENTRY'!$B221="","",'QUICK ENTRY'!$AA221)</f>
        <v/>
      </c>
      <c r="O221" s="44" t="str">
        <f>IF('QUICK ENTRY'!$B221="","",'QUICK ENTRY'!$AG221)</f>
        <v/>
      </c>
      <c r="P221" s="44" t="str">
        <f>IF('QUICK ENTRY'!$B221="","",'QUICK ENTRY'!$AF221)</f>
        <v/>
      </c>
    </row>
    <row r="222" spans="1:16" ht="14.4">
      <c r="A222" s="44" t="str">
        <f>IF('QUICK ENTRY'!$B222="","",'QUICK ENTRY'!$U222)</f>
        <v/>
      </c>
      <c r="B222" s="55" t="str">
        <f>IF('QUICK ENTRY'!$B222="","",'QUICK ENTRY'!$B222)</f>
        <v/>
      </c>
      <c r="C222" s="44" t="str">
        <f>IF('QUICK ENTRY'!$B222="","",'QUICK ENTRY'!$C222)</f>
        <v/>
      </c>
      <c r="D222" s="44" t="str">
        <f>IF('QUICK ENTRY'!$B222="","",'QUICK ENTRY'!$I222)</f>
        <v/>
      </c>
      <c r="E222" s="44" t="str">
        <f>IF('QUICK ENTRY'!$B222="","",'QUICK ENTRY'!$D222)</f>
        <v/>
      </c>
      <c r="F222" s="44" t="str">
        <f>IF('QUICK ENTRY'!$B222="","",'QUICK ENTRY'!$K222)</f>
        <v/>
      </c>
      <c r="G222" s="58" t="str">
        <f>IF('QUICK ENTRY'!$B222="","",'QUICK ENTRY'!$E222)</f>
        <v/>
      </c>
      <c r="H222" s="44" t="str">
        <f>IF('QUICK ENTRY'!$B222="","",'QUICK ENTRY'!$F222)</f>
        <v/>
      </c>
      <c r="I222" s="44" t="str">
        <f>IF('QUICK ENTRY'!$B222="","",'QUICK ENTRY'!$L222)</f>
        <v/>
      </c>
      <c r="J222" s="44" t="str">
        <f>IF('QUICK ENTRY'!$B222="","",'QUICK ENTRY'!$M222)</f>
        <v/>
      </c>
      <c r="K222" s="44" t="str">
        <f>IF('QUICK ENTRY'!$B222="","",'QUICK ENTRY'!$V222)</f>
        <v/>
      </c>
      <c r="L222" s="44" t="str">
        <f>IF('QUICK ENTRY'!$B222="","",'QUICK ENTRY'!$R222)</f>
        <v/>
      </c>
      <c r="M222" s="44" t="str">
        <f>IF('QUICK ENTRY'!$B222="","",'QUICK ENTRY'!$O222)</f>
        <v/>
      </c>
      <c r="N222" s="44" t="str">
        <f>IF('QUICK ENTRY'!$B222="","",'QUICK ENTRY'!$AA222)</f>
        <v/>
      </c>
      <c r="O222" s="44" t="str">
        <f>IF('QUICK ENTRY'!$B222="","",'QUICK ENTRY'!$AG222)</f>
        <v/>
      </c>
      <c r="P222" s="44" t="str">
        <f>IF('QUICK ENTRY'!$B222="","",'QUICK ENTRY'!$AF222)</f>
        <v/>
      </c>
    </row>
    <row r="223" spans="1:16" ht="14.4">
      <c r="A223" s="44" t="str">
        <f>IF('QUICK ENTRY'!$B223="","",'QUICK ENTRY'!$U223)</f>
        <v/>
      </c>
      <c r="B223" s="55" t="str">
        <f>IF('QUICK ENTRY'!$B223="","",'QUICK ENTRY'!$B223)</f>
        <v/>
      </c>
      <c r="C223" s="44" t="str">
        <f>IF('QUICK ENTRY'!$B223="","",'QUICK ENTRY'!$C223)</f>
        <v/>
      </c>
      <c r="D223" s="44" t="str">
        <f>IF('QUICK ENTRY'!$B223="","",'QUICK ENTRY'!$I223)</f>
        <v/>
      </c>
      <c r="E223" s="44" t="str">
        <f>IF('QUICK ENTRY'!$B223="","",'QUICK ENTRY'!$D223)</f>
        <v/>
      </c>
      <c r="F223" s="44" t="str">
        <f>IF('QUICK ENTRY'!$B223="","",'QUICK ENTRY'!$K223)</f>
        <v/>
      </c>
      <c r="G223" s="58" t="str">
        <f>IF('QUICK ENTRY'!$B223="","",'QUICK ENTRY'!$E223)</f>
        <v/>
      </c>
      <c r="H223" s="44" t="str">
        <f>IF('QUICK ENTRY'!$B223="","",'QUICK ENTRY'!$F223)</f>
        <v/>
      </c>
      <c r="I223" s="44" t="str">
        <f>IF('QUICK ENTRY'!$B223="","",'QUICK ENTRY'!$L223)</f>
        <v/>
      </c>
      <c r="J223" s="44" t="str">
        <f>IF('QUICK ENTRY'!$B223="","",'QUICK ENTRY'!$M223)</f>
        <v/>
      </c>
      <c r="K223" s="44" t="str">
        <f>IF('QUICK ENTRY'!$B223="","",'QUICK ENTRY'!$V223)</f>
        <v/>
      </c>
      <c r="L223" s="44" t="str">
        <f>IF('QUICK ENTRY'!$B223="","",'QUICK ENTRY'!$R223)</f>
        <v/>
      </c>
      <c r="M223" s="44" t="str">
        <f>IF('QUICK ENTRY'!$B223="","",'QUICK ENTRY'!$O223)</f>
        <v/>
      </c>
      <c r="N223" s="44" t="str">
        <f>IF('QUICK ENTRY'!$B223="","",'QUICK ENTRY'!$AA223)</f>
        <v/>
      </c>
      <c r="O223" s="44" t="str">
        <f>IF('QUICK ENTRY'!$B223="","",'QUICK ENTRY'!$AG223)</f>
        <v/>
      </c>
      <c r="P223" s="44" t="str">
        <f>IF('QUICK ENTRY'!$B223="","",'QUICK ENTRY'!$AF223)</f>
        <v/>
      </c>
    </row>
    <row r="224" spans="1:16" ht="14.4">
      <c r="A224" s="44" t="str">
        <f>IF('QUICK ENTRY'!$B224="","",'QUICK ENTRY'!$U224)</f>
        <v/>
      </c>
      <c r="B224" s="55" t="str">
        <f>IF('QUICK ENTRY'!$B224="","",'QUICK ENTRY'!$B224)</f>
        <v/>
      </c>
      <c r="C224" s="44" t="str">
        <f>IF('QUICK ENTRY'!$B224="","",'QUICK ENTRY'!$C224)</f>
        <v/>
      </c>
      <c r="D224" s="44" t="str">
        <f>IF('QUICK ENTRY'!$B224="","",'QUICK ENTRY'!$I224)</f>
        <v/>
      </c>
      <c r="E224" s="44" t="str">
        <f>IF('QUICK ENTRY'!$B224="","",'QUICK ENTRY'!$D224)</f>
        <v/>
      </c>
      <c r="F224" s="44" t="str">
        <f>IF('QUICK ENTRY'!$B224="","",'QUICK ENTRY'!$K224)</f>
        <v/>
      </c>
      <c r="G224" s="58" t="str">
        <f>IF('QUICK ENTRY'!$B224="","",'QUICK ENTRY'!$E224)</f>
        <v/>
      </c>
      <c r="H224" s="44" t="str">
        <f>IF('QUICK ENTRY'!$B224="","",'QUICK ENTRY'!$F224)</f>
        <v/>
      </c>
      <c r="I224" s="44" t="str">
        <f>IF('QUICK ENTRY'!$B224="","",'QUICK ENTRY'!$L224)</f>
        <v/>
      </c>
      <c r="J224" s="44" t="str">
        <f>IF('QUICK ENTRY'!$B224="","",'QUICK ENTRY'!$M224)</f>
        <v/>
      </c>
      <c r="K224" s="44" t="str">
        <f>IF('QUICK ENTRY'!$B224="","",'QUICK ENTRY'!$V224)</f>
        <v/>
      </c>
      <c r="L224" s="44" t="str">
        <f>IF('QUICK ENTRY'!$B224="","",'QUICK ENTRY'!$R224)</f>
        <v/>
      </c>
      <c r="M224" s="44" t="str">
        <f>IF('QUICK ENTRY'!$B224="","",'QUICK ENTRY'!$O224)</f>
        <v/>
      </c>
      <c r="N224" s="44" t="str">
        <f>IF('QUICK ENTRY'!$B224="","",'QUICK ENTRY'!$AA224)</f>
        <v/>
      </c>
      <c r="O224" s="44" t="str">
        <f>IF('QUICK ENTRY'!$B224="","",'QUICK ENTRY'!$AG224)</f>
        <v/>
      </c>
      <c r="P224" s="44" t="str">
        <f>IF('QUICK ENTRY'!$B224="","",'QUICK ENTRY'!$AF224)</f>
        <v/>
      </c>
    </row>
    <row r="225" spans="1:16" ht="14.4">
      <c r="A225" s="44" t="str">
        <f>IF('QUICK ENTRY'!$B225="","",'QUICK ENTRY'!$U225)</f>
        <v/>
      </c>
      <c r="B225" s="55" t="str">
        <f>IF('QUICK ENTRY'!$B225="","",'QUICK ENTRY'!$B225)</f>
        <v/>
      </c>
      <c r="C225" s="44" t="str">
        <f>IF('QUICK ENTRY'!$B225="","",'QUICK ENTRY'!$C225)</f>
        <v/>
      </c>
      <c r="D225" s="44" t="str">
        <f>IF('QUICK ENTRY'!$B225="","",'QUICK ENTRY'!$I225)</f>
        <v/>
      </c>
      <c r="E225" s="44" t="str">
        <f>IF('QUICK ENTRY'!$B225="","",'QUICK ENTRY'!$D225)</f>
        <v/>
      </c>
      <c r="F225" s="44" t="str">
        <f>IF('QUICK ENTRY'!$B225="","",'QUICK ENTRY'!$K225)</f>
        <v/>
      </c>
      <c r="G225" s="58" t="str">
        <f>IF('QUICK ENTRY'!$B225="","",'QUICK ENTRY'!$E225)</f>
        <v/>
      </c>
      <c r="H225" s="44" t="str">
        <f>IF('QUICK ENTRY'!$B225="","",'QUICK ENTRY'!$F225)</f>
        <v/>
      </c>
      <c r="I225" s="44" t="str">
        <f>IF('QUICK ENTRY'!$B225="","",'QUICK ENTRY'!$L225)</f>
        <v/>
      </c>
      <c r="J225" s="44" t="str">
        <f>IF('QUICK ENTRY'!$B225="","",'QUICK ENTRY'!$M225)</f>
        <v/>
      </c>
      <c r="K225" s="44" t="str">
        <f>IF('QUICK ENTRY'!$B225="","",'QUICK ENTRY'!$V225)</f>
        <v/>
      </c>
      <c r="L225" s="44" t="str">
        <f>IF('QUICK ENTRY'!$B225="","",'QUICK ENTRY'!$R225)</f>
        <v/>
      </c>
      <c r="M225" s="44" t="str">
        <f>IF('QUICK ENTRY'!$B225="","",'QUICK ENTRY'!$O225)</f>
        <v/>
      </c>
      <c r="N225" s="44" t="str">
        <f>IF('QUICK ENTRY'!$B225="","",'QUICK ENTRY'!$AA225)</f>
        <v/>
      </c>
      <c r="O225" s="44" t="str">
        <f>IF('QUICK ENTRY'!$B225="","",'QUICK ENTRY'!$AG225)</f>
        <v/>
      </c>
      <c r="P225" s="44" t="str">
        <f>IF('QUICK ENTRY'!$B225="","",'QUICK ENTRY'!$AF225)</f>
        <v/>
      </c>
    </row>
    <row r="226" spans="1:16" ht="14.4">
      <c r="A226" s="44" t="str">
        <f>IF('QUICK ENTRY'!$B226="","",'QUICK ENTRY'!$U226)</f>
        <v/>
      </c>
      <c r="B226" s="55" t="str">
        <f>IF('QUICK ENTRY'!$B226="","",'QUICK ENTRY'!$B226)</f>
        <v/>
      </c>
      <c r="C226" s="44" t="str">
        <f>IF('QUICK ENTRY'!$B226="","",'QUICK ENTRY'!$C226)</f>
        <v/>
      </c>
      <c r="D226" s="44" t="str">
        <f>IF('QUICK ENTRY'!$B226="","",'QUICK ENTRY'!$I226)</f>
        <v/>
      </c>
      <c r="E226" s="44" t="str">
        <f>IF('QUICK ENTRY'!$B226="","",'QUICK ENTRY'!$D226)</f>
        <v/>
      </c>
      <c r="F226" s="44" t="str">
        <f>IF('QUICK ENTRY'!$B226="","",'QUICK ENTRY'!$K226)</f>
        <v/>
      </c>
      <c r="G226" s="58" t="str">
        <f>IF('QUICK ENTRY'!$B226="","",'QUICK ENTRY'!$E226)</f>
        <v/>
      </c>
      <c r="H226" s="44" t="str">
        <f>IF('QUICK ENTRY'!$B226="","",'QUICK ENTRY'!$F226)</f>
        <v/>
      </c>
      <c r="I226" s="44" t="str">
        <f>IF('QUICK ENTRY'!$B226="","",'QUICK ENTRY'!$L226)</f>
        <v/>
      </c>
      <c r="J226" s="44" t="str">
        <f>IF('QUICK ENTRY'!$B226="","",'QUICK ENTRY'!$M226)</f>
        <v/>
      </c>
      <c r="K226" s="44" t="str">
        <f>IF('QUICK ENTRY'!$B226="","",'QUICK ENTRY'!$V226)</f>
        <v/>
      </c>
      <c r="L226" s="44" t="str">
        <f>IF('QUICK ENTRY'!$B226="","",'QUICK ENTRY'!$R226)</f>
        <v/>
      </c>
      <c r="M226" s="44" t="str">
        <f>IF('QUICK ENTRY'!$B226="","",'QUICK ENTRY'!$O226)</f>
        <v/>
      </c>
      <c r="N226" s="44" t="str">
        <f>IF('QUICK ENTRY'!$B226="","",'QUICK ENTRY'!$AA226)</f>
        <v/>
      </c>
      <c r="O226" s="44" t="str">
        <f>IF('QUICK ENTRY'!$B226="","",'QUICK ENTRY'!$AG226)</f>
        <v/>
      </c>
      <c r="P226" s="44" t="str">
        <f>IF('QUICK ENTRY'!$B226="","",'QUICK ENTRY'!$AF226)</f>
        <v/>
      </c>
    </row>
    <row r="227" spans="1:16" ht="14.4">
      <c r="A227" s="44" t="str">
        <f>IF('QUICK ENTRY'!$B227="","",'QUICK ENTRY'!$U227)</f>
        <v/>
      </c>
      <c r="B227" s="55" t="str">
        <f>IF('QUICK ENTRY'!$B227="","",'QUICK ENTRY'!$B227)</f>
        <v/>
      </c>
      <c r="C227" s="44" t="str">
        <f>IF('QUICK ENTRY'!$B227="","",'QUICK ENTRY'!$C227)</f>
        <v/>
      </c>
      <c r="D227" s="44" t="str">
        <f>IF('QUICK ENTRY'!$B227="","",'QUICK ENTRY'!$I227)</f>
        <v/>
      </c>
      <c r="E227" s="44" t="str">
        <f>IF('QUICK ENTRY'!$B227="","",'QUICK ENTRY'!$D227)</f>
        <v/>
      </c>
      <c r="F227" s="44" t="str">
        <f>IF('QUICK ENTRY'!$B227="","",'QUICK ENTRY'!$K227)</f>
        <v/>
      </c>
      <c r="G227" s="58" t="str">
        <f>IF('QUICK ENTRY'!$B227="","",'QUICK ENTRY'!$E227)</f>
        <v/>
      </c>
      <c r="H227" s="44" t="str">
        <f>IF('QUICK ENTRY'!$B227="","",'QUICK ENTRY'!$F227)</f>
        <v/>
      </c>
      <c r="I227" s="44" t="str">
        <f>IF('QUICK ENTRY'!$B227="","",'QUICK ENTRY'!$L227)</f>
        <v/>
      </c>
      <c r="J227" s="44" t="str">
        <f>IF('QUICK ENTRY'!$B227="","",'QUICK ENTRY'!$M227)</f>
        <v/>
      </c>
      <c r="K227" s="44" t="str">
        <f>IF('QUICK ENTRY'!$B227="","",'QUICK ENTRY'!$V227)</f>
        <v/>
      </c>
      <c r="L227" s="44" t="str">
        <f>IF('QUICK ENTRY'!$B227="","",'QUICK ENTRY'!$R227)</f>
        <v/>
      </c>
      <c r="M227" s="44" t="str">
        <f>IF('QUICK ENTRY'!$B227="","",'QUICK ENTRY'!$O227)</f>
        <v/>
      </c>
      <c r="N227" s="44" t="str">
        <f>IF('QUICK ENTRY'!$B227="","",'QUICK ENTRY'!$AA227)</f>
        <v/>
      </c>
      <c r="O227" s="44" t="str">
        <f>IF('QUICK ENTRY'!$B227="","",'QUICK ENTRY'!$AG227)</f>
        <v/>
      </c>
      <c r="P227" s="44" t="str">
        <f>IF('QUICK ENTRY'!$B227="","",'QUICK ENTRY'!$AF227)</f>
        <v/>
      </c>
    </row>
    <row r="228" spans="1:16" ht="14.4">
      <c r="A228" s="44" t="str">
        <f>IF('QUICK ENTRY'!$B228="","",'QUICK ENTRY'!$U228)</f>
        <v/>
      </c>
      <c r="B228" s="55" t="str">
        <f>IF('QUICK ENTRY'!$B228="","",'QUICK ENTRY'!$B228)</f>
        <v/>
      </c>
      <c r="C228" s="44" t="str">
        <f>IF('QUICK ENTRY'!$B228="","",'QUICK ENTRY'!$C228)</f>
        <v/>
      </c>
      <c r="D228" s="44" t="str">
        <f>IF('QUICK ENTRY'!$B228="","",'QUICK ENTRY'!$I228)</f>
        <v/>
      </c>
      <c r="E228" s="44" t="str">
        <f>IF('QUICK ENTRY'!$B228="","",'QUICK ENTRY'!$D228)</f>
        <v/>
      </c>
      <c r="F228" s="44" t="str">
        <f>IF('QUICK ENTRY'!$B228="","",'QUICK ENTRY'!$K228)</f>
        <v/>
      </c>
      <c r="G228" s="58" t="str">
        <f>IF('QUICK ENTRY'!$B228="","",'QUICK ENTRY'!$E228)</f>
        <v/>
      </c>
      <c r="H228" s="44" t="str">
        <f>IF('QUICK ENTRY'!$B228="","",'QUICK ENTRY'!$F228)</f>
        <v/>
      </c>
      <c r="I228" s="44" t="str">
        <f>IF('QUICK ENTRY'!$B228="","",'QUICK ENTRY'!$L228)</f>
        <v/>
      </c>
      <c r="J228" s="44" t="str">
        <f>IF('QUICK ENTRY'!$B228="","",'QUICK ENTRY'!$M228)</f>
        <v/>
      </c>
      <c r="K228" s="44" t="str">
        <f>IF('QUICK ENTRY'!$B228="","",'QUICK ENTRY'!$V228)</f>
        <v/>
      </c>
      <c r="L228" s="44" t="str">
        <f>IF('QUICK ENTRY'!$B228="","",'QUICK ENTRY'!$R228)</f>
        <v/>
      </c>
      <c r="M228" s="44" t="str">
        <f>IF('QUICK ENTRY'!$B228="","",'QUICK ENTRY'!$O228)</f>
        <v/>
      </c>
      <c r="N228" s="44" t="str">
        <f>IF('QUICK ENTRY'!$B228="","",'QUICK ENTRY'!$AA228)</f>
        <v/>
      </c>
      <c r="O228" s="44" t="str">
        <f>IF('QUICK ENTRY'!$B228="","",'QUICK ENTRY'!$AG228)</f>
        <v/>
      </c>
      <c r="P228" s="44" t="str">
        <f>IF('QUICK ENTRY'!$B228="","",'QUICK ENTRY'!$AF228)</f>
        <v/>
      </c>
    </row>
    <row r="229" spans="1:16" ht="14.4">
      <c r="A229" s="44" t="str">
        <f>IF('QUICK ENTRY'!$B229="","",'QUICK ENTRY'!$U229)</f>
        <v/>
      </c>
      <c r="B229" s="55" t="str">
        <f>IF('QUICK ENTRY'!$B229="","",'QUICK ENTRY'!$B229)</f>
        <v/>
      </c>
      <c r="C229" s="44" t="str">
        <f>IF('QUICK ENTRY'!$B229="","",'QUICK ENTRY'!$C229)</f>
        <v/>
      </c>
      <c r="D229" s="44" t="str">
        <f>IF('QUICK ENTRY'!$B229="","",'QUICK ENTRY'!$I229)</f>
        <v/>
      </c>
      <c r="E229" s="44" t="str">
        <f>IF('QUICK ENTRY'!$B229="","",'QUICK ENTRY'!$D229)</f>
        <v/>
      </c>
      <c r="F229" s="44" t="str">
        <f>IF('QUICK ENTRY'!$B229="","",'QUICK ENTRY'!$K229)</f>
        <v/>
      </c>
      <c r="G229" s="58" t="str">
        <f>IF('QUICK ENTRY'!$B229="","",'QUICK ENTRY'!$E229)</f>
        <v/>
      </c>
      <c r="H229" s="44" t="str">
        <f>IF('QUICK ENTRY'!$B229="","",'QUICK ENTRY'!$F229)</f>
        <v/>
      </c>
      <c r="I229" s="44" t="str">
        <f>IF('QUICK ENTRY'!$B229="","",'QUICK ENTRY'!$L229)</f>
        <v/>
      </c>
      <c r="J229" s="44" t="str">
        <f>IF('QUICK ENTRY'!$B229="","",'QUICK ENTRY'!$M229)</f>
        <v/>
      </c>
      <c r="K229" s="44" t="str">
        <f>IF('QUICK ENTRY'!$B229="","",'QUICK ENTRY'!$V229)</f>
        <v/>
      </c>
      <c r="L229" s="44" t="str">
        <f>IF('QUICK ENTRY'!$B229="","",'QUICK ENTRY'!$R229)</f>
        <v/>
      </c>
      <c r="M229" s="44" t="str">
        <f>IF('QUICK ENTRY'!$B229="","",'QUICK ENTRY'!$O229)</f>
        <v/>
      </c>
      <c r="N229" s="44" t="str">
        <f>IF('QUICK ENTRY'!$B229="","",'QUICK ENTRY'!$AA229)</f>
        <v/>
      </c>
      <c r="O229" s="44" t="str">
        <f>IF('QUICK ENTRY'!$B229="","",'QUICK ENTRY'!$AG229)</f>
        <v/>
      </c>
      <c r="P229" s="44" t="str">
        <f>IF('QUICK ENTRY'!$B229="","",'QUICK ENTRY'!$AF229)</f>
        <v/>
      </c>
    </row>
    <row r="230" spans="1:16" ht="14.4">
      <c r="A230" s="44" t="str">
        <f>IF('QUICK ENTRY'!$B230="","",'QUICK ENTRY'!$U230)</f>
        <v/>
      </c>
      <c r="B230" s="55" t="str">
        <f>IF('QUICK ENTRY'!$B230="","",'QUICK ENTRY'!$B230)</f>
        <v/>
      </c>
      <c r="C230" s="44" t="str">
        <f>IF('QUICK ENTRY'!$B230="","",'QUICK ENTRY'!$C230)</f>
        <v/>
      </c>
      <c r="D230" s="44" t="str">
        <f>IF('QUICK ENTRY'!$B230="","",'QUICK ENTRY'!$I230)</f>
        <v/>
      </c>
      <c r="E230" s="44" t="str">
        <f>IF('QUICK ENTRY'!$B230="","",'QUICK ENTRY'!$D230)</f>
        <v/>
      </c>
      <c r="F230" s="44" t="str">
        <f>IF('QUICK ENTRY'!$B230="","",'QUICK ENTRY'!$K230)</f>
        <v/>
      </c>
      <c r="G230" s="58" t="str">
        <f>IF('QUICK ENTRY'!$B230="","",'QUICK ENTRY'!$E230)</f>
        <v/>
      </c>
      <c r="H230" s="44" t="str">
        <f>IF('QUICK ENTRY'!$B230="","",'QUICK ENTRY'!$F230)</f>
        <v/>
      </c>
      <c r="I230" s="44" t="str">
        <f>IF('QUICK ENTRY'!$B230="","",'QUICK ENTRY'!$L230)</f>
        <v/>
      </c>
      <c r="J230" s="44" t="str">
        <f>IF('QUICK ENTRY'!$B230="","",'QUICK ENTRY'!$M230)</f>
        <v/>
      </c>
      <c r="K230" s="44" t="str">
        <f>IF('QUICK ENTRY'!$B230="","",'QUICK ENTRY'!$V230)</f>
        <v/>
      </c>
      <c r="L230" s="44" t="str">
        <f>IF('QUICK ENTRY'!$B230="","",'QUICK ENTRY'!$R230)</f>
        <v/>
      </c>
      <c r="M230" s="44" t="str">
        <f>IF('QUICK ENTRY'!$B230="","",'QUICK ENTRY'!$O230)</f>
        <v/>
      </c>
      <c r="N230" s="44" t="str">
        <f>IF('QUICK ENTRY'!$B230="","",'QUICK ENTRY'!$AA230)</f>
        <v/>
      </c>
      <c r="O230" s="44" t="str">
        <f>IF('QUICK ENTRY'!$B230="","",'QUICK ENTRY'!$AG230)</f>
        <v/>
      </c>
      <c r="P230" s="44" t="str">
        <f>IF('QUICK ENTRY'!$B230="","",'QUICK ENTRY'!$AF230)</f>
        <v/>
      </c>
    </row>
    <row r="231" spans="1:16" ht="14.4">
      <c r="A231" s="44" t="str">
        <f>IF('QUICK ENTRY'!$B231="","",'QUICK ENTRY'!$U231)</f>
        <v/>
      </c>
      <c r="B231" s="55" t="str">
        <f>IF('QUICK ENTRY'!$B231="","",'QUICK ENTRY'!$B231)</f>
        <v/>
      </c>
      <c r="C231" s="44" t="str">
        <f>IF('QUICK ENTRY'!$B231="","",'QUICK ENTRY'!$C231)</f>
        <v/>
      </c>
      <c r="D231" s="44" t="str">
        <f>IF('QUICK ENTRY'!$B231="","",'QUICK ENTRY'!$I231)</f>
        <v/>
      </c>
      <c r="E231" s="44" t="str">
        <f>IF('QUICK ENTRY'!$B231="","",'QUICK ENTRY'!$D231)</f>
        <v/>
      </c>
      <c r="F231" s="44" t="str">
        <f>IF('QUICK ENTRY'!$B231="","",'QUICK ENTRY'!$K231)</f>
        <v/>
      </c>
      <c r="G231" s="58" t="str">
        <f>IF('QUICK ENTRY'!$B231="","",'QUICK ENTRY'!$E231)</f>
        <v/>
      </c>
      <c r="H231" s="44" t="str">
        <f>IF('QUICK ENTRY'!$B231="","",'QUICK ENTRY'!$F231)</f>
        <v/>
      </c>
      <c r="I231" s="44" t="str">
        <f>IF('QUICK ENTRY'!$B231="","",'QUICK ENTRY'!$L231)</f>
        <v/>
      </c>
      <c r="J231" s="44" t="str">
        <f>IF('QUICK ENTRY'!$B231="","",'QUICK ENTRY'!$M231)</f>
        <v/>
      </c>
      <c r="K231" s="44" t="str">
        <f>IF('QUICK ENTRY'!$B231="","",'QUICK ENTRY'!$V231)</f>
        <v/>
      </c>
      <c r="L231" s="44" t="str">
        <f>IF('QUICK ENTRY'!$B231="","",'QUICK ENTRY'!$R231)</f>
        <v/>
      </c>
      <c r="M231" s="44" t="str">
        <f>IF('QUICK ENTRY'!$B231="","",'QUICK ENTRY'!$O231)</f>
        <v/>
      </c>
      <c r="N231" s="44" t="str">
        <f>IF('QUICK ENTRY'!$B231="","",'QUICK ENTRY'!$AA231)</f>
        <v/>
      </c>
      <c r="O231" s="44" t="str">
        <f>IF('QUICK ENTRY'!$B231="","",'QUICK ENTRY'!$AG231)</f>
        <v/>
      </c>
      <c r="P231" s="44" t="str">
        <f>IF('QUICK ENTRY'!$B231="","",'QUICK ENTRY'!$AF231)</f>
        <v/>
      </c>
    </row>
    <row r="232" spans="1:16" ht="14.4">
      <c r="A232" s="44" t="str">
        <f>IF('QUICK ENTRY'!$B232="","",'QUICK ENTRY'!$U232)</f>
        <v/>
      </c>
      <c r="B232" s="55" t="str">
        <f>IF('QUICK ENTRY'!$B232="","",'QUICK ENTRY'!$B232)</f>
        <v/>
      </c>
      <c r="C232" s="44" t="str">
        <f>IF('QUICK ENTRY'!$B232="","",'QUICK ENTRY'!$C232)</f>
        <v/>
      </c>
      <c r="D232" s="44" t="str">
        <f>IF('QUICK ENTRY'!$B232="","",'QUICK ENTRY'!$I232)</f>
        <v/>
      </c>
      <c r="E232" s="44" t="str">
        <f>IF('QUICK ENTRY'!$B232="","",'QUICK ENTRY'!$D232)</f>
        <v/>
      </c>
      <c r="F232" s="44" t="str">
        <f>IF('QUICK ENTRY'!$B232="","",'QUICK ENTRY'!$K232)</f>
        <v/>
      </c>
      <c r="G232" s="58" t="str">
        <f>IF('QUICK ENTRY'!$B232="","",'QUICK ENTRY'!$E232)</f>
        <v/>
      </c>
      <c r="H232" s="44" t="str">
        <f>IF('QUICK ENTRY'!$B232="","",'QUICK ENTRY'!$F232)</f>
        <v/>
      </c>
      <c r="I232" s="44" t="str">
        <f>IF('QUICK ENTRY'!$B232="","",'QUICK ENTRY'!$L232)</f>
        <v/>
      </c>
      <c r="J232" s="44" t="str">
        <f>IF('QUICK ENTRY'!$B232="","",'QUICK ENTRY'!$M232)</f>
        <v/>
      </c>
      <c r="K232" s="44" t="str">
        <f>IF('QUICK ENTRY'!$B232="","",'QUICK ENTRY'!$V232)</f>
        <v/>
      </c>
      <c r="L232" s="44" t="str">
        <f>IF('QUICK ENTRY'!$B232="","",'QUICK ENTRY'!$R232)</f>
        <v/>
      </c>
      <c r="M232" s="44" t="str">
        <f>IF('QUICK ENTRY'!$B232="","",'QUICK ENTRY'!$O232)</f>
        <v/>
      </c>
      <c r="N232" s="44" t="str">
        <f>IF('QUICK ENTRY'!$B232="","",'QUICK ENTRY'!$AA232)</f>
        <v/>
      </c>
      <c r="O232" s="44" t="str">
        <f>IF('QUICK ENTRY'!$B232="","",'QUICK ENTRY'!$AG232)</f>
        <v/>
      </c>
      <c r="P232" s="44" t="str">
        <f>IF('QUICK ENTRY'!$B232="","",'QUICK ENTRY'!$AF232)</f>
        <v/>
      </c>
    </row>
    <row r="233" spans="1:16" ht="14.4">
      <c r="A233" s="44" t="str">
        <f>IF('QUICK ENTRY'!$B233="","",'QUICK ENTRY'!$U233)</f>
        <v/>
      </c>
      <c r="B233" s="55" t="str">
        <f>IF('QUICK ENTRY'!$B233="","",'QUICK ENTRY'!$B233)</f>
        <v/>
      </c>
      <c r="C233" s="44" t="str">
        <f>IF('QUICK ENTRY'!$B233="","",'QUICK ENTRY'!$C233)</f>
        <v/>
      </c>
      <c r="D233" s="44" t="str">
        <f>IF('QUICK ENTRY'!$B233="","",'QUICK ENTRY'!$I233)</f>
        <v/>
      </c>
      <c r="E233" s="44" t="str">
        <f>IF('QUICK ENTRY'!$B233="","",'QUICK ENTRY'!$D233)</f>
        <v/>
      </c>
      <c r="F233" s="44" t="str">
        <f>IF('QUICK ENTRY'!$B233="","",'QUICK ENTRY'!$K233)</f>
        <v/>
      </c>
      <c r="G233" s="58" t="str">
        <f>IF('QUICK ENTRY'!$B233="","",'QUICK ENTRY'!$E233)</f>
        <v/>
      </c>
      <c r="H233" s="44" t="str">
        <f>IF('QUICK ENTRY'!$B233="","",'QUICK ENTRY'!$F233)</f>
        <v/>
      </c>
      <c r="I233" s="44" t="str">
        <f>IF('QUICK ENTRY'!$B233="","",'QUICK ENTRY'!$L233)</f>
        <v/>
      </c>
      <c r="J233" s="44" t="str">
        <f>IF('QUICK ENTRY'!$B233="","",'QUICK ENTRY'!$M233)</f>
        <v/>
      </c>
      <c r="K233" s="44" t="str">
        <f>IF('QUICK ENTRY'!$B233="","",'QUICK ENTRY'!$V233)</f>
        <v/>
      </c>
      <c r="L233" s="44" t="str">
        <f>IF('QUICK ENTRY'!$B233="","",'QUICK ENTRY'!$R233)</f>
        <v/>
      </c>
      <c r="M233" s="44" t="str">
        <f>IF('QUICK ENTRY'!$B233="","",'QUICK ENTRY'!$O233)</f>
        <v/>
      </c>
      <c r="N233" s="44" t="str">
        <f>IF('QUICK ENTRY'!$B233="","",'QUICK ENTRY'!$AA233)</f>
        <v/>
      </c>
      <c r="O233" s="44" t="str">
        <f>IF('QUICK ENTRY'!$B233="","",'QUICK ENTRY'!$AG233)</f>
        <v/>
      </c>
      <c r="P233" s="44" t="str">
        <f>IF('QUICK ENTRY'!$B233="","",'QUICK ENTRY'!$AF233)</f>
        <v/>
      </c>
    </row>
    <row r="234" spans="1:16" ht="14.4">
      <c r="A234" s="44" t="str">
        <f>IF('QUICK ENTRY'!$B234="","",'QUICK ENTRY'!$U234)</f>
        <v/>
      </c>
      <c r="B234" s="55" t="str">
        <f>IF('QUICK ENTRY'!$B234="","",'QUICK ENTRY'!$B234)</f>
        <v/>
      </c>
      <c r="C234" s="44" t="str">
        <f>IF('QUICK ENTRY'!$B234="","",'QUICK ENTRY'!$C234)</f>
        <v/>
      </c>
      <c r="D234" s="44" t="str">
        <f>IF('QUICK ENTRY'!$B234="","",'QUICK ENTRY'!$I234)</f>
        <v/>
      </c>
      <c r="E234" s="44" t="str">
        <f>IF('QUICK ENTRY'!$B234="","",'QUICK ENTRY'!$D234)</f>
        <v/>
      </c>
      <c r="F234" s="44" t="str">
        <f>IF('QUICK ENTRY'!$B234="","",'QUICK ENTRY'!$K234)</f>
        <v/>
      </c>
      <c r="G234" s="58" t="str">
        <f>IF('QUICK ENTRY'!$B234="","",'QUICK ENTRY'!$E234)</f>
        <v/>
      </c>
      <c r="H234" s="44" t="str">
        <f>IF('QUICK ENTRY'!$B234="","",'QUICK ENTRY'!$F234)</f>
        <v/>
      </c>
      <c r="I234" s="44" t="str">
        <f>IF('QUICK ENTRY'!$B234="","",'QUICK ENTRY'!$L234)</f>
        <v/>
      </c>
      <c r="J234" s="44" t="str">
        <f>IF('QUICK ENTRY'!$B234="","",'QUICK ENTRY'!$M234)</f>
        <v/>
      </c>
      <c r="K234" s="44" t="str">
        <f>IF('QUICK ENTRY'!$B234="","",'QUICK ENTRY'!$V234)</f>
        <v/>
      </c>
      <c r="L234" s="44" t="str">
        <f>IF('QUICK ENTRY'!$B234="","",'QUICK ENTRY'!$R234)</f>
        <v/>
      </c>
      <c r="M234" s="44" t="str">
        <f>IF('QUICK ENTRY'!$B234="","",'QUICK ENTRY'!$O234)</f>
        <v/>
      </c>
      <c r="N234" s="44" t="str">
        <f>IF('QUICK ENTRY'!$B234="","",'QUICK ENTRY'!$AA234)</f>
        <v/>
      </c>
      <c r="O234" s="44" t="str">
        <f>IF('QUICK ENTRY'!$B234="","",'QUICK ENTRY'!$AG234)</f>
        <v/>
      </c>
      <c r="P234" s="44" t="str">
        <f>IF('QUICK ENTRY'!$B234="","",'QUICK ENTRY'!$AF234)</f>
        <v/>
      </c>
    </row>
    <row r="235" spans="1:16" ht="14.4">
      <c r="A235" s="44" t="str">
        <f>IF('QUICK ENTRY'!$B235="","",'QUICK ENTRY'!$U235)</f>
        <v/>
      </c>
      <c r="B235" s="55" t="str">
        <f>IF('QUICK ENTRY'!$B235="","",'QUICK ENTRY'!$B235)</f>
        <v/>
      </c>
      <c r="C235" s="44" t="str">
        <f>IF('QUICK ENTRY'!$B235="","",'QUICK ENTRY'!$C235)</f>
        <v/>
      </c>
      <c r="D235" s="44" t="str">
        <f>IF('QUICK ENTRY'!$B235="","",'QUICK ENTRY'!$I235)</f>
        <v/>
      </c>
      <c r="E235" s="44" t="str">
        <f>IF('QUICK ENTRY'!$B235="","",'QUICK ENTRY'!$D235)</f>
        <v/>
      </c>
      <c r="F235" s="44" t="str">
        <f>IF('QUICK ENTRY'!$B235="","",'QUICK ENTRY'!$K235)</f>
        <v/>
      </c>
      <c r="G235" s="58" t="str">
        <f>IF('QUICK ENTRY'!$B235="","",'QUICK ENTRY'!$E235)</f>
        <v/>
      </c>
      <c r="H235" s="44" t="str">
        <f>IF('QUICK ENTRY'!$B235="","",'QUICK ENTRY'!$F235)</f>
        <v/>
      </c>
      <c r="I235" s="44" t="str">
        <f>IF('QUICK ENTRY'!$B235="","",'QUICK ENTRY'!$L235)</f>
        <v/>
      </c>
      <c r="J235" s="44" t="str">
        <f>IF('QUICK ENTRY'!$B235="","",'QUICK ENTRY'!$M235)</f>
        <v/>
      </c>
      <c r="K235" s="44" t="str">
        <f>IF('QUICK ENTRY'!$B235="","",'QUICK ENTRY'!$V235)</f>
        <v/>
      </c>
      <c r="L235" s="44" t="str">
        <f>IF('QUICK ENTRY'!$B235="","",'QUICK ENTRY'!$R235)</f>
        <v/>
      </c>
      <c r="M235" s="44" t="str">
        <f>IF('QUICK ENTRY'!$B235="","",'QUICK ENTRY'!$O235)</f>
        <v/>
      </c>
      <c r="N235" s="44" t="str">
        <f>IF('QUICK ENTRY'!$B235="","",'QUICK ENTRY'!$AA235)</f>
        <v/>
      </c>
      <c r="O235" s="44" t="str">
        <f>IF('QUICK ENTRY'!$B235="","",'QUICK ENTRY'!$AG235)</f>
        <v/>
      </c>
      <c r="P235" s="44" t="str">
        <f>IF('QUICK ENTRY'!$B235="","",'QUICK ENTRY'!$AF235)</f>
        <v/>
      </c>
    </row>
    <row r="236" spans="1:16" ht="14.4">
      <c r="A236" s="44" t="str">
        <f>IF('QUICK ENTRY'!$B236="","",'QUICK ENTRY'!$U236)</f>
        <v/>
      </c>
      <c r="B236" s="55" t="str">
        <f>IF('QUICK ENTRY'!$B236="","",'QUICK ENTRY'!$B236)</f>
        <v/>
      </c>
      <c r="C236" s="44" t="str">
        <f>IF('QUICK ENTRY'!$B236="","",'QUICK ENTRY'!$C236)</f>
        <v/>
      </c>
      <c r="D236" s="44" t="str">
        <f>IF('QUICK ENTRY'!$B236="","",'QUICK ENTRY'!$I236)</f>
        <v/>
      </c>
      <c r="E236" s="44" t="str">
        <f>IF('QUICK ENTRY'!$B236="","",'QUICK ENTRY'!$D236)</f>
        <v/>
      </c>
      <c r="F236" s="44" t="str">
        <f>IF('QUICK ENTRY'!$B236="","",'QUICK ENTRY'!$K236)</f>
        <v/>
      </c>
      <c r="G236" s="58" t="str">
        <f>IF('QUICK ENTRY'!$B236="","",'QUICK ENTRY'!$E236)</f>
        <v/>
      </c>
      <c r="H236" s="44" t="str">
        <f>IF('QUICK ENTRY'!$B236="","",'QUICK ENTRY'!$F236)</f>
        <v/>
      </c>
      <c r="I236" s="44" t="str">
        <f>IF('QUICK ENTRY'!$B236="","",'QUICK ENTRY'!$L236)</f>
        <v/>
      </c>
      <c r="J236" s="44" t="str">
        <f>IF('QUICK ENTRY'!$B236="","",'QUICK ENTRY'!$M236)</f>
        <v/>
      </c>
      <c r="K236" s="44" t="str">
        <f>IF('QUICK ENTRY'!$B236="","",'QUICK ENTRY'!$V236)</f>
        <v/>
      </c>
      <c r="L236" s="44" t="str">
        <f>IF('QUICK ENTRY'!$B236="","",'QUICK ENTRY'!$R236)</f>
        <v/>
      </c>
      <c r="M236" s="44" t="str">
        <f>IF('QUICK ENTRY'!$B236="","",'QUICK ENTRY'!$O236)</f>
        <v/>
      </c>
      <c r="N236" s="44" t="str">
        <f>IF('QUICK ENTRY'!$B236="","",'QUICK ENTRY'!$AA236)</f>
        <v/>
      </c>
      <c r="O236" s="44" t="str">
        <f>IF('QUICK ENTRY'!$B236="","",'QUICK ENTRY'!$AG236)</f>
        <v/>
      </c>
      <c r="P236" s="44" t="str">
        <f>IF('QUICK ENTRY'!$B236="","",'QUICK ENTRY'!$AF236)</f>
        <v/>
      </c>
    </row>
    <row r="237" spans="1:16" ht="14.4">
      <c r="A237" s="44" t="str">
        <f>IF('QUICK ENTRY'!$B237="","",'QUICK ENTRY'!$U237)</f>
        <v/>
      </c>
      <c r="B237" s="55" t="str">
        <f>IF('QUICK ENTRY'!$B237="","",'QUICK ENTRY'!$B237)</f>
        <v/>
      </c>
      <c r="C237" s="44" t="str">
        <f>IF('QUICK ENTRY'!$B237="","",'QUICK ENTRY'!$C237)</f>
        <v/>
      </c>
      <c r="D237" s="44" t="str">
        <f>IF('QUICK ENTRY'!$B237="","",'QUICK ENTRY'!$I237)</f>
        <v/>
      </c>
      <c r="E237" s="44" t="str">
        <f>IF('QUICK ENTRY'!$B237="","",'QUICK ENTRY'!$D237)</f>
        <v/>
      </c>
      <c r="F237" s="44" t="str">
        <f>IF('QUICK ENTRY'!$B237="","",'QUICK ENTRY'!$K237)</f>
        <v/>
      </c>
      <c r="G237" s="58" t="str">
        <f>IF('QUICK ENTRY'!$B237="","",'QUICK ENTRY'!$E237)</f>
        <v/>
      </c>
      <c r="H237" s="44" t="str">
        <f>IF('QUICK ENTRY'!$B237="","",'QUICK ENTRY'!$F237)</f>
        <v/>
      </c>
      <c r="I237" s="44" t="str">
        <f>IF('QUICK ENTRY'!$B237="","",'QUICK ENTRY'!$L237)</f>
        <v/>
      </c>
      <c r="J237" s="44" t="str">
        <f>IF('QUICK ENTRY'!$B237="","",'QUICK ENTRY'!$M237)</f>
        <v/>
      </c>
      <c r="K237" s="44" t="str">
        <f>IF('QUICK ENTRY'!$B237="","",'QUICK ENTRY'!$V237)</f>
        <v/>
      </c>
      <c r="L237" s="44" t="str">
        <f>IF('QUICK ENTRY'!$B237="","",'QUICK ENTRY'!$R237)</f>
        <v/>
      </c>
      <c r="M237" s="44" t="str">
        <f>IF('QUICK ENTRY'!$B237="","",'QUICK ENTRY'!$O237)</f>
        <v/>
      </c>
      <c r="N237" s="44" t="str">
        <f>IF('QUICK ENTRY'!$B237="","",'QUICK ENTRY'!$AA237)</f>
        <v/>
      </c>
      <c r="O237" s="44" t="str">
        <f>IF('QUICK ENTRY'!$B237="","",'QUICK ENTRY'!$AG237)</f>
        <v/>
      </c>
      <c r="P237" s="44" t="str">
        <f>IF('QUICK ENTRY'!$B237="","",'QUICK ENTRY'!$AF237)</f>
        <v/>
      </c>
    </row>
    <row r="238" spans="1:16" ht="14.4">
      <c r="A238" s="44" t="str">
        <f>IF('QUICK ENTRY'!$B238="","",'QUICK ENTRY'!$U238)</f>
        <v/>
      </c>
      <c r="B238" s="55" t="str">
        <f>IF('QUICK ENTRY'!$B238="","",'QUICK ENTRY'!$B238)</f>
        <v/>
      </c>
      <c r="C238" s="44" t="str">
        <f>IF('QUICK ENTRY'!$B238="","",'QUICK ENTRY'!$C238)</f>
        <v/>
      </c>
      <c r="D238" s="44" t="str">
        <f>IF('QUICK ENTRY'!$B238="","",'QUICK ENTRY'!$I238)</f>
        <v/>
      </c>
      <c r="E238" s="44" t="str">
        <f>IF('QUICK ENTRY'!$B238="","",'QUICK ENTRY'!$D238)</f>
        <v/>
      </c>
      <c r="F238" s="44" t="str">
        <f>IF('QUICK ENTRY'!$B238="","",'QUICK ENTRY'!$K238)</f>
        <v/>
      </c>
      <c r="G238" s="58" t="str">
        <f>IF('QUICK ENTRY'!$B238="","",'QUICK ENTRY'!$E238)</f>
        <v/>
      </c>
      <c r="H238" s="44" t="str">
        <f>IF('QUICK ENTRY'!$B238="","",'QUICK ENTRY'!$F238)</f>
        <v/>
      </c>
      <c r="I238" s="44" t="str">
        <f>IF('QUICK ENTRY'!$B238="","",'QUICK ENTRY'!$L238)</f>
        <v/>
      </c>
      <c r="J238" s="44" t="str">
        <f>IF('QUICK ENTRY'!$B238="","",'QUICK ENTRY'!$M238)</f>
        <v/>
      </c>
      <c r="K238" s="44" t="str">
        <f>IF('QUICK ENTRY'!$B238="","",'QUICK ENTRY'!$V238)</f>
        <v/>
      </c>
      <c r="L238" s="44" t="str">
        <f>IF('QUICK ENTRY'!$B238="","",'QUICK ENTRY'!$R238)</f>
        <v/>
      </c>
      <c r="M238" s="44" t="str">
        <f>IF('QUICK ENTRY'!$B238="","",'QUICK ENTRY'!$O238)</f>
        <v/>
      </c>
      <c r="N238" s="44" t="str">
        <f>IF('QUICK ENTRY'!$B238="","",'QUICK ENTRY'!$AA238)</f>
        <v/>
      </c>
      <c r="O238" s="44" t="str">
        <f>IF('QUICK ENTRY'!$B238="","",'QUICK ENTRY'!$AG238)</f>
        <v/>
      </c>
      <c r="P238" s="44" t="str">
        <f>IF('QUICK ENTRY'!$B238="","",'QUICK ENTRY'!$AF238)</f>
        <v/>
      </c>
    </row>
    <row r="239" spans="1:16" ht="14.4">
      <c r="A239" s="44" t="str">
        <f>IF('QUICK ENTRY'!$B239="","",'QUICK ENTRY'!$U239)</f>
        <v/>
      </c>
      <c r="B239" s="55" t="str">
        <f>IF('QUICK ENTRY'!$B239="","",'QUICK ENTRY'!$B239)</f>
        <v/>
      </c>
      <c r="C239" s="44" t="str">
        <f>IF('QUICK ENTRY'!$B239="","",'QUICK ENTRY'!$C239)</f>
        <v/>
      </c>
      <c r="D239" s="44" t="str">
        <f>IF('QUICK ENTRY'!$B239="","",'QUICK ENTRY'!$I239)</f>
        <v/>
      </c>
      <c r="E239" s="44" t="str">
        <f>IF('QUICK ENTRY'!$B239="","",'QUICK ENTRY'!$D239)</f>
        <v/>
      </c>
      <c r="F239" s="44" t="str">
        <f>IF('QUICK ENTRY'!$B239="","",'QUICK ENTRY'!$K239)</f>
        <v/>
      </c>
      <c r="G239" s="58" t="str">
        <f>IF('QUICK ENTRY'!$B239="","",'QUICK ENTRY'!$E239)</f>
        <v/>
      </c>
      <c r="H239" s="44" t="str">
        <f>IF('QUICK ENTRY'!$B239="","",'QUICK ENTRY'!$F239)</f>
        <v/>
      </c>
      <c r="I239" s="44" t="str">
        <f>IF('QUICK ENTRY'!$B239="","",'QUICK ENTRY'!$L239)</f>
        <v/>
      </c>
      <c r="J239" s="44" t="str">
        <f>IF('QUICK ENTRY'!$B239="","",'QUICK ENTRY'!$M239)</f>
        <v/>
      </c>
      <c r="K239" s="44" t="str">
        <f>IF('QUICK ENTRY'!$B239="","",'QUICK ENTRY'!$V239)</f>
        <v/>
      </c>
      <c r="L239" s="44" t="str">
        <f>IF('QUICK ENTRY'!$B239="","",'QUICK ENTRY'!$R239)</f>
        <v/>
      </c>
      <c r="M239" s="44" t="str">
        <f>IF('QUICK ENTRY'!$B239="","",'QUICK ENTRY'!$O239)</f>
        <v/>
      </c>
      <c r="N239" s="44" t="str">
        <f>IF('QUICK ENTRY'!$B239="","",'QUICK ENTRY'!$AA239)</f>
        <v/>
      </c>
      <c r="O239" s="44" t="str">
        <f>IF('QUICK ENTRY'!$B239="","",'QUICK ENTRY'!$AG239)</f>
        <v/>
      </c>
      <c r="P239" s="44" t="str">
        <f>IF('QUICK ENTRY'!$B239="","",'QUICK ENTRY'!$AF239)</f>
        <v/>
      </c>
    </row>
    <row r="240" spans="1:16" ht="14.4">
      <c r="A240" s="44" t="str">
        <f>IF('QUICK ENTRY'!$B240="","",'QUICK ENTRY'!$U240)</f>
        <v/>
      </c>
      <c r="B240" s="55" t="str">
        <f>IF('QUICK ENTRY'!$B240="","",'QUICK ENTRY'!$B240)</f>
        <v/>
      </c>
      <c r="C240" s="44" t="str">
        <f>IF('QUICK ENTRY'!$B240="","",'QUICK ENTRY'!$C240)</f>
        <v/>
      </c>
      <c r="D240" s="44" t="str">
        <f>IF('QUICK ENTRY'!$B240="","",'QUICK ENTRY'!$I240)</f>
        <v/>
      </c>
      <c r="E240" s="44" t="str">
        <f>IF('QUICK ENTRY'!$B240="","",'QUICK ENTRY'!$D240)</f>
        <v/>
      </c>
      <c r="F240" s="44" t="str">
        <f>IF('QUICK ENTRY'!$B240="","",'QUICK ENTRY'!$K240)</f>
        <v/>
      </c>
      <c r="G240" s="58" t="str">
        <f>IF('QUICK ENTRY'!$B240="","",'QUICK ENTRY'!$E240)</f>
        <v/>
      </c>
      <c r="H240" s="44" t="str">
        <f>IF('QUICK ENTRY'!$B240="","",'QUICK ENTRY'!$F240)</f>
        <v/>
      </c>
      <c r="I240" s="44" t="str">
        <f>IF('QUICK ENTRY'!$B240="","",'QUICK ENTRY'!$L240)</f>
        <v/>
      </c>
      <c r="J240" s="44" t="str">
        <f>IF('QUICK ENTRY'!$B240="","",'QUICK ENTRY'!$M240)</f>
        <v/>
      </c>
      <c r="K240" s="44" t="str">
        <f>IF('QUICK ENTRY'!$B240="","",'QUICK ENTRY'!$V240)</f>
        <v/>
      </c>
      <c r="L240" s="44" t="str">
        <f>IF('QUICK ENTRY'!$B240="","",'QUICK ENTRY'!$R240)</f>
        <v/>
      </c>
      <c r="M240" s="44" t="str">
        <f>IF('QUICK ENTRY'!$B240="","",'QUICK ENTRY'!$O240)</f>
        <v/>
      </c>
      <c r="N240" s="44" t="str">
        <f>IF('QUICK ENTRY'!$B240="","",'QUICK ENTRY'!$AA240)</f>
        <v/>
      </c>
      <c r="O240" s="44" t="str">
        <f>IF('QUICK ENTRY'!$B240="","",'QUICK ENTRY'!$AG240)</f>
        <v/>
      </c>
      <c r="P240" s="44" t="str">
        <f>IF('QUICK ENTRY'!$B240="","",'QUICK ENTRY'!$AF240)</f>
        <v/>
      </c>
    </row>
    <row r="241" spans="1:16" ht="14.4">
      <c r="A241" s="44" t="str">
        <f>IF('QUICK ENTRY'!$B241="","",'QUICK ENTRY'!$U241)</f>
        <v/>
      </c>
      <c r="B241" s="55" t="str">
        <f>IF('QUICK ENTRY'!$B241="","",'QUICK ENTRY'!$B241)</f>
        <v/>
      </c>
      <c r="C241" s="44" t="str">
        <f>IF('QUICK ENTRY'!$B241="","",'QUICK ENTRY'!$C241)</f>
        <v/>
      </c>
      <c r="D241" s="44" t="str">
        <f>IF('QUICK ENTRY'!$B241="","",'QUICK ENTRY'!$I241)</f>
        <v/>
      </c>
      <c r="E241" s="44" t="str">
        <f>IF('QUICK ENTRY'!$B241="","",'QUICK ENTRY'!$D241)</f>
        <v/>
      </c>
      <c r="F241" s="44" t="str">
        <f>IF('QUICK ENTRY'!$B241="","",'QUICK ENTRY'!$K241)</f>
        <v/>
      </c>
      <c r="G241" s="58" t="str">
        <f>IF('QUICK ENTRY'!$B241="","",'QUICK ENTRY'!$E241)</f>
        <v/>
      </c>
      <c r="H241" s="44" t="str">
        <f>IF('QUICK ENTRY'!$B241="","",'QUICK ENTRY'!$F241)</f>
        <v/>
      </c>
      <c r="I241" s="44" t="str">
        <f>IF('QUICK ENTRY'!$B241="","",'QUICK ENTRY'!$L241)</f>
        <v/>
      </c>
      <c r="J241" s="44" t="str">
        <f>IF('QUICK ENTRY'!$B241="","",'QUICK ENTRY'!$M241)</f>
        <v/>
      </c>
      <c r="K241" s="44" t="str">
        <f>IF('QUICK ENTRY'!$B241="","",'QUICK ENTRY'!$V241)</f>
        <v/>
      </c>
      <c r="L241" s="44" t="str">
        <f>IF('QUICK ENTRY'!$B241="","",'QUICK ENTRY'!$R241)</f>
        <v/>
      </c>
      <c r="M241" s="44" t="str">
        <f>IF('QUICK ENTRY'!$B241="","",'QUICK ENTRY'!$O241)</f>
        <v/>
      </c>
      <c r="N241" s="44" t="str">
        <f>IF('QUICK ENTRY'!$B241="","",'QUICK ENTRY'!$AA241)</f>
        <v/>
      </c>
      <c r="O241" s="44" t="str">
        <f>IF('QUICK ENTRY'!$B241="","",'QUICK ENTRY'!$AG241)</f>
        <v/>
      </c>
      <c r="P241" s="44" t="str">
        <f>IF('QUICK ENTRY'!$B241="","",'QUICK ENTRY'!$AF241)</f>
        <v/>
      </c>
    </row>
    <row r="242" spans="1:16" ht="14.4">
      <c r="A242" s="44" t="str">
        <f>IF('QUICK ENTRY'!$B242="","",'QUICK ENTRY'!$U242)</f>
        <v/>
      </c>
      <c r="B242" s="55" t="str">
        <f>IF('QUICK ENTRY'!$B242="","",'QUICK ENTRY'!$B242)</f>
        <v/>
      </c>
      <c r="C242" s="44" t="str">
        <f>IF('QUICK ENTRY'!$B242="","",'QUICK ENTRY'!$C242)</f>
        <v/>
      </c>
      <c r="D242" s="44" t="str">
        <f>IF('QUICK ENTRY'!$B242="","",'QUICK ENTRY'!$I242)</f>
        <v/>
      </c>
      <c r="E242" s="44" t="str">
        <f>IF('QUICK ENTRY'!$B242="","",'QUICK ENTRY'!$D242)</f>
        <v/>
      </c>
      <c r="F242" s="44" t="str">
        <f>IF('QUICK ENTRY'!$B242="","",'QUICK ENTRY'!$K242)</f>
        <v/>
      </c>
      <c r="G242" s="58" t="str">
        <f>IF('QUICK ENTRY'!$B242="","",'QUICK ENTRY'!$E242)</f>
        <v/>
      </c>
      <c r="H242" s="44" t="str">
        <f>IF('QUICK ENTRY'!$B242="","",'QUICK ENTRY'!$F242)</f>
        <v/>
      </c>
      <c r="I242" s="44" t="str">
        <f>IF('QUICK ENTRY'!$B242="","",'QUICK ENTRY'!$L242)</f>
        <v/>
      </c>
      <c r="J242" s="44" t="str">
        <f>IF('QUICK ENTRY'!$B242="","",'QUICK ENTRY'!$M242)</f>
        <v/>
      </c>
      <c r="K242" s="44" t="str">
        <f>IF('QUICK ENTRY'!$B242="","",'QUICK ENTRY'!$V242)</f>
        <v/>
      </c>
      <c r="L242" s="44" t="str">
        <f>IF('QUICK ENTRY'!$B242="","",'QUICK ENTRY'!$R242)</f>
        <v/>
      </c>
      <c r="M242" s="44" t="str">
        <f>IF('QUICK ENTRY'!$B242="","",'QUICK ENTRY'!$O242)</f>
        <v/>
      </c>
      <c r="N242" s="44" t="str">
        <f>IF('QUICK ENTRY'!$B242="","",'QUICK ENTRY'!$AA242)</f>
        <v/>
      </c>
      <c r="O242" s="44" t="str">
        <f>IF('QUICK ENTRY'!$B242="","",'QUICK ENTRY'!$AG242)</f>
        <v/>
      </c>
      <c r="P242" s="44" t="str">
        <f>IF('QUICK ENTRY'!$B242="","",'QUICK ENTRY'!$AF242)</f>
        <v/>
      </c>
    </row>
    <row r="243" spans="1:16" ht="14.4">
      <c r="A243" s="44" t="str">
        <f>IF('QUICK ENTRY'!$B243="","",'QUICK ENTRY'!$U243)</f>
        <v/>
      </c>
      <c r="B243" s="55" t="str">
        <f>IF('QUICK ENTRY'!$B243="","",'QUICK ENTRY'!$B243)</f>
        <v/>
      </c>
      <c r="C243" s="44" t="str">
        <f>IF('QUICK ENTRY'!$B243="","",'QUICK ENTRY'!$C243)</f>
        <v/>
      </c>
      <c r="D243" s="44" t="str">
        <f>IF('QUICK ENTRY'!$B243="","",'QUICK ENTRY'!$I243)</f>
        <v/>
      </c>
      <c r="E243" s="44" t="str">
        <f>IF('QUICK ENTRY'!$B243="","",'QUICK ENTRY'!$D243)</f>
        <v/>
      </c>
      <c r="F243" s="44" t="str">
        <f>IF('QUICK ENTRY'!$B243="","",'QUICK ENTRY'!$K243)</f>
        <v/>
      </c>
      <c r="G243" s="58" t="str">
        <f>IF('QUICK ENTRY'!$B243="","",'QUICK ENTRY'!$E243)</f>
        <v/>
      </c>
      <c r="H243" s="44" t="str">
        <f>IF('QUICK ENTRY'!$B243="","",'QUICK ENTRY'!$F243)</f>
        <v/>
      </c>
      <c r="I243" s="44" t="str">
        <f>IF('QUICK ENTRY'!$B243="","",'QUICK ENTRY'!$L243)</f>
        <v/>
      </c>
      <c r="J243" s="44" t="str">
        <f>IF('QUICK ENTRY'!$B243="","",'QUICK ENTRY'!$M243)</f>
        <v/>
      </c>
      <c r="K243" s="44" t="str">
        <f>IF('QUICK ENTRY'!$B243="","",'QUICK ENTRY'!$V243)</f>
        <v/>
      </c>
      <c r="L243" s="44" t="str">
        <f>IF('QUICK ENTRY'!$B243="","",'QUICK ENTRY'!$R243)</f>
        <v/>
      </c>
      <c r="M243" s="44" t="str">
        <f>IF('QUICK ENTRY'!$B243="","",'QUICK ENTRY'!$O243)</f>
        <v/>
      </c>
      <c r="N243" s="44" t="str">
        <f>IF('QUICK ENTRY'!$B243="","",'QUICK ENTRY'!$AA243)</f>
        <v/>
      </c>
      <c r="O243" s="44" t="str">
        <f>IF('QUICK ENTRY'!$B243="","",'QUICK ENTRY'!$AG243)</f>
        <v/>
      </c>
      <c r="P243" s="44" t="str">
        <f>IF('QUICK ENTRY'!$B243="","",'QUICK ENTRY'!$AF243)</f>
        <v/>
      </c>
    </row>
    <row r="244" spans="1:16" ht="14.4">
      <c r="A244" s="44" t="str">
        <f>IF('QUICK ENTRY'!$B244="","",'QUICK ENTRY'!$U244)</f>
        <v/>
      </c>
      <c r="B244" s="55" t="str">
        <f>IF('QUICK ENTRY'!$B244="","",'QUICK ENTRY'!$B244)</f>
        <v/>
      </c>
      <c r="C244" s="44" t="str">
        <f>IF('QUICK ENTRY'!$B244="","",'QUICK ENTRY'!$C244)</f>
        <v/>
      </c>
      <c r="D244" s="44" t="str">
        <f>IF('QUICK ENTRY'!$B244="","",'QUICK ENTRY'!$I244)</f>
        <v/>
      </c>
      <c r="E244" s="44" t="str">
        <f>IF('QUICK ENTRY'!$B244="","",'QUICK ENTRY'!$D244)</f>
        <v/>
      </c>
      <c r="F244" s="44" t="str">
        <f>IF('QUICK ENTRY'!$B244="","",'QUICK ENTRY'!$K244)</f>
        <v/>
      </c>
      <c r="G244" s="58" t="str">
        <f>IF('QUICK ENTRY'!$B244="","",'QUICK ENTRY'!$E244)</f>
        <v/>
      </c>
      <c r="H244" s="44" t="str">
        <f>IF('QUICK ENTRY'!$B244="","",'QUICK ENTRY'!$F244)</f>
        <v/>
      </c>
      <c r="I244" s="44" t="str">
        <f>IF('QUICK ENTRY'!$B244="","",'QUICK ENTRY'!$L244)</f>
        <v/>
      </c>
      <c r="J244" s="44" t="str">
        <f>IF('QUICK ENTRY'!$B244="","",'QUICK ENTRY'!$M244)</f>
        <v/>
      </c>
      <c r="K244" s="44" t="str">
        <f>IF('QUICK ENTRY'!$B244="","",'QUICK ENTRY'!$V244)</f>
        <v/>
      </c>
      <c r="L244" s="44" t="str">
        <f>IF('QUICK ENTRY'!$B244="","",'QUICK ENTRY'!$R244)</f>
        <v/>
      </c>
      <c r="M244" s="44" t="str">
        <f>IF('QUICK ENTRY'!$B244="","",'QUICK ENTRY'!$O244)</f>
        <v/>
      </c>
      <c r="N244" s="44" t="str">
        <f>IF('QUICK ENTRY'!$B244="","",'QUICK ENTRY'!$AA244)</f>
        <v/>
      </c>
      <c r="O244" s="44" t="str">
        <f>IF('QUICK ENTRY'!$B244="","",'QUICK ENTRY'!$AG244)</f>
        <v/>
      </c>
      <c r="P244" s="44" t="str">
        <f>IF('QUICK ENTRY'!$B244="","",'QUICK ENTRY'!$AF244)</f>
        <v/>
      </c>
    </row>
    <row r="245" spans="1:16" ht="14.4">
      <c r="A245" s="44" t="str">
        <f>IF('QUICK ENTRY'!$B245="","",'QUICK ENTRY'!$U245)</f>
        <v/>
      </c>
      <c r="B245" s="55" t="str">
        <f>IF('QUICK ENTRY'!$B245="","",'QUICK ENTRY'!$B245)</f>
        <v/>
      </c>
      <c r="C245" s="44" t="str">
        <f>IF('QUICK ENTRY'!$B245="","",'QUICK ENTRY'!$C245)</f>
        <v/>
      </c>
      <c r="D245" s="44" t="str">
        <f>IF('QUICK ENTRY'!$B245="","",'QUICK ENTRY'!$I245)</f>
        <v/>
      </c>
      <c r="E245" s="44" t="str">
        <f>IF('QUICK ENTRY'!$B245="","",'QUICK ENTRY'!$D245)</f>
        <v/>
      </c>
      <c r="F245" s="44" t="str">
        <f>IF('QUICK ENTRY'!$B245="","",'QUICK ENTRY'!$K245)</f>
        <v/>
      </c>
      <c r="G245" s="58" t="str">
        <f>IF('QUICK ENTRY'!$B245="","",'QUICK ENTRY'!$E245)</f>
        <v/>
      </c>
      <c r="H245" s="44" t="str">
        <f>IF('QUICK ENTRY'!$B245="","",'QUICK ENTRY'!$F245)</f>
        <v/>
      </c>
      <c r="I245" s="44" t="str">
        <f>IF('QUICK ENTRY'!$B245="","",'QUICK ENTRY'!$L245)</f>
        <v/>
      </c>
      <c r="J245" s="44" t="str">
        <f>IF('QUICK ENTRY'!$B245="","",'QUICK ENTRY'!$M245)</f>
        <v/>
      </c>
      <c r="K245" s="44" t="str">
        <f>IF('QUICK ENTRY'!$B245="","",'QUICK ENTRY'!$V245)</f>
        <v/>
      </c>
      <c r="L245" s="44" t="str">
        <f>IF('QUICK ENTRY'!$B245="","",'QUICK ENTRY'!$R245)</f>
        <v/>
      </c>
      <c r="M245" s="44" t="str">
        <f>IF('QUICK ENTRY'!$B245="","",'QUICK ENTRY'!$O245)</f>
        <v/>
      </c>
      <c r="N245" s="44" t="str">
        <f>IF('QUICK ENTRY'!$B245="","",'QUICK ENTRY'!$AA245)</f>
        <v/>
      </c>
      <c r="O245" s="44" t="str">
        <f>IF('QUICK ENTRY'!$B245="","",'QUICK ENTRY'!$AG245)</f>
        <v/>
      </c>
      <c r="P245" s="44" t="str">
        <f>IF('QUICK ENTRY'!$B245="","",'QUICK ENTRY'!$AF245)</f>
        <v/>
      </c>
    </row>
    <row r="246" spans="1:16" ht="14.4">
      <c r="A246" s="44" t="str">
        <f>IF('QUICK ENTRY'!$B246="","",'QUICK ENTRY'!$U246)</f>
        <v/>
      </c>
      <c r="B246" s="55" t="str">
        <f>IF('QUICK ENTRY'!$B246="","",'QUICK ENTRY'!$B246)</f>
        <v/>
      </c>
      <c r="C246" s="44" t="str">
        <f>IF('QUICK ENTRY'!$B246="","",'QUICK ENTRY'!$C246)</f>
        <v/>
      </c>
      <c r="D246" s="44" t="str">
        <f>IF('QUICK ENTRY'!$B246="","",'QUICK ENTRY'!$I246)</f>
        <v/>
      </c>
      <c r="E246" s="44" t="str">
        <f>IF('QUICK ENTRY'!$B246="","",'QUICK ENTRY'!$D246)</f>
        <v/>
      </c>
      <c r="F246" s="44" t="str">
        <f>IF('QUICK ENTRY'!$B246="","",'QUICK ENTRY'!$K246)</f>
        <v/>
      </c>
      <c r="G246" s="58" t="str">
        <f>IF('QUICK ENTRY'!$B246="","",'QUICK ENTRY'!$E246)</f>
        <v/>
      </c>
      <c r="H246" s="44" t="str">
        <f>IF('QUICK ENTRY'!$B246="","",'QUICK ENTRY'!$F246)</f>
        <v/>
      </c>
      <c r="I246" s="44" t="str">
        <f>IF('QUICK ENTRY'!$B246="","",'QUICK ENTRY'!$L246)</f>
        <v/>
      </c>
      <c r="J246" s="44" t="str">
        <f>IF('QUICK ENTRY'!$B246="","",'QUICK ENTRY'!$M246)</f>
        <v/>
      </c>
      <c r="K246" s="44" t="str">
        <f>IF('QUICK ENTRY'!$B246="","",'QUICK ENTRY'!$V246)</f>
        <v/>
      </c>
      <c r="L246" s="44" t="str">
        <f>IF('QUICK ENTRY'!$B246="","",'QUICK ENTRY'!$R246)</f>
        <v/>
      </c>
      <c r="M246" s="44" t="str">
        <f>IF('QUICK ENTRY'!$B246="","",'QUICK ENTRY'!$O246)</f>
        <v/>
      </c>
      <c r="N246" s="44" t="str">
        <f>IF('QUICK ENTRY'!$B246="","",'QUICK ENTRY'!$AA246)</f>
        <v/>
      </c>
      <c r="O246" s="44" t="str">
        <f>IF('QUICK ENTRY'!$B246="","",'QUICK ENTRY'!$AG246)</f>
        <v/>
      </c>
      <c r="P246" s="44" t="str">
        <f>IF('QUICK ENTRY'!$B246="","",'QUICK ENTRY'!$AF246)</f>
        <v/>
      </c>
    </row>
    <row r="247" spans="1:16" ht="14.4">
      <c r="A247" s="44" t="str">
        <f>IF('QUICK ENTRY'!$B247="","",'QUICK ENTRY'!$U247)</f>
        <v/>
      </c>
      <c r="B247" s="55" t="str">
        <f>IF('QUICK ENTRY'!$B247="","",'QUICK ENTRY'!$B247)</f>
        <v/>
      </c>
      <c r="C247" s="44" t="str">
        <f>IF('QUICK ENTRY'!$B247="","",'QUICK ENTRY'!$C247)</f>
        <v/>
      </c>
      <c r="D247" s="44" t="str">
        <f>IF('QUICK ENTRY'!$B247="","",'QUICK ENTRY'!$I247)</f>
        <v/>
      </c>
      <c r="E247" s="44" t="str">
        <f>IF('QUICK ENTRY'!$B247="","",'QUICK ENTRY'!$D247)</f>
        <v/>
      </c>
      <c r="F247" s="44" t="str">
        <f>IF('QUICK ENTRY'!$B247="","",'QUICK ENTRY'!$K247)</f>
        <v/>
      </c>
      <c r="G247" s="58" t="str">
        <f>IF('QUICK ENTRY'!$B247="","",'QUICK ENTRY'!$E247)</f>
        <v/>
      </c>
      <c r="H247" s="44" t="str">
        <f>IF('QUICK ENTRY'!$B247="","",'QUICK ENTRY'!$F247)</f>
        <v/>
      </c>
      <c r="I247" s="44" t="str">
        <f>IF('QUICK ENTRY'!$B247="","",'QUICK ENTRY'!$L247)</f>
        <v/>
      </c>
      <c r="J247" s="44" t="str">
        <f>IF('QUICK ENTRY'!$B247="","",'QUICK ENTRY'!$M247)</f>
        <v/>
      </c>
      <c r="K247" s="44" t="str">
        <f>IF('QUICK ENTRY'!$B247="","",'QUICK ENTRY'!$V247)</f>
        <v/>
      </c>
      <c r="L247" s="44" t="str">
        <f>IF('QUICK ENTRY'!$B247="","",'QUICK ENTRY'!$R247)</f>
        <v/>
      </c>
      <c r="M247" s="44" t="str">
        <f>IF('QUICK ENTRY'!$B247="","",'QUICK ENTRY'!$O247)</f>
        <v/>
      </c>
      <c r="N247" s="44" t="str">
        <f>IF('QUICK ENTRY'!$B247="","",'QUICK ENTRY'!$AA247)</f>
        <v/>
      </c>
      <c r="O247" s="44" t="str">
        <f>IF('QUICK ENTRY'!$B247="","",'QUICK ENTRY'!$AG247)</f>
        <v/>
      </c>
      <c r="P247" s="44" t="str">
        <f>IF('QUICK ENTRY'!$B247="","",'QUICK ENTRY'!$AF247)</f>
        <v/>
      </c>
    </row>
    <row r="248" spans="1:16" ht="14.4">
      <c r="A248" s="44" t="str">
        <f>IF('QUICK ENTRY'!$B248="","",'QUICK ENTRY'!$U248)</f>
        <v/>
      </c>
      <c r="B248" s="55" t="str">
        <f>IF('QUICK ENTRY'!$B248="","",'QUICK ENTRY'!$B248)</f>
        <v/>
      </c>
      <c r="C248" s="44" t="str">
        <f>IF('QUICK ENTRY'!$B248="","",'QUICK ENTRY'!$C248)</f>
        <v/>
      </c>
      <c r="D248" s="44" t="str">
        <f>IF('QUICK ENTRY'!$B248="","",'QUICK ENTRY'!$I248)</f>
        <v/>
      </c>
      <c r="E248" s="44" t="str">
        <f>IF('QUICK ENTRY'!$B248="","",'QUICK ENTRY'!$D248)</f>
        <v/>
      </c>
      <c r="F248" s="44" t="str">
        <f>IF('QUICK ENTRY'!$B248="","",'QUICK ENTRY'!$K248)</f>
        <v/>
      </c>
      <c r="G248" s="58" t="str">
        <f>IF('QUICK ENTRY'!$B248="","",'QUICK ENTRY'!$E248)</f>
        <v/>
      </c>
      <c r="H248" s="44" t="str">
        <f>IF('QUICK ENTRY'!$B248="","",'QUICK ENTRY'!$F248)</f>
        <v/>
      </c>
      <c r="I248" s="44" t="str">
        <f>IF('QUICK ENTRY'!$B248="","",'QUICK ENTRY'!$L248)</f>
        <v/>
      </c>
      <c r="J248" s="44" t="str">
        <f>IF('QUICK ENTRY'!$B248="","",'QUICK ENTRY'!$M248)</f>
        <v/>
      </c>
      <c r="K248" s="44" t="str">
        <f>IF('QUICK ENTRY'!$B248="","",'QUICK ENTRY'!$V248)</f>
        <v/>
      </c>
      <c r="L248" s="44" t="str">
        <f>IF('QUICK ENTRY'!$B248="","",'QUICK ENTRY'!$R248)</f>
        <v/>
      </c>
      <c r="M248" s="44" t="str">
        <f>IF('QUICK ENTRY'!$B248="","",'QUICK ENTRY'!$O248)</f>
        <v/>
      </c>
      <c r="N248" s="44" t="str">
        <f>IF('QUICK ENTRY'!$B248="","",'QUICK ENTRY'!$AA248)</f>
        <v/>
      </c>
      <c r="O248" s="44" t="str">
        <f>IF('QUICK ENTRY'!$B248="","",'QUICK ENTRY'!$AG248)</f>
        <v/>
      </c>
      <c r="P248" s="44" t="str">
        <f>IF('QUICK ENTRY'!$B248="","",'QUICK ENTRY'!$AF248)</f>
        <v/>
      </c>
    </row>
    <row r="249" spans="1:16" ht="14.4">
      <c r="A249" s="44" t="str">
        <f>IF('QUICK ENTRY'!$B249="","",'QUICK ENTRY'!$U249)</f>
        <v/>
      </c>
      <c r="B249" s="55" t="str">
        <f>IF('QUICK ENTRY'!$B249="","",'QUICK ENTRY'!$B249)</f>
        <v/>
      </c>
      <c r="C249" s="44" t="str">
        <f>IF('QUICK ENTRY'!$B249="","",'QUICK ENTRY'!$C249)</f>
        <v/>
      </c>
      <c r="D249" s="44" t="str">
        <f>IF('QUICK ENTRY'!$B249="","",'QUICK ENTRY'!$I249)</f>
        <v/>
      </c>
      <c r="E249" s="44" t="str">
        <f>IF('QUICK ENTRY'!$B249="","",'QUICK ENTRY'!$D249)</f>
        <v/>
      </c>
      <c r="F249" s="44" t="str">
        <f>IF('QUICK ENTRY'!$B249="","",'QUICK ENTRY'!$K249)</f>
        <v/>
      </c>
      <c r="G249" s="58" t="str">
        <f>IF('QUICK ENTRY'!$B249="","",'QUICK ENTRY'!$E249)</f>
        <v/>
      </c>
      <c r="H249" s="44" t="str">
        <f>IF('QUICK ENTRY'!$B249="","",'QUICK ENTRY'!$F249)</f>
        <v/>
      </c>
      <c r="I249" s="44" t="str">
        <f>IF('QUICK ENTRY'!$B249="","",'QUICK ENTRY'!$L249)</f>
        <v/>
      </c>
      <c r="J249" s="44" t="str">
        <f>IF('QUICK ENTRY'!$B249="","",'QUICK ENTRY'!$M249)</f>
        <v/>
      </c>
      <c r="K249" s="44" t="str">
        <f>IF('QUICK ENTRY'!$B249="","",'QUICK ENTRY'!$V249)</f>
        <v/>
      </c>
      <c r="L249" s="44" t="str">
        <f>IF('QUICK ENTRY'!$B249="","",'QUICK ENTRY'!$R249)</f>
        <v/>
      </c>
      <c r="M249" s="44" t="str">
        <f>IF('QUICK ENTRY'!$B249="","",'QUICK ENTRY'!$O249)</f>
        <v/>
      </c>
      <c r="N249" s="44" t="str">
        <f>IF('QUICK ENTRY'!$B249="","",'QUICK ENTRY'!$AA249)</f>
        <v/>
      </c>
      <c r="O249" s="44" t="str">
        <f>IF('QUICK ENTRY'!$B249="","",'QUICK ENTRY'!$AG249)</f>
        <v/>
      </c>
      <c r="P249" s="44" t="str">
        <f>IF('QUICK ENTRY'!$B249="","",'QUICK ENTRY'!$AF249)</f>
        <v/>
      </c>
    </row>
    <row r="250" spans="1:16" ht="14.4">
      <c r="A250" s="44" t="str">
        <f>IF('QUICK ENTRY'!$B250="","",'QUICK ENTRY'!$U250)</f>
        <v/>
      </c>
      <c r="B250" s="55" t="str">
        <f>IF('QUICK ENTRY'!$B250="","",'QUICK ENTRY'!$B250)</f>
        <v/>
      </c>
      <c r="C250" s="44" t="str">
        <f>IF('QUICK ENTRY'!$B250="","",'QUICK ENTRY'!$C250)</f>
        <v/>
      </c>
      <c r="D250" s="44" t="str">
        <f>IF('QUICK ENTRY'!$B250="","",'QUICK ENTRY'!$I250)</f>
        <v/>
      </c>
      <c r="E250" s="44" t="str">
        <f>IF('QUICK ENTRY'!$B250="","",'QUICK ENTRY'!$D250)</f>
        <v/>
      </c>
      <c r="F250" s="44" t="str">
        <f>IF('QUICK ENTRY'!$B250="","",'QUICK ENTRY'!$K250)</f>
        <v/>
      </c>
      <c r="G250" s="58" t="str">
        <f>IF('QUICK ENTRY'!$B250="","",'QUICK ENTRY'!$E250)</f>
        <v/>
      </c>
      <c r="H250" s="44" t="str">
        <f>IF('QUICK ENTRY'!$B250="","",'QUICK ENTRY'!$F250)</f>
        <v/>
      </c>
      <c r="I250" s="44" t="str">
        <f>IF('QUICK ENTRY'!$B250="","",'QUICK ENTRY'!$L250)</f>
        <v/>
      </c>
      <c r="J250" s="44" t="str">
        <f>IF('QUICK ENTRY'!$B250="","",'QUICK ENTRY'!$M250)</f>
        <v/>
      </c>
      <c r="K250" s="44" t="str">
        <f>IF('QUICK ENTRY'!$B250="","",'QUICK ENTRY'!$V250)</f>
        <v/>
      </c>
      <c r="L250" s="44" t="str">
        <f>IF('QUICK ENTRY'!$B250="","",'QUICK ENTRY'!$R250)</f>
        <v/>
      </c>
      <c r="M250" s="44" t="str">
        <f>IF('QUICK ENTRY'!$B250="","",'QUICK ENTRY'!$O250)</f>
        <v/>
      </c>
      <c r="N250" s="44" t="str">
        <f>IF('QUICK ENTRY'!$B250="","",'QUICK ENTRY'!$AA250)</f>
        <v/>
      </c>
      <c r="O250" s="44" t="str">
        <f>IF('QUICK ENTRY'!$B250="","",'QUICK ENTRY'!$AG250)</f>
        <v/>
      </c>
      <c r="P250" s="44" t="str">
        <f>IF('QUICK ENTRY'!$B250="","",'QUICK ENTRY'!$AF250)</f>
        <v/>
      </c>
    </row>
    <row r="251" spans="1:16" ht="14.4">
      <c r="A251" s="44" t="str">
        <f>IF('QUICK ENTRY'!$B251="","",'QUICK ENTRY'!$U251)</f>
        <v/>
      </c>
      <c r="B251" s="55" t="str">
        <f>IF('QUICK ENTRY'!$B251="","",'QUICK ENTRY'!$B251)</f>
        <v/>
      </c>
      <c r="C251" s="44" t="str">
        <f>IF('QUICK ENTRY'!$B251="","",'QUICK ENTRY'!$C251)</f>
        <v/>
      </c>
      <c r="D251" s="44" t="str">
        <f>IF('QUICK ENTRY'!$B251="","",'QUICK ENTRY'!$I251)</f>
        <v/>
      </c>
      <c r="E251" s="44" t="str">
        <f>IF('QUICK ENTRY'!$B251="","",'QUICK ENTRY'!$D251)</f>
        <v/>
      </c>
      <c r="F251" s="44" t="str">
        <f>IF('QUICK ENTRY'!$B251="","",'QUICK ENTRY'!$K251)</f>
        <v/>
      </c>
      <c r="G251" s="58" t="str">
        <f>IF('QUICK ENTRY'!$B251="","",'QUICK ENTRY'!$E251)</f>
        <v/>
      </c>
      <c r="H251" s="44" t="str">
        <f>IF('QUICK ENTRY'!$B251="","",'QUICK ENTRY'!$F251)</f>
        <v/>
      </c>
      <c r="I251" s="44" t="str">
        <f>IF('QUICK ENTRY'!$B251="","",'QUICK ENTRY'!$L251)</f>
        <v/>
      </c>
      <c r="J251" s="44" t="str">
        <f>IF('QUICK ENTRY'!$B251="","",'QUICK ENTRY'!$M251)</f>
        <v/>
      </c>
      <c r="K251" s="44" t="str">
        <f>IF('QUICK ENTRY'!$B251="","",'QUICK ENTRY'!$V251)</f>
        <v/>
      </c>
      <c r="L251" s="44" t="str">
        <f>IF('QUICK ENTRY'!$B251="","",'QUICK ENTRY'!$R251)</f>
        <v/>
      </c>
      <c r="M251" s="44" t="str">
        <f>IF('QUICK ENTRY'!$B251="","",'QUICK ENTRY'!$O251)</f>
        <v/>
      </c>
      <c r="N251" s="44" t="str">
        <f>IF('QUICK ENTRY'!$B251="","",'QUICK ENTRY'!$AA251)</f>
        <v/>
      </c>
      <c r="O251" s="44" t="str">
        <f>IF('QUICK ENTRY'!$B251="","",'QUICK ENTRY'!$AG251)</f>
        <v/>
      </c>
      <c r="P251" s="44" t="str">
        <f>IF('QUICK ENTRY'!$B251="","",'QUICK ENTRY'!$AF251)</f>
        <v/>
      </c>
    </row>
    <row r="252" spans="1:16" ht="14.4">
      <c r="A252" s="44" t="str">
        <f>IF('QUICK ENTRY'!$B252="","",'QUICK ENTRY'!$U252)</f>
        <v/>
      </c>
      <c r="B252" s="55" t="str">
        <f>IF('QUICK ENTRY'!$B252="","",'QUICK ENTRY'!$B252)</f>
        <v/>
      </c>
      <c r="C252" s="44" t="str">
        <f>IF('QUICK ENTRY'!$B252="","",'QUICK ENTRY'!$C252)</f>
        <v/>
      </c>
      <c r="D252" s="44" t="str">
        <f>IF('QUICK ENTRY'!$B252="","",'QUICK ENTRY'!$I252)</f>
        <v/>
      </c>
      <c r="E252" s="44" t="str">
        <f>IF('QUICK ENTRY'!$B252="","",'QUICK ENTRY'!$D252)</f>
        <v/>
      </c>
      <c r="F252" s="44" t="str">
        <f>IF('QUICK ENTRY'!$B252="","",'QUICK ENTRY'!$K252)</f>
        <v/>
      </c>
      <c r="G252" s="58" t="str">
        <f>IF('QUICK ENTRY'!$B252="","",'QUICK ENTRY'!$E252)</f>
        <v/>
      </c>
      <c r="H252" s="44" t="str">
        <f>IF('QUICK ENTRY'!$B252="","",'QUICK ENTRY'!$F252)</f>
        <v/>
      </c>
      <c r="I252" s="44" t="str">
        <f>IF('QUICK ENTRY'!$B252="","",'QUICK ENTRY'!$L252)</f>
        <v/>
      </c>
      <c r="J252" s="44" t="str">
        <f>IF('QUICK ENTRY'!$B252="","",'QUICK ENTRY'!$M252)</f>
        <v/>
      </c>
      <c r="K252" s="44" t="str">
        <f>IF('QUICK ENTRY'!$B252="","",'QUICK ENTRY'!$V252)</f>
        <v/>
      </c>
      <c r="L252" s="44" t="str">
        <f>IF('QUICK ENTRY'!$B252="","",'QUICK ENTRY'!$R252)</f>
        <v/>
      </c>
      <c r="M252" s="44" t="str">
        <f>IF('QUICK ENTRY'!$B252="","",'QUICK ENTRY'!$O252)</f>
        <v/>
      </c>
      <c r="N252" s="44" t="str">
        <f>IF('QUICK ENTRY'!$B252="","",'QUICK ENTRY'!$AA252)</f>
        <v/>
      </c>
      <c r="O252" s="44" t="str">
        <f>IF('QUICK ENTRY'!$B252="","",'QUICK ENTRY'!$AG252)</f>
        <v/>
      </c>
      <c r="P252" s="44" t="str">
        <f>IF('QUICK ENTRY'!$B252="","",'QUICK ENTRY'!$AF252)</f>
        <v/>
      </c>
    </row>
    <row r="253" spans="1:16" ht="14.4">
      <c r="A253" s="44" t="str">
        <f>IF('QUICK ENTRY'!$B253="","",'QUICK ENTRY'!$U253)</f>
        <v/>
      </c>
      <c r="B253" s="55" t="str">
        <f>IF('QUICK ENTRY'!$B253="","",'QUICK ENTRY'!$B253)</f>
        <v/>
      </c>
      <c r="C253" s="44" t="str">
        <f>IF('QUICK ENTRY'!$B253="","",'QUICK ENTRY'!$C253)</f>
        <v/>
      </c>
      <c r="D253" s="44" t="str">
        <f>IF('QUICK ENTRY'!$B253="","",'QUICK ENTRY'!$I253)</f>
        <v/>
      </c>
      <c r="E253" s="44" t="str">
        <f>IF('QUICK ENTRY'!$B253="","",'QUICK ENTRY'!$D253)</f>
        <v/>
      </c>
      <c r="F253" s="44" t="str">
        <f>IF('QUICK ENTRY'!$B253="","",'QUICK ENTRY'!$K253)</f>
        <v/>
      </c>
      <c r="G253" s="58" t="str">
        <f>IF('QUICK ENTRY'!$B253="","",'QUICK ENTRY'!$E253)</f>
        <v/>
      </c>
      <c r="H253" s="44" t="str">
        <f>IF('QUICK ENTRY'!$B253="","",'QUICK ENTRY'!$F253)</f>
        <v/>
      </c>
      <c r="I253" s="44" t="str">
        <f>IF('QUICK ENTRY'!$B253="","",'QUICK ENTRY'!$L253)</f>
        <v/>
      </c>
      <c r="J253" s="44" t="str">
        <f>IF('QUICK ENTRY'!$B253="","",'QUICK ENTRY'!$M253)</f>
        <v/>
      </c>
      <c r="K253" s="44" t="str">
        <f>IF('QUICK ENTRY'!$B253="","",'QUICK ENTRY'!$V253)</f>
        <v/>
      </c>
      <c r="L253" s="44" t="str">
        <f>IF('QUICK ENTRY'!$B253="","",'QUICK ENTRY'!$R253)</f>
        <v/>
      </c>
      <c r="M253" s="44" t="str">
        <f>IF('QUICK ENTRY'!$B253="","",'QUICK ENTRY'!$O253)</f>
        <v/>
      </c>
      <c r="N253" s="44" t="str">
        <f>IF('QUICK ENTRY'!$B253="","",'QUICK ENTRY'!$AA253)</f>
        <v/>
      </c>
      <c r="O253" s="44" t="str">
        <f>IF('QUICK ENTRY'!$B253="","",'QUICK ENTRY'!$AG253)</f>
        <v/>
      </c>
      <c r="P253" s="44" t="str">
        <f>IF('QUICK ENTRY'!$B253="","",'QUICK ENTRY'!$AF253)</f>
        <v/>
      </c>
    </row>
    <row r="254" spans="1:16" ht="14.4">
      <c r="A254" s="44" t="str">
        <f>IF('QUICK ENTRY'!$B254="","",'QUICK ENTRY'!$U254)</f>
        <v/>
      </c>
      <c r="B254" s="55" t="str">
        <f>IF('QUICK ENTRY'!$B254="","",'QUICK ENTRY'!$B254)</f>
        <v/>
      </c>
      <c r="C254" s="44" t="str">
        <f>IF('QUICK ENTRY'!$B254="","",'QUICK ENTRY'!$C254)</f>
        <v/>
      </c>
      <c r="D254" s="44" t="str">
        <f>IF('QUICK ENTRY'!$B254="","",'QUICK ENTRY'!$I254)</f>
        <v/>
      </c>
      <c r="E254" s="44" t="str">
        <f>IF('QUICK ENTRY'!$B254="","",'QUICK ENTRY'!$D254)</f>
        <v/>
      </c>
      <c r="F254" s="44" t="str">
        <f>IF('QUICK ENTRY'!$B254="","",'QUICK ENTRY'!$K254)</f>
        <v/>
      </c>
      <c r="G254" s="58" t="str">
        <f>IF('QUICK ENTRY'!$B254="","",'QUICK ENTRY'!$E254)</f>
        <v/>
      </c>
      <c r="H254" s="44" t="str">
        <f>IF('QUICK ENTRY'!$B254="","",'QUICK ENTRY'!$F254)</f>
        <v/>
      </c>
      <c r="I254" s="44" t="str">
        <f>IF('QUICK ENTRY'!$B254="","",'QUICK ENTRY'!$L254)</f>
        <v/>
      </c>
      <c r="J254" s="44" t="str">
        <f>IF('QUICK ENTRY'!$B254="","",'QUICK ENTRY'!$M254)</f>
        <v/>
      </c>
      <c r="K254" s="44" t="str">
        <f>IF('QUICK ENTRY'!$B254="","",'QUICK ENTRY'!$V254)</f>
        <v/>
      </c>
      <c r="L254" s="44" t="str">
        <f>IF('QUICK ENTRY'!$B254="","",'QUICK ENTRY'!$R254)</f>
        <v/>
      </c>
      <c r="M254" s="44" t="str">
        <f>IF('QUICK ENTRY'!$B254="","",'QUICK ENTRY'!$O254)</f>
        <v/>
      </c>
      <c r="N254" s="44" t="str">
        <f>IF('QUICK ENTRY'!$B254="","",'QUICK ENTRY'!$AA254)</f>
        <v/>
      </c>
      <c r="O254" s="44" t="str">
        <f>IF('QUICK ENTRY'!$B254="","",'QUICK ENTRY'!$AG254)</f>
        <v/>
      </c>
      <c r="P254" s="44" t="str">
        <f>IF('QUICK ENTRY'!$B254="","",'QUICK ENTRY'!$AF254)</f>
        <v/>
      </c>
    </row>
    <row r="255" spans="1:16" ht="14.4">
      <c r="A255" s="44" t="str">
        <f>IF('QUICK ENTRY'!$B255="","",'QUICK ENTRY'!$U255)</f>
        <v/>
      </c>
      <c r="B255" s="55" t="str">
        <f>IF('QUICK ENTRY'!$B255="","",'QUICK ENTRY'!$B255)</f>
        <v/>
      </c>
      <c r="C255" s="44" t="str">
        <f>IF('QUICK ENTRY'!$B255="","",'QUICK ENTRY'!$C255)</f>
        <v/>
      </c>
      <c r="D255" s="44" t="str">
        <f>IF('QUICK ENTRY'!$B255="","",'QUICK ENTRY'!$I255)</f>
        <v/>
      </c>
      <c r="E255" s="44" t="str">
        <f>IF('QUICK ENTRY'!$B255="","",'QUICK ENTRY'!$D255)</f>
        <v/>
      </c>
      <c r="F255" s="44" t="str">
        <f>IF('QUICK ENTRY'!$B255="","",'QUICK ENTRY'!$K255)</f>
        <v/>
      </c>
      <c r="G255" s="58" t="str">
        <f>IF('QUICK ENTRY'!$B255="","",'QUICK ENTRY'!$E255)</f>
        <v/>
      </c>
      <c r="H255" s="44" t="str">
        <f>IF('QUICK ENTRY'!$B255="","",'QUICK ENTRY'!$F255)</f>
        <v/>
      </c>
      <c r="I255" s="44" t="str">
        <f>IF('QUICK ENTRY'!$B255="","",'QUICK ENTRY'!$L255)</f>
        <v/>
      </c>
      <c r="J255" s="44" t="str">
        <f>IF('QUICK ENTRY'!$B255="","",'QUICK ENTRY'!$M255)</f>
        <v/>
      </c>
      <c r="K255" s="44" t="str">
        <f>IF('QUICK ENTRY'!$B255="","",'QUICK ENTRY'!$V255)</f>
        <v/>
      </c>
      <c r="L255" s="44" t="str">
        <f>IF('QUICK ENTRY'!$B255="","",'QUICK ENTRY'!$R255)</f>
        <v/>
      </c>
      <c r="M255" s="44" t="str">
        <f>IF('QUICK ENTRY'!$B255="","",'QUICK ENTRY'!$O255)</f>
        <v/>
      </c>
      <c r="N255" s="44" t="str">
        <f>IF('QUICK ENTRY'!$B255="","",'QUICK ENTRY'!$AA255)</f>
        <v/>
      </c>
      <c r="O255" s="44" t="str">
        <f>IF('QUICK ENTRY'!$B255="","",'QUICK ENTRY'!$AG255)</f>
        <v/>
      </c>
      <c r="P255" s="44" t="str">
        <f>IF('QUICK ENTRY'!$B255="","",'QUICK ENTRY'!$AF255)</f>
        <v/>
      </c>
    </row>
    <row r="256" spans="1:16" ht="14.4">
      <c r="A256" s="44" t="str">
        <f>IF('QUICK ENTRY'!$B256="","",'QUICK ENTRY'!$U256)</f>
        <v/>
      </c>
      <c r="B256" s="55" t="str">
        <f>IF('QUICK ENTRY'!$B256="","",'QUICK ENTRY'!$B256)</f>
        <v/>
      </c>
      <c r="C256" s="44" t="str">
        <f>IF('QUICK ENTRY'!$B256="","",'QUICK ENTRY'!$C256)</f>
        <v/>
      </c>
      <c r="D256" s="44" t="str">
        <f>IF('QUICK ENTRY'!$B256="","",'QUICK ENTRY'!$I256)</f>
        <v/>
      </c>
      <c r="E256" s="44" t="str">
        <f>IF('QUICK ENTRY'!$B256="","",'QUICK ENTRY'!$D256)</f>
        <v/>
      </c>
      <c r="F256" s="44" t="str">
        <f>IF('QUICK ENTRY'!$B256="","",'QUICK ENTRY'!$K256)</f>
        <v/>
      </c>
      <c r="G256" s="58" t="str">
        <f>IF('QUICK ENTRY'!$B256="","",'QUICK ENTRY'!$E256)</f>
        <v/>
      </c>
      <c r="H256" s="44" t="str">
        <f>IF('QUICK ENTRY'!$B256="","",'QUICK ENTRY'!$F256)</f>
        <v/>
      </c>
      <c r="I256" s="44" t="str">
        <f>IF('QUICK ENTRY'!$B256="","",'QUICK ENTRY'!$L256)</f>
        <v/>
      </c>
      <c r="J256" s="44" t="str">
        <f>IF('QUICK ENTRY'!$B256="","",'QUICK ENTRY'!$M256)</f>
        <v/>
      </c>
      <c r="K256" s="44" t="str">
        <f>IF('QUICK ENTRY'!$B256="","",'QUICK ENTRY'!$V256)</f>
        <v/>
      </c>
      <c r="L256" s="44" t="str">
        <f>IF('QUICK ENTRY'!$B256="","",'QUICK ENTRY'!$R256)</f>
        <v/>
      </c>
      <c r="M256" s="44" t="str">
        <f>IF('QUICK ENTRY'!$B256="","",'QUICK ENTRY'!$O256)</f>
        <v/>
      </c>
      <c r="N256" s="44" t="str">
        <f>IF('QUICK ENTRY'!$B256="","",'QUICK ENTRY'!$AA256)</f>
        <v/>
      </c>
      <c r="O256" s="44" t="str">
        <f>IF('QUICK ENTRY'!$B256="","",'QUICK ENTRY'!$AG256)</f>
        <v/>
      </c>
      <c r="P256" s="44" t="str">
        <f>IF('QUICK ENTRY'!$B256="","",'QUICK ENTRY'!$AF256)</f>
        <v/>
      </c>
    </row>
    <row r="257" spans="1:16" ht="14.4">
      <c r="A257" s="44" t="str">
        <f>IF('QUICK ENTRY'!$B257="","",'QUICK ENTRY'!$U257)</f>
        <v/>
      </c>
      <c r="B257" s="55" t="str">
        <f>IF('QUICK ENTRY'!$B257="","",'QUICK ENTRY'!$B257)</f>
        <v/>
      </c>
      <c r="C257" s="44" t="str">
        <f>IF('QUICK ENTRY'!$B257="","",'QUICK ENTRY'!$C257)</f>
        <v/>
      </c>
      <c r="D257" s="44" t="str">
        <f>IF('QUICK ENTRY'!$B257="","",'QUICK ENTRY'!$I257)</f>
        <v/>
      </c>
      <c r="E257" s="44" t="str">
        <f>IF('QUICK ENTRY'!$B257="","",'QUICK ENTRY'!$D257)</f>
        <v/>
      </c>
      <c r="F257" s="44" t="str">
        <f>IF('QUICK ENTRY'!$B257="","",'QUICK ENTRY'!$K257)</f>
        <v/>
      </c>
      <c r="G257" s="58" t="str">
        <f>IF('QUICK ENTRY'!$B257="","",'QUICK ENTRY'!$E257)</f>
        <v/>
      </c>
      <c r="H257" s="44" t="str">
        <f>IF('QUICK ENTRY'!$B257="","",'QUICK ENTRY'!$F257)</f>
        <v/>
      </c>
      <c r="I257" s="44" t="str">
        <f>IF('QUICK ENTRY'!$B257="","",'QUICK ENTRY'!$L257)</f>
        <v/>
      </c>
      <c r="J257" s="44" t="str">
        <f>IF('QUICK ENTRY'!$B257="","",'QUICK ENTRY'!$M257)</f>
        <v/>
      </c>
      <c r="K257" s="44" t="str">
        <f>IF('QUICK ENTRY'!$B257="","",'QUICK ENTRY'!$V257)</f>
        <v/>
      </c>
      <c r="L257" s="44" t="str">
        <f>IF('QUICK ENTRY'!$B257="","",'QUICK ENTRY'!$R257)</f>
        <v/>
      </c>
      <c r="M257" s="44" t="str">
        <f>IF('QUICK ENTRY'!$B257="","",'QUICK ENTRY'!$O257)</f>
        <v/>
      </c>
      <c r="N257" s="44" t="str">
        <f>IF('QUICK ENTRY'!$B257="","",'QUICK ENTRY'!$AA257)</f>
        <v/>
      </c>
      <c r="O257" s="44" t="str">
        <f>IF('QUICK ENTRY'!$B257="","",'QUICK ENTRY'!$AG257)</f>
        <v/>
      </c>
      <c r="P257" s="44" t="str">
        <f>IF('QUICK ENTRY'!$B257="","",'QUICK ENTRY'!$AF257)</f>
        <v/>
      </c>
    </row>
    <row r="258" spans="1:16" ht="14.4">
      <c r="A258" s="44" t="str">
        <f>IF('QUICK ENTRY'!$B258="","",'QUICK ENTRY'!$U258)</f>
        <v/>
      </c>
      <c r="B258" s="55" t="str">
        <f>IF('QUICK ENTRY'!$B258="","",'QUICK ENTRY'!$B258)</f>
        <v/>
      </c>
      <c r="C258" s="44" t="str">
        <f>IF('QUICK ENTRY'!$B258="","",'QUICK ENTRY'!$C258)</f>
        <v/>
      </c>
      <c r="D258" s="44" t="str">
        <f>IF('QUICK ENTRY'!$B258="","",'QUICK ENTRY'!$I258)</f>
        <v/>
      </c>
      <c r="E258" s="44" t="str">
        <f>IF('QUICK ENTRY'!$B258="","",'QUICK ENTRY'!$D258)</f>
        <v/>
      </c>
      <c r="F258" s="44" t="str">
        <f>IF('QUICK ENTRY'!$B258="","",'QUICK ENTRY'!$K258)</f>
        <v/>
      </c>
      <c r="G258" s="58" t="str">
        <f>IF('QUICK ENTRY'!$B258="","",'QUICK ENTRY'!$E258)</f>
        <v/>
      </c>
      <c r="H258" s="44" t="str">
        <f>IF('QUICK ENTRY'!$B258="","",'QUICK ENTRY'!$F258)</f>
        <v/>
      </c>
      <c r="I258" s="44" t="str">
        <f>IF('QUICK ENTRY'!$B258="","",'QUICK ENTRY'!$L258)</f>
        <v/>
      </c>
      <c r="J258" s="44" t="str">
        <f>IF('QUICK ENTRY'!$B258="","",'QUICK ENTRY'!$M258)</f>
        <v/>
      </c>
      <c r="K258" s="44" t="str">
        <f>IF('QUICK ENTRY'!$B258="","",'QUICK ENTRY'!$V258)</f>
        <v/>
      </c>
      <c r="L258" s="44" t="str">
        <f>IF('QUICK ENTRY'!$B258="","",'QUICK ENTRY'!$R258)</f>
        <v/>
      </c>
      <c r="M258" s="44" t="str">
        <f>IF('QUICK ENTRY'!$B258="","",'QUICK ENTRY'!$O258)</f>
        <v/>
      </c>
      <c r="N258" s="44" t="str">
        <f>IF('QUICK ENTRY'!$B258="","",'QUICK ENTRY'!$AA258)</f>
        <v/>
      </c>
      <c r="O258" s="44" t="str">
        <f>IF('QUICK ENTRY'!$B258="","",'QUICK ENTRY'!$AG258)</f>
        <v/>
      </c>
      <c r="P258" s="44" t="str">
        <f>IF('QUICK ENTRY'!$B258="","",'QUICK ENTRY'!$AF258)</f>
        <v/>
      </c>
    </row>
    <row r="259" spans="1:16" ht="14.4">
      <c r="A259" s="44" t="str">
        <f>IF('QUICK ENTRY'!$B259="","",'QUICK ENTRY'!$U259)</f>
        <v/>
      </c>
      <c r="B259" s="55" t="str">
        <f>IF('QUICK ENTRY'!$B259="","",'QUICK ENTRY'!$B259)</f>
        <v/>
      </c>
      <c r="C259" s="44" t="str">
        <f>IF('QUICK ENTRY'!$B259="","",'QUICK ENTRY'!$C259)</f>
        <v/>
      </c>
      <c r="D259" s="44" t="str">
        <f>IF('QUICK ENTRY'!$B259="","",'QUICK ENTRY'!$I259)</f>
        <v/>
      </c>
      <c r="E259" s="44" t="str">
        <f>IF('QUICK ENTRY'!$B259="","",'QUICK ENTRY'!$D259)</f>
        <v/>
      </c>
      <c r="F259" s="44" t="str">
        <f>IF('QUICK ENTRY'!$B259="","",'QUICK ENTRY'!$K259)</f>
        <v/>
      </c>
      <c r="G259" s="58" t="str">
        <f>IF('QUICK ENTRY'!$B259="","",'QUICK ENTRY'!$E259)</f>
        <v/>
      </c>
      <c r="H259" s="44" t="str">
        <f>IF('QUICK ENTRY'!$B259="","",'QUICK ENTRY'!$F259)</f>
        <v/>
      </c>
      <c r="I259" s="44" t="str">
        <f>IF('QUICK ENTRY'!$B259="","",'QUICK ENTRY'!$L259)</f>
        <v/>
      </c>
      <c r="J259" s="44" t="str">
        <f>IF('QUICK ENTRY'!$B259="","",'QUICK ENTRY'!$M259)</f>
        <v/>
      </c>
      <c r="K259" s="44" t="str">
        <f>IF('QUICK ENTRY'!$B259="","",'QUICK ENTRY'!$V259)</f>
        <v/>
      </c>
      <c r="L259" s="44" t="str">
        <f>IF('QUICK ENTRY'!$B259="","",'QUICK ENTRY'!$R259)</f>
        <v/>
      </c>
      <c r="M259" s="44" t="str">
        <f>IF('QUICK ENTRY'!$B259="","",'QUICK ENTRY'!$O259)</f>
        <v/>
      </c>
      <c r="N259" s="44" t="str">
        <f>IF('QUICK ENTRY'!$B259="","",'QUICK ENTRY'!$AA259)</f>
        <v/>
      </c>
      <c r="O259" s="44" t="str">
        <f>IF('QUICK ENTRY'!$B259="","",'QUICK ENTRY'!$AG259)</f>
        <v/>
      </c>
      <c r="P259" s="44" t="str">
        <f>IF('QUICK ENTRY'!$B259="","",'QUICK ENTRY'!$AF259)</f>
        <v/>
      </c>
    </row>
    <row r="260" spans="1:16" ht="14.4">
      <c r="A260" s="44" t="str">
        <f>IF('QUICK ENTRY'!$B260="","",'QUICK ENTRY'!$U260)</f>
        <v/>
      </c>
      <c r="B260" s="55" t="str">
        <f>IF('QUICK ENTRY'!$B260="","",'QUICK ENTRY'!$B260)</f>
        <v/>
      </c>
      <c r="C260" s="44" t="str">
        <f>IF('QUICK ENTRY'!$B260="","",'QUICK ENTRY'!$C260)</f>
        <v/>
      </c>
      <c r="D260" s="44" t="str">
        <f>IF('QUICK ENTRY'!$B260="","",'QUICK ENTRY'!$I260)</f>
        <v/>
      </c>
      <c r="E260" s="44" t="str">
        <f>IF('QUICK ENTRY'!$B260="","",'QUICK ENTRY'!$D260)</f>
        <v/>
      </c>
      <c r="F260" s="44" t="str">
        <f>IF('QUICK ENTRY'!$B260="","",'QUICK ENTRY'!$K260)</f>
        <v/>
      </c>
      <c r="G260" s="58" t="str">
        <f>IF('QUICK ENTRY'!$B260="","",'QUICK ENTRY'!$E260)</f>
        <v/>
      </c>
      <c r="H260" s="44" t="str">
        <f>IF('QUICK ENTRY'!$B260="","",'QUICK ENTRY'!$F260)</f>
        <v/>
      </c>
      <c r="I260" s="44" t="str">
        <f>IF('QUICK ENTRY'!$B260="","",'QUICK ENTRY'!$L260)</f>
        <v/>
      </c>
      <c r="J260" s="44" t="str">
        <f>IF('QUICK ENTRY'!$B260="","",'QUICK ENTRY'!$M260)</f>
        <v/>
      </c>
      <c r="K260" s="44" t="str">
        <f>IF('QUICK ENTRY'!$B260="","",'QUICK ENTRY'!$V260)</f>
        <v/>
      </c>
      <c r="L260" s="44" t="str">
        <f>IF('QUICK ENTRY'!$B260="","",'QUICK ENTRY'!$R260)</f>
        <v/>
      </c>
      <c r="M260" s="44" t="str">
        <f>IF('QUICK ENTRY'!$B260="","",'QUICK ENTRY'!$O260)</f>
        <v/>
      </c>
      <c r="N260" s="44" t="str">
        <f>IF('QUICK ENTRY'!$B260="","",'QUICK ENTRY'!$AA260)</f>
        <v/>
      </c>
      <c r="O260" s="44" t="str">
        <f>IF('QUICK ENTRY'!$B260="","",'QUICK ENTRY'!$AG260)</f>
        <v/>
      </c>
      <c r="P260" s="44" t="str">
        <f>IF('QUICK ENTRY'!$B260="","",'QUICK ENTRY'!$AF260)</f>
        <v/>
      </c>
    </row>
    <row r="261" spans="1:16" ht="14.4">
      <c r="A261" s="44" t="str">
        <f>IF('QUICK ENTRY'!$B261="","",'QUICK ENTRY'!$U261)</f>
        <v/>
      </c>
      <c r="B261" s="55" t="str">
        <f>IF('QUICK ENTRY'!$B261="","",'QUICK ENTRY'!$B261)</f>
        <v/>
      </c>
      <c r="C261" s="44" t="str">
        <f>IF('QUICK ENTRY'!$B261="","",'QUICK ENTRY'!$C261)</f>
        <v/>
      </c>
      <c r="D261" s="44" t="str">
        <f>IF('QUICK ENTRY'!$B261="","",'QUICK ENTRY'!$I261)</f>
        <v/>
      </c>
      <c r="E261" s="44" t="str">
        <f>IF('QUICK ENTRY'!$B261="","",'QUICK ENTRY'!$D261)</f>
        <v/>
      </c>
      <c r="F261" s="44" t="str">
        <f>IF('QUICK ENTRY'!$B261="","",'QUICK ENTRY'!$K261)</f>
        <v/>
      </c>
      <c r="G261" s="58" t="str">
        <f>IF('QUICK ENTRY'!$B261="","",'QUICK ENTRY'!$E261)</f>
        <v/>
      </c>
      <c r="H261" s="44" t="str">
        <f>IF('QUICK ENTRY'!$B261="","",'QUICK ENTRY'!$F261)</f>
        <v/>
      </c>
      <c r="I261" s="44" t="str">
        <f>IF('QUICK ENTRY'!$B261="","",'QUICK ENTRY'!$L261)</f>
        <v/>
      </c>
      <c r="J261" s="44" t="str">
        <f>IF('QUICK ENTRY'!$B261="","",'QUICK ENTRY'!$M261)</f>
        <v/>
      </c>
      <c r="K261" s="44" t="str">
        <f>IF('QUICK ENTRY'!$B261="","",'QUICK ENTRY'!$V261)</f>
        <v/>
      </c>
      <c r="L261" s="44" t="str">
        <f>IF('QUICK ENTRY'!$B261="","",'QUICK ENTRY'!$R261)</f>
        <v/>
      </c>
      <c r="M261" s="44" t="str">
        <f>IF('QUICK ENTRY'!$B261="","",'QUICK ENTRY'!$O261)</f>
        <v/>
      </c>
      <c r="N261" s="44" t="str">
        <f>IF('QUICK ENTRY'!$B261="","",'QUICK ENTRY'!$AA261)</f>
        <v/>
      </c>
      <c r="O261" s="44" t="str">
        <f>IF('QUICK ENTRY'!$B261="","",'QUICK ENTRY'!$AG261)</f>
        <v/>
      </c>
      <c r="P261" s="44" t="str">
        <f>IF('QUICK ENTRY'!$B261="","",'QUICK ENTRY'!$AF261)</f>
        <v/>
      </c>
    </row>
    <row r="262" spans="1:16" ht="14.4">
      <c r="A262" s="44" t="str">
        <f>IF('QUICK ENTRY'!$B262="","",'QUICK ENTRY'!$U262)</f>
        <v/>
      </c>
      <c r="B262" s="55" t="str">
        <f>IF('QUICK ENTRY'!$B262="","",'QUICK ENTRY'!$B262)</f>
        <v/>
      </c>
      <c r="C262" s="44" t="str">
        <f>IF('QUICK ENTRY'!$B262="","",'QUICK ENTRY'!$C262)</f>
        <v/>
      </c>
      <c r="D262" s="44" t="str">
        <f>IF('QUICK ENTRY'!$B262="","",'QUICK ENTRY'!$I262)</f>
        <v/>
      </c>
      <c r="E262" s="44" t="str">
        <f>IF('QUICK ENTRY'!$B262="","",'QUICK ENTRY'!$D262)</f>
        <v/>
      </c>
      <c r="F262" s="44" t="str">
        <f>IF('QUICK ENTRY'!$B262="","",'QUICK ENTRY'!$K262)</f>
        <v/>
      </c>
      <c r="G262" s="58" t="str">
        <f>IF('QUICK ENTRY'!$B262="","",'QUICK ENTRY'!$E262)</f>
        <v/>
      </c>
      <c r="H262" s="44" t="str">
        <f>IF('QUICK ENTRY'!$B262="","",'QUICK ENTRY'!$F262)</f>
        <v/>
      </c>
      <c r="I262" s="44" t="str">
        <f>IF('QUICK ENTRY'!$B262="","",'QUICK ENTRY'!$L262)</f>
        <v/>
      </c>
      <c r="J262" s="44" t="str">
        <f>IF('QUICK ENTRY'!$B262="","",'QUICK ENTRY'!$M262)</f>
        <v/>
      </c>
      <c r="K262" s="44" t="str">
        <f>IF('QUICK ENTRY'!$B262="","",'QUICK ENTRY'!$V262)</f>
        <v/>
      </c>
      <c r="L262" s="44" t="str">
        <f>IF('QUICK ENTRY'!$B262="","",'QUICK ENTRY'!$R262)</f>
        <v/>
      </c>
      <c r="M262" s="44" t="str">
        <f>IF('QUICK ENTRY'!$B262="","",'QUICK ENTRY'!$O262)</f>
        <v/>
      </c>
      <c r="N262" s="44" t="str">
        <f>IF('QUICK ENTRY'!$B262="","",'QUICK ENTRY'!$AA262)</f>
        <v/>
      </c>
      <c r="O262" s="44" t="str">
        <f>IF('QUICK ENTRY'!$B262="","",'QUICK ENTRY'!$AG262)</f>
        <v/>
      </c>
      <c r="P262" s="44" t="str">
        <f>IF('QUICK ENTRY'!$B262="","",'QUICK ENTRY'!$AF262)</f>
        <v/>
      </c>
    </row>
    <row r="263" spans="1:16" ht="14.4">
      <c r="A263" s="44" t="str">
        <f>IF('QUICK ENTRY'!$B263="","",'QUICK ENTRY'!$U263)</f>
        <v/>
      </c>
      <c r="B263" s="55" t="str">
        <f>IF('QUICK ENTRY'!$B263="","",'QUICK ENTRY'!$B263)</f>
        <v/>
      </c>
      <c r="C263" s="44" t="str">
        <f>IF('QUICK ENTRY'!$B263="","",'QUICK ENTRY'!$C263)</f>
        <v/>
      </c>
      <c r="D263" s="44" t="str">
        <f>IF('QUICK ENTRY'!$B263="","",'QUICK ENTRY'!$I263)</f>
        <v/>
      </c>
      <c r="E263" s="44" t="str">
        <f>IF('QUICK ENTRY'!$B263="","",'QUICK ENTRY'!$D263)</f>
        <v/>
      </c>
      <c r="F263" s="44" t="str">
        <f>IF('QUICK ENTRY'!$B263="","",'QUICK ENTRY'!$K263)</f>
        <v/>
      </c>
      <c r="G263" s="58" t="str">
        <f>IF('QUICK ENTRY'!$B263="","",'QUICK ENTRY'!$E263)</f>
        <v/>
      </c>
      <c r="H263" s="44" t="str">
        <f>IF('QUICK ENTRY'!$B263="","",'QUICK ENTRY'!$F263)</f>
        <v/>
      </c>
      <c r="I263" s="44" t="str">
        <f>IF('QUICK ENTRY'!$B263="","",'QUICK ENTRY'!$L263)</f>
        <v/>
      </c>
      <c r="J263" s="44" t="str">
        <f>IF('QUICK ENTRY'!$B263="","",'QUICK ENTRY'!$M263)</f>
        <v/>
      </c>
      <c r="K263" s="44" t="str">
        <f>IF('QUICK ENTRY'!$B263="","",'QUICK ENTRY'!$V263)</f>
        <v/>
      </c>
      <c r="L263" s="44" t="str">
        <f>IF('QUICK ENTRY'!$B263="","",'QUICK ENTRY'!$R263)</f>
        <v/>
      </c>
      <c r="M263" s="44" t="str">
        <f>IF('QUICK ENTRY'!$B263="","",'QUICK ENTRY'!$O263)</f>
        <v/>
      </c>
      <c r="N263" s="44" t="str">
        <f>IF('QUICK ENTRY'!$B263="","",'QUICK ENTRY'!$AA263)</f>
        <v/>
      </c>
      <c r="O263" s="44" t="str">
        <f>IF('QUICK ENTRY'!$B263="","",'QUICK ENTRY'!$AG263)</f>
        <v/>
      </c>
      <c r="P263" s="44" t="str">
        <f>IF('QUICK ENTRY'!$B263="","",'QUICK ENTRY'!$AF263)</f>
        <v/>
      </c>
    </row>
    <row r="264" spans="1:16" ht="14.4">
      <c r="A264" s="44" t="str">
        <f>IF('QUICK ENTRY'!$B264="","",'QUICK ENTRY'!$U264)</f>
        <v/>
      </c>
      <c r="B264" s="55" t="str">
        <f>IF('QUICK ENTRY'!$B264="","",'QUICK ENTRY'!$B264)</f>
        <v/>
      </c>
      <c r="C264" s="44" t="str">
        <f>IF('QUICK ENTRY'!$B264="","",'QUICK ENTRY'!$C264)</f>
        <v/>
      </c>
      <c r="D264" s="44" t="str">
        <f>IF('QUICK ENTRY'!$B264="","",'QUICK ENTRY'!$I264)</f>
        <v/>
      </c>
      <c r="E264" s="44" t="str">
        <f>IF('QUICK ENTRY'!$B264="","",'QUICK ENTRY'!$D264)</f>
        <v/>
      </c>
      <c r="F264" s="44" t="str">
        <f>IF('QUICK ENTRY'!$B264="","",'QUICK ENTRY'!$K264)</f>
        <v/>
      </c>
      <c r="G264" s="58" t="str">
        <f>IF('QUICK ENTRY'!$B264="","",'QUICK ENTRY'!$E264)</f>
        <v/>
      </c>
      <c r="H264" s="44" t="str">
        <f>IF('QUICK ENTRY'!$B264="","",'QUICK ENTRY'!$F264)</f>
        <v/>
      </c>
      <c r="I264" s="44" t="str">
        <f>IF('QUICK ENTRY'!$B264="","",'QUICK ENTRY'!$L264)</f>
        <v/>
      </c>
      <c r="J264" s="44" t="str">
        <f>IF('QUICK ENTRY'!$B264="","",'QUICK ENTRY'!$M264)</f>
        <v/>
      </c>
      <c r="K264" s="44" t="str">
        <f>IF('QUICK ENTRY'!$B264="","",'QUICK ENTRY'!$V264)</f>
        <v/>
      </c>
      <c r="L264" s="44" t="str">
        <f>IF('QUICK ENTRY'!$B264="","",'QUICK ENTRY'!$R264)</f>
        <v/>
      </c>
      <c r="M264" s="44" t="str">
        <f>IF('QUICK ENTRY'!$B264="","",'QUICK ENTRY'!$O264)</f>
        <v/>
      </c>
      <c r="N264" s="44" t="str">
        <f>IF('QUICK ENTRY'!$B264="","",'QUICK ENTRY'!$AA264)</f>
        <v/>
      </c>
      <c r="O264" s="44" t="str">
        <f>IF('QUICK ENTRY'!$B264="","",'QUICK ENTRY'!$AG264)</f>
        <v/>
      </c>
      <c r="P264" s="44" t="str">
        <f>IF('QUICK ENTRY'!$B264="","",'QUICK ENTRY'!$AF264)</f>
        <v/>
      </c>
    </row>
    <row r="265" spans="1:16" ht="14.4">
      <c r="A265" s="44" t="str">
        <f>IF('QUICK ENTRY'!$B265="","",'QUICK ENTRY'!$U265)</f>
        <v/>
      </c>
      <c r="B265" s="55" t="str">
        <f>IF('QUICK ENTRY'!$B265="","",'QUICK ENTRY'!$B265)</f>
        <v/>
      </c>
      <c r="C265" s="44" t="str">
        <f>IF('QUICK ENTRY'!$B265="","",'QUICK ENTRY'!$C265)</f>
        <v/>
      </c>
      <c r="D265" s="44" t="str">
        <f>IF('QUICK ENTRY'!$B265="","",'QUICK ENTRY'!$I265)</f>
        <v/>
      </c>
      <c r="E265" s="44" t="str">
        <f>IF('QUICK ENTRY'!$B265="","",'QUICK ENTRY'!$D265)</f>
        <v/>
      </c>
      <c r="F265" s="44" t="str">
        <f>IF('QUICK ENTRY'!$B265="","",'QUICK ENTRY'!$K265)</f>
        <v/>
      </c>
      <c r="G265" s="58" t="str">
        <f>IF('QUICK ENTRY'!$B265="","",'QUICK ENTRY'!$E265)</f>
        <v/>
      </c>
      <c r="H265" s="44" t="str">
        <f>IF('QUICK ENTRY'!$B265="","",'QUICK ENTRY'!$F265)</f>
        <v/>
      </c>
      <c r="I265" s="44" t="str">
        <f>IF('QUICK ENTRY'!$B265="","",'QUICK ENTRY'!$L265)</f>
        <v/>
      </c>
      <c r="J265" s="44" t="str">
        <f>IF('QUICK ENTRY'!$B265="","",'QUICK ENTRY'!$M265)</f>
        <v/>
      </c>
      <c r="K265" s="44" t="str">
        <f>IF('QUICK ENTRY'!$B265="","",'QUICK ENTRY'!$V265)</f>
        <v/>
      </c>
      <c r="L265" s="44" t="str">
        <f>IF('QUICK ENTRY'!$B265="","",'QUICK ENTRY'!$R265)</f>
        <v/>
      </c>
      <c r="M265" s="44" t="str">
        <f>IF('QUICK ENTRY'!$B265="","",'QUICK ENTRY'!$O265)</f>
        <v/>
      </c>
      <c r="N265" s="44" t="str">
        <f>IF('QUICK ENTRY'!$B265="","",'QUICK ENTRY'!$AA265)</f>
        <v/>
      </c>
      <c r="O265" s="44" t="str">
        <f>IF('QUICK ENTRY'!$B265="","",'QUICK ENTRY'!$AG265)</f>
        <v/>
      </c>
      <c r="P265" s="44" t="str">
        <f>IF('QUICK ENTRY'!$B265="","",'QUICK ENTRY'!$AF265)</f>
        <v/>
      </c>
    </row>
    <row r="266" spans="1:16" ht="14.4">
      <c r="A266" s="44" t="str">
        <f>IF('QUICK ENTRY'!$B266="","",'QUICK ENTRY'!$U266)</f>
        <v/>
      </c>
      <c r="B266" s="55" t="str">
        <f>IF('QUICK ENTRY'!$B266="","",'QUICK ENTRY'!$B266)</f>
        <v/>
      </c>
      <c r="C266" s="44" t="str">
        <f>IF('QUICK ENTRY'!$B266="","",'QUICK ENTRY'!$C266)</f>
        <v/>
      </c>
      <c r="D266" s="44" t="str">
        <f>IF('QUICK ENTRY'!$B266="","",'QUICK ENTRY'!$I266)</f>
        <v/>
      </c>
      <c r="E266" s="44" t="str">
        <f>IF('QUICK ENTRY'!$B266="","",'QUICK ENTRY'!$D266)</f>
        <v/>
      </c>
      <c r="F266" s="44" t="str">
        <f>IF('QUICK ENTRY'!$B266="","",'QUICK ENTRY'!$K266)</f>
        <v/>
      </c>
      <c r="G266" s="58" t="str">
        <f>IF('QUICK ENTRY'!$B266="","",'QUICK ENTRY'!$E266)</f>
        <v/>
      </c>
      <c r="H266" s="44" t="str">
        <f>IF('QUICK ENTRY'!$B266="","",'QUICK ENTRY'!$F266)</f>
        <v/>
      </c>
      <c r="I266" s="44" t="str">
        <f>IF('QUICK ENTRY'!$B266="","",'QUICK ENTRY'!$L266)</f>
        <v/>
      </c>
      <c r="J266" s="44" t="str">
        <f>IF('QUICK ENTRY'!$B266="","",'QUICK ENTRY'!$M266)</f>
        <v/>
      </c>
      <c r="K266" s="44" t="str">
        <f>IF('QUICK ENTRY'!$B266="","",'QUICK ENTRY'!$V266)</f>
        <v/>
      </c>
      <c r="L266" s="44" t="str">
        <f>IF('QUICK ENTRY'!$B266="","",'QUICK ENTRY'!$R266)</f>
        <v/>
      </c>
      <c r="M266" s="44" t="str">
        <f>IF('QUICK ENTRY'!$B266="","",'QUICK ENTRY'!$O266)</f>
        <v/>
      </c>
      <c r="N266" s="44" t="str">
        <f>IF('QUICK ENTRY'!$B266="","",'QUICK ENTRY'!$AA266)</f>
        <v/>
      </c>
      <c r="O266" s="44" t="str">
        <f>IF('QUICK ENTRY'!$B266="","",'QUICK ENTRY'!$AG266)</f>
        <v/>
      </c>
      <c r="P266" s="44" t="str">
        <f>IF('QUICK ENTRY'!$B266="","",'QUICK ENTRY'!$AF266)</f>
        <v/>
      </c>
    </row>
    <row r="267" spans="1:16" ht="14.4">
      <c r="A267" s="44" t="str">
        <f>IF('QUICK ENTRY'!$B267="","",'QUICK ENTRY'!$U267)</f>
        <v/>
      </c>
      <c r="B267" s="55" t="str">
        <f>IF('QUICK ENTRY'!$B267="","",'QUICK ENTRY'!$B267)</f>
        <v/>
      </c>
      <c r="C267" s="44" t="str">
        <f>IF('QUICK ENTRY'!$B267="","",'QUICK ENTRY'!$C267)</f>
        <v/>
      </c>
      <c r="D267" s="44" t="str">
        <f>IF('QUICK ENTRY'!$B267="","",'QUICK ENTRY'!$I267)</f>
        <v/>
      </c>
      <c r="E267" s="44" t="str">
        <f>IF('QUICK ENTRY'!$B267="","",'QUICK ENTRY'!$D267)</f>
        <v/>
      </c>
      <c r="F267" s="44" t="str">
        <f>IF('QUICK ENTRY'!$B267="","",'QUICK ENTRY'!$K267)</f>
        <v/>
      </c>
      <c r="G267" s="58" t="str">
        <f>IF('QUICK ENTRY'!$B267="","",'QUICK ENTRY'!$E267)</f>
        <v/>
      </c>
      <c r="H267" s="44" t="str">
        <f>IF('QUICK ENTRY'!$B267="","",'QUICK ENTRY'!$F267)</f>
        <v/>
      </c>
      <c r="I267" s="44" t="str">
        <f>IF('QUICK ENTRY'!$B267="","",'QUICK ENTRY'!$L267)</f>
        <v/>
      </c>
      <c r="J267" s="44" t="str">
        <f>IF('QUICK ENTRY'!$B267="","",'QUICK ENTRY'!$M267)</f>
        <v/>
      </c>
      <c r="K267" s="44" t="str">
        <f>IF('QUICK ENTRY'!$B267="","",'QUICK ENTRY'!$V267)</f>
        <v/>
      </c>
      <c r="L267" s="44" t="str">
        <f>IF('QUICK ENTRY'!$B267="","",'QUICK ENTRY'!$R267)</f>
        <v/>
      </c>
      <c r="M267" s="44" t="str">
        <f>IF('QUICK ENTRY'!$B267="","",'QUICK ENTRY'!$O267)</f>
        <v/>
      </c>
      <c r="N267" s="44" t="str">
        <f>IF('QUICK ENTRY'!$B267="","",'QUICK ENTRY'!$AA267)</f>
        <v/>
      </c>
      <c r="O267" s="44" t="str">
        <f>IF('QUICK ENTRY'!$B267="","",'QUICK ENTRY'!$AG267)</f>
        <v/>
      </c>
      <c r="P267" s="44" t="str">
        <f>IF('QUICK ENTRY'!$B267="","",'QUICK ENTRY'!$AF267)</f>
        <v/>
      </c>
    </row>
    <row r="268" spans="1:16" ht="14.4">
      <c r="A268" s="44" t="str">
        <f>IF('QUICK ENTRY'!$B268="","",'QUICK ENTRY'!$U268)</f>
        <v/>
      </c>
      <c r="B268" s="55" t="str">
        <f>IF('QUICK ENTRY'!$B268="","",'QUICK ENTRY'!$B268)</f>
        <v/>
      </c>
      <c r="C268" s="44" t="str">
        <f>IF('QUICK ENTRY'!$B268="","",'QUICK ENTRY'!$C268)</f>
        <v/>
      </c>
      <c r="D268" s="44" t="str">
        <f>IF('QUICK ENTRY'!$B268="","",'QUICK ENTRY'!$I268)</f>
        <v/>
      </c>
      <c r="E268" s="44" t="str">
        <f>IF('QUICK ENTRY'!$B268="","",'QUICK ENTRY'!$D268)</f>
        <v/>
      </c>
      <c r="F268" s="44" t="str">
        <f>IF('QUICK ENTRY'!$B268="","",'QUICK ENTRY'!$K268)</f>
        <v/>
      </c>
      <c r="G268" s="58" t="str">
        <f>IF('QUICK ENTRY'!$B268="","",'QUICK ENTRY'!$E268)</f>
        <v/>
      </c>
      <c r="H268" s="44" t="str">
        <f>IF('QUICK ENTRY'!$B268="","",'QUICK ENTRY'!$F268)</f>
        <v/>
      </c>
      <c r="I268" s="44" t="str">
        <f>IF('QUICK ENTRY'!$B268="","",'QUICK ENTRY'!$L268)</f>
        <v/>
      </c>
      <c r="J268" s="44" t="str">
        <f>IF('QUICK ENTRY'!$B268="","",'QUICK ENTRY'!$M268)</f>
        <v/>
      </c>
      <c r="K268" s="44" t="str">
        <f>IF('QUICK ENTRY'!$B268="","",'QUICK ENTRY'!$V268)</f>
        <v/>
      </c>
      <c r="L268" s="44" t="str">
        <f>IF('QUICK ENTRY'!$B268="","",'QUICK ENTRY'!$R268)</f>
        <v/>
      </c>
      <c r="M268" s="44" t="str">
        <f>IF('QUICK ENTRY'!$B268="","",'QUICK ENTRY'!$O268)</f>
        <v/>
      </c>
      <c r="N268" s="44" t="str">
        <f>IF('QUICK ENTRY'!$B268="","",'QUICK ENTRY'!$AA268)</f>
        <v/>
      </c>
      <c r="O268" s="44" t="str">
        <f>IF('QUICK ENTRY'!$B268="","",'QUICK ENTRY'!$AG268)</f>
        <v/>
      </c>
      <c r="P268" s="44" t="str">
        <f>IF('QUICK ENTRY'!$B268="","",'QUICK ENTRY'!$AF268)</f>
        <v/>
      </c>
    </row>
    <row r="269" spans="1:16" ht="14.4">
      <c r="A269" s="44" t="str">
        <f>IF('QUICK ENTRY'!$B269="","",'QUICK ENTRY'!$U269)</f>
        <v/>
      </c>
      <c r="B269" s="55" t="str">
        <f>IF('QUICK ENTRY'!$B269="","",'QUICK ENTRY'!$B269)</f>
        <v/>
      </c>
      <c r="C269" s="44" t="str">
        <f>IF('QUICK ENTRY'!$B269="","",'QUICK ENTRY'!$C269)</f>
        <v/>
      </c>
      <c r="D269" s="44" t="str">
        <f>IF('QUICK ENTRY'!$B269="","",'QUICK ENTRY'!$I269)</f>
        <v/>
      </c>
      <c r="E269" s="44" t="str">
        <f>IF('QUICK ENTRY'!$B269="","",'QUICK ENTRY'!$D269)</f>
        <v/>
      </c>
      <c r="F269" s="44" t="str">
        <f>IF('QUICK ENTRY'!$B269="","",'QUICK ENTRY'!$K269)</f>
        <v/>
      </c>
      <c r="G269" s="58" t="str">
        <f>IF('QUICK ENTRY'!$B269="","",'QUICK ENTRY'!$E269)</f>
        <v/>
      </c>
      <c r="H269" s="44" t="str">
        <f>IF('QUICK ENTRY'!$B269="","",'QUICK ENTRY'!$F269)</f>
        <v/>
      </c>
      <c r="I269" s="44" t="str">
        <f>IF('QUICK ENTRY'!$B269="","",'QUICK ENTRY'!$L269)</f>
        <v/>
      </c>
      <c r="J269" s="44" t="str">
        <f>IF('QUICK ENTRY'!$B269="","",'QUICK ENTRY'!$M269)</f>
        <v/>
      </c>
      <c r="K269" s="44" t="str">
        <f>IF('QUICK ENTRY'!$B269="","",'QUICK ENTRY'!$V269)</f>
        <v/>
      </c>
      <c r="L269" s="44" t="str">
        <f>IF('QUICK ENTRY'!$B269="","",'QUICK ENTRY'!$R269)</f>
        <v/>
      </c>
      <c r="M269" s="44" t="str">
        <f>IF('QUICK ENTRY'!$B269="","",'QUICK ENTRY'!$O269)</f>
        <v/>
      </c>
      <c r="N269" s="44" t="str">
        <f>IF('QUICK ENTRY'!$B269="","",'QUICK ENTRY'!$AA269)</f>
        <v/>
      </c>
      <c r="O269" s="44" t="str">
        <f>IF('QUICK ENTRY'!$B269="","",'QUICK ENTRY'!$AG269)</f>
        <v/>
      </c>
      <c r="P269" s="44" t="str">
        <f>IF('QUICK ENTRY'!$B269="","",'QUICK ENTRY'!$AF269)</f>
        <v/>
      </c>
    </row>
    <row r="270" spans="1:16" ht="14.4">
      <c r="A270" s="44" t="str">
        <f>IF('QUICK ENTRY'!$B270="","",'QUICK ENTRY'!$U270)</f>
        <v/>
      </c>
      <c r="B270" s="55" t="str">
        <f>IF('QUICK ENTRY'!$B270="","",'QUICK ENTRY'!$B270)</f>
        <v/>
      </c>
      <c r="C270" s="44" t="str">
        <f>IF('QUICK ENTRY'!$B270="","",'QUICK ENTRY'!$C270)</f>
        <v/>
      </c>
      <c r="D270" s="44" t="str">
        <f>IF('QUICK ENTRY'!$B270="","",'QUICK ENTRY'!$I270)</f>
        <v/>
      </c>
      <c r="E270" s="44" t="str">
        <f>IF('QUICK ENTRY'!$B270="","",'QUICK ENTRY'!$D270)</f>
        <v/>
      </c>
      <c r="F270" s="44" t="str">
        <f>IF('QUICK ENTRY'!$B270="","",'QUICK ENTRY'!$K270)</f>
        <v/>
      </c>
      <c r="G270" s="58" t="str">
        <f>IF('QUICK ENTRY'!$B270="","",'QUICK ENTRY'!$E270)</f>
        <v/>
      </c>
      <c r="H270" s="44" t="str">
        <f>IF('QUICK ENTRY'!$B270="","",'QUICK ENTRY'!$F270)</f>
        <v/>
      </c>
      <c r="I270" s="44" t="str">
        <f>IF('QUICK ENTRY'!$B270="","",'QUICK ENTRY'!$L270)</f>
        <v/>
      </c>
      <c r="J270" s="44" t="str">
        <f>IF('QUICK ENTRY'!$B270="","",'QUICK ENTRY'!$M270)</f>
        <v/>
      </c>
      <c r="K270" s="44" t="str">
        <f>IF('QUICK ENTRY'!$B270="","",'QUICK ENTRY'!$V270)</f>
        <v/>
      </c>
      <c r="L270" s="44" t="str">
        <f>IF('QUICK ENTRY'!$B270="","",'QUICK ENTRY'!$R270)</f>
        <v/>
      </c>
      <c r="M270" s="44" t="str">
        <f>IF('QUICK ENTRY'!$B270="","",'QUICK ENTRY'!$O270)</f>
        <v/>
      </c>
      <c r="N270" s="44" t="str">
        <f>IF('QUICK ENTRY'!$B270="","",'QUICK ENTRY'!$AA270)</f>
        <v/>
      </c>
      <c r="O270" s="44" t="str">
        <f>IF('QUICK ENTRY'!$B270="","",'QUICK ENTRY'!$AG270)</f>
        <v/>
      </c>
      <c r="P270" s="44" t="str">
        <f>IF('QUICK ENTRY'!$B270="","",'QUICK ENTRY'!$AF270)</f>
        <v/>
      </c>
    </row>
    <row r="271" spans="1:16" ht="14.4">
      <c r="A271" s="44" t="str">
        <f>IF('QUICK ENTRY'!$B271="","",'QUICK ENTRY'!$U271)</f>
        <v/>
      </c>
      <c r="B271" s="55" t="str">
        <f>IF('QUICK ENTRY'!$B271="","",'QUICK ENTRY'!$B271)</f>
        <v/>
      </c>
      <c r="C271" s="44" t="str">
        <f>IF('QUICK ENTRY'!$B271="","",'QUICK ENTRY'!$C271)</f>
        <v/>
      </c>
      <c r="D271" s="44" t="str">
        <f>IF('QUICK ENTRY'!$B271="","",'QUICK ENTRY'!$I271)</f>
        <v/>
      </c>
      <c r="E271" s="44" t="str">
        <f>IF('QUICK ENTRY'!$B271="","",'QUICK ENTRY'!$D271)</f>
        <v/>
      </c>
      <c r="F271" s="44" t="str">
        <f>IF('QUICK ENTRY'!$B271="","",'QUICK ENTRY'!$K271)</f>
        <v/>
      </c>
      <c r="G271" s="58" t="str">
        <f>IF('QUICK ENTRY'!$B271="","",'QUICK ENTRY'!$E271)</f>
        <v/>
      </c>
      <c r="H271" s="44" t="str">
        <f>IF('QUICK ENTRY'!$B271="","",'QUICK ENTRY'!$F271)</f>
        <v/>
      </c>
      <c r="I271" s="44" t="str">
        <f>IF('QUICK ENTRY'!$B271="","",'QUICK ENTRY'!$L271)</f>
        <v/>
      </c>
      <c r="J271" s="44" t="str">
        <f>IF('QUICK ENTRY'!$B271="","",'QUICK ENTRY'!$M271)</f>
        <v/>
      </c>
      <c r="K271" s="44" t="str">
        <f>IF('QUICK ENTRY'!$B271="","",'QUICK ENTRY'!$V271)</f>
        <v/>
      </c>
      <c r="L271" s="44" t="str">
        <f>IF('QUICK ENTRY'!$B271="","",'QUICK ENTRY'!$R271)</f>
        <v/>
      </c>
      <c r="M271" s="44" t="str">
        <f>IF('QUICK ENTRY'!$B271="","",'QUICK ENTRY'!$O271)</f>
        <v/>
      </c>
      <c r="N271" s="44" t="str">
        <f>IF('QUICK ENTRY'!$B271="","",'QUICK ENTRY'!$AA271)</f>
        <v/>
      </c>
      <c r="O271" s="44" t="str">
        <f>IF('QUICK ENTRY'!$B271="","",'QUICK ENTRY'!$AG271)</f>
        <v/>
      </c>
      <c r="P271" s="44" t="str">
        <f>IF('QUICK ENTRY'!$B271="","",'QUICK ENTRY'!$AF271)</f>
        <v/>
      </c>
    </row>
    <row r="272" spans="1:16" ht="14.4">
      <c r="A272" s="44" t="str">
        <f>IF('QUICK ENTRY'!$B272="","",'QUICK ENTRY'!$U272)</f>
        <v/>
      </c>
      <c r="B272" s="55" t="str">
        <f>IF('QUICK ENTRY'!$B272="","",'QUICK ENTRY'!$B272)</f>
        <v/>
      </c>
      <c r="C272" s="44" t="str">
        <f>IF('QUICK ENTRY'!$B272="","",'QUICK ENTRY'!$C272)</f>
        <v/>
      </c>
      <c r="D272" s="44" t="str">
        <f>IF('QUICK ENTRY'!$B272="","",'QUICK ENTRY'!$I272)</f>
        <v/>
      </c>
      <c r="E272" s="44" t="str">
        <f>IF('QUICK ENTRY'!$B272="","",'QUICK ENTRY'!$D272)</f>
        <v/>
      </c>
      <c r="F272" s="44" t="str">
        <f>IF('QUICK ENTRY'!$B272="","",'QUICK ENTRY'!$K272)</f>
        <v/>
      </c>
      <c r="G272" s="58" t="str">
        <f>IF('QUICK ENTRY'!$B272="","",'QUICK ENTRY'!$E272)</f>
        <v/>
      </c>
      <c r="H272" s="44" t="str">
        <f>IF('QUICK ENTRY'!$B272="","",'QUICK ENTRY'!$F272)</f>
        <v/>
      </c>
      <c r="I272" s="44" t="str">
        <f>IF('QUICK ENTRY'!$B272="","",'QUICK ENTRY'!$L272)</f>
        <v/>
      </c>
      <c r="J272" s="44" t="str">
        <f>IF('QUICK ENTRY'!$B272="","",'QUICK ENTRY'!$M272)</f>
        <v/>
      </c>
      <c r="K272" s="44" t="str">
        <f>IF('QUICK ENTRY'!$B272="","",'QUICK ENTRY'!$V272)</f>
        <v/>
      </c>
      <c r="L272" s="44" t="str">
        <f>IF('QUICK ENTRY'!$B272="","",'QUICK ENTRY'!$R272)</f>
        <v/>
      </c>
      <c r="M272" s="44" t="str">
        <f>IF('QUICK ENTRY'!$B272="","",'QUICK ENTRY'!$O272)</f>
        <v/>
      </c>
      <c r="N272" s="44" t="str">
        <f>IF('QUICK ENTRY'!$B272="","",'QUICK ENTRY'!$AA272)</f>
        <v/>
      </c>
      <c r="O272" s="44" t="str">
        <f>IF('QUICK ENTRY'!$B272="","",'QUICK ENTRY'!$AG272)</f>
        <v/>
      </c>
      <c r="P272" s="44" t="str">
        <f>IF('QUICK ENTRY'!$B272="","",'QUICK ENTRY'!$AF272)</f>
        <v/>
      </c>
    </row>
    <row r="273" spans="1:16" ht="14.4">
      <c r="A273" s="44" t="str">
        <f>IF('QUICK ENTRY'!$B273="","",'QUICK ENTRY'!$U273)</f>
        <v/>
      </c>
      <c r="B273" s="55" t="str">
        <f>IF('QUICK ENTRY'!$B273="","",'QUICK ENTRY'!$B273)</f>
        <v/>
      </c>
      <c r="C273" s="44" t="str">
        <f>IF('QUICK ENTRY'!$B273="","",'QUICK ENTRY'!$C273)</f>
        <v/>
      </c>
      <c r="D273" s="44" t="str">
        <f>IF('QUICK ENTRY'!$B273="","",'QUICK ENTRY'!$I273)</f>
        <v/>
      </c>
      <c r="E273" s="44" t="str">
        <f>IF('QUICK ENTRY'!$B273="","",'QUICK ENTRY'!$D273)</f>
        <v/>
      </c>
      <c r="F273" s="44" t="str">
        <f>IF('QUICK ENTRY'!$B273="","",'QUICK ENTRY'!$K273)</f>
        <v/>
      </c>
      <c r="G273" s="58" t="str">
        <f>IF('QUICK ENTRY'!$B273="","",'QUICK ENTRY'!$E273)</f>
        <v/>
      </c>
      <c r="H273" s="44" t="str">
        <f>IF('QUICK ENTRY'!$B273="","",'QUICK ENTRY'!$F273)</f>
        <v/>
      </c>
      <c r="I273" s="44" t="str">
        <f>IF('QUICK ENTRY'!$B273="","",'QUICK ENTRY'!$L273)</f>
        <v/>
      </c>
      <c r="J273" s="44" t="str">
        <f>IF('QUICK ENTRY'!$B273="","",'QUICK ENTRY'!$M273)</f>
        <v/>
      </c>
      <c r="K273" s="44" t="str">
        <f>IF('QUICK ENTRY'!$B273="","",'QUICK ENTRY'!$V273)</f>
        <v/>
      </c>
      <c r="L273" s="44" t="str">
        <f>IF('QUICK ENTRY'!$B273="","",'QUICK ENTRY'!$R273)</f>
        <v/>
      </c>
      <c r="M273" s="44" t="str">
        <f>IF('QUICK ENTRY'!$B273="","",'QUICK ENTRY'!$O273)</f>
        <v/>
      </c>
      <c r="N273" s="44" t="str">
        <f>IF('QUICK ENTRY'!$B273="","",'QUICK ENTRY'!$AA273)</f>
        <v/>
      </c>
      <c r="O273" s="44" t="str">
        <f>IF('QUICK ENTRY'!$B273="","",'QUICK ENTRY'!$AG273)</f>
        <v/>
      </c>
      <c r="P273" s="44" t="str">
        <f>IF('QUICK ENTRY'!$B273="","",'QUICK ENTRY'!$AF273)</f>
        <v/>
      </c>
    </row>
    <row r="274" spans="1:16" ht="14.4">
      <c r="A274" s="44" t="str">
        <f>IF('QUICK ENTRY'!$B274="","",'QUICK ENTRY'!$U274)</f>
        <v/>
      </c>
      <c r="B274" s="55" t="str">
        <f>IF('QUICK ENTRY'!$B274="","",'QUICK ENTRY'!$B274)</f>
        <v/>
      </c>
      <c r="C274" s="44" t="str">
        <f>IF('QUICK ENTRY'!$B274="","",'QUICK ENTRY'!$C274)</f>
        <v/>
      </c>
      <c r="D274" s="44" t="str">
        <f>IF('QUICK ENTRY'!$B274="","",'QUICK ENTRY'!$I274)</f>
        <v/>
      </c>
      <c r="E274" s="44" t="str">
        <f>IF('QUICK ENTRY'!$B274="","",'QUICK ENTRY'!$D274)</f>
        <v/>
      </c>
      <c r="F274" s="44" t="str">
        <f>IF('QUICK ENTRY'!$B274="","",'QUICK ENTRY'!$K274)</f>
        <v/>
      </c>
      <c r="G274" s="58" t="str">
        <f>IF('QUICK ENTRY'!$B274="","",'QUICK ENTRY'!$E274)</f>
        <v/>
      </c>
      <c r="H274" s="44" t="str">
        <f>IF('QUICK ENTRY'!$B274="","",'QUICK ENTRY'!$F274)</f>
        <v/>
      </c>
      <c r="I274" s="44" t="str">
        <f>IF('QUICK ENTRY'!$B274="","",'QUICK ENTRY'!$L274)</f>
        <v/>
      </c>
      <c r="J274" s="44" t="str">
        <f>IF('QUICK ENTRY'!$B274="","",'QUICK ENTRY'!$M274)</f>
        <v/>
      </c>
      <c r="K274" s="44" t="str">
        <f>IF('QUICK ENTRY'!$B274="","",'QUICK ENTRY'!$V274)</f>
        <v/>
      </c>
      <c r="L274" s="44" t="str">
        <f>IF('QUICK ENTRY'!$B274="","",'QUICK ENTRY'!$R274)</f>
        <v/>
      </c>
      <c r="M274" s="44" t="str">
        <f>IF('QUICK ENTRY'!$B274="","",'QUICK ENTRY'!$O274)</f>
        <v/>
      </c>
      <c r="N274" s="44" t="str">
        <f>IF('QUICK ENTRY'!$B274="","",'QUICK ENTRY'!$AA274)</f>
        <v/>
      </c>
      <c r="O274" s="44" t="str">
        <f>IF('QUICK ENTRY'!$B274="","",'QUICK ENTRY'!$AG274)</f>
        <v/>
      </c>
      <c r="P274" s="44" t="str">
        <f>IF('QUICK ENTRY'!$B274="","",'QUICK ENTRY'!$AF274)</f>
        <v/>
      </c>
    </row>
    <row r="275" spans="1:16" ht="14.4">
      <c r="A275" s="44" t="str">
        <f>IF('QUICK ENTRY'!$B275="","",'QUICK ENTRY'!$U275)</f>
        <v/>
      </c>
      <c r="B275" s="55" t="str">
        <f>IF('QUICK ENTRY'!$B275="","",'QUICK ENTRY'!$B275)</f>
        <v/>
      </c>
      <c r="C275" s="44" t="str">
        <f>IF('QUICK ENTRY'!$B275="","",'QUICK ENTRY'!$C275)</f>
        <v/>
      </c>
      <c r="D275" s="44" t="str">
        <f>IF('QUICK ENTRY'!$B275="","",'QUICK ENTRY'!$I275)</f>
        <v/>
      </c>
      <c r="E275" s="44" t="str">
        <f>IF('QUICK ENTRY'!$B275="","",'QUICK ENTRY'!$D275)</f>
        <v/>
      </c>
      <c r="F275" s="44" t="str">
        <f>IF('QUICK ENTRY'!$B275="","",'QUICK ENTRY'!$K275)</f>
        <v/>
      </c>
      <c r="G275" s="58" t="str">
        <f>IF('QUICK ENTRY'!$B275="","",'QUICK ENTRY'!$E275)</f>
        <v/>
      </c>
      <c r="H275" s="44" t="str">
        <f>IF('QUICK ENTRY'!$B275="","",'QUICK ENTRY'!$F275)</f>
        <v/>
      </c>
      <c r="I275" s="44" t="str">
        <f>IF('QUICK ENTRY'!$B275="","",'QUICK ENTRY'!$L275)</f>
        <v/>
      </c>
      <c r="J275" s="44" t="str">
        <f>IF('QUICK ENTRY'!$B275="","",'QUICK ENTRY'!$M275)</f>
        <v/>
      </c>
      <c r="K275" s="44" t="str">
        <f>IF('QUICK ENTRY'!$B275="","",'QUICK ENTRY'!$V275)</f>
        <v/>
      </c>
      <c r="L275" s="44" t="str">
        <f>IF('QUICK ENTRY'!$B275="","",'QUICK ENTRY'!$R275)</f>
        <v/>
      </c>
      <c r="M275" s="44" t="str">
        <f>IF('QUICK ENTRY'!$B275="","",'QUICK ENTRY'!$O275)</f>
        <v/>
      </c>
      <c r="N275" s="44" t="str">
        <f>IF('QUICK ENTRY'!$B275="","",'QUICK ENTRY'!$AA275)</f>
        <v/>
      </c>
      <c r="O275" s="44" t="str">
        <f>IF('QUICK ENTRY'!$B275="","",'QUICK ENTRY'!$AG275)</f>
        <v/>
      </c>
      <c r="P275" s="44" t="str">
        <f>IF('QUICK ENTRY'!$B275="","",'QUICK ENTRY'!$AF275)</f>
        <v/>
      </c>
    </row>
    <row r="276" spans="1:16" ht="14.4">
      <c r="A276" s="44" t="str">
        <f>IF('QUICK ENTRY'!$B276="","",'QUICK ENTRY'!$U276)</f>
        <v/>
      </c>
      <c r="B276" s="55" t="str">
        <f>IF('QUICK ENTRY'!$B276="","",'QUICK ENTRY'!$B276)</f>
        <v/>
      </c>
      <c r="C276" s="44" t="str">
        <f>IF('QUICK ENTRY'!$B276="","",'QUICK ENTRY'!$C276)</f>
        <v/>
      </c>
      <c r="D276" s="44" t="str">
        <f>IF('QUICK ENTRY'!$B276="","",'QUICK ENTRY'!$I276)</f>
        <v/>
      </c>
      <c r="E276" s="44" t="str">
        <f>IF('QUICK ENTRY'!$B276="","",'QUICK ENTRY'!$D276)</f>
        <v/>
      </c>
      <c r="F276" s="44" t="str">
        <f>IF('QUICK ENTRY'!$B276="","",'QUICK ENTRY'!$K276)</f>
        <v/>
      </c>
      <c r="G276" s="58" t="str">
        <f>IF('QUICK ENTRY'!$B276="","",'QUICK ENTRY'!$E276)</f>
        <v/>
      </c>
      <c r="H276" s="44" t="str">
        <f>IF('QUICK ENTRY'!$B276="","",'QUICK ENTRY'!$F276)</f>
        <v/>
      </c>
      <c r="I276" s="44" t="str">
        <f>IF('QUICK ENTRY'!$B276="","",'QUICK ENTRY'!$L276)</f>
        <v/>
      </c>
      <c r="J276" s="44" t="str">
        <f>IF('QUICK ENTRY'!$B276="","",'QUICK ENTRY'!$M276)</f>
        <v/>
      </c>
      <c r="K276" s="44" t="str">
        <f>IF('QUICK ENTRY'!$B276="","",'QUICK ENTRY'!$V276)</f>
        <v/>
      </c>
      <c r="L276" s="44" t="str">
        <f>IF('QUICK ENTRY'!$B276="","",'QUICK ENTRY'!$R276)</f>
        <v/>
      </c>
      <c r="M276" s="44" t="str">
        <f>IF('QUICK ENTRY'!$B276="","",'QUICK ENTRY'!$O276)</f>
        <v/>
      </c>
      <c r="N276" s="44" t="str">
        <f>IF('QUICK ENTRY'!$B276="","",'QUICK ENTRY'!$AA276)</f>
        <v/>
      </c>
      <c r="O276" s="44" t="str">
        <f>IF('QUICK ENTRY'!$B276="","",'QUICK ENTRY'!$AG276)</f>
        <v/>
      </c>
      <c r="P276" s="44" t="str">
        <f>IF('QUICK ENTRY'!$B276="","",'QUICK ENTRY'!$AF276)</f>
        <v/>
      </c>
    </row>
    <row r="277" spans="1:16" ht="14.4">
      <c r="A277" s="44" t="str">
        <f>IF('QUICK ENTRY'!$B277="","",'QUICK ENTRY'!$U277)</f>
        <v/>
      </c>
      <c r="B277" s="55" t="str">
        <f>IF('QUICK ENTRY'!$B277="","",'QUICK ENTRY'!$B277)</f>
        <v/>
      </c>
      <c r="C277" s="44" t="str">
        <f>IF('QUICK ENTRY'!$B277="","",'QUICK ENTRY'!$C277)</f>
        <v/>
      </c>
      <c r="D277" s="44" t="str">
        <f>IF('QUICK ENTRY'!$B277="","",'QUICK ENTRY'!$I277)</f>
        <v/>
      </c>
      <c r="E277" s="44" t="str">
        <f>IF('QUICK ENTRY'!$B277="","",'QUICK ENTRY'!$D277)</f>
        <v/>
      </c>
      <c r="F277" s="44" t="str">
        <f>IF('QUICK ENTRY'!$B277="","",'QUICK ENTRY'!$K277)</f>
        <v/>
      </c>
      <c r="G277" s="58" t="str">
        <f>IF('QUICK ENTRY'!$B277="","",'QUICK ENTRY'!$E277)</f>
        <v/>
      </c>
      <c r="H277" s="44" t="str">
        <f>IF('QUICK ENTRY'!$B277="","",'QUICK ENTRY'!$F277)</f>
        <v/>
      </c>
      <c r="I277" s="44" t="str">
        <f>IF('QUICK ENTRY'!$B277="","",'QUICK ENTRY'!$L277)</f>
        <v/>
      </c>
      <c r="J277" s="44" t="str">
        <f>IF('QUICK ENTRY'!$B277="","",'QUICK ENTRY'!$M277)</f>
        <v/>
      </c>
      <c r="K277" s="44" t="str">
        <f>IF('QUICK ENTRY'!$B277="","",'QUICK ENTRY'!$V277)</f>
        <v/>
      </c>
      <c r="L277" s="44" t="str">
        <f>IF('QUICK ENTRY'!$B277="","",'QUICK ENTRY'!$R277)</f>
        <v/>
      </c>
      <c r="M277" s="44" t="str">
        <f>IF('QUICK ENTRY'!$B277="","",'QUICK ENTRY'!$O277)</f>
        <v/>
      </c>
      <c r="N277" s="44" t="str">
        <f>IF('QUICK ENTRY'!$B277="","",'QUICK ENTRY'!$AA277)</f>
        <v/>
      </c>
      <c r="O277" s="44" t="str">
        <f>IF('QUICK ENTRY'!$B277="","",'QUICK ENTRY'!$AG277)</f>
        <v/>
      </c>
      <c r="P277" s="44" t="str">
        <f>IF('QUICK ENTRY'!$B277="","",'QUICK ENTRY'!$AF277)</f>
        <v/>
      </c>
    </row>
    <row r="278" spans="1:16" ht="14.4">
      <c r="A278" s="44" t="str">
        <f>IF('QUICK ENTRY'!$B278="","",'QUICK ENTRY'!$U278)</f>
        <v/>
      </c>
      <c r="B278" s="55" t="str">
        <f>IF('QUICK ENTRY'!$B278="","",'QUICK ENTRY'!$B278)</f>
        <v/>
      </c>
      <c r="C278" s="44" t="str">
        <f>IF('QUICK ENTRY'!$B278="","",'QUICK ENTRY'!$C278)</f>
        <v/>
      </c>
      <c r="D278" s="44" t="str">
        <f>IF('QUICK ENTRY'!$B278="","",'QUICK ENTRY'!$I278)</f>
        <v/>
      </c>
      <c r="E278" s="44" t="str">
        <f>IF('QUICK ENTRY'!$B278="","",'QUICK ENTRY'!$D278)</f>
        <v/>
      </c>
      <c r="F278" s="44" t="str">
        <f>IF('QUICK ENTRY'!$B278="","",'QUICK ENTRY'!$K278)</f>
        <v/>
      </c>
      <c r="G278" s="58" t="str">
        <f>IF('QUICK ENTRY'!$B278="","",'QUICK ENTRY'!$E278)</f>
        <v/>
      </c>
      <c r="H278" s="44" t="str">
        <f>IF('QUICK ENTRY'!$B278="","",'QUICK ENTRY'!$F278)</f>
        <v/>
      </c>
      <c r="I278" s="44" t="str">
        <f>IF('QUICK ENTRY'!$B278="","",'QUICK ENTRY'!$L278)</f>
        <v/>
      </c>
      <c r="J278" s="44" t="str">
        <f>IF('QUICK ENTRY'!$B278="","",'QUICK ENTRY'!$M278)</f>
        <v/>
      </c>
      <c r="K278" s="44" t="str">
        <f>IF('QUICK ENTRY'!$B278="","",'QUICK ENTRY'!$V278)</f>
        <v/>
      </c>
      <c r="L278" s="44" t="str">
        <f>IF('QUICK ENTRY'!$B278="","",'QUICK ENTRY'!$R278)</f>
        <v/>
      </c>
      <c r="M278" s="44" t="str">
        <f>IF('QUICK ENTRY'!$B278="","",'QUICK ENTRY'!$O278)</f>
        <v/>
      </c>
      <c r="N278" s="44" t="str">
        <f>IF('QUICK ENTRY'!$B278="","",'QUICK ENTRY'!$AA278)</f>
        <v/>
      </c>
      <c r="O278" s="44" t="str">
        <f>IF('QUICK ENTRY'!$B278="","",'QUICK ENTRY'!$AG278)</f>
        <v/>
      </c>
      <c r="P278" s="44" t="str">
        <f>IF('QUICK ENTRY'!$B278="","",'QUICK ENTRY'!$AF278)</f>
        <v/>
      </c>
    </row>
    <row r="279" spans="1:16" ht="14.4">
      <c r="A279" s="44" t="str">
        <f>IF('QUICK ENTRY'!$B279="","",'QUICK ENTRY'!$U279)</f>
        <v/>
      </c>
      <c r="B279" s="55" t="str">
        <f>IF('QUICK ENTRY'!$B279="","",'QUICK ENTRY'!$B279)</f>
        <v/>
      </c>
      <c r="C279" s="44" t="str">
        <f>IF('QUICK ENTRY'!$B279="","",'QUICK ENTRY'!$C279)</f>
        <v/>
      </c>
      <c r="D279" s="44" t="str">
        <f>IF('QUICK ENTRY'!$B279="","",'QUICK ENTRY'!$I279)</f>
        <v/>
      </c>
      <c r="E279" s="44" t="str">
        <f>IF('QUICK ENTRY'!$B279="","",'QUICK ENTRY'!$D279)</f>
        <v/>
      </c>
      <c r="F279" s="44" t="str">
        <f>IF('QUICK ENTRY'!$B279="","",'QUICK ENTRY'!$K279)</f>
        <v/>
      </c>
      <c r="G279" s="58" t="str">
        <f>IF('QUICK ENTRY'!$B279="","",'QUICK ENTRY'!$E279)</f>
        <v/>
      </c>
      <c r="H279" s="44" t="str">
        <f>IF('QUICK ENTRY'!$B279="","",'QUICK ENTRY'!$F279)</f>
        <v/>
      </c>
      <c r="I279" s="44" t="str">
        <f>IF('QUICK ENTRY'!$B279="","",'QUICK ENTRY'!$L279)</f>
        <v/>
      </c>
      <c r="J279" s="44" t="str">
        <f>IF('QUICK ENTRY'!$B279="","",'QUICK ENTRY'!$M279)</f>
        <v/>
      </c>
      <c r="K279" s="44" t="str">
        <f>IF('QUICK ENTRY'!$B279="","",'QUICK ENTRY'!$V279)</f>
        <v/>
      </c>
      <c r="L279" s="44" t="str">
        <f>IF('QUICK ENTRY'!$B279="","",'QUICK ENTRY'!$R279)</f>
        <v/>
      </c>
      <c r="M279" s="44" t="str">
        <f>IF('QUICK ENTRY'!$B279="","",'QUICK ENTRY'!$O279)</f>
        <v/>
      </c>
      <c r="N279" s="44" t="str">
        <f>IF('QUICK ENTRY'!$B279="","",'QUICK ENTRY'!$AA279)</f>
        <v/>
      </c>
      <c r="O279" s="44" t="str">
        <f>IF('QUICK ENTRY'!$B279="","",'QUICK ENTRY'!$AG279)</f>
        <v/>
      </c>
      <c r="P279" s="44" t="str">
        <f>IF('QUICK ENTRY'!$B279="","",'QUICK ENTRY'!$AF279)</f>
        <v/>
      </c>
    </row>
    <row r="280" spans="1:16" ht="14.4">
      <c r="A280" s="44" t="str">
        <f>IF('QUICK ENTRY'!$B280="","",'QUICK ENTRY'!$U280)</f>
        <v/>
      </c>
      <c r="B280" s="55" t="str">
        <f>IF('QUICK ENTRY'!$B280="","",'QUICK ENTRY'!$B280)</f>
        <v/>
      </c>
      <c r="C280" s="44" t="str">
        <f>IF('QUICK ENTRY'!$B280="","",'QUICK ENTRY'!$C280)</f>
        <v/>
      </c>
      <c r="D280" s="44" t="str">
        <f>IF('QUICK ENTRY'!$B280="","",'QUICK ENTRY'!$I280)</f>
        <v/>
      </c>
      <c r="E280" s="44" t="str">
        <f>IF('QUICK ENTRY'!$B280="","",'QUICK ENTRY'!$D280)</f>
        <v/>
      </c>
      <c r="F280" s="44" t="str">
        <f>IF('QUICK ENTRY'!$B280="","",'QUICK ENTRY'!$K280)</f>
        <v/>
      </c>
      <c r="G280" s="58" t="str">
        <f>IF('QUICK ENTRY'!$B280="","",'QUICK ENTRY'!$E280)</f>
        <v/>
      </c>
      <c r="H280" s="44" t="str">
        <f>IF('QUICK ENTRY'!$B280="","",'QUICK ENTRY'!$F280)</f>
        <v/>
      </c>
      <c r="I280" s="44" t="str">
        <f>IF('QUICK ENTRY'!$B280="","",'QUICK ENTRY'!$L280)</f>
        <v/>
      </c>
      <c r="J280" s="44" t="str">
        <f>IF('QUICK ENTRY'!$B280="","",'QUICK ENTRY'!$M280)</f>
        <v/>
      </c>
      <c r="K280" s="44" t="str">
        <f>IF('QUICK ENTRY'!$B280="","",'QUICK ENTRY'!$V280)</f>
        <v/>
      </c>
      <c r="L280" s="44" t="str">
        <f>IF('QUICK ENTRY'!$B280="","",'QUICK ENTRY'!$R280)</f>
        <v/>
      </c>
      <c r="M280" s="44" t="str">
        <f>IF('QUICK ENTRY'!$B280="","",'QUICK ENTRY'!$O280)</f>
        <v/>
      </c>
      <c r="N280" s="44" t="str">
        <f>IF('QUICK ENTRY'!$B280="","",'QUICK ENTRY'!$AA280)</f>
        <v/>
      </c>
      <c r="O280" s="44" t="str">
        <f>IF('QUICK ENTRY'!$B280="","",'QUICK ENTRY'!$AG280)</f>
        <v/>
      </c>
      <c r="P280" s="44" t="str">
        <f>IF('QUICK ENTRY'!$B280="","",'QUICK ENTRY'!$AF280)</f>
        <v/>
      </c>
    </row>
    <row r="281" spans="1:16" ht="14.4">
      <c r="A281" s="44" t="str">
        <f>IF('QUICK ENTRY'!$B281="","",'QUICK ENTRY'!$U281)</f>
        <v/>
      </c>
      <c r="B281" s="55" t="str">
        <f>IF('QUICK ENTRY'!$B281="","",'QUICK ENTRY'!$B281)</f>
        <v/>
      </c>
      <c r="C281" s="44" t="str">
        <f>IF('QUICK ENTRY'!$B281="","",'QUICK ENTRY'!$C281)</f>
        <v/>
      </c>
      <c r="D281" s="44" t="str">
        <f>IF('QUICK ENTRY'!$B281="","",'QUICK ENTRY'!$I281)</f>
        <v/>
      </c>
      <c r="E281" s="44" t="str">
        <f>IF('QUICK ENTRY'!$B281="","",'QUICK ENTRY'!$D281)</f>
        <v/>
      </c>
      <c r="F281" s="44" t="str">
        <f>IF('QUICK ENTRY'!$B281="","",'QUICK ENTRY'!$K281)</f>
        <v/>
      </c>
      <c r="G281" s="58" t="str">
        <f>IF('QUICK ENTRY'!$B281="","",'QUICK ENTRY'!$E281)</f>
        <v/>
      </c>
      <c r="H281" s="44" t="str">
        <f>IF('QUICK ENTRY'!$B281="","",'QUICK ENTRY'!$F281)</f>
        <v/>
      </c>
      <c r="I281" s="44" t="str">
        <f>IF('QUICK ENTRY'!$B281="","",'QUICK ENTRY'!$L281)</f>
        <v/>
      </c>
      <c r="J281" s="44" t="str">
        <f>IF('QUICK ENTRY'!$B281="","",'QUICK ENTRY'!$M281)</f>
        <v/>
      </c>
      <c r="K281" s="44" t="str">
        <f>IF('QUICK ENTRY'!$B281="","",'QUICK ENTRY'!$V281)</f>
        <v/>
      </c>
      <c r="L281" s="44" t="str">
        <f>IF('QUICK ENTRY'!$B281="","",'QUICK ENTRY'!$R281)</f>
        <v/>
      </c>
      <c r="M281" s="44" t="str">
        <f>IF('QUICK ENTRY'!$B281="","",'QUICK ENTRY'!$O281)</f>
        <v/>
      </c>
      <c r="N281" s="44" t="str">
        <f>IF('QUICK ENTRY'!$B281="","",'QUICK ENTRY'!$AA281)</f>
        <v/>
      </c>
      <c r="O281" s="44" t="str">
        <f>IF('QUICK ENTRY'!$B281="","",'QUICK ENTRY'!$AG281)</f>
        <v/>
      </c>
      <c r="P281" s="44" t="str">
        <f>IF('QUICK ENTRY'!$B281="","",'QUICK ENTRY'!$AF281)</f>
        <v/>
      </c>
    </row>
    <row r="282" spans="1:16" ht="14.4">
      <c r="A282" s="44" t="str">
        <f>IF('QUICK ENTRY'!$B282="","",'QUICK ENTRY'!$U282)</f>
        <v/>
      </c>
      <c r="B282" s="55" t="str">
        <f>IF('QUICK ENTRY'!$B282="","",'QUICK ENTRY'!$B282)</f>
        <v/>
      </c>
      <c r="C282" s="44" t="str">
        <f>IF('QUICK ENTRY'!$B282="","",'QUICK ENTRY'!$C282)</f>
        <v/>
      </c>
      <c r="D282" s="44" t="str">
        <f>IF('QUICK ENTRY'!$B282="","",'QUICK ENTRY'!$I282)</f>
        <v/>
      </c>
      <c r="E282" s="44" t="str">
        <f>IF('QUICK ENTRY'!$B282="","",'QUICK ENTRY'!$D282)</f>
        <v/>
      </c>
      <c r="F282" s="44" t="str">
        <f>IF('QUICK ENTRY'!$B282="","",'QUICK ENTRY'!$K282)</f>
        <v/>
      </c>
      <c r="G282" s="58" t="str">
        <f>IF('QUICK ENTRY'!$B282="","",'QUICK ENTRY'!$E282)</f>
        <v/>
      </c>
      <c r="H282" s="44" t="str">
        <f>IF('QUICK ENTRY'!$B282="","",'QUICK ENTRY'!$F282)</f>
        <v/>
      </c>
      <c r="I282" s="44" t="str">
        <f>IF('QUICK ENTRY'!$B282="","",'QUICK ENTRY'!$L282)</f>
        <v/>
      </c>
      <c r="J282" s="44" t="str">
        <f>IF('QUICK ENTRY'!$B282="","",'QUICK ENTRY'!$M282)</f>
        <v/>
      </c>
      <c r="K282" s="44" t="str">
        <f>IF('QUICK ENTRY'!$B282="","",'QUICK ENTRY'!$V282)</f>
        <v/>
      </c>
      <c r="L282" s="44" t="str">
        <f>IF('QUICK ENTRY'!$B282="","",'QUICK ENTRY'!$R282)</f>
        <v/>
      </c>
      <c r="M282" s="44" t="str">
        <f>IF('QUICK ENTRY'!$B282="","",'QUICK ENTRY'!$O282)</f>
        <v/>
      </c>
      <c r="N282" s="44" t="str">
        <f>IF('QUICK ENTRY'!$B282="","",'QUICK ENTRY'!$AA282)</f>
        <v/>
      </c>
      <c r="O282" s="44" t="str">
        <f>IF('QUICK ENTRY'!$B282="","",'QUICK ENTRY'!$AG282)</f>
        <v/>
      </c>
      <c r="P282" s="44" t="str">
        <f>IF('QUICK ENTRY'!$B282="","",'QUICK ENTRY'!$AF282)</f>
        <v/>
      </c>
    </row>
    <row r="283" spans="1:16" ht="14.4">
      <c r="A283" s="44" t="str">
        <f>IF('QUICK ENTRY'!$B283="","",'QUICK ENTRY'!$U283)</f>
        <v/>
      </c>
      <c r="B283" s="55" t="str">
        <f>IF('QUICK ENTRY'!$B283="","",'QUICK ENTRY'!$B283)</f>
        <v/>
      </c>
      <c r="C283" s="44" t="str">
        <f>IF('QUICK ENTRY'!$B283="","",'QUICK ENTRY'!$C283)</f>
        <v/>
      </c>
      <c r="D283" s="44" t="str">
        <f>IF('QUICK ENTRY'!$B283="","",'QUICK ENTRY'!$I283)</f>
        <v/>
      </c>
      <c r="E283" s="44" t="str">
        <f>IF('QUICK ENTRY'!$B283="","",'QUICK ENTRY'!$D283)</f>
        <v/>
      </c>
      <c r="F283" s="44" t="str">
        <f>IF('QUICK ENTRY'!$B283="","",'QUICK ENTRY'!$K283)</f>
        <v/>
      </c>
      <c r="G283" s="58" t="str">
        <f>IF('QUICK ENTRY'!$B283="","",'QUICK ENTRY'!$E283)</f>
        <v/>
      </c>
      <c r="H283" s="44" t="str">
        <f>IF('QUICK ENTRY'!$B283="","",'QUICK ENTRY'!$F283)</f>
        <v/>
      </c>
      <c r="I283" s="44" t="str">
        <f>IF('QUICK ENTRY'!$B283="","",'QUICK ENTRY'!$L283)</f>
        <v/>
      </c>
      <c r="J283" s="44" t="str">
        <f>IF('QUICK ENTRY'!$B283="","",'QUICK ENTRY'!$M283)</f>
        <v/>
      </c>
      <c r="K283" s="44" t="str">
        <f>IF('QUICK ENTRY'!$B283="","",'QUICK ENTRY'!$V283)</f>
        <v/>
      </c>
      <c r="L283" s="44" t="str">
        <f>IF('QUICK ENTRY'!$B283="","",'QUICK ENTRY'!$R283)</f>
        <v/>
      </c>
      <c r="M283" s="44" t="str">
        <f>IF('QUICK ENTRY'!$B283="","",'QUICK ENTRY'!$O283)</f>
        <v/>
      </c>
      <c r="N283" s="44" t="str">
        <f>IF('QUICK ENTRY'!$B283="","",'QUICK ENTRY'!$AA283)</f>
        <v/>
      </c>
      <c r="O283" s="44" t="str">
        <f>IF('QUICK ENTRY'!$B283="","",'QUICK ENTRY'!$AG283)</f>
        <v/>
      </c>
      <c r="P283" s="44" t="str">
        <f>IF('QUICK ENTRY'!$B283="","",'QUICK ENTRY'!$AF283)</f>
        <v/>
      </c>
    </row>
    <row r="284" spans="1:16" ht="14.4">
      <c r="A284" s="44" t="str">
        <f>IF('QUICK ENTRY'!$B284="","",'QUICK ENTRY'!$U284)</f>
        <v/>
      </c>
      <c r="B284" s="55" t="str">
        <f>IF('QUICK ENTRY'!$B284="","",'QUICK ENTRY'!$B284)</f>
        <v/>
      </c>
      <c r="C284" s="44" t="str">
        <f>IF('QUICK ENTRY'!$B284="","",'QUICK ENTRY'!$C284)</f>
        <v/>
      </c>
      <c r="D284" s="44" t="str">
        <f>IF('QUICK ENTRY'!$B284="","",'QUICK ENTRY'!$I284)</f>
        <v/>
      </c>
      <c r="E284" s="44" t="str">
        <f>IF('QUICK ENTRY'!$B284="","",'QUICK ENTRY'!$D284)</f>
        <v/>
      </c>
      <c r="F284" s="44" t="str">
        <f>IF('QUICK ENTRY'!$B284="","",'QUICK ENTRY'!$K284)</f>
        <v/>
      </c>
      <c r="G284" s="58" t="str">
        <f>IF('QUICK ENTRY'!$B284="","",'QUICK ENTRY'!$E284)</f>
        <v/>
      </c>
      <c r="H284" s="44" t="str">
        <f>IF('QUICK ENTRY'!$B284="","",'QUICK ENTRY'!$F284)</f>
        <v/>
      </c>
      <c r="I284" s="44" t="str">
        <f>IF('QUICK ENTRY'!$B284="","",'QUICK ENTRY'!$L284)</f>
        <v/>
      </c>
      <c r="J284" s="44" t="str">
        <f>IF('QUICK ENTRY'!$B284="","",'QUICK ENTRY'!$M284)</f>
        <v/>
      </c>
      <c r="K284" s="44" t="str">
        <f>IF('QUICK ENTRY'!$B284="","",'QUICK ENTRY'!$V284)</f>
        <v/>
      </c>
      <c r="L284" s="44" t="str">
        <f>IF('QUICK ENTRY'!$B284="","",'QUICK ENTRY'!$R284)</f>
        <v/>
      </c>
      <c r="M284" s="44" t="str">
        <f>IF('QUICK ENTRY'!$B284="","",'QUICK ENTRY'!$O284)</f>
        <v/>
      </c>
      <c r="N284" s="44" t="str">
        <f>IF('QUICK ENTRY'!$B284="","",'QUICK ENTRY'!$AA284)</f>
        <v/>
      </c>
      <c r="O284" s="44" t="str">
        <f>IF('QUICK ENTRY'!$B284="","",'QUICK ENTRY'!$AG284)</f>
        <v/>
      </c>
      <c r="P284" s="44" t="str">
        <f>IF('QUICK ENTRY'!$B284="","",'QUICK ENTRY'!$AF284)</f>
        <v/>
      </c>
    </row>
    <row r="285" spans="1:16" ht="14.4">
      <c r="A285" s="44" t="str">
        <f>IF('QUICK ENTRY'!$B285="","",'QUICK ENTRY'!$U285)</f>
        <v/>
      </c>
      <c r="B285" s="55" t="str">
        <f>IF('QUICK ENTRY'!$B285="","",'QUICK ENTRY'!$B285)</f>
        <v/>
      </c>
      <c r="C285" s="44" t="str">
        <f>IF('QUICK ENTRY'!$B285="","",'QUICK ENTRY'!$C285)</f>
        <v/>
      </c>
      <c r="D285" s="44" t="str">
        <f>IF('QUICK ENTRY'!$B285="","",'QUICK ENTRY'!$I285)</f>
        <v/>
      </c>
      <c r="E285" s="44" t="str">
        <f>IF('QUICK ENTRY'!$B285="","",'QUICK ENTRY'!$D285)</f>
        <v/>
      </c>
      <c r="F285" s="44" t="str">
        <f>IF('QUICK ENTRY'!$B285="","",'QUICK ENTRY'!$K285)</f>
        <v/>
      </c>
      <c r="G285" s="58" t="str">
        <f>IF('QUICK ENTRY'!$B285="","",'QUICK ENTRY'!$E285)</f>
        <v/>
      </c>
      <c r="H285" s="44" t="str">
        <f>IF('QUICK ENTRY'!$B285="","",'QUICK ENTRY'!$F285)</f>
        <v/>
      </c>
      <c r="I285" s="44" t="str">
        <f>IF('QUICK ENTRY'!$B285="","",'QUICK ENTRY'!$L285)</f>
        <v/>
      </c>
      <c r="J285" s="44" t="str">
        <f>IF('QUICK ENTRY'!$B285="","",'QUICK ENTRY'!$M285)</f>
        <v/>
      </c>
      <c r="K285" s="44" t="str">
        <f>IF('QUICK ENTRY'!$B285="","",'QUICK ENTRY'!$V285)</f>
        <v/>
      </c>
      <c r="L285" s="44" t="str">
        <f>IF('QUICK ENTRY'!$B285="","",'QUICK ENTRY'!$R285)</f>
        <v/>
      </c>
      <c r="M285" s="44" t="str">
        <f>IF('QUICK ENTRY'!$B285="","",'QUICK ENTRY'!$O285)</f>
        <v/>
      </c>
      <c r="N285" s="44" t="str">
        <f>IF('QUICK ENTRY'!$B285="","",'QUICK ENTRY'!$AA285)</f>
        <v/>
      </c>
      <c r="O285" s="44" t="str">
        <f>IF('QUICK ENTRY'!$B285="","",'QUICK ENTRY'!$AG285)</f>
        <v/>
      </c>
      <c r="P285" s="44" t="str">
        <f>IF('QUICK ENTRY'!$B285="","",'QUICK ENTRY'!$AF285)</f>
        <v/>
      </c>
    </row>
    <row r="286" spans="1:16" ht="14.4">
      <c r="A286" s="44" t="str">
        <f>IF('QUICK ENTRY'!$B286="","",'QUICK ENTRY'!$U286)</f>
        <v/>
      </c>
      <c r="B286" s="55" t="str">
        <f>IF('QUICK ENTRY'!$B286="","",'QUICK ENTRY'!$B286)</f>
        <v/>
      </c>
      <c r="C286" s="44" t="str">
        <f>IF('QUICK ENTRY'!$B286="","",'QUICK ENTRY'!$C286)</f>
        <v/>
      </c>
      <c r="D286" s="44" t="str">
        <f>IF('QUICK ENTRY'!$B286="","",'QUICK ENTRY'!$I286)</f>
        <v/>
      </c>
      <c r="E286" s="44" t="str">
        <f>IF('QUICK ENTRY'!$B286="","",'QUICK ENTRY'!$D286)</f>
        <v/>
      </c>
      <c r="F286" s="44" t="str">
        <f>IF('QUICK ENTRY'!$B286="","",'QUICK ENTRY'!$K286)</f>
        <v/>
      </c>
      <c r="G286" s="58" t="str">
        <f>IF('QUICK ENTRY'!$B286="","",'QUICK ENTRY'!$E286)</f>
        <v/>
      </c>
      <c r="H286" s="44" t="str">
        <f>IF('QUICK ENTRY'!$B286="","",'QUICK ENTRY'!$F286)</f>
        <v/>
      </c>
      <c r="I286" s="44" t="str">
        <f>IF('QUICK ENTRY'!$B286="","",'QUICK ENTRY'!$L286)</f>
        <v/>
      </c>
      <c r="J286" s="44" t="str">
        <f>IF('QUICK ENTRY'!$B286="","",'QUICK ENTRY'!$M286)</f>
        <v/>
      </c>
      <c r="K286" s="44" t="str">
        <f>IF('QUICK ENTRY'!$B286="","",'QUICK ENTRY'!$V286)</f>
        <v/>
      </c>
      <c r="L286" s="44" t="str">
        <f>IF('QUICK ENTRY'!$B286="","",'QUICK ENTRY'!$R286)</f>
        <v/>
      </c>
      <c r="M286" s="44" t="str">
        <f>IF('QUICK ENTRY'!$B286="","",'QUICK ENTRY'!$O286)</f>
        <v/>
      </c>
      <c r="N286" s="44" t="str">
        <f>IF('QUICK ENTRY'!$B286="","",'QUICK ENTRY'!$AA286)</f>
        <v/>
      </c>
      <c r="O286" s="44" t="str">
        <f>IF('QUICK ENTRY'!$B286="","",'QUICK ENTRY'!$AG286)</f>
        <v/>
      </c>
      <c r="P286" s="44" t="str">
        <f>IF('QUICK ENTRY'!$B286="","",'QUICK ENTRY'!$AF286)</f>
        <v/>
      </c>
    </row>
    <row r="287" spans="1:16" ht="14.4">
      <c r="A287" s="44" t="str">
        <f>IF('QUICK ENTRY'!$B287="","",'QUICK ENTRY'!$U287)</f>
        <v/>
      </c>
      <c r="B287" s="55" t="str">
        <f>IF('QUICK ENTRY'!$B287="","",'QUICK ENTRY'!$B287)</f>
        <v/>
      </c>
      <c r="C287" s="44" t="str">
        <f>IF('QUICK ENTRY'!$B287="","",'QUICK ENTRY'!$C287)</f>
        <v/>
      </c>
      <c r="D287" s="44" t="str">
        <f>IF('QUICK ENTRY'!$B287="","",'QUICK ENTRY'!$I287)</f>
        <v/>
      </c>
      <c r="E287" s="44" t="str">
        <f>IF('QUICK ENTRY'!$B287="","",'QUICK ENTRY'!$D287)</f>
        <v/>
      </c>
      <c r="F287" s="44" t="str">
        <f>IF('QUICK ENTRY'!$B287="","",'QUICK ENTRY'!$K287)</f>
        <v/>
      </c>
      <c r="G287" s="58" t="str">
        <f>IF('QUICK ENTRY'!$B287="","",'QUICK ENTRY'!$E287)</f>
        <v/>
      </c>
      <c r="H287" s="44" t="str">
        <f>IF('QUICK ENTRY'!$B287="","",'QUICK ENTRY'!$F287)</f>
        <v/>
      </c>
      <c r="I287" s="44" t="str">
        <f>IF('QUICK ENTRY'!$B287="","",'QUICK ENTRY'!$L287)</f>
        <v/>
      </c>
      <c r="J287" s="44" t="str">
        <f>IF('QUICK ENTRY'!$B287="","",'QUICK ENTRY'!$M287)</f>
        <v/>
      </c>
      <c r="K287" s="44" t="str">
        <f>IF('QUICK ENTRY'!$B287="","",'QUICK ENTRY'!$V287)</f>
        <v/>
      </c>
      <c r="L287" s="44" t="str">
        <f>IF('QUICK ENTRY'!$B287="","",'QUICK ENTRY'!$R287)</f>
        <v/>
      </c>
      <c r="M287" s="44" t="str">
        <f>IF('QUICK ENTRY'!$B287="","",'QUICK ENTRY'!$O287)</f>
        <v/>
      </c>
      <c r="N287" s="44" t="str">
        <f>IF('QUICK ENTRY'!$B287="","",'QUICK ENTRY'!$AA287)</f>
        <v/>
      </c>
      <c r="O287" s="44" t="str">
        <f>IF('QUICK ENTRY'!$B287="","",'QUICK ENTRY'!$AG287)</f>
        <v/>
      </c>
      <c r="P287" s="44" t="str">
        <f>IF('QUICK ENTRY'!$B287="","",'QUICK ENTRY'!$AF287)</f>
        <v/>
      </c>
    </row>
    <row r="288" spans="1:16" ht="14.4">
      <c r="A288" s="44" t="str">
        <f>IF('QUICK ENTRY'!$B288="","",'QUICK ENTRY'!$U288)</f>
        <v/>
      </c>
      <c r="B288" s="55" t="str">
        <f>IF('QUICK ENTRY'!$B288="","",'QUICK ENTRY'!$B288)</f>
        <v/>
      </c>
      <c r="C288" s="44" t="str">
        <f>IF('QUICK ENTRY'!$B288="","",'QUICK ENTRY'!$C288)</f>
        <v/>
      </c>
      <c r="D288" s="44" t="str">
        <f>IF('QUICK ENTRY'!$B288="","",'QUICK ENTRY'!$I288)</f>
        <v/>
      </c>
      <c r="E288" s="44" t="str">
        <f>IF('QUICK ENTRY'!$B288="","",'QUICK ENTRY'!$D288)</f>
        <v/>
      </c>
      <c r="F288" s="44" t="str">
        <f>IF('QUICK ENTRY'!$B288="","",'QUICK ENTRY'!$K288)</f>
        <v/>
      </c>
      <c r="G288" s="58" t="str">
        <f>IF('QUICK ENTRY'!$B288="","",'QUICK ENTRY'!$E288)</f>
        <v/>
      </c>
      <c r="H288" s="44" t="str">
        <f>IF('QUICK ENTRY'!$B288="","",'QUICK ENTRY'!$F288)</f>
        <v/>
      </c>
      <c r="I288" s="44" t="str">
        <f>IF('QUICK ENTRY'!$B288="","",'QUICK ENTRY'!$L288)</f>
        <v/>
      </c>
      <c r="J288" s="44" t="str">
        <f>IF('QUICK ENTRY'!$B288="","",'QUICK ENTRY'!$M288)</f>
        <v/>
      </c>
      <c r="K288" s="44" t="str">
        <f>IF('QUICK ENTRY'!$B288="","",'QUICK ENTRY'!$V288)</f>
        <v/>
      </c>
      <c r="L288" s="44" t="str">
        <f>IF('QUICK ENTRY'!$B288="","",'QUICK ENTRY'!$R288)</f>
        <v/>
      </c>
      <c r="M288" s="44" t="str">
        <f>IF('QUICK ENTRY'!$B288="","",'QUICK ENTRY'!$O288)</f>
        <v/>
      </c>
      <c r="N288" s="44" t="str">
        <f>IF('QUICK ENTRY'!$B288="","",'QUICK ENTRY'!$AA288)</f>
        <v/>
      </c>
      <c r="O288" s="44" t="str">
        <f>IF('QUICK ENTRY'!$B288="","",'QUICK ENTRY'!$AG288)</f>
        <v/>
      </c>
      <c r="P288" s="44" t="str">
        <f>IF('QUICK ENTRY'!$B288="","",'QUICK ENTRY'!$AF288)</f>
        <v/>
      </c>
    </row>
    <row r="289" spans="1:16" ht="14.4">
      <c r="A289" s="44" t="str">
        <f>IF('QUICK ENTRY'!$B289="","",'QUICK ENTRY'!$U289)</f>
        <v/>
      </c>
      <c r="B289" s="55" t="str">
        <f>IF('QUICK ENTRY'!$B289="","",'QUICK ENTRY'!$B289)</f>
        <v/>
      </c>
      <c r="C289" s="44" t="str">
        <f>IF('QUICK ENTRY'!$B289="","",'QUICK ENTRY'!$C289)</f>
        <v/>
      </c>
      <c r="D289" s="44" t="str">
        <f>IF('QUICK ENTRY'!$B289="","",'QUICK ENTRY'!$I289)</f>
        <v/>
      </c>
      <c r="E289" s="44" t="str">
        <f>IF('QUICK ENTRY'!$B289="","",'QUICK ENTRY'!$D289)</f>
        <v/>
      </c>
      <c r="F289" s="44" t="str">
        <f>IF('QUICK ENTRY'!$B289="","",'QUICK ENTRY'!$K289)</f>
        <v/>
      </c>
      <c r="G289" s="58" t="str">
        <f>IF('QUICK ENTRY'!$B289="","",'QUICK ENTRY'!$E289)</f>
        <v/>
      </c>
      <c r="H289" s="44" t="str">
        <f>IF('QUICK ENTRY'!$B289="","",'QUICK ENTRY'!$F289)</f>
        <v/>
      </c>
      <c r="I289" s="44" t="str">
        <f>IF('QUICK ENTRY'!$B289="","",'QUICK ENTRY'!$L289)</f>
        <v/>
      </c>
      <c r="J289" s="44" t="str">
        <f>IF('QUICK ENTRY'!$B289="","",'QUICK ENTRY'!$M289)</f>
        <v/>
      </c>
      <c r="K289" s="44" t="str">
        <f>IF('QUICK ENTRY'!$B289="","",'QUICK ENTRY'!$V289)</f>
        <v/>
      </c>
      <c r="L289" s="44" t="str">
        <f>IF('QUICK ENTRY'!$B289="","",'QUICK ENTRY'!$R289)</f>
        <v/>
      </c>
      <c r="M289" s="44" t="str">
        <f>IF('QUICK ENTRY'!$B289="","",'QUICK ENTRY'!$O289)</f>
        <v/>
      </c>
      <c r="N289" s="44" t="str">
        <f>IF('QUICK ENTRY'!$B289="","",'QUICK ENTRY'!$AA289)</f>
        <v/>
      </c>
      <c r="O289" s="44" t="str">
        <f>IF('QUICK ENTRY'!$B289="","",'QUICK ENTRY'!$AG289)</f>
        <v/>
      </c>
      <c r="P289" s="44" t="str">
        <f>IF('QUICK ENTRY'!$B289="","",'QUICK ENTRY'!$AF289)</f>
        <v/>
      </c>
    </row>
    <row r="290" spans="1:16" ht="14.4">
      <c r="A290" s="44" t="str">
        <f>IF('QUICK ENTRY'!$B290="","",'QUICK ENTRY'!$U290)</f>
        <v/>
      </c>
      <c r="B290" s="55" t="str">
        <f>IF('QUICK ENTRY'!$B290="","",'QUICK ENTRY'!$B290)</f>
        <v/>
      </c>
      <c r="C290" s="44" t="str">
        <f>IF('QUICK ENTRY'!$B290="","",'QUICK ENTRY'!$C290)</f>
        <v/>
      </c>
      <c r="D290" s="44" t="str">
        <f>IF('QUICK ENTRY'!$B290="","",'QUICK ENTRY'!$I290)</f>
        <v/>
      </c>
      <c r="E290" s="44" t="str">
        <f>IF('QUICK ENTRY'!$B290="","",'QUICK ENTRY'!$D290)</f>
        <v/>
      </c>
      <c r="F290" s="44" t="str">
        <f>IF('QUICK ENTRY'!$B290="","",'QUICK ENTRY'!$K290)</f>
        <v/>
      </c>
      <c r="G290" s="58" t="str">
        <f>IF('QUICK ENTRY'!$B290="","",'QUICK ENTRY'!$E290)</f>
        <v/>
      </c>
      <c r="H290" s="44" t="str">
        <f>IF('QUICK ENTRY'!$B290="","",'QUICK ENTRY'!$F290)</f>
        <v/>
      </c>
      <c r="I290" s="44" t="str">
        <f>IF('QUICK ENTRY'!$B290="","",'QUICK ENTRY'!$L290)</f>
        <v/>
      </c>
      <c r="J290" s="44" t="str">
        <f>IF('QUICK ENTRY'!$B290="","",'QUICK ENTRY'!$M290)</f>
        <v/>
      </c>
      <c r="K290" s="44" t="str">
        <f>IF('QUICK ENTRY'!$B290="","",'QUICK ENTRY'!$V290)</f>
        <v/>
      </c>
      <c r="L290" s="44" t="str">
        <f>IF('QUICK ENTRY'!$B290="","",'QUICK ENTRY'!$R290)</f>
        <v/>
      </c>
      <c r="M290" s="44" t="str">
        <f>IF('QUICK ENTRY'!$B290="","",'QUICK ENTRY'!$O290)</f>
        <v/>
      </c>
      <c r="N290" s="44" t="str">
        <f>IF('QUICK ENTRY'!$B290="","",'QUICK ENTRY'!$AA290)</f>
        <v/>
      </c>
      <c r="O290" s="44" t="str">
        <f>IF('QUICK ENTRY'!$B290="","",'QUICK ENTRY'!$AG290)</f>
        <v/>
      </c>
      <c r="P290" s="44" t="str">
        <f>IF('QUICK ENTRY'!$B290="","",'QUICK ENTRY'!$AF290)</f>
        <v/>
      </c>
    </row>
    <row r="291" spans="1:16" ht="14.4">
      <c r="A291" s="44" t="str">
        <f>IF('QUICK ENTRY'!$B291="","",'QUICK ENTRY'!$U291)</f>
        <v/>
      </c>
      <c r="B291" s="55" t="str">
        <f>IF('QUICK ENTRY'!$B291="","",'QUICK ENTRY'!$B291)</f>
        <v/>
      </c>
      <c r="C291" s="44" t="str">
        <f>IF('QUICK ENTRY'!$B291="","",'QUICK ENTRY'!$C291)</f>
        <v/>
      </c>
      <c r="D291" s="44" t="str">
        <f>IF('QUICK ENTRY'!$B291="","",'QUICK ENTRY'!$I291)</f>
        <v/>
      </c>
      <c r="E291" s="44" t="str">
        <f>IF('QUICK ENTRY'!$B291="","",'QUICK ENTRY'!$D291)</f>
        <v/>
      </c>
      <c r="F291" s="44" t="str">
        <f>IF('QUICK ENTRY'!$B291="","",'QUICK ENTRY'!$K291)</f>
        <v/>
      </c>
      <c r="G291" s="58" t="str">
        <f>IF('QUICK ENTRY'!$B291="","",'QUICK ENTRY'!$E291)</f>
        <v/>
      </c>
      <c r="H291" s="44" t="str">
        <f>IF('QUICK ENTRY'!$B291="","",'QUICK ENTRY'!$F291)</f>
        <v/>
      </c>
      <c r="I291" s="44" t="str">
        <f>IF('QUICK ENTRY'!$B291="","",'QUICK ENTRY'!$L291)</f>
        <v/>
      </c>
      <c r="J291" s="44" t="str">
        <f>IF('QUICK ENTRY'!$B291="","",'QUICK ENTRY'!$M291)</f>
        <v/>
      </c>
      <c r="K291" s="44" t="str">
        <f>IF('QUICK ENTRY'!$B291="","",'QUICK ENTRY'!$V291)</f>
        <v/>
      </c>
      <c r="L291" s="44" t="str">
        <f>IF('QUICK ENTRY'!$B291="","",'QUICK ENTRY'!$R291)</f>
        <v/>
      </c>
      <c r="M291" s="44" t="str">
        <f>IF('QUICK ENTRY'!$B291="","",'QUICK ENTRY'!$O291)</f>
        <v/>
      </c>
      <c r="N291" s="44" t="str">
        <f>IF('QUICK ENTRY'!$B291="","",'QUICK ENTRY'!$AA291)</f>
        <v/>
      </c>
      <c r="O291" s="44" t="str">
        <f>IF('QUICK ENTRY'!$B291="","",'QUICK ENTRY'!$AG291)</f>
        <v/>
      </c>
      <c r="P291" s="44" t="str">
        <f>IF('QUICK ENTRY'!$B291="","",'QUICK ENTRY'!$AF291)</f>
        <v/>
      </c>
    </row>
    <row r="292" spans="1:16" ht="14.4">
      <c r="A292" s="44" t="str">
        <f>IF('QUICK ENTRY'!$B292="","",'QUICK ENTRY'!$U292)</f>
        <v/>
      </c>
      <c r="B292" s="55" t="str">
        <f>IF('QUICK ENTRY'!$B292="","",'QUICK ENTRY'!$B292)</f>
        <v/>
      </c>
      <c r="C292" s="44" t="str">
        <f>IF('QUICK ENTRY'!$B292="","",'QUICK ENTRY'!$C292)</f>
        <v/>
      </c>
      <c r="D292" s="44" t="str">
        <f>IF('QUICK ENTRY'!$B292="","",'QUICK ENTRY'!$I292)</f>
        <v/>
      </c>
      <c r="E292" s="44" t="str">
        <f>IF('QUICK ENTRY'!$B292="","",'QUICK ENTRY'!$D292)</f>
        <v/>
      </c>
      <c r="F292" s="44" t="str">
        <f>IF('QUICK ENTRY'!$B292="","",'QUICK ENTRY'!$K292)</f>
        <v/>
      </c>
      <c r="G292" s="58" t="str">
        <f>IF('QUICK ENTRY'!$B292="","",'QUICK ENTRY'!$E292)</f>
        <v/>
      </c>
      <c r="H292" s="44" t="str">
        <f>IF('QUICK ENTRY'!$B292="","",'QUICK ENTRY'!$F292)</f>
        <v/>
      </c>
      <c r="I292" s="44" t="str">
        <f>IF('QUICK ENTRY'!$B292="","",'QUICK ENTRY'!$L292)</f>
        <v/>
      </c>
      <c r="J292" s="44" t="str">
        <f>IF('QUICK ENTRY'!$B292="","",'QUICK ENTRY'!$M292)</f>
        <v/>
      </c>
      <c r="K292" s="44" t="str">
        <f>IF('QUICK ENTRY'!$B292="","",'QUICK ENTRY'!$V292)</f>
        <v/>
      </c>
      <c r="L292" s="44" t="str">
        <f>IF('QUICK ENTRY'!$B292="","",'QUICK ENTRY'!$R292)</f>
        <v/>
      </c>
      <c r="M292" s="44" t="str">
        <f>IF('QUICK ENTRY'!$B292="","",'QUICK ENTRY'!$O292)</f>
        <v/>
      </c>
      <c r="N292" s="44" t="str">
        <f>IF('QUICK ENTRY'!$B292="","",'QUICK ENTRY'!$AA292)</f>
        <v/>
      </c>
      <c r="O292" s="44" t="str">
        <f>IF('QUICK ENTRY'!$B292="","",'QUICK ENTRY'!$AG292)</f>
        <v/>
      </c>
      <c r="P292" s="44" t="str">
        <f>IF('QUICK ENTRY'!$B292="","",'QUICK ENTRY'!$AF292)</f>
        <v/>
      </c>
    </row>
    <row r="293" spans="1:16" ht="14.4">
      <c r="A293" s="44" t="str">
        <f>IF('QUICK ENTRY'!$B293="","",'QUICK ENTRY'!$U293)</f>
        <v/>
      </c>
      <c r="B293" s="55" t="str">
        <f>IF('QUICK ENTRY'!$B293="","",'QUICK ENTRY'!$B293)</f>
        <v/>
      </c>
      <c r="C293" s="44" t="str">
        <f>IF('QUICK ENTRY'!$B293="","",'QUICK ENTRY'!$C293)</f>
        <v/>
      </c>
      <c r="D293" s="44" t="str">
        <f>IF('QUICK ENTRY'!$B293="","",'QUICK ENTRY'!$I293)</f>
        <v/>
      </c>
      <c r="E293" s="44" t="str">
        <f>IF('QUICK ENTRY'!$B293="","",'QUICK ENTRY'!$D293)</f>
        <v/>
      </c>
      <c r="F293" s="44" t="str">
        <f>IF('QUICK ENTRY'!$B293="","",'QUICK ENTRY'!$K293)</f>
        <v/>
      </c>
      <c r="G293" s="58" t="str">
        <f>IF('QUICK ENTRY'!$B293="","",'QUICK ENTRY'!$E293)</f>
        <v/>
      </c>
      <c r="H293" s="44" t="str">
        <f>IF('QUICK ENTRY'!$B293="","",'QUICK ENTRY'!$F293)</f>
        <v/>
      </c>
      <c r="I293" s="44" t="str">
        <f>IF('QUICK ENTRY'!$B293="","",'QUICK ENTRY'!$L293)</f>
        <v/>
      </c>
      <c r="J293" s="44" t="str">
        <f>IF('QUICK ENTRY'!$B293="","",'QUICK ENTRY'!$M293)</f>
        <v/>
      </c>
      <c r="K293" s="44" t="str">
        <f>IF('QUICK ENTRY'!$B293="","",'QUICK ENTRY'!$V293)</f>
        <v/>
      </c>
      <c r="L293" s="44" t="str">
        <f>IF('QUICK ENTRY'!$B293="","",'QUICK ENTRY'!$R293)</f>
        <v/>
      </c>
      <c r="M293" s="44" t="str">
        <f>IF('QUICK ENTRY'!$B293="","",'QUICK ENTRY'!$O293)</f>
        <v/>
      </c>
      <c r="N293" s="44" t="str">
        <f>IF('QUICK ENTRY'!$B293="","",'QUICK ENTRY'!$AA293)</f>
        <v/>
      </c>
      <c r="O293" s="44" t="str">
        <f>IF('QUICK ENTRY'!$B293="","",'QUICK ENTRY'!$AG293)</f>
        <v/>
      </c>
      <c r="P293" s="44" t="str">
        <f>IF('QUICK ENTRY'!$B293="","",'QUICK ENTRY'!$AF293)</f>
        <v/>
      </c>
    </row>
    <row r="294" spans="1:16" ht="14.4">
      <c r="A294" s="44" t="str">
        <f>IF('QUICK ENTRY'!$B294="","",'QUICK ENTRY'!$U294)</f>
        <v/>
      </c>
      <c r="B294" s="55" t="str">
        <f>IF('QUICK ENTRY'!$B294="","",'QUICK ENTRY'!$B294)</f>
        <v/>
      </c>
      <c r="C294" s="44" t="str">
        <f>IF('QUICK ENTRY'!$B294="","",'QUICK ENTRY'!$C294)</f>
        <v/>
      </c>
      <c r="D294" s="44" t="str">
        <f>IF('QUICK ENTRY'!$B294="","",'QUICK ENTRY'!$I294)</f>
        <v/>
      </c>
      <c r="E294" s="44" t="str">
        <f>IF('QUICK ENTRY'!$B294="","",'QUICK ENTRY'!$D294)</f>
        <v/>
      </c>
      <c r="F294" s="44" t="str">
        <f>IF('QUICK ENTRY'!$B294="","",'QUICK ENTRY'!$K294)</f>
        <v/>
      </c>
      <c r="G294" s="58" t="str">
        <f>IF('QUICK ENTRY'!$B294="","",'QUICK ENTRY'!$E294)</f>
        <v/>
      </c>
      <c r="H294" s="44" t="str">
        <f>IF('QUICK ENTRY'!$B294="","",'QUICK ENTRY'!$F294)</f>
        <v/>
      </c>
      <c r="I294" s="44" t="str">
        <f>IF('QUICK ENTRY'!$B294="","",'QUICK ENTRY'!$L294)</f>
        <v/>
      </c>
      <c r="J294" s="44" t="str">
        <f>IF('QUICK ENTRY'!$B294="","",'QUICK ENTRY'!$M294)</f>
        <v/>
      </c>
      <c r="K294" s="44" t="str">
        <f>IF('QUICK ENTRY'!$B294="","",'QUICK ENTRY'!$V294)</f>
        <v/>
      </c>
      <c r="L294" s="44" t="str">
        <f>IF('QUICK ENTRY'!$B294="","",'QUICK ENTRY'!$R294)</f>
        <v/>
      </c>
      <c r="M294" s="44" t="str">
        <f>IF('QUICK ENTRY'!$B294="","",'QUICK ENTRY'!$O294)</f>
        <v/>
      </c>
      <c r="N294" s="44" t="str">
        <f>IF('QUICK ENTRY'!$B294="","",'QUICK ENTRY'!$AA294)</f>
        <v/>
      </c>
      <c r="O294" s="44" t="str">
        <f>IF('QUICK ENTRY'!$B294="","",'QUICK ENTRY'!$AG294)</f>
        <v/>
      </c>
      <c r="P294" s="44" t="str">
        <f>IF('QUICK ENTRY'!$B294="","",'QUICK ENTRY'!$AF294)</f>
        <v/>
      </c>
    </row>
    <row r="295" spans="1:16" ht="14.4">
      <c r="A295" s="44" t="str">
        <f>IF('QUICK ENTRY'!$B295="","",'QUICK ENTRY'!$U295)</f>
        <v/>
      </c>
      <c r="B295" s="55" t="str">
        <f>IF('QUICK ENTRY'!$B295="","",'QUICK ENTRY'!$B295)</f>
        <v/>
      </c>
      <c r="C295" s="44" t="str">
        <f>IF('QUICK ENTRY'!$B295="","",'QUICK ENTRY'!$C295)</f>
        <v/>
      </c>
      <c r="D295" s="44" t="str">
        <f>IF('QUICK ENTRY'!$B295="","",'QUICK ENTRY'!$I295)</f>
        <v/>
      </c>
      <c r="E295" s="44" t="str">
        <f>IF('QUICK ENTRY'!$B295="","",'QUICK ENTRY'!$D295)</f>
        <v/>
      </c>
      <c r="F295" s="44" t="str">
        <f>IF('QUICK ENTRY'!$B295="","",'QUICK ENTRY'!$K295)</f>
        <v/>
      </c>
      <c r="G295" s="58" t="str">
        <f>IF('QUICK ENTRY'!$B295="","",'QUICK ENTRY'!$E295)</f>
        <v/>
      </c>
      <c r="H295" s="44" t="str">
        <f>IF('QUICK ENTRY'!$B295="","",'QUICK ENTRY'!$F295)</f>
        <v/>
      </c>
      <c r="I295" s="44" t="str">
        <f>IF('QUICK ENTRY'!$B295="","",'QUICK ENTRY'!$L295)</f>
        <v/>
      </c>
      <c r="J295" s="44" t="str">
        <f>IF('QUICK ENTRY'!$B295="","",'QUICK ENTRY'!$M295)</f>
        <v/>
      </c>
      <c r="K295" s="44" t="str">
        <f>IF('QUICK ENTRY'!$B295="","",'QUICK ENTRY'!$V295)</f>
        <v/>
      </c>
      <c r="L295" s="44" t="str">
        <f>IF('QUICK ENTRY'!$B295="","",'QUICK ENTRY'!$R295)</f>
        <v/>
      </c>
      <c r="M295" s="44" t="str">
        <f>IF('QUICK ENTRY'!$B295="","",'QUICK ENTRY'!$O295)</f>
        <v/>
      </c>
      <c r="N295" s="44" t="str">
        <f>IF('QUICK ENTRY'!$B295="","",'QUICK ENTRY'!$AA295)</f>
        <v/>
      </c>
      <c r="O295" s="44" t="str">
        <f>IF('QUICK ENTRY'!$B295="","",'QUICK ENTRY'!$AG295)</f>
        <v/>
      </c>
      <c r="P295" s="44" t="str">
        <f>IF('QUICK ENTRY'!$B295="","",'QUICK ENTRY'!$AF295)</f>
        <v/>
      </c>
    </row>
    <row r="296" spans="1:16" ht="14.4">
      <c r="A296" s="44" t="str">
        <f>IF('QUICK ENTRY'!$B296="","",'QUICK ENTRY'!$U296)</f>
        <v/>
      </c>
      <c r="B296" s="55" t="str">
        <f>IF('QUICK ENTRY'!$B296="","",'QUICK ENTRY'!$B296)</f>
        <v/>
      </c>
      <c r="C296" s="44" t="str">
        <f>IF('QUICK ENTRY'!$B296="","",'QUICK ENTRY'!$C296)</f>
        <v/>
      </c>
      <c r="D296" s="44" t="str">
        <f>IF('QUICK ENTRY'!$B296="","",'QUICK ENTRY'!$I296)</f>
        <v/>
      </c>
      <c r="E296" s="44" t="str">
        <f>IF('QUICK ENTRY'!$B296="","",'QUICK ENTRY'!$D296)</f>
        <v/>
      </c>
      <c r="F296" s="44" t="str">
        <f>IF('QUICK ENTRY'!$B296="","",'QUICK ENTRY'!$K296)</f>
        <v/>
      </c>
      <c r="G296" s="58" t="str">
        <f>IF('QUICK ENTRY'!$B296="","",'QUICK ENTRY'!$E296)</f>
        <v/>
      </c>
      <c r="H296" s="44" t="str">
        <f>IF('QUICK ENTRY'!$B296="","",'QUICK ENTRY'!$F296)</f>
        <v/>
      </c>
      <c r="I296" s="44" t="str">
        <f>IF('QUICK ENTRY'!$B296="","",'QUICK ENTRY'!$L296)</f>
        <v/>
      </c>
      <c r="J296" s="44" t="str">
        <f>IF('QUICK ENTRY'!$B296="","",'QUICK ENTRY'!$M296)</f>
        <v/>
      </c>
      <c r="K296" s="44" t="str">
        <f>IF('QUICK ENTRY'!$B296="","",'QUICK ENTRY'!$V296)</f>
        <v/>
      </c>
      <c r="L296" s="44" t="str">
        <f>IF('QUICK ENTRY'!$B296="","",'QUICK ENTRY'!$R296)</f>
        <v/>
      </c>
      <c r="M296" s="44" t="str">
        <f>IF('QUICK ENTRY'!$B296="","",'QUICK ENTRY'!$O296)</f>
        <v/>
      </c>
      <c r="N296" s="44" t="str">
        <f>IF('QUICK ENTRY'!$B296="","",'QUICK ENTRY'!$AA296)</f>
        <v/>
      </c>
      <c r="O296" s="44" t="str">
        <f>IF('QUICK ENTRY'!$B296="","",'QUICK ENTRY'!$AG296)</f>
        <v/>
      </c>
      <c r="P296" s="44" t="str">
        <f>IF('QUICK ENTRY'!$B296="","",'QUICK ENTRY'!$AF296)</f>
        <v/>
      </c>
    </row>
    <row r="297" spans="1:16" ht="14.4">
      <c r="A297" s="44" t="str">
        <f>IF('QUICK ENTRY'!$B297="","",'QUICK ENTRY'!$U297)</f>
        <v/>
      </c>
      <c r="B297" s="55" t="str">
        <f>IF('QUICK ENTRY'!$B297="","",'QUICK ENTRY'!$B297)</f>
        <v/>
      </c>
      <c r="C297" s="44" t="str">
        <f>IF('QUICK ENTRY'!$B297="","",'QUICK ENTRY'!$C297)</f>
        <v/>
      </c>
      <c r="D297" s="44" t="str">
        <f>IF('QUICK ENTRY'!$B297="","",'QUICK ENTRY'!$I297)</f>
        <v/>
      </c>
      <c r="E297" s="44" t="str">
        <f>IF('QUICK ENTRY'!$B297="","",'QUICK ENTRY'!$D297)</f>
        <v/>
      </c>
      <c r="F297" s="44" t="str">
        <f>IF('QUICK ENTRY'!$B297="","",'QUICK ENTRY'!$K297)</f>
        <v/>
      </c>
      <c r="G297" s="58" t="str">
        <f>IF('QUICK ENTRY'!$B297="","",'QUICK ENTRY'!$E297)</f>
        <v/>
      </c>
      <c r="H297" s="44" t="str">
        <f>IF('QUICK ENTRY'!$B297="","",'QUICK ENTRY'!$F297)</f>
        <v/>
      </c>
      <c r="I297" s="44" t="str">
        <f>IF('QUICK ENTRY'!$B297="","",'QUICK ENTRY'!$L297)</f>
        <v/>
      </c>
      <c r="J297" s="44" t="str">
        <f>IF('QUICK ENTRY'!$B297="","",'QUICK ENTRY'!$M297)</f>
        <v/>
      </c>
      <c r="K297" s="44" t="str">
        <f>IF('QUICK ENTRY'!$B297="","",'QUICK ENTRY'!$V297)</f>
        <v/>
      </c>
      <c r="L297" s="44" t="str">
        <f>IF('QUICK ENTRY'!$B297="","",'QUICK ENTRY'!$R297)</f>
        <v/>
      </c>
      <c r="M297" s="44" t="str">
        <f>IF('QUICK ENTRY'!$B297="","",'QUICK ENTRY'!$O297)</f>
        <v/>
      </c>
      <c r="N297" s="44" t="str">
        <f>IF('QUICK ENTRY'!$B297="","",'QUICK ENTRY'!$AA297)</f>
        <v/>
      </c>
      <c r="O297" s="44" t="str">
        <f>IF('QUICK ENTRY'!$B297="","",'QUICK ENTRY'!$AG297)</f>
        <v/>
      </c>
      <c r="P297" s="44" t="str">
        <f>IF('QUICK ENTRY'!$B297="","",'QUICK ENTRY'!$AF297)</f>
        <v/>
      </c>
    </row>
    <row r="298" spans="1:16" ht="14.4">
      <c r="A298" s="44" t="str">
        <f>IF('QUICK ENTRY'!$B298="","",'QUICK ENTRY'!$U298)</f>
        <v/>
      </c>
      <c r="B298" s="55" t="str">
        <f>IF('QUICK ENTRY'!$B298="","",'QUICK ENTRY'!$B298)</f>
        <v/>
      </c>
      <c r="C298" s="44" t="str">
        <f>IF('QUICK ENTRY'!$B298="","",'QUICK ENTRY'!$C298)</f>
        <v/>
      </c>
      <c r="D298" s="44" t="str">
        <f>IF('QUICK ENTRY'!$B298="","",'QUICK ENTRY'!$I298)</f>
        <v/>
      </c>
      <c r="E298" s="44" t="str">
        <f>IF('QUICK ENTRY'!$B298="","",'QUICK ENTRY'!$D298)</f>
        <v/>
      </c>
      <c r="F298" s="44" t="str">
        <f>IF('QUICK ENTRY'!$B298="","",'QUICK ENTRY'!$K298)</f>
        <v/>
      </c>
      <c r="G298" s="58" t="str">
        <f>IF('QUICK ENTRY'!$B298="","",'QUICK ENTRY'!$E298)</f>
        <v/>
      </c>
      <c r="H298" s="44" t="str">
        <f>IF('QUICK ENTRY'!$B298="","",'QUICK ENTRY'!$F298)</f>
        <v/>
      </c>
      <c r="I298" s="44" t="str">
        <f>IF('QUICK ENTRY'!$B298="","",'QUICK ENTRY'!$L298)</f>
        <v/>
      </c>
      <c r="J298" s="44" t="str">
        <f>IF('QUICK ENTRY'!$B298="","",'QUICK ENTRY'!$M298)</f>
        <v/>
      </c>
      <c r="K298" s="44" t="str">
        <f>IF('QUICK ENTRY'!$B298="","",'QUICK ENTRY'!$V298)</f>
        <v/>
      </c>
      <c r="L298" s="44" t="str">
        <f>IF('QUICK ENTRY'!$B298="","",'QUICK ENTRY'!$R298)</f>
        <v/>
      </c>
      <c r="M298" s="44" t="str">
        <f>IF('QUICK ENTRY'!$B298="","",'QUICK ENTRY'!$O298)</f>
        <v/>
      </c>
      <c r="N298" s="44" t="str">
        <f>IF('QUICK ENTRY'!$B298="","",'QUICK ENTRY'!$AA298)</f>
        <v/>
      </c>
      <c r="O298" s="44" t="str">
        <f>IF('QUICK ENTRY'!$B298="","",'QUICK ENTRY'!$AG298)</f>
        <v/>
      </c>
      <c r="P298" s="44" t="str">
        <f>IF('QUICK ENTRY'!$B298="","",'QUICK ENTRY'!$AF298)</f>
        <v/>
      </c>
    </row>
    <row r="299" spans="1:16" ht="14.4">
      <c r="A299" s="44" t="str">
        <f>IF('QUICK ENTRY'!$B299="","",'QUICK ENTRY'!$U299)</f>
        <v/>
      </c>
      <c r="B299" s="55" t="str">
        <f>IF('QUICK ENTRY'!$B299="","",'QUICK ENTRY'!$B299)</f>
        <v/>
      </c>
      <c r="C299" s="44" t="str">
        <f>IF('QUICK ENTRY'!$B299="","",'QUICK ENTRY'!$C299)</f>
        <v/>
      </c>
      <c r="D299" s="44" t="str">
        <f>IF('QUICK ENTRY'!$B299="","",'QUICK ENTRY'!$I299)</f>
        <v/>
      </c>
      <c r="E299" s="44" t="str">
        <f>IF('QUICK ENTRY'!$B299="","",'QUICK ENTRY'!$D299)</f>
        <v/>
      </c>
      <c r="F299" s="44" t="str">
        <f>IF('QUICK ENTRY'!$B299="","",'QUICK ENTRY'!$K299)</f>
        <v/>
      </c>
      <c r="G299" s="58" t="str">
        <f>IF('QUICK ENTRY'!$B299="","",'QUICK ENTRY'!$E299)</f>
        <v/>
      </c>
      <c r="H299" s="44" t="str">
        <f>IF('QUICK ENTRY'!$B299="","",'QUICK ENTRY'!$F299)</f>
        <v/>
      </c>
      <c r="I299" s="44" t="str">
        <f>IF('QUICK ENTRY'!$B299="","",'QUICK ENTRY'!$L299)</f>
        <v/>
      </c>
      <c r="J299" s="44" t="str">
        <f>IF('QUICK ENTRY'!$B299="","",'QUICK ENTRY'!$M299)</f>
        <v/>
      </c>
      <c r="K299" s="44" t="str">
        <f>IF('QUICK ENTRY'!$B299="","",'QUICK ENTRY'!$V299)</f>
        <v/>
      </c>
      <c r="L299" s="44" t="str">
        <f>IF('QUICK ENTRY'!$B299="","",'QUICK ENTRY'!$R299)</f>
        <v/>
      </c>
      <c r="M299" s="44" t="str">
        <f>IF('QUICK ENTRY'!$B299="","",'QUICK ENTRY'!$O299)</f>
        <v/>
      </c>
      <c r="N299" s="44" t="str">
        <f>IF('QUICK ENTRY'!$B299="","",'QUICK ENTRY'!$AA299)</f>
        <v/>
      </c>
      <c r="O299" s="44" t="str">
        <f>IF('QUICK ENTRY'!$B299="","",'QUICK ENTRY'!$AG299)</f>
        <v/>
      </c>
      <c r="P299" s="44" t="str">
        <f>IF('QUICK ENTRY'!$B299="","",'QUICK ENTRY'!$AF299)</f>
        <v/>
      </c>
    </row>
    <row r="300" spans="1:16" ht="14.4">
      <c r="A300" s="44" t="str">
        <f>IF('QUICK ENTRY'!$B300="","",'QUICK ENTRY'!$U300)</f>
        <v/>
      </c>
      <c r="B300" s="55" t="str">
        <f>IF('QUICK ENTRY'!$B300="","",'QUICK ENTRY'!$B300)</f>
        <v/>
      </c>
      <c r="C300" s="44" t="str">
        <f>IF('QUICK ENTRY'!$B300="","",'QUICK ENTRY'!$C300)</f>
        <v/>
      </c>
      <c r="D300" s="44" t="str">
        <f>IF('QUICK ENTRY'!$B300="","",'QUICK ENTRY'!$I300)</f>
        <v/>
      </c>
      <c r="E300" s="44" t="str">
        <f>IF('QUICK ENTRY'!$B300="","",'QUICK ENTRY'!$D300)</f>
        <v/>
      </c>
      <c r="F300" s="44" t="str">
        <f>IF('QUICK ENTRY'!$B300="","",'QUICK ENTRY'!$K300)</f>
        <v/>
      </c>
      <c r="G300" s="58" t="str">
        <f>IF('QUICK ENTRY'!$B300="","",'QUICK ENTRY'!$E300)</f>
        <v/>
      </c>
      <c r="H300" s="44" t="str">
        <f>IF('QUICK ENTRY'!$B300="","",'QUICK ENTRY'!$F300)</f>
        <v/>
      </c>
      <c r="I300" s="44" t="str">
        <f>IF('QUICK ENTRY'!$B300="","",'QUICK ENTRY'!$L300)</f>
        <v/>
      </c>
      <c r="J300" s="44" t="str">
        <f>IF('QUICK ENTRY'!$B300="","",'QUICK ENTRY'!$M300)</f>
        <v/>
      </c>
      <c r="K300" s="44" t="str">
        <f>IF('QUICK ENTRY'!$B300="","",'QUICK ENTRY'!$V300)</f>
        <v/>
      </c>
      <c r="L300" s="44" t="str">
        <f>IF('QUICK ENTRY'!$B300="","",'QUICK ENTRY'!$R300)</f>
        <v/>
      </c>
      <c r="M300" s="44" t="str">
        <f>IF('QUICK ENTRY'!$B300="","",'QUICK ENTRY'!$O300)</f>
        <v/>
      </c>
      <c r="N300" s="44" t="str">
        <f>IF('QUICK ENTRY'!$B300="","",'QUICK ENTRY'!$AA300)</f>
        <v/>
      </c>
      <c r="O300" s="44" t="str">
        <f>IF('QUICK ENTRY'!$B300="","",'QUICK ENTRY'!$AG300)</f>
        <v/>
      </c>
      <c r="P300" s="44" t="str">
        <f>IF('QUICK ENTRY'!$B300="","",'QUICK ENTRY'!$AF300)</f>
        <v/>
      </c>
    </row>
    <row r="301" spans="1:16" ht="14.4">
      <c r="A301" s="44" t="str">
        <f>IF('QUICK ENTRY'!$B301="","",'QUICK ENTRY'!$U301)</f>
        <v/>
      </c>
      <c r="B301" s="55" t="str">
        <f>IF('QUICK ENTRY'!$B301="","",'QUICK ENTRY'!$B301)</f>
        <v/>
      </c>
      <c r="C301" s="44" t="str">
        <f>IF('QUICK ENTRY'!$B301="","",'QUICK ENTRY'!$C301)</f>
        <v/>
      </c>
      <c r="D301" s="44" t="str">
        <f>IF('QUICK ENTRY'!$B301="","",'QUICK ENTRY'!$I301)</f>
        <v/>
      </c>
      <c r="E301" s="44" t="str">
        <f>IF('QUICK ENTRY'!$B301="","",'QUICK ENTRY'!$D301)</f>
        <v/>
      </c>
      <c r="F301" s="44" t="str">
        <f>IF('QUICK ENTRY'!$B301="","",'QUICK ENTRY'!$K301)</f>
        <v/>
      </c>
      <c r="G301" s="58" t="str">
        <f>IF('QUICK ENTRY'!$B301="","",'QUICK ENTRY'!$E301)</f>
        <v/>
      </c>
      <c r="H301" s="44" t="str">
        <f>IF('QUICK ENTRY'!$B301="","",'QUICK ENTRY'!$F301)</f>
        <v/>
      </c>
      <c r="I301" s="44" t="str">
        <f>IF('QUICK ENTRY'!$B301="","",'QUICK ENTRY'!$L301)</f>
        <v/>
      </c>
      <c r="J301" s="44" t="str">
        <f>IF('QUICK ENTRY'!$B301="","",'QUICK ENTRY'!$M301)</f>
        <v/>
      </c>
      <c r="K301" s="44" t="str">
        <f>IF('QUICK ENTRY'!$B301="","",'QUICK ENTRY'!$V301)</f>
        <v/>
      </c>
      <c r="L301" s="44" t="str">
        <f>IF('QUICK ENTRY'!$B301="","",'QUICK ENTRY'!$R301)</f>
        <v/>
      </c>
      <c r="M301" s="44" t="str">
        <f>IF('QUICK ENTRY'!$B301="","",'QUICK ENTRY'!$O301)</f>
        <v/>
      </c>
      <c r="N301" s="44" t="str">
        <f>IF('QUICK ENTRY'!$B301="","",'QUICK ENTRY'!$AA301)</f>
        <v/>
      </c>
      <c r="O301" s="44" t="str">
        <f>IF('QUICK ENTRY'!$B301="","",'QUICK ENTRY'!$AG301)</f>
        <v/>
      </c>
      <c r="P301" s="44" t="str">
        <f>IF('QUICK ENTRY'!$B301="","",'QUICK ENTRY'!$AF301)</f>
        <v/>
      </c>
    </row>
    <row r="302" spans="1:16" ht="14.4">
      <c r="A302" s="44" t="str">
        <f>IF('QUICK ENTRY'!$B302="","",'QUICK ENTRY'!$U302)</f>
        <v/>
      </c>
      <c r="B302" s="55" t="str">
        <f>IF('QUICK ENTRY'!$B302="","",'QUICK ENTRY'!$B302)</f>
        <v/>
      </c>
      <c r="C302" s="44" t="str">
        <f>IF('QUICK ENTRY'!$B302="","",'QUICK ENTRY'!$C302)</f>
        <v/>
      </c>
      <c r="D302" s="44" t="str">
        <f>IF('QUICK ENTRY'!$B302="","",'QUICK ENTRY'!$I302)</f>
        <v/>
      </c>
      <c r="E302" s="44" t="str">
        <f>IF('QUICK ENTRY'!$B302="","",'QUICK ENTRY'!$D302)</f>
        <v/>
      </c>
      <c r="F302" s="44" t="str">
        <f>IF('QUICK ENTRY'!$B302="","",'QUICK ENTRY'!$K302)</f>
        <v/>
      </c>
      <c r="G302" s="58" t="str">
        <f>IF('QUICK ENTRY'!$B302="","",'QUICK ENTRY'!$E302)</f>
        <v/>
      </c>
      <c r="H302" s="44" t="str">
        <f>IF('QUICK ENTRY'!$B302="","",'QUICK ENTRY'!$F302)</f>
        <v/>
      </c>
      <c r="I302" s="44" t="str">
        <f>IF('QUICK ENTRY'!$B302="","",'QUICK ENTRY'!$L302)</f>
        <v/>
      </c>
      <c r="J302" s="44" t="str">
        <f>IF('QUICK ENTRY'!$B302="","",'QUICK ENTRY'!$M302)</f>
        <v/>
      </c>
      <c r="K302" s="44" t="str">
        <f>IF('QUICK ENTRY'!$B302="","",'QUICK ENTRY'!$V302)</f>
        <v/>
      </c>
      <c r="L302" s="44" t="str">
        <f>IF('QUICK ENTRY'!$B302="","",'QUICK ENTRY'!$R302)</f>
        <v/>
      </c>
      <c r="M302" s="44" t="str">
        <f>IF('QUICK ENTRY'!$B302="","",'QUICK ENTRY'!$O302)</f>
        <v/>
      </c>
      <c r="N302" s="44" t="str">
        <f>IF('QUICK ENTRY'!$B302="","",'QUICK ENTRY'!$AA302)</f>
        <v/>
      </c>
      <c r="O302" s="44" t="str">
        <f>IF('QUICK ENTRY'!$B302="","",'QUICK ENTRY'!$AG302)</f>
        <v/>
      </c>
      <c r="P302" s="44" t="str">
        <f>IF('QUICK ENTRY'!$B302="","",'QUICK ENTRY'!$AF302)</f>
        <v/>
      </c>
    </row>
    <row r="303" spans="1:16" ht="14.4">
      <c r="A303" s="44" t="str">
        <f>IF('QUICK ENTRY'!$B303="","",'QUICK ENTRY'!$U303)</f>
        <v/>
      </c>
      <c r="B303" s="55" t="str">
        <f>IF('QUICK ENTRY'!$B303="","",'QUICK ENTRY'!$B303)</f>
        <v/>
      </c>
      <c r="C303" s="44" t="str">
        <f>IF('QUICK ENTRY'!$B303="","",'QUICK ENTRY'!$C303)</f>
        <v/>
      </c>
      <c r="D303" s="44" t="str">
        <f>IF('QUICK ENTRY'!$B303="","",'QUICK ENTRY'!$I303)</f>
        <v/>
      </c>
      <c r="E303" s="44" t="str">
        <f>IF('QUICK ENTRY'!$B303="","",'QUICK ENTRY'!$D303)</f>
        <v/>
      </c>
      <c r="F303" s="44" t="str">
        <f>IF('QUICK ENTRY'!$B303="","",'QUICK ENTRY'!$K303)</f>
        <v/>
      </c>
      <c r="G303" s="58" t="str">
        <f>IF('QUICK ENTRY'!$B303="","",'QUICK ENTRY'!$E303)</f>
        <v/>
      </c>
      <c r="H303" s="44" t="str">
        <f>IF('QUICK ENTRY'!$B303="","",'QUICK ENTRY'!$F303)</f>
        <v/>
      </c>
      <c r="I303" s="44" t="str">
        <f>IF('QUICK ENTRY'!$B303="","",'QUICK ENTRY'!$L303)</f>
        <v/>
      </c>
      <c r="J303" s="44" t="str">
        <f>IF('QUICK ENTRY'!$B303="","",'QUICK ENTRY'!$M303)</f>
        <v/>
      </c>
      <c r="K303" s="44" t="str">
        <f>IF('QUICK ENTRY'!$B303="","",'QUICK ENTRY'!$V303)</f>
        <v/>
      </c>
      <c r="L303" s="44" t="str">
        <f>IF('QUICK ENTRY'!$B303="","",'QUICK ENTRY'!$R303)</f>
        <v/>
      </c>
      <c r="M303" s="44" t="str">
        <f>IF('QUICK ENTRY'!$B303="","",'QUICK ENTRY'!$O303)</f>
        <v/>
      </c>
      <c r="N303" s="44" t="str">
        <f>IF('QUICK ENTRY'!$B303="","",'QUICK ENTRY'!$AA303)</f>
        <v/>
      </c>
      <c r="O303" s="44" t="str">
        <f>IF('QUICK ENTRY'!$B303="","",'QUICK ENTRY'!$AG303)</f>
        <v/>
      </c>
      <c r="P303" s="44" t="str">
        <f>IF('QUICK ENTRY'!$B303="","",'QUICK ENTRY'!$AF303)</f>
        <v/>
      </c>
    </row>
    <row r="304" spans="1:16" ht="14.4">
      <c r="A304" s="44" t="str">
        <f>IF('QUICK ENTRY'!$B304="","",'QUICK ENTRY'!$U304)</f>
        <v/>
      </c>
      <c r="B304" s="55" t="str">
        <f>IF('QUICK ENTRY'!$B304="","",'QUICK ENTRY'!$B304)</f>
        <v/>
      </c>
      <c r="C304" s="44" t="str">
        <f>IF('QUICK ENTRY'!$B304="","",'QUICK ENTRY'!$C304)</f>
        <v/>
      </c>
      <c r="D304" s="44" t="str">
        <f>IF('QUICK ENTRY'!$B304="","",'QUICK ENTRY'!$I304)</f>
        <v/>
      </c>
      <c r="E304" s="44" t="str">
        <f>IF('QUICK ENTRY'!$B304="","",'QUICK ENTRY'!$D304)</f>
        <v/>
      </c>
      <c r="F304" s="44" t="str">
        <f>IF('QUICK ENTRY'!$B304="","",'QUICK ENTRY'!$K304)</f>
        <v/>
      </c>
      <c r="G304" s="58" t="str">
        <f>IF('QUICK ENTRY'!$B304="","",'QUICK ENTRY'!$E304)</f>
        <v/>
      </c>
      <c r="H304" s="44" t="str">
        <f>IF('QUICK ENTRY'!$B304="","",'QUICK ENTRY'!$F304)</f>
        <v/>
      </c>
      <c r="I304" s="44" t="str">
        <f>IF('QUICK ENTRY'!$B304="","",'QUICK ENTRY'!$L304)</f>
        <v/>
      </c>
      <c r="J304" s="44" t="str">
        <f>IF('QUICK ENTRY'!$B304="","",'QUICK ENTRY'!$M304)</f>
        <v/>
      </c>
      <c r="K304" s="44" t="str">
        <f>IF('QUICK ENTRY'!$B304="","",'QUICK ENTRY'!$V304)</f>
        <v/>
      </c>
      <c r="L304" s="44" t="str">
        <f>IF('QUICK ENTRY'!$B304="","",'QUICK ENTRY'!$R304)</f>
        <v/>
      </c>
      <c r="M304" s="44" t="str">
        <f>IF('QUICK ENTRY'!$B304="","",'QUICK ENTRY'!$O304)</f>
        <v/>
      </c>
      <c r="N304" s="44" t="str">
        <f>IF('QUICK ENTRY'!$B304="","",'QUICK ENTRY'!$AA304)</f>
        <v/>
      </c>
      <c r="O304" s="44" t="str">
        <f>IF('QUICK ENTRY'!$B304="","",'QUICK ENTRY'!$AG304)</f>
        <v/>
      </c>
      <c r="P304" s="44" t="str">
        <f>IF('QUICK ENTRY'!$B304="","",'QUICK ENTRY'!$AF304)</f>
        <v/>
      </c>
    </row>
    <row r="305" spans="1:16" ht="14.4">
      <c r="A305" s="44" t="str">
        <f>IF('QUICK ENTRY'!$B305="","",'QUICK ENTRY'!$U305)</f>
        <v/>
      </c>
      <c r="B305" s="55" t="str">
        <f>IF('QUICK ENTRY'!$B305="","",'QUICK ENTRY'!$B305)</f>
        <v/>
      </c>
      <c r="C305" s="44" t="str">
        <f>IF('QUICK ENTRY'!$B305="","",'QUICK ENTRY'!$C305)</f>
        <v/>
      </c>
      <c r="D305" s="44" t="str">
        <f>IF('QUICK ENTRY'!$B305="","",'QUICK ENTRY'!$I305)</f>
        <v/>
      </c>
      <c r="E305" s="44" t="str">
        <f>IF('QUICK ENTRY'!$B305="","",'QUICK ENTRY'!$D305)</f>
        <v/>
      </c>
      <c r="F305" s="44" t="str">
        <f>IF('QUICK ENTRY'!$B305="","",'QUICK ENTRY'!$K305)</f>
        <v/>
      </c>
      <c r="G305" s="58" t="str">
        <f>IF('QUICK ENTRY'!$B305="","",'QUICK ENTRY'!$E305)</f>
        <v/>
      </c>
      <c r="H305" s="44" t="str">
        <f>IF('QUICK ENTRY'!$B305="","",'QUICK ENTRY'!$F305)</f>
        <v/>
      </c>
      <c r="I305" s="44" t="str">
        <f>IF('QUICK ENTRY'!$B305="","",'QUICK ENTRY'!$L305)</f>
        <v/>
      </c>
      <c r="J305" s="44" t="str">
        <f>IF('QUICK ENTRY'!$B305="","",'QUICK ENTRY'!$M305)</f>
        <v/>
      </c>
      <c r="K305" s="44" t="str">
        <f>IF('QUICK ENTRY'!$B305="","",'QUICK ENTRY'!$V305)</f>
        <v/>
      </c>
      <c r="L305" s="44" t="str">
        <f>IF('QUICK ENTRY'!$B305="","",'QUICK ENTRY'!$R305)</f>
        <v/>
      </c>
      <c r="M305" s="44" t="str">
        <f>IF('QUICK ENTRY'!$B305="","",'QUICK ENTRY'!$O305)</f>
        <v/>
      </c>
      <c r="N305" s="44" t="str">
        <f>IF('QUICK ENTRY'!$B305="","",'QUICK ENTRY'!$AA305)</f>
        <v/>
      </c>
      <c r="O305" s="44" t="str">
        <f>IF('QUICK ENTRY'!$B305="","",'QUICK ENTRY'!$AG305)</f>
        <v/>
      </c>
      <c r="P305" s="44" t="str">
        <f>IF('QUICK ENTRY'!$B305="","",'QUICK ENTRY'!$AF305)</f>
        <v/>
      </c>
    </row>
    <row r="306" spans="1:16" ht="14.4">
      <c r="A306" s="44" t="str">
        <f>IF('QUICK ENTRY'!$B306="","",'QUICK ENTRY'!$U306)</f>
        <v/>
      </c>
      <c r="B306" s="55" t="str">
        <f>IF('QUICK ENTRY'!$B306="","",'QUICK ENTRY'!$B306)</f>
        <v/>
      </c>
      <c r="C306" s="44" t="str">
        <f>IF('QUICK ENTRY'!$B306="","",'QUICK ENTRY'!$C306)</f>
        <v/>
      </c>
      <c r="D306" s="44" t="str">
        <f>IF('QUICK ENTRY'!$B306="","",'QUICK ENTRY'!$I306)</f>
        <v/>
      </c>
      <c r="E306" s="44" t="str">
        <f>IF('QUICK ENTRY'!$B306="","",'QUICK ENTRY'!$D306)</f>
        <v/>
      </c>
      <c r="F306" s="44" t="str">
        <f>IF('QUICK ENTRY'!$B306="","",'QUICK ENTRY'!$K306)</f>
        <v/>
      </c>
      <c r="G306" s="58" t="str">
        <f>IF('QUICK ENTRY'!$B306="","",'QUICK ENTRY'!$E306)</f>
        <v/>
      </c>
      <c r="H306" s="44" t="str">
        <f>IF('QUICK ENTRY'!$B306="","",'QUICK ENTRY'!$F306)</f>
        <v/>
      </c>
      <c r="I306" s="44" t="str">
        <f>IF('QUICK ENTRY'!$B306="","",'QUICK ENTRY'!$L306)</f>
        <v/>
      </c>
      <c r="J306" s="44" t="str">
        <f>IF('QUICK ENTRY'!$B306="","",'QUICK ENTRY'!$M306)</f>
        <v/>
      </c>
      <c r="K306" s="44" t="str">
        <f>IF('QUICK ENTRY'!$B306="","",'QUICK ENTRY'!$V306)</f>
        <v/>
      </c>
      <c r="L306" s="44" t="str">
        <f>IF('QUICK ENTRY'!$B306="","",'QUICK ENTRY'!$R306)</f>
        <v/>
      </c>
      <c r="M306" s="44" t="str">
        <f>IF('QUICK ENTRY'!$B306="","",'QUICK ENTRY'!$O306)</f>
        <v/>
      </c>
      <c r="N306" s="44" t="str">
        <f>IF('QUICK ENTRY'!$B306="","",'QUICK ENTRY'!$AA306)</f>
        <v/>
      </c>
      <c r="O306" s="44" t="str">
        <f>IF('QUICK ENTRY'!$B306="","",'QUICK ENTRY'!$AG306)</f>
        <v/>
      </c>
      <c r="P306" s="44" t="str">
        <f>IF('QUICK ENTRY'!$B306="","",'QUICK ENTRY'!$AF306)</f>
        <v/>
      </c>
    </row>
    <row r="307" spans="1:16" ht="14.4">
      <c r="A307" s="45" t="str">
        <f>IF('QUICK ENTRY'!$B307="","",'QUICK ENTRY'!$U307)</f>
        <v/>
      </c>
      <c r="B307" s="56" t="str">
        <f>IF('QUICK ENTRY'!$B307="","",'QUICK ENTRY'!$B307)</f>
        <v/>
      </c>
      <c r="C307" s="45" t="str">
        <f>IF('QUICK ENTRY'!$B307="","",'QUICK ENTRY'!$C307)</f>
        <v/>
      </c>
      <c r="D307" s="45" t="str">
        <f>IF('QUICK ENTRY'!$B307="","",'QUICK ENTRY'!$I307)</f>
        <v/>
      </c>
      <c r="E307" s="45" t="str">
        <f>IF('QUICK ENTRY'!$B307="","",'QUICK ENTRY'!$D307)</f>
        <v/>
      </c>
      <c r="F307" s="45" t="str">
        <f>IF('QUICK ENTRY'!$B307="","",'QUICK ENTRY'!$K307)</f>
        <v/>
      </c>
      <c r="G307" s="59" t="str">
        <f>IF('QUICK ENTRY'!$B307="","",'QUICK ENTRY'!$E307)</f>
        <v/>
      </c>
      <c r="H307" s="45" t="str">
        <f>IF('QUICK ENTRY'!$B307="","",'QUICK ENTRY'!$F307)</f>
        <v/>
      </c>
      <c r="I307" s="45" t="str">
        <f>IF('QUICK ENTRY'!$B307="","",'QUICK ENTRY'!$L307)</f>
        <v/>
      </c>
      <c r="J307" s="45" t="str">
        <f>IF('QUICK ENTRY'!$B307="","",'QUICK ENTRY'!$M307)</f>
        <v/>
      </c>
      <c r="K307" s="45" t="str">
        <f>IF('QUICK ENTRY'!$B307="","",'QUICK ENTRY'!$V307)</f>
        <v/>
      </c>
      <c r="L307" s="45" t="str">
        <f>IF('QUICK ENTRY'!$B307="","",'QUICK ENTRY'!$R307)</f>
        <v/>
      </c>
      <c r="M307" s="45" t="str">
        <f>IF('QUICK ENTRY'!$B307="","",'QUICK ENTRY'!$O307)</f>
        <v/>
      </c>
      <c r="N307" s="45" t="str">
        <f>IF('QUICK ENTRY'!$B307="","",'QUICK ENTRY'!$AA307)</f>
        <v/>
      </c>
      <c r="O307" s="45" t="str">
        <f>IF('QUICK ENTRY'!$B307="","",'QUICK ENTRY'!$AG307)</f>
        <v/>
      </c>
      <c r="P307" s="45" t="str">
        <f>IF('QUICK ENTRY'!$B307="","",'QUICK ENTRY'!$AF307)</f>
        <v/>
      </c>
    </row>
  </sheetData>
  <mergeCells count="3">
    <mergeCell ref="A1:P2"/>
    <mergeCell ref="A3:P3"/>
    <mergeCell ref="A5:P5"/>
  </mergeCells>
  <conditionalFormatting sqref="N8:O307">
    <cfRule type="containsText" dxfId="74" priority="1" operator="containsText" text="Duplicate"/>
  </conditionalFormatting>
  <conditionalFormatting sqref="O8:O307">
    <cfRule type="notContainsText" dxfId="73" priority="2" operator="notContains" text="OK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4"/>
  <sheetViews>
    <sheetView showGridLines="0" workbookViewId="0"/>
  </sheetViews>
  <sheetFormatPr defaultRowHeight="13.8"/>
  <cols>
    <col min="1" max="1" width="22" customWidth="1"/>
    <col min="2" max="23" width="14" customWidth="1"/>
    <col min="24" max="24" width="19" customWidth="1"/>
  </cols>
  <sheetData>
    <row r="1" spans="1:24" ht="31.95" customHeight="1">
      <c r="A1" s="107" t="s">
        <v>222</v>
      </c>
      <c r="B1" s="107" t="s">
        <v>222</v>
      </c>
      <c r="C1" s="107" t="s">
        <v>222</v>
      </c>
      <c r="D1" s="107" t="s">
        <v>222</v>
      </c>
      <c r="E1" s="107" t="s">
        <v>222</v>
      </c>
      <c r="F1" s="107" t="s">
        <v>222</v>
      </c>
      <c r="G1" s="107" t="s">
        <v>222</v>
      </c>
      <c r="H1" s="107" t="s">
        <v>222</v>
      </c>
      <c r="I1" s="107" t="s">
        <v>222</v>
      </c>
      <c r="J1" s="107" t="s">
        <v>222</v>
      </c>
      <c r="K1" s="107" t="s">
        <v>222</v>
      </c>
      <c r="L1" s="107" t="s">
        <v>222</v>
      </c>
      <c r="M1" s="107" t="s">
        <v>222</v>
      </c>
      <c r="N1" s="107" t="s">
        <v>222</v>
      </c>
      <c r="O1" s="107" t="s">
        <v>222</v>
      </c>
      <c r="P1" s="107" t="s">
        <v>222</v>
      </c>
      <c r="Q1" s="107" t="s">
        <v>222</v>
      </c>
      <c r="R1" s="107" t="s">
        <v>222</v>
      </c>
      <c r="S1" s="107" t="s">
        <v>222</v>
      </c>
      <c r="T1" s="107" t="s">
        <v>222</v>
      </c>
      <c r="U1" s="107" t="s">
        <v>222</v>
      </c>
      <c r="V1" s="107" t="s">
        <v>222</v>
      </c>
      <c r="W1" s="107" t="s">
        <v>222</v>
      </c>
      <c r="X1" s="107" t="s">
        <v>222</v>
      </c>
    </row>
    <row r="2" spans="1:24" ht="31.95" customHeight="1">
      <c r="A2" s="107" t="s">
        <v>222</v>
      </c>
      <c r="B2" s="107" t="s">
        <v>222</v>
      </c>
      <c r="C2" s="107" t="s">
        <v>222</v>
      </c>
      <c r="D2" s="107" t="s">
        <v>222</v>
      </c>
      <c r="E2" s="107" t="s">
        <v>222</v>
      </c>
      <c r="F2" s="107" t="s">
        <v>222</v>
      </c>
      <c r="G2" s="107" t="s">
        <v>222</v>
      </c>
      <c r="H2" s="107" t="s">
        <v>222</v>
      </c>
      <c r="I2" s="107" t="s">
        <v>222</v>
      </c>
      <c r="J2" s="107" t="s">
        <v>222</v>
      </c>
      <c r="K2" s="107" t="s">
        <v>222</v>
      </c>
      <c r="L2" s="107" t="s">
        <v>222</v>
      </c>
      <c r="M2" s="107" t="s">
        <v>222</v>
      </c>
      <c r="N2" s="107" t="s">
        <v>222</v>
      </c>
      <c r="O2" s="107" t="s">
        <v>222</v>
      </c>
      <c r="P2" s="107" t="s">
        <v>222</v>
      </c>
      <c r="Q2" s="107" t="s">
        <v>222</v>
      </c>
      <c r="R2" s="107" t="s">
        <v>222</v>
      </c>
      <c r="S2" s="107" t="s">
        <v>222</v>
      </c>
      <c r="T2" s="107" t="s">
        <v>222</v>
      </c>
      <c r="U2" s="107" t="s">
        <v>222</v>
      </c>
      <c r="V2" s="107" t="s">
        <v>222</v>
      </c>
      <c r="W2" s="107" t="s">
        <v>222</v>
      </c>
      <c r="X2" s="107" t="s">
        <v>222</v>
      </c>
    </row>
    <row r="3" spans="1:24" ht="18" customHeight="1">
      <c r="A3" s="108" t="s">
        <v>223</v>
      </c>
      <c r="B3" s="108" t="s">
        <v>223</v>
      </c>
      <c r="C3" s="108" t="s">
        <v>223</v>
      </c>
      <c r="D3" s="108" t="s">
        <v>223</v>
      </c>
      <c r="E3" s="108" t="s">
        <v>223</v>
      </c>
      <c r="F3" s="108" t="s">
        <v>223</v>
      </c>
      <c r="G3" s="108" t="s">
        <v>223</v>
      </c>
      <c r="H3" s="108" t="s">
        <v>223</v>
      </c>
      <c r="I3" s="108" t="s">
        <v>223</v>
      </c>
      <c r="J3" s="108" t="s">
        <v>223</v>
      </c>
      <c r="K3" s="108" t="s">
        <v>223</v>
      </c>
      <c r="L3" s="108" t="s">
        <v>223</v>
      </c>
      <c r="M3" s="108" t="s">
        <v>223</v>
      </c>
      <c r="N3" s="108" t="s">
        <v>223</v>
      </c>
      <c r="O3" s="108" t="s">
        <v>223</v>
      </c>
      <c r="P3" s="108" t="s">
        <v>223</v>
      </c>
      <c r="Q3" s="108" t="s">
        <v>223</v>
      </c>
      <c r="R3" s="108" t="s">
        <v>223</v>
      </c>
      <c r="S3" s="108" t="s">
        <v>223</v>
      </c>
      <c r="T3" s="108" t="s">
        <v>223</v>
      </c>
      <c r="U3" s="108" t="s">
        <v>223</v>
      </c>
      <c r="V3" s="108" t="s">
        <v>223</v>
      </c>
      <c r="W3" s="108" t="s">
        <v>223</v>
      </c>
      <c r="X3" s="108" t="s">
        <v>223</v>
      </c>
    </row>
    <row r="4" spans="1:24">
      <c r="A4" s="143" t="s">
        <v>224</v>
      </c>
      <c r="B4" s="143" t="s">
        <v>224</v>
      </c>
      <c r="C4" s="143" t="s">
        <v>224</v>
      </c>
      <c r="D4" s="143" t="s">
        <v>224</v>
      </c>
      <c r="E4" s="143" t="s">
        <v>224</v>
      </c>
      <c r="F4" s="143" t="s">
        <v>224</v>
      </c>
      <c r="G4" s="249" t="str">
        <f>DASHBOARD!$C$3&amp;" "&amp;TEXT(DASHBOARD!$C$4,"0")</f>
        <v>September 2026</v>
      </c>
      <c r="H4" s="250"/>
      <c r="I4" s="250"/>
      <c r="J4" s="251"/>
      <c r="K4" s="255" t="s">
        <v>225</v>
      </c>
      <c r="L4" s="255" t="s">
        <v>225</v>
      </c>
      <c r="M4" s="255" t="s">
        <v>225</v>
      </c>
      <c r="N4" s="255" t="s">
        <v>225</v>
      </c>
      <c r="O4" s="255" t="s">
        <v>225</v>
      </c>
      <c r="P4" s="255" t="s">
        <v>225</v>
      </c>
      <c r="Q4" s="255" t="s">
        <v>225</v>
      </c>
      <c r="R4" s="255" t="s">
        <v>225</v>
      </c>
      <c r="S4" s="255" t="s">
        <v>225</v>
      </c>
      <c r="T4" s="255" t="s">
        <v>225</v>
      </c>
      <c r="U4" s="255" t="s">
        <v>225</v>
      </c>
      <c r="V4" s="255" t="s">
        <v>225</v>
      </c>
      <c r="W4" s="255" t="s">
        <v>225</v>
      </c>
      <c r="X4" s="255" t="s">
        <v>225</v>
      </c>
    </row>
    <row r="5" spans="1:24">
      <c r="A5" s="143" t="s">
        <v>224</v>
      </c>
      <c r="B5" s="143" t="s">
        <v>224</v>
      </c>
      <c r="C5" s="143" t="s">
        <v>224</v>
      </c>
      <c r="D5" s="143" t="s">
        <v>224</v>
      </c>
      <c r="E5" s="143" t="s">
        <v>224</v>
      </c>
      <c r="F5" s="143" t="s">
        <v>224</v>
      </c>
      <c r="G5" s="252"/>
      <c r="H5" s="253"/>
      <c r="I5" s="253"/>
      <c r="J5" s="254"/>
      <c r="K5" s="255" t="s">
        <v>225</v>
      </c>
      <c r="L5" s="255" t="s">
        <v>225</v>
      </c>
      <c r="M5" s="255" t="s">
        <v>225</v>
      </c>
      <c r="N5" s="255" t="s">
        <v>225</v>
      </c>
      <c r="O5" s="255" t="s">
        <v>225</v>
      </c>
      <c r="P5" s="255" t="s">
        <v>225</v>
      </c>
      <c r="Q5" s="255" t="s">
        <v>225</v>
      </c>
      <c r="R5" s="255" t="s">
        <v>225</v>
      </c>
      <c r="S5" s="255" t="s">
        <v>225</v>
      </c>
      <c r="T5" s="255" t="s">
        <v>225</v>
      </c>
      <c r="U5" s="255" t="s">
        <v>225</v>
      </c>
      <c r="V5" s="255" t="s">
        <v>225</v>
      </c>
      <c r="W5" s="255" t="s">
        <v>225</v>
      </c>
      <c r="X5" s="255" t="s">
        <v>225</v>
      </c>
    </row>
    <row r="7" spans="1:24" ht="30" customHeight="1">
      <c r="A7" s="40" t="s">
        <v>40</v>
      </c>
      <c r="B7" s="41" t="s">
        <v>226</v>
      </c>
      <c r="C7" s="41" t="s">
        <v>45</v>
      </c>
      <c r="D7" s="41" t="s">
        <v>227</v>
      </c>
      <c r="E7" s="41" t="s">
        <v>228</v>
      </c>
      <c r="F7" s="41" t="s">
        <v>229</v>
      </c>
      <c r="G7" s="41" t="s">
        <v>230</v>
      </c>
      <c r="H7" s="41" t="s">
        <v>231</v>
      </c>
      <c r="I7" s="41" t="s">
        <v>232</v>
      </c>
      <c r="J7" s="41" t="s">
        <v>233</v>
      </c>
      <c r="K7" s="41" t="s">
        <v>234</v>
      </c>
      <c r="L7" s="41" t="s">
        <v>235</v>
      </c>
      <c r="M7" s="41" t="s">
        <v>236</v>
      </c>
      <c r="N7" s="41" t="s">
        <v>237</v>
      </c>
      <c r="O7" s="41" t="s">
        <v>38</v>
      </c>
      <c r="P7" s="41" t="s">
        <v>238</v>
      </c>
      <c r="Q7" s="41" t="s">
        <v>239</v>
      </c>
      <c r="R7" s="41" t="s">
        <v>240</v>
      </c>
      <c r="S7" s="41" t="s">
        <v>241</v>
      </c>
      <c r="T7" s="41" t="s">
        <v>41</v>
      </c>
      <c r="U7" s="41" t="s">
        <v>242</v>
      </c>
      <c r="V7" s="41" t="s">
        <v>74</v>
      </c>
      <c r="W7" s="41" t="s">
        <v>243</v>
      </c>
      <c r="X7" s="42" t="s">
        <v>75</v>
      </c>
    </row>
    <row r="8" spans="1:24" ht="14.4">
      <c r="A8" s="43" t="str">
        <f>SETTINGS!$A$33</f>
        <v>College Fees</v>
      </c>
      <c r="B8" s="43" t="str">
        <f>SETTINGS!$C$33</f>
        <v>Priority 1</v>
      </c>
      <c r="C8" s="43" t="str">
        <f>SETTINGS!$D$33</f>
        <v>Fixed</v>
      </c>
      <c r="D8" s="43" t="str">
        <f>SETTINGS!$E$33</f>
        <v>Essential</v>
      </c>
      <c r="E8" s="43" t="str">
        <f>SETTINGS!$F$33</f>
        <v>Education</v>
      </c>
      <c r="F8" s="57">
        <f>SETTINGS!$B$33</f>
        <v>4500</v>
      </c>
      <c r="G8" s="22">
        <f t="shared" ref="G8:R17" si="0">$F8</f>
        <v>4500</v>
      </c>
      <c r="H8" s="22">
        <f t="shared" si="0"/>
        <v>4500</v>
      </c>
      <c r="I8" s="22">
        <f t="shared" si="0"/>
        <v>4500</v>
      </c>
      <c r="J8" s="22">
        <f t="shared" si="0"/>
        <v>4500</v>
      </c>
      <c r="K8" s="22">
        <f t="shared" si="0"/>
        <v>4500</v>
      </c>
      <c r="L8" s="22">
        <f t="shared" si="0"/>
        <v>4500</v>
      </c>
      <c r="M8" s="22">
        <f t="shared" si="0"/>
        <v>4500</v>
      </c>
      <c r="N8" s="22">
        <f t="shared" si="0"/>
        <v>4500</v>
      </c>
      <c r="O8" s="22">
        <f t="shared" si="0"/>
        <v>4500</v>
      </c>
      <c r="P8" s="22">
        <f t="shared" si="0"/>
        <v>4500</v>
      </c>
      <c r="Q8" s="22">
        <f t="shared" si="0"/>
        <v>4500</v>
      </c>
      <c r="R8" s="22">
        <f t="shared" si="0"/>
        <v>4500</v>
      </c>
      <c r="S8" s="57">
        <f>IFERROR(INDEX($G8:$R8,1,MATCH(DASHBOARD!$C$3,$G$7:$R$7,0)),0)</f>
        <v>4500</v>
      </c>
      <c r="T8" s="57">
        <f>SUMIFS('QUICK ENTRY'!$E$8:$E$1007,'QUICK ENTRY'!$AF$8:$AF$1007,"Yes",'QUICK ENTRY'!$C$8:$C$1007,IF($A8="Savings","Savings Transfer","Expense"),'QUICK ENTRY'!$I$8:$I$1007,$A8,'QUICK ENTRY'!$V$8:$V$1007,DASHBOARD!$C$3,'QUICK ENTRY'!$X$8:$X$1007,DASHBOARD!$C$4)</f>
        <v>0</v>
      </c>
      <c r="U8" s="57">
        <f t="shared" ref="U8:U27" si="1">$S8-$T8</f>
        <v>4500</v>
      </c>
      <c r="V8" s="60">
        <f t="shared" ref="V8:V27" si="2">IFERROR($T8/$S8,0)</f>
        <v>0</v>
      </c>
      <c r="W8" s="57">
        <f ca="1">IF($T8=0,0,IF($A8="Savings",$T8,IF(AND(DASHBOARD!$C$4=YEAR(TODAY()),MATCH(DASHBOARD!$C$3,SETTINGS!$K$21:$K$32,0)=MONTH(TODAY())),MIN($T8/MAX(1,DAY(TODAY()))*DAY(DATE(DASHBOARD!$C$4,MATCH(DASHBOARD!$C$3,SETTINGS!$K$21:$K$32,0)+1,0)),MAX($T8,$S8*1.5)),$T8)))</f>
        <v>0</v>
      </c>
      <c r="X8" s="43" t="str">
        <f>IF($S8=0,IF($T8=0,"No Budget","Over Budget"),IF($V8&lt;=SETTINGS!$E$5,"Safe",IF($V8&lt;=SETTINGS!$E$6,"Watch Spending",IF($V8&lt;=SETTINGS!$E$7,"Near Limit","Over Budget"))))</f>
        <v>Safe</v>
      </c>
    </row>
    <row r="9" spans="1:24" ht="14.4">
      <c r="A9" s="44" t="str">
        <f>SETTINGS!$A$34</f>
        <v>Hostel</v>
      </c>
      <c r="B9" s="44" t="str">
        <f>SETTINGS!$C$34</f>
        <v>Priority 1</v>
      </c>
      <c r="C9" s="44" t="str">
        <f>SETTINGS!$D$34</f>
        <v>Fixed</v>
      </c>
      <c r="D9" s="44" t="str">
        <f>SETTINGS!$E$34</f>
        <v>Essential</v>
      </c>
      <c r="E9" s="44" t="str">
        <f>SETTINGS!$F$34</f>
        <v>Living</v>
      </c>
      <c r="F9" s="58">
        <f>SETTINGS!$B$34</f>
        <v>3500</v>
      </c>
      <c r="G9" s="11">
        <f t="shared" si="0"/>
        <v>3500</v>
      </c>
      <c r="H9" s="11">
        <f t="shared" si="0"/>
        <v>3500</v>
      </c>
      <c r="I9" s="11">
        <f t="shared" si="0"/>
        <v>3500</v>
      </c>
      <c r="J9" s="11">
        <f t="shared" si="0"/>
        <v>3500</v>
      </c>
      <c r="K9" s="11">
        <f t="shared" si="0"/>
        <v>3500</v>
      </c>
      <c r="L9" s="11">
        <f t="shared" si="0"/>
        <v>3500</v>
      </c>
      <c r="M9" s="11">
        <f t="shared" si="0"/>
        <v>3500</v>
      </c>
      <c r="N9" s="11">
        <f t="shared" si="0"/>
        <v>3500</v>
      </c>
      <c r="O9" s="11">
        <f t="shared" si="0"/>
        <v>3500</v>
      </c>
      <c r="P9" s="11">
        <f t="shared" si="0"/>
        <v>3500</v>
      </c>
      <c r="Q9" s="11">
        <f t="shared" si="0"/>
        <v>3500</v>
      </c>
      <c r="R9" s="11">
        <f t="shared" si="0"/>
        <v>3500</v>
      </c>
      <c r="S9" s="58">
        <f>IFERROR(INDEX($G9:$R9,1,MATCH(DASHBOARD!$C$3,$G$7:$R$7,0)),0)</f>
        <v>3500</v>
      </c>
      <c r="T9" s="58">
        <f>SUMIFS('QUICK ENTRY'!$E$8:$E$1007,'QUICK ENTRY'!$AF$8:$AF$1007,"Yes",'QUICK ENTRY'!$C$8:$C$1007,IF($A9="Savings","Savings Transfer","Expense"),'QUICK ENTRY'!$I$8:$I$1007,$A9,'QUICK ENTRY'!$V$8:$V$1007,DASHBOARD!$C$3,'QUICK ENTRY'!$X$8:$X$1007,DASHBOARD!$C$4)</f>
        <v>3200</v>
      </c>
      <c r="U9" s="58">
        <f t="shared" si="1"/>
        <v>300</v>
      </c>
      <c r="V9" s="61">
        <f t="shared" si="2"/>
        <v>0.91428571428571426</v>
      </c>
      <c r="W9" s="58">
        <f ca="1">IF($T9=0,0,IF($A9="Savings",$T9,IF(AND(DASHBOARD!$C$4=YEAR(TODAY()),MATCH(DASHBOARD!$C$3,SETTINGS!$K$21:$K$32,0)=MONTH(TODAY())),MIN($T9/MAX(1,DAY(TODAY()))*DAY(DATE(DASHBOARD!$C$4,MATCH(DASHBOARD!$C$3,SETTINGS!$K$21:$K$32,0)+1,0)),MAX($T9,$S9*1.5)),$T9)))</f>
        <v>3200</v>
      </c>
      <c r="X9" s="44" t="str">
        <f>IF($S9=0,IF($T9=0,"No Budget","Over Budget"),IF($V9&lt;=SETTINGS!$E$5,"Safe",IF($V9&lt;=SETTINGS!$E$6,"Watch Spending",IF($V9&lt;=SETTINGS!$E$7,"Near Limit","Over Budget"))))</f>
        <v>Near Limit</v>
      </c>
    </row>
    <row r="10" spans="1:24" ht="14.4">
      <c r="A10" s="44" t="str">
        <f>SETTINGS!$A$35</f>
        <v>Food</v>
      </c>
      <c r="B10" s="44" t="str">
        <f>SETTINGS!$C$35</f>
        <v>Priority 1</v>
      </c>
      <c r="C10" s="44" t="str">
        <f>SETTINGS!$D$35</f>
        <v>Variable</v>
      </c>
      <c r="D10" s="44" t="str">
        <f>SETTINGS!$E$35</f>
        <v>Essential</v>
      </c>
      <c r="E10" s="44" t="str">
        <f>SETTINGS!$F$35</f>
        <v>Living</v>
      </c>
      <c r="F10" s="58">
        <f>SETTINGS!$B$35</f>
        <v>4000</v>
      </c>
      <c r="G10" s="11">
        <f t="shared" si="0"/>
        <v>4000</v>
      </c>
      <c r="H10" s="11">
        <f t="shared" si="0"/>
        <v>4000</v>
      </c>
      <c r="I10" s="11">
        <f t="shared" si="0"/>
        <v>4000</v>
      </c>
      <c r="J10" s="11">
        <f t="shared" si="0"/>
        <v>4000</v>
      </c>
      <c r="K10" s="11">
        <f t="shared" si="0"/>
        <v>4000</v>
      </c>
      <c r="L10" s="11">
        <f t="shared" si="0"/>
        <v>4000</v>
      </c>
      <c r="M10" s="11">
        <f t="shared" si="0"/>
        <v>4000</v>
      </c>
      <c r="N10" s="11">
        <f t="shared" si="0"/>
        <v>4000</v>
      </c>
      <c r="O10" s="11">
        <f t="shared" si="0"/>
        <v>4000</v>
      </c>
      <c r="P10" s="11">
        <f t="shared" si="0"/>
        <v>4000</v>
      </c>
      <c r="Q10" s="11">
        <f t="shared" si="0"/>
        <v>4000</v>
      </c>
      <c r="R10" s="11">
        <f t="shared" si="0"/>
        <v>4000</v>
      </c>
      <c r="S10" s="58">
        <f>IFERROR(INDEX($G10:$R10,1,MATCH(DASHBOARD!$C$3,$G$7:$R$7,0)),0)</f>
        <v>4000</v>
      </c>
      <c r="T10" s="58">
        <f>SUMIFS('QUICK ENTRY'!$E$8:$E$1007,'QUICK ENTRY'!$AF$8:$AF$1007,"Yes",'QUICK ENTRY'!$C$8:$C$1007,IF($A10="Savings","Savings Transfer","Expense"),'QUICK ENTRY'!$I$8:$I$1007,$A10,'QUICK ENTRY'!$V$8:$V$1007,DASHBOARD!$C$3,'QUICK ENTRY'!$X$8:$X$1007,DASHBOARD!$C$4)</f>
        <v>620</v>
      </c>
      <c r="U10" s="58">
        <f t="shared" si="1"/>
        <v>3380</v>
      </c>
      <c r="V10" s="61">
        <f t="shared" si="2"/>
        <v>0.155</v>
      </c>
      <c r="W10" s="58">
        <f ca="1">IF($T10=0,0,IF($A10="Savings",$T10,IF(AND(DASHBOARD!$C$4=YEAR(TODAY()),MATCH(DASHBOARD!$C$3,SETTINGS!$K$21:$K$32,0)=MONTH(TODAY())),MIN($T10/MAX(1,DAY(TODAY()))*DAY(DATE(DASHBOARD!$C$4,MATCH(DASHBOARD!$C$3,SETTINGS!$K$21:$K$32,0)+1,0)),MAX($T10,$S10*1.5)),$T10)))</f>
        <v>620</v>
      </c>
      <c r="X10" s="44" t="str">
        <f>IF($S10=0,IF($T10=0,"No Budget","Over Budget"),IF($V10&lt;=SETTINGS!$E$5,"Safe",IF($V10&lt;=SETTINGS!$E$6,"Watch Spending",IF($V10&lt;=SETTINGS!$E$7,"Near Limit","Over Budget"))))</f>
        <v>Safe</v>
      </c>
    </row>
    <row r="11" spans="1:24" ht="14.4">
      <c r="A11" s="44" t="str">
        <f>SETTINGS!$A$36</f>
        <v>Transport</v>
      </c>
      <c r="B11" s="44" t="str">
        <f>SETTINGS!$C$36</f>
        <v>Priority 2</v>
      </c>
      <c r="C11" s="44" t="str">
        <f>SETTINGS!$D$36</f>
        <v>Variable</v>
      </c>
      <c r="D11" s="44" t="str">
        <f>SETTINGS!$E$36</f>
        <v>Useful</v>
      </c>
      <c r="E11" s="44" t="str">
        <f>SETTINGS!$F$36</f>
        <v>Living</v>
      </c>
      <c r="F11" s="58">
        <f>SETTINGS!$B$36</f>
        <v>1500</v>
      </c>
      <c r="G11" s="11">
        <f t="shared" si="0"/>
        <v>1500</v>
      </c>
      <c r="H11" s="11">
        <f t="shared" si="0"/>
        <v>1500</v>
      </c>
      <c r="I11" s="11">
        <f t="shared" si="0"/>
        <v>1500</v>
      </c>
      <c r="J11" s="11">
        <f t="shared" si="0"/>
        <v>1500</v>
      </c>
      <c r="K11" s="11">
        <f t="shared" si="0"/>
        <v>1500</v>
      </c>
      <c r="L11" s="11">
        <f t="shared" si="0"/>
        <v>1500</v>
      </c>
      <c r="M11" s="11">
        <f t="shared" si="0"/>
        <v>1500</v>
      </c>
      <c r="N11" s="11">
        <f t="shared" si="0"/>
        <v>1500</v>
      </c>
      <c r="O11" s="11">
        <f t="shared" si="0"/>
        <v>1500</v>
      </c>
      <c r="P11" s="11">
        <f t="shared" si="0"/>
        <v>1500</v>
      </c>
      <c r="Q11" s="11">
        <f t="shared" si="0"/>
        <v>1500</v>
      </c>
      <c r="R11" s="11">
        <f t="shared" si="0"/>
        <v>1500</v>
      </c>
      <c r="S11" s="58">
        <f>IFERROR(INDEX($G11:$R11,1,MATCH(DASHBOARD!$C$3,$G$7:$R$7,0)),0)</f>
        <v>1500</v>
      </c>
      <c r="T11" s="58">
        <f>SUMIFS('QUICK ENTRY'!$E$8:$E$1007,'QUICK ENTRY'!$AF$8:$AF$1007,"Yes",'QUICK ENTRY'!$C$8:$C$1007,IF($A11="Savings","Savings Transfer","Expense"),'QUICK ENTRY'!$I$8:$I$1007,$A11,'QUICK ENTRY'!$V$8:$V$1007,DASHBOARD!$C$3,'QUICK ENTRY'!$X$8:$X$1007,DASHBOARD!$C$4)</f>
        <v>350</v>
      </c>
      <c r="U11" s="58">
        <f t="shared" si="1"/>
        <v>1150</v>
      </c>
      <c r="V11" s="61">
        <f t="shared" si="2"/>
        <v>0.23333333333333334</v>
      </c>
      <c r="W11" s="58">
        <f ca="1">IF($T11=0,0,IF($A11="Savings",$T11,IF(AND(DASHBOARD!$C$4=YEAR(TODAY()),MATCH(DASHBOARD!$C$3,SETTINGS!$K$21:$K$32,0)=MONTH(TODAY())),MIN($T11/MAX(1,DAY(TODAY()))*DAY(DATE(DASHBOARD!$C$4,MATCH(DASHBOARD!$C$3,SETTINGS!$K$21:$K$32,0)+1,0)),MAX($T11,$S11*1.5)),$T11)))</f>
        <v>350</v>
      </c>
      <c r="X11" s="44" t="str">
        <f>IF($S11=0,IF($T11=0,"No Budget","Over Budget"),IF($V11&lt;=SETTINGS!$E$5,"Safe",IF($V11&lt;=SETTINGS!$E$6,"Watch Spending",IF($V11&lt;=SETTINGS!$E$7,"Near Limit","Over Budget"))))</f>
        <v>Safe</v>
      </c>
    </row>
    <row r="12" spans="1:24" ht="14.4">
      <c r="A12" s="44" t="str">
        <f>SETTINGS!$A$37</f>
        <v>Technology</v>
      </c>
      <c r="B12" s="44" t="str">
        <f>SETTINGS!$C$37</f>
        <v>Priority 2</v>
      </c>
      <c r="C12" s="44" t="str">
        <f>SETTINGS!$D$37</f>
        <v>Variable</v>
      </c>
      <c r="D12" s="44" t="str">
        <f>SETTINGS!$E$37</f>
        <v>Useful</v>
      </c>
      <c r="E12" s="44" t="str">
        <f>SETTINGS!$F$37</f>
        <v>Education</v>
      </c>
      <c r="F12" s="58">
        <f>SETTINGS!$B$37</f>
        <v>1500</v>
      </c>
      <c r="G12" s="11">
        <f t="shared" si="0"/>
        <v>1500</v>
      </c>
      <c r="H12" s="11">
        <f t="shared" si="0"/>
        <v>1500</v>
      </c>
      <c r="I12" s="11">
        <f t="shared" si="0"/>
        <v>1500</v>
      </c>
      <c r="J12" s="11">
        <f t="shared" si="0"/>
        <v>1500</v>
      </c>
      <c r="K12" s="11">
        <f t="shared" si="0"/>
        <v>1500</v>
      </c>
      <c r="L12" s="11">
        <f t="shared" si="0"/>
        <v>1500</v>
      </c>
      <c r="M12" s="11">
        <f t="shared" si="0"/>
        <v>1500</v>
      </c>
      <c r="N12" s="11">
        <f t="shared" si="0"/>
        <v>1500</v>
      </c>
      <c r="O12" s="11">
        <f t="shared" si="0"/>
        <v>1500</v>
      </c>
      <c r="P12" s="11">
        <f t="shared" si="0"/>
        <v>1500</v>
      </c>
      <c r="Q12" s="11">
        <f t="shared" si="0"/>
        <v>1500</v>
      </c>
      <c r="R12" s="11">
        <f t="shared" si="0"/>
        <v>1500</v>
      </c>
      <c r="S12" s="58">
        <f>IFERROR(INDEX($G12:$R12,1,MATCH(DASHBOARD!$C$3,$G$7:$R$7,0)),0)</f>
        <v>1500</v>
      </c>
      <c r="T12" s="58">
        <f>SUMIFS('QUICK ENTRY'!$E$8:$E$1007,'QUICK ENTRY'!$AF$8:$AF$1007,"Yes",'QUICK ENTRY'!$C$8:$C$1007,IF($A12="Savings","Savings Transfer","Expense"),'QUICK ENTRY'!$I$8:$I$1007,$A12,'QUICK ENTRY'!$V$8:$V$1007,DASHBOARD!$C$3,'QUICK ENTRY'!$X$8:$X$1007,DASHBOARD!$C$4)</f>
        <v>0</v>
      </c>
      <c r="U12" s="58">
        <f t="shared" si="1"/>
        <v>1500</v>
      </c>
      <c r="V12" s="61">
        <f t="shared" si="2"/>
        <v>0</v>
      </c>
      <c r="W12" s="58">
        <f ca="1">IF($T12=0,0,IF($A12="Savings",$T12,IF(AND(DASHBOARD!$C$4=YEAR(TODAY()),MATCH(DASHBOARD!$C$3,SETTINGS!$K$21:$K$32,0)=MONTH(TODAY())),MIN($T12/MAX(1,DAY(TODAY()))*DAY(DATE(DASHBOARD!$C$4,MATCH(DASHBOARD!$C$3,SETTINGS!$K$21:$K$32,0)+1,0)),MAX($T12,$S12*1.5)),$T12)))</f>
        <v>0</v>
      </c>
      <c r="X12" s="44" t="str">
        <f>IF($S12=0,IF($T12=0,"No Budget","Over Budget"),IF($V12&lt;=SETTINGS!$E$5,"Safe",IF($V12&lt;=SETTINGS!$E$6,"Watch Spending",IF($V12&lt;=SETTINGS!$E$7,"Near Limit","Over Budget"))))</f>
        <v>Safe</v>
      </c>
    </row>
    <row r="13" spans="1:24" ht="14.4">
      <c r="A13" s="44" t="str">
        <f>SETTINGS!$A$38</f>
        <v>AI-ML Learning</v>
      </c>
      <c r="B13" s="44" t="str">
        <f>SETTINGS!$C$38</f>
        <v>Priority 2</v>
      </c>
      <c r="C13" s="44" t="str">
        <f>SETTINGS!$D$38</f>
        <v>Variable</v>
      </c>
      <c r="D13" s="44" t="str">
        <f>SETTINGS!$E$38</f>
        <v>Useful</v>
      </c>
      <c r="E13" s="44" t="str">
        <f>SETTINGS!$F$38</f>
        <v>Education</v>
      </c>
      <c r="F13" s="58">
        <f>SETTINGS!$B$38</f>
        <v>1000</v>
      </c>
      <c r="G13" s="11">
        <f t="shared" si="0"/>
        <v>1000</v>
      </c>
      <c r="H13" s="11">
        <f t="shared" si="0"/>
        <v>1000</v>
      </c>
      <c r="I13" s="11">
        <f t="shared" si="0"/>
        <v>1000</v>
      </c>
      <c r="J13" s="11">
        <f t="shared" si="0"/>
        <v>1000</v>
      </c>
      <c r="K13" s="11">
        <f t="shared" si="0"/>
        <v>1000</v>
      </c>
      <c r="L13" s="11">
        <f t="shared" si="0"/>
        <v>1000</v>
      </c>
      <c r="M13" s="11">
        <f t="shared" si="0"/>
        <v>1000</v>
      </c>
      <c r="N13" s="11">
        <f t="shared" si="0"/>
        <v>1000</v>
      </c>
      <c r="O13" s="11">
        <f t="shared" si="0"/>
        <v>1000</v>
      </c>
      <c r="P13" s="11">
        <f t="shared" si="0"/>
        <v>1000</v>
      </c>
      <c r="Q13" s="11">
        <f t="shared" si="0"/>
        <v>1000</v>
      </c>
      <c r="R13" s="11">
        <f t="shared" si="0"/>
        <v>1000</v>
      </c>
      <c r="S13" s="58">
        <f>IFERROR(INDEX($G13:$R13,1,MATCH(DASHBOARD!$C$3,$G$7:$R$7,0)),0)</f>
        <v>1000</v>
      </c>
      <c r="T13" s="58">
        <f>SUMIFS('QUICK ENTRY'!$E$8:$E$1007,'QUICK ENTRY'!$AF$8:$AF$1007,"Yes",'QUICK ENTRY'!$C$8:$C$1007,IF($A13="Savings","Savings Transfer","Expense"),'QUICK ENTRY'!$I$8:$I$1007,$A13,'QUICK ENTRY'!$V$8:$V$1007,DASHBOARD!$C$3,'QUICK ENTRY'!$X$8:$X$1007,DASHBOARD!$C$4)</f>
        <v>1499</v>
      </c>
      <c r="U13" s="58">
        <f t="shared" si="1"/>
        <v>-499</v>
      </c>
      <c r="V13" s="61">
        <f t="shared" si="2"/>
        <v>1.4990000000000001</v>
      </c>
      <c r="W13" s="58">
        <f ca="1">IF($T13=0,0,IF($A13="Savings",$T13,IF(AND(DASHBOARD!$C$4=YEAR(TODAY()),MATCH(DASHBOARD!$C$3,SETTINGS!$K$21:$K$32,0)=MONTH(TODAY())),MIN($T13/MAX(1,DAY(TODAY()))*DAY(DATE(DASHBOARD!$C$4,MATCH(DASHBOARD!$C$3,SETTINGS!$K$21:$K$32,0)+1,0)),MAX($T13,$S13*1.5)),$T13)))</f>
        <v>1499</v>
      </c>
      <c r="X13" s="44" t="str">
        <f>IF($S13=0,IF($T13=0,"No Budget","Over Budget"),IF($V13&lt;=SETTINGS!$E$5,"Safe",IF($V13&lt;=SETTINGS!$E$6,"Watch Spending",IF($V13&lt;=SETTINGS!$E$7,"Near Limit","Over Budget"))))</f>
        <v>Over Budget</v>
      </c>
    </row>
    <row r="14" spans="1:24" ht="14.4">
      <c r="A14" s="44" t="str">
        <f>SETTINGS!$A$39</f>
        <v>Books &amp; Stationery</v>
      </c>
      <c r="B14" s="44" t="str">
        <f>SETTINGS!$C$39</f>
        <v>Priority 2</v>
      </c>
      <c r="C14" s="44" t="str">
        <f>SETTINGS!$D$39</f>
        <v>Variable</v>
      </c>
      <c r="D14" s="44" t="str">
        <f>SETTINGS!$E$39</f>
        <v>Useful</v>
      </c>
      <c r="E14" s="44" t="str">
        <f>SETTINGS!$F$39</f>
        <v>Education</v>
      </c>
      <c r="F14" s="58">
        <f>SETTINGS!$B$39</f>
        <v>500</v>
      </c>
      <c r="G14" s="11">
        <f t="shared" si="0"/>
        <v>500</v>
      </c>
      <c r="H14" s="11">
        <f t="shared" si="0"/>
        <v>500</v>
      </c>
      <c r="I14" s="11">
        <f t="shared" si="0"/>
        <v>500</v>
      </c>
      <c r="J14" s="11">
        <f t="shared" si="0"/>
        <v>500</v>
      </c>
      <c r="K14" s="11">
        <f t="shared" si="0"/>
        <v>500</v>
      </c>
      <c r="L14" s="11">
        <f t="shared" si="0"/>
        <v>500</v>
      </c>
      <c r="M14" s="11">
        <f t="shared" si="0"/>
        <v>500</v>
      </c>
      <c r="N14" s="11">
        <f t="shared" si="0"/>
        <v>500</v>
      </c>
      <c r="O14" s="11">
        <f t="shared" si="0"/>
        <v>500</v>
      </c>
      <c r="P14" s="11">
        <f t="shared" si="0"/>
        <v>500</v>
      </c>
      <c r="Q14" s="11">
        <f t="shared" si="0"/>
        <v>500</v>
      </c>
      <c r="R14" s="11">
        <f t="shared" si="0"/>
        <v>500</v>
      </c>
      <c r="S14" s="58">
        <f>IFERROR(INDEX($G14:$R14,1,MATCH(DASHBOARD!$C$3,$G$7:$R$7,0)),0)</f>
        <v>500</v>
      </c>
      <c r="T14" s="58">
        <f>SUMIFS('QUICK ENTRY'!$E$8:$E$1007,'QUICK ENTRY'!$AF$8:$AF$1007,"Yes",'QUICK ENTRY'!$C$8:$C$1007,IF($A14="Savings","Savings Transfer","Expense"),'QUICK ENTRY'!$I$8:$I$1007,$A14,'QUICK ENTRY'!$V$8:$V$1007,DASHBOARD!$C$3,'QUICK ENTRY'!$X$8:$X$1007,DASHBOARD!$C$4)</f>
        <v>280</v>
      </c>
      <c r="U14" s="58">
        <f t="shared" si="1"/>
        <v>220</v>
      </c>
      <c r="V14" s="61">
        <f t="shared" si="2"/>
        <v>0.56000000000000005</v>
      </c>
      <c r="W14" s="58">
        <f ca="1">IF($T14=0,0,IF($A14="Savings",$T14,IF(AND(DASHBOARD!$C$4=YEAR(TODAY()),MATCH(DASHBOARD!$C$3,SETTINGS!$K$21:$K$32,0)=MONTH(TODAY())),MIN($T14/MAX(1,DAY(TODAY()))*DAY(DATE(DASHBOARD!$C$4,MATCH(DASHBOARD!$C$3,SETTINGS!$K$21:$K$32,0)+1,0)),MAX($T14,$S14*1.5)),$T14)))</f>
        <v>280</v>
      </c>
      <c r="X14" s="44" t="str">
        <f>IF($S14=0,IF($T14=0,"No Budget","Over Budget"),IF($V14&lt;=SETTINGS!$E$5,"Safe",IF($V14&lt;=SETTINGS!$E$6,"Watch Spending",IF($V14&lt;=SETTINGS!$E$7,"Near Limit","Over Budget"))))</f>
        <v>Safe</v>
      </c>
    </row>
    <row r="15" spans="1:24" ht="14.4">
      <c r="A15" s="44" t="str">
        <f>SETTINGS!$A$40</f>
        <v>Subscriptions</v>
      </c>
      <c r="B15" s="44" t="str">
        <f>SETTINGS!$C$40</f>
        <v>Priority 3</v>
      </c>
      <c r="C15" s="44" t="str">
        <f>SETTINGS!$D$40</f>
        <v>Fixed</v>
      </c>
      <c r="D15" s="44" t="str">
        <f>SETTINGS!$E$40</f>
        <v>Optional</v>
      </c>
      <c r="E15" s="44" t="str">
        <f>SETTINGS!$F$40</f>
        <v>Lifestyle</v>
      </c>
      <c r="F15" s="58">
        <f>SETTINGS!$B$40</f>
        <v>600</v>
      </c>
      <c r="G15" s="11">
        <f t="shared" si="0"/>
        <v>600</v>
      </c>
      <c r="H15" s="11">
        <f t="shared" si="0"/>
        <v>600</v>
      </c>
      <c r="I15" s="11">
        <f t="shared" si="0"/>
        <v>600</v>
      </c>
      <c r="J15" s="11">
        <f t="shared" si="0"/>
        <v>600</v>
      </c>
      <c r="K15" s="11">
        <f t="shared" si="0"/>
        <v>600</v>
      </c>
      <c r="L15" s="11">
        <f t="shared" si="0"/>
        <v>600</v>
      </c>
      <c r="M15" s="11">
        <f t="shared" si="0"/>
        <v>600</v>
      </c>
      <c r="N15" s="11">
        <f t="shared" si="0"/>
        <v>600</v>
      </c>
      <c r="O15" s="11">
        <f t="shared" si="0"/>
        <v>600</v>
      </c>
      <c r="P15" s="11">
        <f t="shared" si="0"/>
        <v>600</v>
      </c>
      <c r="Q15" s="11">
        <f t="shared" si="0"/>
        <v>600</v>
      </c>
      <c r="R15" s="11">
        <f t="shared" si="0"/>
        <v>600</v>
      </c>
      <c r="S15" s="58">
        <f>IFERROR(INDEX($G15:$R15,1,MATCH(DASHBOARD!$C$3,$G$7:$R$7,0)),0)</f>
        <v>600</v>
      </c>
      <c r="T15" s="58">
        <f>SUMIFS('QUICK ENTRY'!$E$8:$E$1007,'QUICK ENTRY'!$AF$8:$AF$1007,"Yes",'QUICK ENTRY'!$C$8:$C$1007,IF($A15="Savings","Savings Transfer","Expense"),'QUICK ENTRY'!$I$8:$I$1007,$A15,'QUICK ENTRY'!$V$8:$V$1007,DASHBOARD!$C$3,'QUICK ENTRY'!$X$8:$X$1007,DASHBOARD!$C$4)</f>
        <v>199</v>
      </c>
      <c r="U15" s="58">
        <f t="shared" si="1"/>
        <v>401</v>
      </c>
      <c r="V15" s="61">
        <f t="shared" si="2"/>
        <v>0.33166666666666667</v>
      </c>
      <c r="W15" s="58">
        <f ca="1">IF($T15=0,0,IF($A15="Savings",$T15,IF(AND(DASHBOARD!$C$4=YEAR(TODAY()),MATCH(DASHBOARD!$C$3,SETTINGS!$K$21:$K$32,0)=MONTH(TODAY())),MIN($T15/MAX(1,DAY(TODAY()))*DAY(DATE(DASHBOARD!$C$4,MATCH(DASHBOARD!$C$3,SETTINGS!$K$21:$K$32,0)+1,0)),MAX($T15,$S15*1.5)),$T15)))</f>
        <v>199</v>
      </c>
      <c r="X15" s="44" t="str">
        <f>IF($S15=0,IF($T15=0,"No Budget","Over Budget"),IF($V15&lt;=SETTINGS!$E$5,"Safe",IF($V15&lt;=SETTINGS!$E$6,"Watch Spending",IF($V15&lt;=SETTINGS!$E$7,"Near Limit","Over Budget"))))</f>
        <v>Safe</v>
      </c>
    </row>
    <row r="16" spans="1:24" ht="14.4">
      <c r="A16" s="44" t="str">
        <f>SETTINGS!$A$41</f>
        <v>Mobile &amp; Internet</v>
      </c>
      <c r="B16" s="44" t="str">
        <f>SETTINGS!$C$41</f>
        <v>Priority 1</v>
      </c>
      <c r="C16" s="44" t="str">
        <f>SETTINGS!$D$41</f>
        <v>Fixed</v>
      </c>
      <c r="D16" s="44" t="str">
        <f>SETTINGS!$E$41</f>
        <v>Essential</v>
      </c>
      <c r="E16" s="44" t="str">
        <f>SETTINGS!$F$41</f>
        <v>Living</v>
      </c>
      <c r="F16" s="58">
        <f>SETTINGS!$B$41</f>
        <v>400</v>
      </c>
      <c r="G16" s="11">
        <f t="shared" si="0"/>
        <v>400</v>
      </c>
      <c r="H16" s="11">
        <f t="shared" si="0"/>
        <v>400</v>
      </c>
      <c r="I16" s="11">
        <f t="shared" si="0"/>
        <v>400</v>
      </c>
      <c r="J16" s="11">
        <f t="shared" si="0"/>
        <v>400</v>
      </c>
      <c r="K16" s="11">
        <f t="shared" si="0"/>
        <v>400</v>
      </c>
      <c r="L16" s="11">
        <f t="shared" si="0"/>
        <v>400</v>
      </c>
      <c r="M16" s="11">
        <f t="shared" si="0"/>
        <v>400</v>
      </c>
      <c r="N16" s="11">
        <f t="shared" si="0"/>
        <v>400</v>
      </c>
      <c r="O16" s="11">
        <f t="shared" si="0"/>
        <v>400</v>
      </c>
      <c r="P16" s="11">
        <f t="shared" si="0"/>
        <v>400</v>
      </c>
      <c r="Q16" s="11">
        <f t="shared" si="0"/>
        <v>400</v>
      </c>
      <c r="R16" s="11">
        <f t="shared" si="0"/>
        <v>400</v>
      </c>
      <c r="S16" s="58">
        <f>IFERROR(INDEX($G16:$R16,1,MATCH(DASHBOARD!$C$3,$G$7:$R$7,0)),0)</f>
        <v>400</v>
      </c>
      <c r="T16" s="58">
        <f>SUMIFS('QUICK ENTRY'!$E$8:$E$1007,'QUICK ENTRY'!$AF$8:$AF$1007,"Yes",'QUICK ENTRY'!$C$8:$C$1007,IF($A16="Savings","Savings Transfer","Expense"),'QUICK ENTRY'!$I$8:$I$1007,$A16,'QUICK ENTRY'!$V$8:$V$1007,DASHBOARD!$C$3,'QUICK ENTRY'!$X$8:$X$1007,DASHBOARD!$C$4)</f>
        <v>349</v>
      </c>
      <c r="U16" s="58">
        <f t="shared" si="1"/>
        <v>51</v>
      </c>
      <c r="V16" s="61">
        <f t="shared" si="2"/>
        <v>0.87250000000000005</v>
      </c>
      <c r="W16" s="58">
        <f ca="1">IF($T16=0,0,IF($A16="Savings",$T16,IF(AND(DASHBOARD!$C$4=YEAR(TODAY()),MATCH(DASHBOARD!$C$3,SETTINGS!$K$21:$K$32,0)=MONTH(TODAY())),MIN($T16/MAX(1,DAY(TODAY()))*DAY(DATE(DASHBOARD!$C$4,MATCH(DASHBOARD!$C$3,SETTINGS!$K$21:$K$32,0)+1,0)),MAX($T16,$S16*1.5)),$T16)))</f>
        <v>349</v>
      </c>
      <c r="X16" s="44" t="str">
        <f>IF($S16=0,IF($T16=0,"No Budget","Over Budget"),IF($V16&lt;=SETTINGS!$E$5,"Safe",IF($V16&lt;=SETTINGS!$E$6,"Watch Spending",IF($V16&lt;=SETTINGS!$E$7,"Near Limit","Over Budget"))))</f>
        <v>Watch Spending</v>
      </c>
    </row>
    <row r="17" spans="1:24" ht="14.4">
      <c r="A17" s="44" t="str">
        <f>SETTINGS!$A$42</f>
        <v>Personal Care</v>
      </c>
      <c r="B17" s="44" t="str">
        <f>SETTINGS!$C$42</f>
        <v>Priority 2</v>
      </c>
      <c r="C17" s="44" t="str">
        <f>SETTINGS!$D$42</f>
        <v>Variable</v>
      </c>
      <c r="D17" s="44" t="str">
        <f>SETTINGS!$E$42</f>
        <v>Useful</v>
      </c>
      <c r="E17" s="44" t="str">
        <f>SETTINGS!$F$42</f>
        <v>Lifestyle</v>
      </c>
      <c r="F17" s="58">
        <f>SETTINGS!$B$42</f>
        <v>500</v>
      </c>
      <c r="G17" s="11">
        <f t="shared" si="0"/>
        <v>500</v>
      </c>
      <c r="H17" s="11">
        <f t="shared" si="0"/>
        <v>500</v>
      </c>
      <c r="I17" s="11">
        <f t="shared" si="0"/>
        <v>500</v>
      </c>
      <c r="J17" s="11">
        <f t="shared" si="0"/>
        <v>500</v>
      </c>
      <c r="K17" s="11">
        <f t="shared" si="0"/>
        <v>500</v>
      </c>
      <c r="L17" s="11">
        <f t="shared" si="0"/>
        <v>500</v>
      </c>
      <c r="M17" s="11">
        <f t="shared" si="0"/>
        <v>500</v>
      </c>
      <c r="N17" s="11">
        <f t="shared" si="0"/>
        <v>500</v>
      </c>
      <c r="O17" s="11">
        <f t="shared" si="0"/>
        <v>500</v>
      </c>
      <c r="P17" s="11">
        <f t="shared" si="0"/>
        <v>500</v>
      </c>
      <c r="Q17" s="11">
        <f t="shared" si="0"/>
        <v>500</v>
      </c>
      <c r="R17" s="11">
        <f t="shared" si="0"/>
        <v>500</v>
      </c>
      <c r="S17" s="58">
        <f>IFERROR(INDEX($G17:$R17,1,MATCH(DASHBOARD!$C$3,$G$7:$R$7,0)),0)</f>
        <v>500</v>
      </c>
      <c r="T17" s="58">
        <f>SUMIFS('QUICK ENTRY'!$E$8:$E$1007,'QUICK ENTRY'!$AF$8:$AF$1007,"Yes",'QUICK ENTRY'!$C$8:$C$1007,IF($A17="Savings","Savings Transfer","Expense"),'QUICK ENTRY'!$I$8:$I$1007,$A17,'QUICK ENTRY'!$V$8:$V$1007,DASHBOARD!$C$3,'QUICK ENTRY'!$X$8:$X$1007,DASHBOARD!$C$4)</f>
        <v>0</v>
      </c>
      <c r="U17" s="58">
        <f t="shared" si="1"/>
        <v>500</v>
      </c>
      <c r="V17" s="61">
        <f t="shared" si="2"/>
        <v>0</v>
      </c>
      <c r="W17" s="58">
        <f ca="1">IF($T17=0,0,IF($A17="Savings",$T17,IF(AND(DASHBOARD!$C$4=YEAR(TODAY()),MATCH(DASHBOARD!$C$3,SETTINGS!$K$21:$K$32,0)=MONTH(TODAY())),MIN($T17/MAX(1,DAY(TODAY()))*DAY(DATE(DASHBOARD!$C$4,MATCH(DASHBOARD!$C$3,SETTINGS!$K$21:$K$32,0)+1,0)),MAX($T17,$S17*1.5)),$T17)))</f>
        <v>0</v>
      </c>
      <c r="X17" s="44" t="str">
        <f>IF($S17=0,IF($T17=0,"No Budget","Over Budget"),IF($V17&lt;=SETTINGS!$E$5,"Safe",IF($V17&lt;=SETTINGS!$E$6,"Watch Spending",IF($V17&lt;=SETTINGS!$E$7,"Near Limit","Over Budget"))))</f>
        <v>Safe</v>
      </c>
    </row>
    <row r="18" spans="1:24" ht="14.4">
      <c r="A18" s="44" t="str">
        <f>SETTINGS!$A$43</f>
        <v>Clothing</v>
      </c>
      <c r="B18" s="44" t="str">
        <f>SETTINGS!$C$43</f>
        <v>Priority 3</v>
      </c>
      <c r="C18" s="44" t="str">
        <f>SETTINGS!$D$43</f>
        <v>Variable</v>
      </c>
      <c r="D18" s="44" t="str">
        <f>SETTINGS!$E$43</f>
        <v>Optional</v>
      </c>
      <c r="E18" s="44" t="str">
        <f>SETTINGS!$F$43</f>
        <v>Lifestyle</v>
      </c>
      <c r="F18" s="58">
        <f>SETTINGS!$B$43</f>
        <v>500</v>
      </c>
      <c r="G18" s="11">
        <f t="shared" ref="G18:R27" si="3">$F18</f>
        <v>500</v>
      </c>
      <c r="H18" s="11">
        <f t="shared" si="3"/>
        <v>500</v>
      </c>
      <c r="I18" s="11">
        <f t="shared" si="3"/>
        <v>500</v>
      </c>
      <c r="J18" s="11">
        <f t="shared" si="3"/>
        <v>500</v>
      </c>
      <c r="K18" s="11">
        <f t="shared" si="3"/>
        <v>500</v>
      </c>
      <c r="L18" s="11">
        <f t="shared" si="3"/>
        <v>500</v>
      </c>
      <c r="M18" s="11">
        <f t="shared" si="3"/>
        <v>500</v>
      </c>
      <c r="N18" s="11">
        <f t="shared" si="3"/>
        <v>500</v>
      </c>
      <c r="O18" s="11">
        <f t="shared" si="3"/>
        <v>500</v>
      </c>
      <c r="P18" s="11">
        <f t="shared" si="3"/>
        <v>500</v>
      </c>
      <c r="Q18" s="11">
        <f t="shared" si="3"/>
        <v>500</v>
      </c>
      <c r="R18" s="11">
        <f t="shared" si="3"/>
        <v>500</v>
      </c>
      <c r="S18" s="58">
        <f>IFERROR(INDEX($G18:$R18,1,MATCH(DASHBOARD!$C$3,$G$7:$R$7,0)),0)</f>
        <v>500</v>
      </c>
      <c r="T18" s="58">
        <f>SUMIFS('QUICK ENTRY'!$E$8:$E$1007,'QUICK ENTRY'!$AF$8:$AF$1007,"Yes",'QUICK ENTRY'!$C$8:$C$1007,IF($A18="Savings","Savings Transfer","Expense"),'QUICK ENTRY'!$I$8:$I$1007,$A18,'QUICK ENTRY'!$V$8:$V$1007,DASHBOARD!$C$3,'QUICK ENTRY'!$X$8:$X$1007,DASHBOARD!$C$4)</f>
        <v>0</v>
      </c>
      <c r="U18" s="58">
        <f t="shared" si="1"/>
        <v>500</v>
      </c>
      <c r="V18" s="61">
        <f t="shared" si="2"/>
        <v>0</v>
      </c>
      <c r="W18" s="58">
        <f ca="1">IF($T18=0,0,IF($A18="Savings",$T18,IF(AND(DASHBOARD!$C$4=YEAR(TODAY()),MATCH(DASHBOARD!$C$3,SETTINGS!$K$21:$K$32,0)=MONTH(TODAY())),MIN($T18/MAX(1,DAY(TODAY()))*DAY(DATE(DASHBOARD!$C$4,MATCH(DASHBOARD!$C$3,SETTINGS!$K$21:$K$32,0)+1,0)),MAX($T18,$S18*1.5)),$T18)))</f>
        <v>0</v>
      </c>
      <c r="X18" s="44" t="str">
        <f>IF($S18=0,IF($T18=0,"No Budget","Over Budget"),IF($V18&lt;=SETTINGS!$E$5,"Safe",IF($V18&lt;=SETTINGS!$E$6,"Watch Spending",IF($V18&lt;=SETTINGS!$E$7,"Near Limit","Over Budget"))))</f>
        <v>Safe</v>
      </c>
    </row>
    <row r="19" spans="1:24" ht="14.4">
      <c r="A19" s="44" t="str">
        <f>SETTINGS!$A$44</f>
        <v>Entertainment</v>
      </c>
      <c r="B19" s="44" t="str">
        <f>SETTINGS!$C$44</f>
        <v>Priority 4</v>
      </c>
      <c r="C19" s="44" t="str">
        <f>SETTINGS!$D$44</f>
        <v>Variable</v>
      </c>
      <c r="D19" s="44" t="str">
        <f>SETTINGS!$E$44</f>
        <v>Optional</v>
      </c>
      <c r="E19" s="44" t="str">
        <f>SETTINGS!$F$44</f>
        <v>Lifestyle</v>
      </c>
      <c r="F19" s="58">
        <f>SETTINGS!$B$44</f>
        <v>1000</v>
      </c>
      <c r="G19" s="11">
        <f t="shared" si="3"/>
        <v>1000</v>
      </c>
      <c r="H19" s="11">
        <f t="shared" si="3"/>
        <v>1000</v>
      </c>
      <c r="I19" s="11">
        <f t="shared" si="3"/>
        <v>1000</v>
      </c>
      <c r="J19" s="11">
        <f t="shared" si="3"/>
        <v>1000</v>
      </c>
      <c r="K19" s="11">
        <f t="shared" si="3"/>
        <v>1000</v>
      </c>
      <c r="L19" s="11">
        <f t="shared" si="3"/>
        <v>1000</v>
      </c>
      <c r="M19" s="11">
        <f t="shared" si="3"/>
        <v>1000</v>
      </c>
      <c r="N19" s="11">
        <f t="shared" si="3"/>
        <v>1000</v>
      </c>
      <c r="O19" s="11">
        <f t="shared" si="3"/>
        <v>1000</v>
      </c>
      <c r="P19" s="11">
        <f t="shared" si="3"/>
        <v>1000</v>
      </c>
      <c r="Q19" s="11">
        <f t="shared" si="3"/>
        <v>1000</v>
      </c>
      <c r="R19" s="11">
        <f t="shared" si="3"/>
        <v>1000</v>
      </c>
      <c r="S19" s="58">
        <f>IFERROR(INDEX($G19:$R19,1,MATCH(DASHBOARD!$C$3,$G$7:$R$7,0)),0)</f>
        <v>1000</v>
      </c>
      <c r="T19" s="58">
        <f>SUMIFS('QUICK ENTRY'!$E$8:$E$1007,'QUICK ENTRY'!$AF$8:$AF$1007,"Yes",'QUICK ENTRY'!$C$8:$C$1007,IF($A19="Savings","Savings Transfer","Expense"),'QUICK ENTRY'!$I$8:$I$1007,$A19,'QUICK ENTRY'!$V$8:$V$1007,DASHBOARD!$C$3,'QUICK ENTRY'!$X$8:$X$1007,DASHBOARD!$C$4)</f>
        <v>0</v>
      </c>
      <c r="U19" s="58">
        <f t="shared" si="1"/>
        <v>1000</v>
      </c>
      <c r="V19" s="61">
        <f t="shared" si="2"/>
        <v>0</v>
      </c>
      <c r="W19" s="58">
        <f ca="1">IF($T19=0,0,IF($A19="Savings",$T19,IF(AND(DASHBOARD!$C$4=YEAR(TODAY()),MATCH(DASHBOARD!$C$3,SETTINGS!$K$21:$K$32,0)=MONTH(TODAY())),MIN($T19/MAX(1,DAY(TODAY()))*DAY(DATE(DASHBOARD!$C$4,MATCH(DASHBOARD!$C$3,SETTINGS!$K$21:$K$32,0)+1,0)),MAX($T19,$S19*1.5)),$T19)))</f>
        <v>0</v>
      </c>
      <c r="X19" s="44" t="str">
        <f>IF($S19=0,IF($T19=0,"No Budget","Over Budget"),IF($V19&lt;=SETTINGS!$E$5,"Safe",IF($V19&lt;=SETTINGS!$E$6,"Watch Spending",IF($V19&lt;=SETTINGS!$E$7,"Near Limit","Over Budget"))))</f>
        <v>Safe</v>
      </c>
    </row>
    <row r="20" spans="1:24" ht="14.4">
      <c r="A20" s="44" t="str">
        <f>SETTINGS!$A$45</f>
        <v>Travel Home</v>
      </c>
      <c r="B20" s="44" t="str">
        <f>SETTINGS!$C$45</f>
        <v>Priority 2</v>
      </c>
      <c r="C20" s="44" t="str">
        <f>SETTINGS!$D$45</f>
        <v>Variable</v>
      </c>
      <c r="D20" s="44" t="str">
        <f>SETTINGS!$E$45</f>
        <v>Useful</v>
      </c>
      <c r="E20" s="44" t="str">
        <f>SETTINGS!$F$45</f>
        <v>Living</v>
      </c>
      <c r="F20" s="58">
        <f>SETTINGS!$B$45</f>
        <v>1000</v>
      </c>
      <c r="G20" s="11">
        <f t="shared" si="3"/>
        <v>1000</v>
      </c>
      <c r="H20" s="11">
        <f t="shared" si="3"/>
        <v>1000</v>
      </c>
      <c r="I20" s="11">
        <f t="shared" si="3"/>
        <v>1000</v>
      </c>
      <c r="J20" s="11">
        <f t="shared" si="3"/>
        <v>1000</v>
      </c>
      <c r="K20" s="11">
        <f t="shared" si="3"/>
        <v>1000</v>
      </c>
      <c r="L20" s="11">
        <f t="shared" si="3"/>
        <v>1000</v>
      </c>
      <c r="M20" s="11">
        <f t="shared" si="3"/>
        <v>1000</v>
      </c>
      <c r="N20" s="11">
        <f t="shared" si="3"/>
        <v>1000</v>
      </c>
      <c r="O20" s="11">
        <f t="shared" si="3"/>
        <v>1000</v>
      </c>
      <c r="P20" s="11">
        <f t="shared" si="3"/>
        <v>1000</v>
      </c>
      <c r="Q20" s="11">
        <f t="shared" si="3"/>
        <v>1000</v>
      </c>
      <c r="R20" s="11">
        <f t="shared" si="3"/>
        <v>1000</v>
      </c>
      <c r="S20" s="58">
        <f>IFERROR(INDEX($G20:$R20,1,MATCH(DASHBOARD!$C$3,$G$7:$R$7,0)),0)</f>
        <v>1000</v>
      </c>
      <c r="T20" s="58">
        <f>SUMIFS('QUICK ENTRY'!$E$8:$E$1007,'QUICK ENTRY'!$AF$8:$AF$1007,"Yes",'QUICK ENTRY'!$C$8:$C$1007,IF($A20="Savings","Savings Transfer","Expense"),'QUICK ENTRY'!$I$8:$I$1007,$A20,'QUICK ENTRY'!$V$8:$V$1007,DASHBOARD!$C$3,'QUICK ENTRY'!$X$8:$X$1007,DASHBOARD!$C$4)</f>
        <v>0</v>
      </c>
      <c r="U20" s="58">
        <f t="shared" si="1"/>
        <v>1000</v>
      </c>
      <c r="V20" s="61">
        <f t="shared" si="2"/>
        <v>0</v>
      </c>
      <c r="W20" s="58">
        <f ca="1">IF($T20=0,0,IF($A20="Savings",$T20,IF(AND(DASHBOARD!$C$4=YEAR(TODAY()),MATCH(DASHBOARD!$C$3,SETTINGS!$K$21:$K$32,0)=MONTH(TODAY())),MIN($T20/MAX(1,DAY(TODAY()))*DAY(DATE(DASHBOARD!$C$4,MATCH(DASHBOARD!$C$3,SETTINGS!$K$21:$K$32,0)+1,0)),MAX($T20,$S20*1.5)),$T20)))</f>
        <v>0</v>
      </c>
      <c r="X20" s="44" t="str">
        <f>IF($S20=0,IF($T20=0,"No Budget","Over Budget"),IF($V20&lt;=SETTINGS!$E$5,"Safe",IF($V20&lt;=SETTINGS!$E$6,"Watch Spending",IF($V20&lt;=SETTINGS!$E$7,"Near Limit","Over Budget"))))</f>
        <v>Safe</v>
      </c>
    </row>
    <row r="21" spans="1:24" ht="14.4">
      <c r="A21" s="44" t="str">
        <f>SETTINGS!$A$46</f>
        <v>Health &amp; Fitness</v>
      </c>
      <c r="B21" s="44" t="str">
        <f>SETTINGS!$C$46</f>
        <v>Priority 2</v>
      </c>
      <c r="C21" s="44" t="str">
        <f>SETTINGS!$D$46</f>
        <v>Variable</v>
      </c>
      <c r="D21" s="44" t="str">
        <f>SETTINGS!$E$46</f>
        <v>Essential</v>
      </c>
      <c r="E21" s="44" t="str">
        <f>SETTINGS!$F$46</f>
        <v>Living</v>
      </c>
      <c r="F21" s="58">
        <f>SETTINGS!$B$46</f>
        <v>700</v>
      </c>
      <c r="G21" s="11">
        <f t="shared" si="3"/>
        <v>700</v>
      </c>
      <c r="H21" s="11">
        <f t="shared" si="3"/>
        <v>700</v>
      </c>
      <c r="I21" s="11">
        <f t="shared" si="3"/>
        <v>700</v>
      </c>
      <c r="J21" s="11">
        <f t="shared" si="3"/>
        <v>700</v>
      </c>
      <c r="K21" s="11">
        <f t="shared" si="3"/>
        <v>700</v>
      </c>
      <c r="L21" s="11">
        <f t="shared" si="3"/>
        <v>700</v>
      </c>
      <c r="M21" s="11">
        <f t="shared" si="3"/>
        <v>700</v>
      </c>
      <c r="N21" s="11">
        <f t="shared" si="3"/>
        <v>700</v>
      </c>
      <c r="O21" s="11">
        <f t="shared" si="3"/>
        <v>700</v>
      </c>
      <c r="P21" s="11">
        <f t="shared" si="3"/>
        <v>700</v>
      </c>
      <c r="Q21" s="11">
        <f t="shared" si="3"/>
        <v>700</v>
      </c>
      <c r="R21" s="11">
        <f t="shared" si="3"/>
        <v>700</v>
      </c>
      <c r="S21" s="58">
        <f>IFERROR(INDEX($G21:$R21,1,MATCH(DASHBOARD!$C$3,$G$7:$R$7,0)),0)</f>
        <v>700</v>
      </c>
      <c r="T21" s="58">
        <f>SUMIFS('QUICK ENTRY'!$E$8:$E$1007,'QUICK ENTRY'!$AF$8:$AF$1007,"Yes",'QUICK ENTRY'!$C$8:$C$1007,IF($A21="Savings","Savings Transfer","Expense"),'QUICK ENTRY'!$I$8:$I$1007,$A21,'QUICK ENTRY'!$V$8:$V$1007,DASHBOARD!$C$3,'QUICK ENTRY'!$X$8:$X$1007,DASHBOARD!$C$4)</f>
        <v>700</v>
      </c>
      <c r="U21" s="58">
        <f t="shared" si="1"/>
        <v>0</v>
      </c>
      <c r="V21" s="61">
        <f t="shared" si="2"/>
        <v>1</v>
      </c>
      <c r="W21" s="58">
        <f ca="1">IF($T21=0,0,IF($A21="Savings",$T21,IF(AND(DASHBOARD!$C$4=YEAR(TODAY()),MATCH(DASHBOARD!$C$3,SETTINGS!$K$21:$K$32,0)=MONTH(TODAY())),MIN($T21/MAX(1,DAY(TODAY()))*DAY(DATE(DASHBOARD!$C$4,MATCH(DASHBOARD!$C$3,SETTINGS!$K$21:$K$32,0)+1,0)),MAX($T21,$S21*1.5)),$T21)))</f>
        <v>700</v>
      </c>
      <c r="X21" s="44" t="str">
        <f>IF($S21=0,IF($T21=0,"No Budget","Over Budget"),IF($V21&lt;=SETTINGS!$E$5,"Safe",IF($V21&lt;=SETTINGS!$E$6,"Watch Spending",IF($V21&lt;=SETTINGS!$E$7,"Near Limit","Over Budget"))))</f>
        <v>Near Limit</v>
      </c>
    </row>
    <row r="22" spans="1:24" ht="14.4">
      <c r="A22" s="44" t="str">
        <f>SETTINGS!$A$47</f>
        <v>Shopping &amp; Gifts</v>
      </c>
      <c r="B22" s="44" t="str">
        <f>SETTINGS!$C$47</f>
        <v>Priority 4</v>
      </c>
      <c r="C22" s="44" t="str">
        <f>SETTINGS!$D$47</f>
        <v>Variable</v>
      </c>
      <c r="D22" s="44" t="str">
        <f>SETTINGS!$E$47</f>
        <v>Optional</v>
      </c>
      <c r="E22" s="44" t="str">
        <f>SETTINGS!$F$47</f>
        <v>Lifestyle</v>
      </c>
      <c r="F22" s="58">
        <f>SETTINGS!$B$47</f>
        <v>1000</v>
      </c>
      <c r="G22" s="11">
        <f t="shared" si="3"/>
        <v>1000</v>
      </c>
      <c r="H22" s="11">
        <f t="shared" si="3"/>
        <v>1000</v>
      </c>
      <c r="I22" s="11">
        <f t="shared" si="3"/>
        <v>1000</v>
      </c>
      <c r="J22" s="11">
        <f t="shared" si="3"/>
        <v>1000</v>
      </c>
      <c r="K22" s="11">
        <f t="shared" si="3"/>
        <v>1000</v>
      </c>
      <c r="L22" s="11">
        <f t="shared" si="3"/>
        <v>1000</v>
      </c>
      <c r="M22" s="11">
        <f t="shared" si="3"/>
        <v>1000</v>
      </c>
      <c r="N22" s="11">
        <f t="shared" si="3"/>
        <v>1000</v>
      </c>
      <c r="O22" s="11">
        <f t="shared" si="3"/>
        <v>1000</v>
      </c>
      <c r="P22" s="11">
        <f t="shared" si="3"/>
        <v>1000</v>
      </c>
      <c r="Q22" s="11">
        <f t="shared" si="3"/>
        <v>1000</v>
      </c>
      <c r="R22" s="11">
        <f t="shared" si="3"/>
        <v>1000</v>
      </c>
      <c r="S22" s="58">
        <f>IFERROR(INDEX($G22:$R22,1,MATCH(DASHBOARD!$C$3,$G$7:$R$7,0)),0)</f>
        <v>1000</v>
      </c>
      <c r="T22" s="58">
        <f>SUMIFS('QUICK ENTRY'!$E$8:$E$1007,'QUICK ENTRY'!$AF$8:$AF$1007,"Yes",'QUICK ENTRY'!$C$8:$C$1007,IF($A22="Savings","Savings Transfer","Expense"),'QUICK ENTRY'!$I$8:$I$1007,$A22,'QUICK ENTRY'!$V$8:$V$1007,DASHBOARD!$C$3,'QUICK ENTRY'!$X$8:$X$1007,DASHBOARD!$C$4)</f>
        <v>0</v>
      </c>
      <c r="U22" s="58">
        <f t="shared" si="1"/>
        <v>1000</v>
      </c>
      <c r="V22" s="61">
        <f t="shared" si="2"/>
        <v>0</v>
      </c>
      <c r="W22" s="58">
        <f ca="1">IF($T22=0,0,IF($A22="Savings",$T22,IF(AND(DASHBOARD!$C$4=YEAR(TODAY()),MATCH(DASHBOARD!$C$3,SETTINGS!$K$21:$K$32,0)=MONTH(TODAY())),MIN($T22/MAX(1,DAY(TODAY()))*DAY(DATE(DASHBOARD!$C$4,MATCH(DASHBOARD!$C$3,SETTINGS!$K$21:$K$32,0)+1,0)),MAX($T22,$S22*1.5)),$T22)))</f>
        <v>0</v>
      </c>
      <c r="X22" s="44" t="str">
        <f>IF($S22=0,IF($T22=0,"No Budget","Over Budget"),IF($V22&lt;=SETTINGS!$E$5,"Safe",IF($V22&lt;=SETTINGS!$E$6,"Watch Spending",IF($V22&lt;=SETTINGS!$E$7,"Near Limit","Over Budget"))))</f>
        <v>Safe</v>
      </c>
    </row>
    <row r="23" spans="1:24" ht="14.4">
      <c r="A23" s="44" t="str">
        <f>SETTINGS!$A$48</f>
        <v>Emergency</v>
      </c>
      <c r="B23" s="44" t="str">
        <f>SETTINGS!$C$48</f>
        <v>Priority 1</v>
      </c>
      <c r="C23" s="44" t="str">
        <f>SETTINGS!$D$48</f>
        <v>Variable</v>
      </c>
      <c r="D23" s="44" t="str">
        <f>SETTINGS!$E$48</f>
        <v>Essential</v>
      </c>
      <c r="E23" s="44" t="str">
        <f>SETTINGS!$F$48</f>
        <v>Living</v>
      </c>
      <c r="F23" s="58">
        <f>SETTINGS!$B$48</f>
        <v>500</v>
      </c>
      <c r="G23" s="11">
        <f t="shared" si="3"/>
        <v>500</v>
      </c>
      <c r="H23" s="11">
        <f t="shared" si="3"/>
        <v>500</v>
      </c>
      <c r="I23" s="11">
        <f t="shared" si="3"/>
        <v>500</v>
      </c>
      <c r="J23" s="11">
        <f t="shared" si="3"/>
        <v>500</v>
      </c>
      <c r="K23" s="11">
        <f t="shared" si="3"/>
        <v>500</v>
      </c>
      <c r="L23" s="11">
        <f t="shared" si="3"/>
        <v>500</v>
      </c>
      <c r="M23" s="11">
        <f t="shared" si="3"/>
        <v>500</v>
      </c>
      <c r="N23" s="11">
        <f t="shared" si="3"/>
        <v>500</v>
      </c>
      <c r="O23" s="11">
        <f t="shared" si="3"/>
        <v>500</v>
      </c>
      <c r="P23" s="11">
        <f t="shared" si="3"/>
        <v>500</v>
      </c>
      <c r="Q23" s="11">
        <f t="shared" si="3"/>
        <v>500</v>
      </c>
      <c r="R23" s="11">
        <f t="shared" si="3"/>
        <v>500</v>
      </c>
      <c r="S23" s="58">
        <f>IFERROR(INDEX($G23:$R23,1,MATCH(DASHBOARD!$C$3,$G$7:$R$7,0)),0)</f>
        <v>500</v>
      </c>
      <c r="T23" s="58">
        <f>SUMIFS('QUICK ENTRY'!$E$8:$E$1007,'QUICK ENTRY'!$AF$8:$AF$1007,"Yes",'QUICK ENTRY'!$C$8:$C$1007,IF($A23="Savings","Savings Transfer","Expense"),'QUICK ENTRY'!$I$8:$I$1007,$A23,'QUICK ENTRY'!$V$8:$V$1007,DASHBOARD!$C$3,'QUICK ENTRY'!$X$8:$X$1007,DASHBOARD!$C$4)</f>
        <v>0</v>
      </c>
      <c r="U23" s="58">
        <f t="shared" si="1"/>
        <v>500</v>
      </c>
      <c r="V23" s="61">
        <f t="shared" si="2"/>
        <v>0</v>
      </c>
      <c r="W23" s="58">
        <f ca="1">IF($T23=0,0,IF($A23="Savings",$T23,IF(AND(DASHBOARD!$C$4=YEAR(TODAY()),MATCH(DASHBOARD!$C$3,SETTINGS!$K$21:$K$32,0)=MONTH(TODAY())),MIN($T23/MAX(1,DAY(TODAY()))*DAY(DATE(DASHBOARD!$C$4,MATCH(DASHBOARD!$C$3,SETTINGS!$K$21:$K$32,0)+1,0)),MAX($T23,$S23*1.5)),$T23)))</f>
        <v>0</v>
      </c>
      <c r="X23" s="44" t="str">
        <f>IF($S23=0,IF($T23=0,"No Budget","Over Budget"),IF($V23&lt;=SETTINGS!$E$5,"Safe",IF($V23&lt;=SETTINGS!$E$6,"Watch Spending",IF($V23&lt;=SETTINGS!$E$7,"Near Limit","Over Budget"))))</f>
        <v>Safe</v>
      </c>
    </row>
    <row r="24" spans="1:24" ht="14.4">
      <c r="A24" s="44" t="str">
        <f>SETTINGS!$A$49</f>
        <v>Savings</v>
      </c>
      <c r="B24" s="44" t="str">
        <f>SETTINGS!$C$49</f>
        <v>Priority 1</v>
      </c>
      <c r="C24" s="44" t="str">
        <f>SETTINGS!$D$49</f>
        <v>Savings</v>
      </c>
      <c r="D24" s="44" t="str">
        <f>SETTINGS!$E$49</f>
        <v>Essential</v>
      </c>
      <c r="E24" s="44" t="str">
        <f>SETTINGS!$F$49</f>
        <v>Savings</v>
      </c>
      <c r="F24" s="58">
        <f>SETTINGS!$B$49</f>
        <v>2000</v>
      </c>
      <c r="G24" s="11">
        <f t="shared" si="3"/>
        <v>2000</v>
      </c>
      <c r="H24" s="11">
        <f t="shared" si="3"/>
        <v>2000</v>
      </c>
      <c r="I24" s="11">
        <f t="shared" si="3"/>
        <v>2000</v>
      </c>
      <c r="J24" s="11">
        <f t="shared" si="3"/>
        <v>2000</v>
      </c>
      <c r="K24" s="11">
        <f t="shared" si="3"/>
        <v>2000</v>
      </c>
      <c r="L24" s="11">
        <f t="shared" si="3"/>
        <v>2000</v>
      </c>
      <c r="M24" s="11">
        <f t="shared" si="3"/>
        <v>2000</v>
      </c>
      <c r="N24" s="11">
        <f t="shared" si="3"/>
        <v>2000</v>
      </c>
      <c r="O24" s="11">
        <f t="shared" si="3"/>
        <v>2000</v>
      </c>
      <c r="P24" s="11">
        <f t="shared" si="3"/>
        <v>2000</v>
      </c>
      <c r="Q24" s="11">
        <f t="shared" si="3"/>
        <v>2000</v>
      </c>
      <c r="R24" s="11">
        <f t="shared" si="3"/>
        <v>2000</v>
      </c>
      <c r="S24" s="58">
        <f>IFERROR(INDEX($G24:$R24,1,MATCH(DASHBOARD!$C$3,$G$7:$R$7,0)),0)</f>
        <v>2000</v>
      </c>
      <c r="T24" s="58">
        <f>SUMIFS('QUICK ENTRY'!$E$8:$E$1007,'QUICK ENTRY'!$AF$8:$AF$1007,"Yes",'QUICK ENTRY'!$C$8:$C$1007,IF($A24="Savings","Savings Transfer","Expense"),'QUICK ENTRY'!$I$8:$I$1007,$A24,'QUICK ENTRY'!$V$8:$V$1007,DASHBOARD!$C$3,'QUICK ENTRY'!$X$8:$X$1007,DASHBOARD!$C$4)</f>
        <v>2500</v>
      </c>
      <c r="U24" s="58">
        <f t="shared" si="1"/>
        <v>-500</v>
      </c>
      <c r="V24" s="61">
        <f t="shared" si="2"/>
        <v>1.25</v>
      </c>
      <c r="W24" s="58">
        <f ca="1">IF($T24=0,0,IF($A24="Savings",$T24,IF(AND(DASHBOARD!$C$4=YEAR(TODAY()),MATCH(DASHBOARD!$C$3,SETTINGS!$K$21:$K$32,0)=MONTH(TODAY())),MIN($T24/MAX(1,DAY(TODAY()))*DAY(DATE(DASHBOARD!$C$4,MATCH(DASHBOARD!$C$3,SETTINGS!$K$21:$K$32,0)+1,0)),MAX($T24,$S24*1.5)),$T24)))</f>
        <v>2500</v>
      </c>
      <c r="X24" s="44" t="str">
        <f>IF($S24=0,IF($T24=0,"No Budget","Over Budget"),IF($V24&lt;=SETTINGS!$E$5,"Safe",IF($V24&lt;=SETTINGS!$E$6,"Watch Spending",IF($V24&lt;=SETTINGS!$E$7,"Near Limit","Over Budget"))))</f>
        <v>Over Budget</v>
      </c>
    </row>
    <row r="25" spans="1:24" ht="14.4">
      <c r="A25" s="44" t="str">
        <f>SETTINGS!$A$50</f>
        <v>Miscellaneous</v>
      </c>
      <c r="B25" s="44" t="str">
        <f>SETTINGS!$C$50</f>
        <v>Priority 3</v>
      </c>
      <c r="C25" s="44" t="str">
        <f>SETTINGS!$D$50</f>
        <v>Variable</v>
      </c>
      <c r="D25" s="44" t="str">
        <f>SETTINGS!$E$50</f>
        <v>Useful</v>
      </c>
      <c r="E25" s="44" t="str">
        <f>SETTINGS!$F$50</f>
        <v>Other</v>
      </c>
      <c r="F25" s="58">
        <f>SETTINGS!$B$50</f>
        <v>800</v>
      </c>
      <c r="G25" s="11">
        <f t="shared" si="3"/>
        <v>800</v>
      </c>
      <c r="H25" s="11">
        <f t="shared" si="3"/>
        <v>800</v>
      </c>
      <c r="I25" s="11">
        <f t="shared" si="3"/>
        <v>800</v>
      </c>
      <c r="J25" s="11">
        <f t="shared" si="3"/>
        <v>800</v>
      </c>
      <c r="K25" s="11">
        <f t="shared" si="3"/>
        <v>800</v>
      </c>
      <c r="L25" s="11">
        <f t="shared" si="3"/>
        <v>800</v>
      </c>
      <c r="M25" s="11">
        <f t="shared" si="3"/>
        <v>800</v>
      </c>
      <c r="N25" s="11">
        <f t="shared" si="3"/>
        <v>800</v>
      </c>
      <c r="O25" s="11">
        <f t="shared" si="3"/>
        <v>800</v>
      </c>
      <c r="P25" s="11">
        <f t="shared" si="3"/>
        <v>800</v>
      </c>
      <c r="Q25" s="11">
        <f t="shared" si="3"/>
        <v>800</v>
      </c>
      <c r="R25" s="11">
        <f t="shared" si="3"/>
        <v>800</v>
      </c>
      <c r="S25" s="58">
        <f>IFERROR(INDEX($G25:$R25,1,MATCH(DASHBOARD!$C$3,$G$7:$R$7,0)),0)</f>
        <v>800</v>
      </c>
      <c r="T25" s="58">
        <f>SUMIFS('QUICK ENTRY'!$E$8:$E$1007,'QUICK ENTRY'!$AF$8:$AF$1007,"Yes",'QUICK ENTRY'!$C$8:$C$1007,IF($A25="Savings","Savings Transfer","Expense"),'QUICK ENTRY'!$I$8:$I$1007,$A25,'QUICK ENTRY'!$V$8:$V$1007,DASHBOARD!$C$3,'QUICK ENTRY'!$X$8:$X$1007,DASHBOARD!$C$4)</f>
        <v>0</v>
      </c>
      <c r="U25" s="58">
        <f t="shared" si="1"/>
        <v>800</v>
      </c>
      <c r="V25" s="61">
        <f t="shared" si="2"/>
        <v>0</v>
      </c>
      <c r="W25" s="58">
        <f ca="1">IF($T25=0,0,IF($A25="Savings",$T25,IF(AND(DASHBOARD!$C$4=YEAR(TODAY()),MATCH(DASHBOARD!$C$3,SETTINGS!$K$21:$K$32,0)=MONTH(TODAY())),MIN($T25/MAX(1,DAY(TODAY()))*DAY(DATE(DASHBOARD!$C$4,MATCH(DASHBOARD!$C$3,SETTINGS!$K$21:$K$32,0)+1,0)),MAX($T25,$S25*1.5)),$T25)))</f>
        <v>0</v>
      </c>
      <c r="X25" s="44" t="str">
        <f>IF($S25=0,IF($T25=0,"No Budget","Over Budget"),IF($V25&lt;=SETTINGS!$E$5,"Safe",IF($V25&lt;=SETTINGS!$E$6,"Watch Spending",IF($V25&lt;=SETTINGS!$E$7,"Near Limit","Over Budget"))))</f>
        <v>Safe</v>
      </c>
    </row>
    <row r="26" spans="1:24" ht="14.4">
      <c r="A26" s="44" t="str">
        <f>SETTINGS!$A$51</f>
        <v>Shared Expenses</v>
      </c>
      <c r="B26" s="44" t="str">
        <f>SETTINGS!$C$51</f>
        <v>Priority 2</v>
      </c>
      <c r="C26" s="44" t="str">
        <f>SETTINGS!$D$51</f>
        <v>Variable</v>
      </c>
      <c r="D26" s="44" t="str">
        <f>SETTINGS!$E$51</f>
        <v>Useful</v>
      </c>
      <c r="E26" s="44" t="str">
        <f>SETTINGS!$F$51</f>
        <v>Living</v>
      </c>
      <c r="F26" s="58">
        <f>SETTINGS!$B$51</f>
        <v>500</v>
      </c>
      <c r="G26" s="11">
        <f t="shared" si="3"/>
        <v>500</v>
      </c>
      <c r="H26" s="11">
        <f t="shared" si="3"/>
        <v>500</v>
      </c>
      <c r="I26" s="11">
        <f t="shared" si="3"/>
        <v>500</v>
      </c>
      <c r="J26" s="11">
        <f t="shared" si="3"/>
        <v>500</v>
      </c>
      <c r="K26" s="11">
        <f t="shared" si="3"/>
        <v>500</v>
      </c>
      <c r="L26" s="11">
        <f t="shared" si="3"/>
        <v>500</v>
      </c>
      <c r="M26" s="11">
        <f t="shared" si="3"/>
        <v>500</v>
      </c>
      <c r="N26" s="11">
        <f t="shared" si="3"/>
        <v>500</v>
      </c>
      <c r="O26" s="11">
        <f t="shared" si="3"/>
        <v>500</v>
      </c>
      <c r="P26" s="11">
        <f t="shared" si="3"/>
        <v>500</v>
      </c>
      <c r="Q26" s="11">
        <f t="shared" si="3"/>
        <v>500</v>
      </c>
      <c r="R26" s="11">
        <f t="shared" si="3"/>
        <v>500</v>
      </c>
      <c r="S26" s="58">
        <f>IFERROR(INDEX($G26:$R26,1,MATCH(DASHBOARD!$C$3,$G$7:$R$7,0)),0)</f>
        <v>500</v>
      </c>
      <c r="T26" s="58">
        <f>SUMIFS('QUICK ENTRY'!$E$8:$E$1007,'QUICK ENTRY'!$AF$8:$AF$1007,"Yes",'QUICK ENTRY'!$C$8:$C$1007,IF($A26="Savings","Savings Transfer","Expense"),'QUICK ENTRY'!$I$8:$I$1007,$A26,'QUICK ENTRY'!$V$8:$V$1007,DASHBOARD!$C$3,'QUICK ENTRY'!$X$8:$X$1007,DASHBOARD!$C$4)</f>
        <v>0</v>
      </c>
      <c r="U26" s="58">
        <f t="shared" si="1"/>
        <v>500</v>
      </c>
      <c r="V26" s="61">
        <f t="shared" si="2"/>
        <v>0</v>
      </c>
      <c r="W26" s="58">
        <f ca="1">IF($T26=0,0,IF($A26="Savings",$T26,IF(AND(DASHBOARD!$C$4=YEAR(TODAY()),MATCH(DASHBOARD!$C$3,SETTINGS!$K$21:$K$32,0)=MONTH(TODAY())),MIN($T26/MAX(1,DAY(TODAY()))*DAY(DATE(DASHBOARD!$C$4,MATCH(DASHBOARD!$C$3,SETTINGS!$K$21:$K$32,0)+1,0)),MAX($T26,$S26*1.5)),$T26)))</f>
        <v>0</v>
      </c>
      <c r="X26" s="44" t="str">
        <f>IF($S26=0,IF($T26=0,"No Budget","Over Budget"),IF($V26&lt;=SETTINGS!$E$5,"Safe",IF($V26&lt;=SETTINGS!$E$6,"Watch Spending",IF($V26&lt;=SETTINGS!$E$7,"Near Limit","Over Budget"))))</f>
        <v>Safe</v>
      </c>
    </row>
    <row r="27" spans="1:24" ht="14.4">
      <c r="A27" s="45" t="str">
        <f>SETTINGS!$A$52</f>
        <v>Career</v>
      </c>
      <c r="B27" s="45" t="str">
        <f>SETTINGS!$C$52</f>
        <v>Priority 2</v>
      </c>
      <c r="C27" s="45" t="str">
        <f>SETTINGS!$D$52</f>
        <v>Variable</v>
      </c>
      <c r="D27" s="45" t="str">
        <f>SETTINGS!$E$52</f>
        <v>Useful</v>
      </c>
      <c r="E27" s="45" t="str">
        <f>SETTINGS!$F$52</f>
        <v>Education</v>
      </c>
      <c r="F27" s="59">
        <f>SETTINGS!$B$52</f>
        <v>500</v>
      </c>
      <c r="G27" s="23">
        <f t="shared" si="3"/>
        <v>500</v>
      </c>
      <c r="H27" s="23">
        <f t="shared" si="3"/>
        <v>500</v>
      </c>
      <c r="I27" s="23">
        <f t="shared" si="3"/>
        <v>500</v>
      </c>
      <c r="J27" s="23">
        <f t="shared" si="3"/>
        <v>500</v>
      </c>
      <c r="K27" s="23">
        <f t="shared" si="3"/>
        <v>500</v>
      </c>
      <c r="L27" s="23">
        <f t="shared" si="3"/>
        <v>500</v>
      </c>
      <c r="M27" s="23">
        <f t="shared" si="3"/>
        <v>500</v>
      </c>
      <c r="N27" s="23">
        <f t="shared" si="3"/>
        <v>500</v>
      </c>
      <c r="O27" s="23">
        <f t="shared" si="3"/>
        <v>500</v>
      </c>
      <c r="P27" s="23">
        <f t="shared" si="3"/>
        <v>500</v>
      </c>
      <c r="Q27" s="23">
        <f t="shared" si="3"/>
        <v>500</v>
      </c>
      <c r="R27" s="23">
        <f t="shared" si="3"/>
        <v>500</v>
      </c>
      <c r="S27" s="59">
        <f>IFERROR(INDEX($G27:$R27,1,MATCH(DASHBOARD!$C$3,$G$7:$R$7,0)),0)</f>
        <v>500</v>
      </c>
      <c r="T27" s="59">
        <f>SUMIFS('QUICK ENTRY'!$E$8:$E$1007,'QUICK ENTRY'!$AF$8:$AF$1007,"Yes",'QUICK ENTRY'!$C$8:$C$1007,IF($A27="Savings","Savings Transfer","Expense"),'QUICK ENTRY'!$I$8:$I$1007,$A27,'QUICK ENTRY'!$V$8:$V$1007,DASHBOARD!$C$3,'QUICK ENTRY'!$X$8:$X$1007,DASHBOARD!$C$4)</f>
        <v>0</v>
      </c>
      <c r="U27" s="59">
        <f t="shared" si="1"/>
        <v>500</v>
      </c>
      <c r="V27" s="62">
        <f t="shared" si="2"/>
        <v>0</v>
      </c>
      <c r="W27" s="59">
        <f ca="1">IF($T27=0,0,IF($A27="Savings",$T27,IF(AND(DASHBOARD!$C$4=YEAR(TODAY()),MATCH(DASHBOARD!$C$3,SETTINGS!$K$21:$K$32,0)=MONTH(TODAY())),MIN($T27/MAX(1,DAY(TODAY()))*DAY(DATE(DASHBOARD!$C$4,MATCH(DASHBOARD!$C$3,SETTINGS!$K$21:$K$32,0)+1,0)),MAX($T27,$S27*1.5)),$T27)))</f>
        <v>0</v>
      </c>
      <c r="X27" s="45" t="str">
        <f>IF($S27=0,IF($T27=0,"No Budget","Over Budget"),IF($V27&lt;=SETTINGS!$E$5,"Safe",IF($V27&lt;=SETTINGS!$E$6,"Watch Spending",IF($V27&lt;=SETTINGS!$E$7,"Near Limit","Over Budget"))))</f>
        <v>Safe</v>
      </c>
    </row>
    <row r="28" spans="1:24">
      <c r="A28" s="256" t="s">
        <v>244</v>
      </c>
      <c r="B28" s="257" t="s">
        <v>244</v>
      </c>
      <c r="C28" s="257" t="s">
        <v>244</v>
      </c>
      <c r="D28" s="257" t="s">
        <v>244</v>
      </c>
      <c r="E28" s="257" t="s">
        <v>244</v>
      </c>
      <c r="F28" s="257" t="s">
        <v>244</v>
      </c>
      <c r="G28" s="64">
        <f t="shared" ref="G28:U28" si="4">SUM(G8:G27)</f>
        <v>26500</v>
      </c>
      <c r="H28" s="64">
        <f t="shared" si="4"/>
        <v>26500</v>
      </c>
      <c r="I28" s="64">
        <f t="shared" si="4"/>
        <v>26500</v>
      </c>
      <c r="J28" s="64">
        <f t="shared" si="4"/>
        <v>26500</v>
      </c>
      <c r="K28" s="64">
        <f t="shared" si="4"/>
        <v>26500</v>
      </c>
      <c r="L28" s="64">
        <f t="shared" si="4"/>
        <v>26500</v>
      </c>
      <c r="M28" s="64">
        <f t="shared" si="4"/>
        <v>26500</v>
      </c>
      <c r="N28" s="64">
        <f t="shared" si="4"/>
        <v>26500</v>
      </c>
      <c r="O28" s="64">
        <f t="shared" si="4"/>
        <v>26500</v>
      </c>
      <c r="P28" s="64">
        <f t="shared" si="4"/>
        <v>26500</v>
      </c>
      <c r="Q28" s="64">
        <f t="shared" si="4"/>
        <v>26500</v>
      </c>
      <c r="R28" s="64">
        <f t="shared" si="4"/>
        <v>26500</v>
      </c>
      <c r="S28" s="64">
        <f t="shared" si="4"/>
        <v>26500</v>
      </c>
      <c r="T28" s="64">
        <f t="shared" si="4"/>
        <v>9697</v>
      </c>
      <c r="U28" s="64">
        <f t="shared" si="4"/>
        <v>16803</v>
      </c>
      <c r="V28" s="65">
        <f>IFERROR(T28/S28,0)</f>
        <v>0.36592452830188682</v>
      </c>
      <c r="W28" s="64">
        <f ca="1">SUM(W8:W27)</f>
        <v>9697</v>
      </c>
      <c r="X28" s="63" t="str">
        <f>IF(S28=0,"No Budget",IF(V28&lt;=SETTINGS!$E$5,"Safe",IF(V28&lt;=SETTINGS!$E$6,"Watch Spending",IF(V28&lt;=SETTINGS!$E$7,"Near Limit","Over Budget"))))</f>
        <v>Safe</v>
      </c>
    </row>
    <row r="31" spans="1:24" ht="22.95" customHeight="1">
      <c r="A31" s="109" t="s">
        <v>245</v>
      </c>
      <c r="B31" s="110" t="s">
        <v>245</v>
      </c>
      <c r="C31" s="110" t="s">
        <v>245</v>
      </c>
      <c r="D31" s="115" t="s">
        <v>246</v>
      </c>
      <c r="E31" s="116" t="s">
        <v>246</v>
      </c>
      <c r="F31" s="258" t="s">
        <v>246</v>
      </c>
      <c r="G31" s="33" t="s">
        <v>246</v>
      </c>
      <c r="H31" s="33" t="s">
        <v>246</v>
      </c>
      <c r="I31" s="33" t="s">
        <v>246</v>
      </c>
      <c r="J31" s="14" t="s">
        <v>246</v>
      </c>
    </row>
    <row r="33" spans="1:10" ht="30" customHeight="1">
      <c r="A33" s="66" t="s">
        <v>247</v>
      </c>
      <c r="B33" s="57">
        <f>SUMIFS('QUICK ENTRY'!$E$8:$E$1007,'QUICK ENTRY'!$AF$8:$AF$1007,"Yes",'QUICK ENTRY'!$C$8:$C$1007,"Income",'QUICK ENTRY'!$V$8:$V$1007,DASHBOARD!$C$3,'QUICK ENTRY'!$X$8:$X$1007,DASHBOARD!$C$4)</f>
        <v>25000</v>
      </c>
      <c r="D33" s="69" t="s">
        <v>248</v>
      </c>
      <c r="E33" s="70" t="s">
        <v>249</v>
      </c>
      <c r="F33" s="70" t="s">
        <v>250</v>
      </c>
      <c r="G33" s="70" t="s">
        <v>41</v>
      </c>
      <c r="H33" s="70" t="s">
        <v>73</v>
      </c>
      <c r="I33" s="70" t="s">
        <v>251</v>
      </c>
      <c r="J33" s="71" t="s">
        <v>75</v>
      </c>
    </row>
    <row r="34" spans="1:10" ht="14.4">
      <c r="A34" s="67" t="s">
        <v>252</v>
      </c>
      <c r="B34" s="58">
        <f>SUMIFS('QUICK ENTRY'!$E$8:$E$1007,'QUICK ENTRY'!$AF$8:$AF$1007,"Yes",'QUICK ENTRY'!$C$8:$C$1007,"Expense",'QUICK ENTRY'!$V$8:$V$1007,DASHBOARD!$C$3,'QUICK ENTRY'!$X$8:$X$1007,DASHBOARD!$C$4)</f>
        <v>7197</v>
      </c>
      <c r="D34" s="2" t="s">
        <v>253</v>
      </c>
      <c r="E34" s="2" t="s">
        <v>254</v>
      </c>
      <c r="F34" s="57">
        <f>$S$28/5</f>
        <v>5300</v>
      </c>
      <c r="G34" s="57">
        <f>SUMIFS('QUICK ENTRY'!$E$8:$E$1007,'QUICK ENTRY'!$AF$8:$AF$1007,"Yes",'QUICK ENTRY'!$C$8:$C$1007,"Expense",'QUICK ENTRY'!$V$8:$V$1007,DASHBOARD!$C$3,'QUICK ENTRY'!$X$8:$X$1007,DASHBOARD!$C$4,'QUICK ENTRY'!$Y$8:$Y$1007,"&gt;=1",'QUICK ENTRY'!$Y$8:$Y$1007,"&lt;=7")</f>
        <v>7197</v>
      </c>
      <c r="H34" s="57">
        <f>F34-G34</f>
        <v>-1897</v>
      </c>
      <c r="I34" s="57">
        <f>MAX(0,H34/7)</f>
        <v>0</v>
      </c>
      <c r="J34" s="43" t="str">
        <f>IF(G34&lt;=F34*SETTINGS!$E$5,"Safe",IF(G34&lt;=F34*SETTINGS!$E$6,"Watch Spending",IF(G34&lt;=F34,"Near Limit","Over Budget")))</f>
        <v>Over Budget</v>
      </c>
    </row>
    <row r="35" spans="1:10" ht="14.4">
      <c r="A35" s="67" t="s">
        <v>255</v>
      </c>
      <c r="B35" s="58">
        <f>SUMIFS('QUICK ENTRY'!$E$8:$E$1007,'QUICK ENTRY'!$AF$8:$AF$1007,"Yes",'QUICK ENTRY'!$C$8:$C$1007,"Savings Transfer",'QUICK ENTRY'!$V$8:$V$1007,DASHBOARD!$C$3,'QUICK ENTRY'!$X$8:$X$1007,DASHBOARD!$C$4)</f>
        <v>2500</v>
      </c>
      <c r="D35" s="3" t="s">
        <v>256</v>
      </c>
      <c r="E35" s="3" t="s">
        <v>257</v>
      </c>
      <c r="F35" s="58">
        <f>$S$28/5</f>
        <v>5300</v>
      </c>
      <c r="G35" s="58">
        <f>SUMIFS('QUICK ENTRY'!$E$8:$E$1007,'QUICK ENTRY'!$AF$8:$AF$1007,"Yes",'QUICK ENTRY'!$C$8:$C$1007,"Expense",'QUICK ENTRY'!$V$8:$V$1007,DASHBOARD!$C$3,'QUICK ENTRY'!$X$8:$X$1007,DASHBOARD!$C$4,'QUICK ENTRY'!$Y$8:$Y$1007,"&gt;=8",'QUICK ENTRY'!$Y$8:$Y$1007,"&lt;=14")</f>
        <v>0</v>
      </c>
      <c r="H35" s="58">
        <f>F35-G35</f>
        <v>5300</v>
      </c>
      <c r="I35" s="58">
        <f>MAX(0,H35/7)</f>
        <v>757.14285714285711</v>
      </c>
      <c r="J35" s="44" t="str">
        <f>IF(G35&lt;=F35*SETTINGS!$E$5,"Safe",IF(G35&lt;=F35*SETTINGS!$E$6,"Watch Spending",IF(G35&lt;=F35,"Near Limit","Over Budget")))</f>
        <v>Safe</v>
      </c>
    </row>
    <row r="36" spans="1:10" ht="14.4">
      <c r="A36" s="67" t="s">
        <v>258</v>
      </c>
      <c r="B36" s="58">
        <f>B33-B34-B35</f>
        <v>15303</v>
      </c>
      <c r="D36" s="3" t="s">
        <v>259</v>
      </c>
      <c r="E36" s="3" t="s">
        <v>260</v>
      </c>
      <c r="F36" s="58">
        <f>$S$28/5</f>
        <v>5300</v>
      </c>
      <c r="G36" s="58">
        <f>SUMIFS('QUICK ENTRY'!$E$8:$E$1007,'QUICK ENTRY'!$AF$8:$AF$1007,"Yes",'QUICK ENTRY'!$C$8:$C$1007,"Expense",'QUICK ENTRY'!$V$8:$V$1007,DASHBOARD!$C$3,'QUICK ENTRY'!$X$8:$X$1007,DASHBOARD!$C$4,'QUICK ENTRY'!$Y$8:$Y$1007,"&gt;=15",'QUICK ENTRY'!$Y$8:$Y$1007,"&lt;=21")</f>
        <v>0</v>
      </c>
      <c r="H36" s="58">
        <f>F36-G36</f>
        <v>5300</v>
      </c>
      <c r="I36" s="58">
        <f>MAX(0,H36/7)</f>
        <v>757.14285714285711</v>
      </c>
      <c r="J36" s="44" t="str">
        <f>IF(G36&lt;=F36*SETTINGS!$E$5,"Safe",IF(G36&lt;=F36*SETTINGS!$E$6,"Watch Spending",IF(G36&lt;=F36,"Near Limit","Over Budget")))</f>
        <v>Safe</v>
      </c>
    </row>
    <row r="37" spans="1:10" ht="14.4">
      <c r="A37" s="67" t="s">
        <v>261</v>
      </c>
      <c r="B37" s="58">
        <f ca="1">IFERROR(B34/MAX(1,IF(AND(DASHBOARD!$C$4=YEAR(TODAY()),MATCH(DASHBOARD!$C$3,SETTINGS!$K$21:$K$32,0)=MONTH(TODAY())),DAY(TODAY()),DAY(DATE(DASHBOARD!$C$4,MATCH(DASHBOARD!$C$3,SETTINGS!$K$21:$K$32,0)+1,0)))),0)</f>
        <v>239.9</v>
      </c>
      <c r="D37" s="3" t="s">
        <v>262</v>
      </c>
      <c r="E37" s="3" t="s">
        <v>263</v>
      </c>
      <c r="F37" s="58">
        <f>$S$28/5</f>
        <v>5300</v>
      </c>
      <c r="G37" s="58">
        <f>SUMIFS('QUICK ENTRY'!$E$8:$E$1007,'QUICK ENTRY'!$AF$8:$AF$1007,"Yes",'QUICK ENTRY'!$C$8:$C$1007,"Expense",'QUICK ENTRY'!$V$8:$V$1007,DASHBOARD!$C$3,'QUICK ENTRY'!$X$8:$X$1007,DASHBOARD!$C$4,'QUICK ENTRY'!$Y$8:$Y$1007,"&gt;=22",'QUICK ENTRY'!$Y$8:$Y$1007,"&lt;=28")</f>
        <v>0</v>
      </c>
      <c r="H37" s="58">
        <f>F37-G37</f>
        <v>5300</v>
      </c>
      <c r="I37" s="58">
        <f>MAX(0,H37/7)</f>
        <v>757.14285714285711</v>
      </c>
      <c r="J37" s="44" t="str">
        <f>IF(G37&lt;=F37*SETTINGS!$E$5,"Safe",IF(G37&lt;=F37*SETTINGS!$E$6,"Watch Spending",IF(G37&lt;=F37,"Near Limit","Over Budget")))</f>
        <v>Safe</v>
      </c>
    </row>
    <row r="38" spans="1:10" ht="14.4">
      <c r="A38" s="67" t="s">
        <v>264</v>
      </c>
      <c r="B38" s="58">
        <f ca="1">B37*7</f>
        <v>1679.3</v>
      </c>
      <c r="D38" s="4" t="s">
        <v>265</v>
      </c>
      <c r="E38" s="4" t="s">
        <v>266</v>
      </c>
      <c r="F38" s="59">
        <f>$S$28/5</f>
        <v>5300</v>
      </c>
      <c r="G38" s="59">
        <f>SUMIFS('QUICK ENTRY'!$E$8:$E$1007,'QUICK ENTRY'!$AF$8:$AF$1007,"Yes",'QUICK ENTRY'!$C$8:$C$1007,"Expense",'QUICK ENTRY'!$V$8:$V$1007,DASHBOARD!$C$3,'QUICK ENTRY'!$X$8:$X$1007,DASHBOARD!$C$4,'QUICK ENTRY'!$Y$8:$Y$1007,"&gt;=29",'QUICK ENTRY'!$Y$8:$Y$1007,"&lt;=31")</f>
        <v>0</v>
      </c>
      <c r="H38" s="59">
        <f>F38-G38</f>
        <v>5300</v>
      </c>
      <c r="I38" s="59">
        <f>MAX(0,H38/7)</f>
        <v>757.14285714285711</v>
      </c>
      <c r="J38" s="45" t="str">
        <f>IF(G38&lt;=F38*SETTINGS!$E$5,"Safe",IF(G38&lt;=F38*SETTINGS!$E$6,"Watch Spending",IF(G38&lt;=F38,"Near Limit","Over Budget")))</f>
        <v>Safe</v>
      </c>
    </row>
    <row r="39" spans="1:10" ht="14.4">
      <c r="A39" s="67" t="s">
        <v>267</v>
      </c>
      <c r="B39" s="44">
        <f>COUNTIFS('QUICK ENTRY'!$AF$8:$AF$1007,"Yes",'QUICK ENTRY'!$C$8:$C$1007,"Expense",'QUICK ENTRY'!$V$8:$V$1007,DASHBOARD!$C$3,'QUICK ENTRY'!$X$8:$X$1007,DASHBOARD!$C$4)</f>
        <v>8</v>
      </c>
    </row>
    <row r="40" spans="1:10" ht="14.4">
      <c r="A40" s="67" t="s">
        <v>268</v>
      </c>
      <c r="B40" s="58">
        <f ca="1">IFERROR(_xludf.MAXIFS('QUICK ENTRY'!$E$8:$E$1007,'QUICK ENTRY'!$AF$8:$AF$1007,"Yes",'QUICK ENTRY'!$C$8:$C$1007,"Expense",'QUICK ENTRY'!$V$8:$V$1007,DASHBOARD!$C$3,'QUICK ENTRY'!$X$8:$X$1007,DASHBOARD!$C$4),0)</f>
        <v>0</v>
      </c>
    </row>
    <row r="41" spans="1:10" ht="14.4">
      <c r="A41" s="67" t="s">
        <v>269</v>
      </c>
      <c r="B41" s="44" t="str">
        <f>IFERROR(INDEX($A$8:$A$27,MATCH(MAX($T$8:$T$27),$T$8:$T$27,0)),"—")</f>
        <v>Hostel</v>
      </c>
    </row>
    <row r="42" spans="1:10" ht="14.4">
      <c r="A42" s="67" t="s">
        <v>270</v>
      </c>
      <c r="B42" s="44">
        <f ca="1">MAX(0,DAY(DATE(DASHBOARD!$C$4,MATCH(DASHBOARD!$C$3,SETTINGS!$K$21:$K$32,0)+1,0))-IF(AND(DASHBOARD!$C$4=YEAR(TODAY()),MATCH(DASHBOARD!$C$3,SETTINGS!$K$21:$K$32,0)=MONTH(TODAY())),DAY(TODAY()),DAY(DATE(DASHBOARD!$C$4,MATCH(DASHBOARD!$C$3,SETTINGS!$K$21:$K$32,0)+1,0))))</f>
        <v>0</v>
      </c>
    </row>
    <row r="43" spans="1:10" ht="14.4">
      <c r="A43" s="67" t="s">
        <v>271</v>
      </c>
      <c r="B43" s="58">
        <f ca="1">MAX(0,U28/MAX(1,B42))</f>
        <v>16803</v>
      </c>
    </row>
    <row r="44" spans="1:10" ht="14.4">
      <c r="A44" s="68" t="s">
        <v>272</v>
      </c>
      <c r="B44" s="59">
        <f ca="1">B33-W28</f>
        <v>15303</v>
      </c>
    </row>
  </sheetData>
  <mergeCells count="7">
    <mergeCell ref="A28:F28"/>
    <mergeCell ref="A31:F31"/>
    <mergeCell ref="A1:X2"/>
    <mergeCell ref="A3:X3"/>
    <mergeCell ref="A4:F5"/>
    <mergeCell ref="G4:J5"/>
    <mergeCell ref="K4:X5"/>
  </mergeCells>
  <conditionalFormatting sqref="J34:J38">
    <cfRule type="containsText" dxfId="72" priority="18" operator="containsText" text="Safe"/>
    <cfRule type="containsText" dxfId="71" priority="21" operator="containsText" text="Watch"/>
    <cfRule type="containsText" dxfId="70" priority="23" operator="containsText" text="Near"/>
    <cfRule type="containsText" dxfId="69" priority="24" operator="containsText" text="Over"/>
  </conditionalFormatting>
  <conditionalFormatting sqref="V8:V27">
    <cfRule type="dataBar" priority="1">
      <dataBar>
        <cfvo type="min"/>
        <cfvo type="max"/>
        <color rgb="FF2563EB"/>
      </dataBar>
    </cfRule>
    <cfRule type="dataBar" priority="26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{07C156D0-DC26-B904-5752-4BCCDE858784}</x14:id>
        </ext>
      </extLst>
    </cfRule>
  </conditionalFormatting>
  <conditionalFormatting sqref="X8:X27">
    <cfRule type="containsText" dxfId="68" priority="2" operator="containsText" text="Safe"/>
    <cfRule type="containsText" dxfId="67" priority="5" operator="containsText" text="Watch"/>
    <cfRule type="containsText" dxfId="66" priority="7" operator="containsText" text="Near"/>
    <cfRule type="containsText" dxfId="65" priority="8" operator="containsText" text="Over"/>
  </conditionalFormatting>
  <conditionalFormatting sqref="X28">
    <cfRule type="containsText" dxfId="64" priority="10" operator="containsText" text="Safe"/>
    <cfRule type="containsText" dxfId="63" priority="13" operator="containsText" text="Watch"/>
    <cfRule type="containsText" dxfId="62" priority="15" operator="containsText" text="Near"/>
    <cfRule type="containsText" dxfId="61" priority="16" operator="containsText" text="Over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C156D0-DC26-B904-5752-4BCCDE858784}">
            <x14:dataBar>
              <x14:cfvo type="min"/>
              <x14:cfvo type="max"/>
              <x14:negativeFillColor auto="1"/>
              <x14:axisColor auto="1"/>
            </x14:dataBar>
          </x14:cfRule>
          <xm:sqref>V8:V27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showGridLines="0" workbookViewId="0"/>
  </sheetViews>
  <sheetFormatPr defaultRowHeight="13.8"/>
  <cols>
    <col min="1" max="1" width="15" customWidth="1"/>
    <col min="2" max="5" width="19" customWidth="1"/>
    <col min="6" max="7" width="18" customWidth="1"/>
    <col min="8" max="8" width="3" customWidth="1"/>
    <col min="9" max="9" width="21" customWidth="1"/>
    <col min="10" max="11" width="18" customWidth="1"/>
    <col min="12" max="14" width="15" customWidth="1"/>
  </cols>
  <sheetData>
    <row r="1" spans="1:14" ht="31.95" customHeight="1">
      <c r="A1" s="107" t="s">
        <v>273</v>
      </c>
      <c r="B1" s="107" t="s">
        <v>273</v>
      </c>
      <c r="C1" s="107" t="s">
        <v>273</v>
      </c>
      <c r="D1" s="107" t="s">
        <v>273</v>
      </c>
      <c r="E1" s="107" t="s">
        <v>273</v>
      </c>
      <c r="F1" s="107" t="s">
        <v>273</v>
      </c>
      <c r="G1" s="107" t="s">
        <v>273</v>
      </c>
      <c r="H1" s="107" t="s">
        <v>273</v>
      </c>
      <c r="I1" s="107" t="s">
        <v>273</v>
      </c>
      <c r="J1" s="107" t="s">
        <v>273</v>
      </c>
      <c r="K1" s="107" t="s">
        <v>273</v>
      </c>
      <c r="L1" s="107" t="s">
        <v>273</v>
      </c>
      <c r="M1" s="107" t="s">
        <v>273</v>
      </c>
      <c r="N1" s="107" t="s">
        <v>273</v>
      </c>
    </row>
    <row r="2" spans="1:14" ht="31.95" customHeight="1">
      <c r="A2" s="107" t="s">
        <v>273</v>
      </c>
      <c r="B2" s="107" t="s">
        <v>273</v>
      </c>
      <c r="C2" s="107" t="s">
        <v>273</v>
      </c>
      <c r="D2" s="107" t="s">
        <v>273</v>
      </c>
      <c r="E2" s="107" t="s">
        <v>273</v>
      </c>
      <c r="F2" s="107" t="s">
        <v>273</v>
      </c>
      <c r="G2" s="107" t="s">
        <v>273</v>
      </c>
      <c r="H2" s="107" t="s">
        <v>273</v>
      </c>
      <c r="I2" s="107" t="s">
        <v>273</v>
      </c>
      <c r="J2" s="107" t="s">
        <v>273</v>
      </c>
      <c r="K2" s="107" t="s">
        <v>273</v>
      </c>
      <c r="L2" s="107" t="s">
        <v>273</v>
      </c>
      <c r="M2" s="107" t="s">
        <v>273</v>
      </c>
      <c r="N2" s="107" t="s">
        <v>273</v>
      </c>
    </row>
    <row r="3" spans="1:14" ht="18" customHeight="1">
      <c r="A3" s="108" t="s">
        <v>274</v>
      </c>
      <c r="B3" s="108" t="s">
        <v>274</v>
      </c>
      <c r="C3" s="108" t="s">
        <v>274</v>
      </c>
      <c r="D3" s="108" t="s">
        <v>274</v>
      </c>
      <c r="E3" s="108" t="s">
        <v>274</v>
      </c>
      <c r="F3" s="108" t="s">
        <v>274</v>
      </c>
      <c r="G3" s="108" t="s">
        <v>274</v>
      </c>
      <c r="H3" s="108" t="s">
        <v>274</v>
      </c>
      <c r="I3" s="108" t="s">
        <v>274</v>
      </c>
      <c r="J3" s="108" t="s">
        <v>274</v>
      </c>
      <c r="K3" s="108" t="s">
        <v>274</v>
      </c>
      <c r="L3" s="108" t="s">
        <v>274</v>
      </c>
      <c r="M3" s="108" t="s">
        <v>274</v>
      </c>
      <c r="N3" s="108" t="s">
        <v>274</v>
      </c>
    </row>
    <row r="4" spans="1:14">
      <c r="A4" s="259" t="s">
        <v>275</v>
      </c>
      <c r="B4" s="259" t="s">
        <v>275</v>
      </c>
      <c r="C4" s="259" t="s">
        <v>275</v>
      </c>
      <c r="D4" s="259" t="s">
        <v>275</v>
      </c>
      <c r="E4" s="259" t="s">
        <v>275</v>
      </c>
      <c r="F4" s="259" t="s">
        <v>275</v>
      </c>
      <c r="G4" s="259" t="s">
        <v>275</v>
      </c>
      <c r="H4" s="259" t="s">
        <v>275</v>
      </c>
      <c r="I4" s="259" t="s">
        <v>275</v>
      </c>
      <c r="J4" s="259" t="s">
        <v>275</v>
      </c>
      <c r="K4" s="259" t="s">
        <v>275</v>
      </c>
      <c r="L4" s="259" t="s">
        <v>275</v>
      </c>
      <c r="M4" s="259" t="s">
        <v>275</v>
      </c>
      <c r="N4" s="259" t="s">
        <v>275</v>
      </c>
    </row>
    <row r="5" spans="1:14">
      <c r="A5" s="259" t="s">
        <v>275</v>
      </c>
      <c r="B5" s="259" t="s">
        <v>275</v>
      </c>
      <c r="C5" s="259" t="s">
        <v>275</v>
      </c>
      <c r="D5" s="259" t="s">
        <v>275</v>
      </c>
      <c r="E5" s="259" t="s">
        <v>275</v>
      </c>
      <c r="F5" s="259" t="s">
        <v>275</v>
      </c>
      <c r="G5" s="259" t="s">
        <v>275</v>
      </c>
      <c r="H5" s="259" t="s">
        <v>275</v>
      </c>
      <c r="I5" s="259" t="s">
        <v>275</v>
      </c>
      <c r="J5" s="259" t="s">
        <v>275</v>
      </c>
      <c r="K5" s="259" t="s">
        <v>275</v>
      </c>
      <c r="L5" s="259" t="s">
        <v>275</v>
      </c>
      <c r="M5" s="259" t="s">
        <v>275</v>
      </c>
      <c r="N5" s="259" t="s">
        <v>275</v>
      </c>
    </row>
    <row r="7" spans="1:14" ht="22.95" customHeight="1">
      <c r="A7" s="19" t="s">
        <v>37</v>
      </c>
      <c r="B7" s="20" t="s">
        <v>276</v>
      </c>
      <c r="C7" s="20" t="s">
        <v>277</v>
      </c>
      <c r="D7" s="20" t="s">
        <v>278</v>
      </c>
      <c r="E7" s="20" t="s">
        <v>279</v>
      </c>
      <c r="F7" s="20" t="s">
        <v>280</v>
      </c>
      <c r="G7" s="21" t="s">
        <v>281</v>
      </c>
      <c r="I7" s="115" t="s">
        <v>282</v>
      </c>
      <c r="J7" s="116" t="s">
        <v>282</v>
      </c>
      <c r="K7" s="116" t="s">
        <v>282</v>
      </c>
      <c r="L7" s="116" t="s">
        <v>282</v>
      </c>
      <c r="M7" s="116" t="s">
        <v>282</v>
      </c>
      <c r="N7" s="117" t="s">
        <v>282</v>
      </c>
    </row>
    <row r="8" spans="1:14" ht="14.4">
      <c r="A8" s="2" t="s">
        <v>230</v>
      </c>
      <c r="B8" s="57">
        <f>SETTINGS!$B$14</f>
        <v>25000</v>
      </c>
      <c r="C8" s="22"/>
      <c r="D8" s="57">
        <f t="shared" ref="D8:D19" si="0">IF($C8="",$B8,$C8)</f>
        <v>25000</v>
      </c>
      <c r="E8" s="57">
        <f>SUMIFS('QUICK ENTRY'!$E$8:$E$1007,'QUICK ENTRY'!$AF$8:$AF$1007,"Yes",'QUICK ENTRY'!$C$8:$C$1007,"Income",'QUICK ENTRY'!$V$8:$V$1007,$A8,'QUICK ENTRY'!$X$8:$X$1007,DASHBOARD!$C$4,'QUICK ENTRY'!$J$8:$J$1007,"Monthly Allowance")</f>
        <v>25000</v>
      </c>
      <c r="F8" s="57">
        <f>SUMIFS('QUICK ENTRY'!$E$8:$E$1007,'QUICK ENTRY'!$AF$8:$AF$1007,"Yes",'QUICK ENTRY'!$C$8:$C$1007,"Income",'QUICK ENTRY'!$V$8:$V$1007,$A8,'QUICK ENTRY'!$X$8:$X$1007,DASHBOARD!$C$4)-$E8</f>
        <v>0</v>
      </c>
      <c r="G8" s="57">
        <f t="shared" ref="G8:G19" si="1">$E8-$D8</f>
        <v>0</v>
      </c>
    </row>
    <row r="9" spans="1:14" ht="30" customHeight="1">
      <c r="A9" s="3" t="s">
        <v>231</v>
      </c>
      <c r="B9" s="58">
        <f>SETTINGS!$B$14</f>
        <v>25000</v>
      </c>
      <c r="C9" s="11"/>
      <c r="D9" s="58">
        <f t="shared" si="0"/>
        <v>25000</v>
      </c>
      <c r="E9" s="58">
        <f>SUMIFS('QUICK ENTRY'!$E$8:$E$1007,'QUICK ENTRY'!$AF$8:$AF$1007,"Yes",'QUICK ENTRY'!$C$8:$C$1007,"Income",'QUICK ENTRY'!$V$8:$V$1007,$A9,'QUICK ENTRY'!$X$8:$X$1007,DASHBOARD!$C$4,'QUICK ENTRY'!$J$8:$J$1007,"Monthly Allowance")</f>
        <v>25000</v>
      </c>
      <c r="F9" s="58">
        <f>SUMIFS('QUICK ENTRY'!$E$8:$E$1007,'QUICK ENTRY'!$AF$8:$AF$1007,"Yes",'QUICK ENTRY'!$C$8:$C$1007,"Income",'QUICK ENTRY'!$V$8:$V$1007,$A9,'QUICK ENTRY'!$X$8:$X$1007,DASHBOARD!$C$4)-$E9</f>
        <v>0</v>
      </c>
      <c r="G9" s="58">
        <f t="shared" si="1"/>
        <v>0</v>
      </c>
      <c r="I9" s="69" t="s">
        <v>283</v>
      </c>
      <c r="J9" s="70" t="s">
        <v>284</v>
      </c>
      <c r="K9" s="70" t="s">
        <v>285</v>
      </c>
      <c r="L9" s="71" t="s">
        <v>286</v>
      </c>
    </row>
    <row r="10" spans="1:14" ht="14.4">
      <c r="A10" s="3" t="s">
        <v>232</v>
      </c>
      <c r="B10" s="58">
        <f>SETTINGS!$B$14</f>
        <v>25000</v>
      </c>
      <c r="C10" s="11"/>
      <c r="D10" s="58">
        <f t="shared" si="0"/>
        <v>25000</v>
      </c>
      <c r="E10" s="58">
        <f>SUMIFS('QUICK ENTRY'!$E$8:$E$1007,'QUICK ENTRY'!$AF$8:$AF$1007,"Yes",'QUICK ENTRY'!$C$8:$C$1007,"Income",'QUICK ENTRY'!$V$8:$V$1007,$A10,'QUICK ENTRY'!$X$8:$X$1007,DASHBOARD!$C$4,'QUICK ENTRY'!$J$8:$J$1007,"Monthly Allowance")</f>
        <v>25000</v>
      </c>
      <c r="F10" s="58">
        <f>SUMIFS('QUICK ENTRY'!$E$8:$E$1007,'QUICK ENTRY'!$AF$8:$AF$1007,"Yes",'QUICK ENTRY'!$C$8:$C$1007,"Income",'QUICK ENTRY'!$V$8:$V$1007,$A10,'QUICK ENTRY'!$X$8:$X$1007,DASHBOARD!$C$4)-$E10</f>
        <v>0</v>
      </c>
      <c r="G10" s="58">
        <f t="shared" si="1"/>
        <v>0</v>
      </c>
      <c r="I10" s="2" t="s">
        <v>114</v>
      </c>
      <c r="J10" s="57">
        <f>SUMIFS('QUICK ENTRY'!$E$8:$E$1007,'QUICK ENTRY'!$AF$8:$AF$1007,"Yes",'QUICK ENTRY'!$C$8:$C$1007,"Income",'QUICK ENTRY'!$J$8:$J$1007,$I10,'QUICK ENTRY'!$V$8:$V$1007,DASHBOARD!$C$3,'QUICK ENTRY'!$X$8:$X$1007,DASHBOARD!$C$4)</f>
        <v>25000</v>
      </c>
      <c r="K10" s="57">
        <f>SUMIFS('QUICK ENTRY'!$E$8:$E$1007,'QUICK ENTRY'!$AF$8:$AF$1007,"Yes",'QUICK ENTRY'!$C$8:$C$1007,"Income",'QUICK ENTRY'!$J$8:$J$1007,$I10,'QUICK ENTRY'!$X$8:$X$1007,DASHBOARD!$C$4)</f>
        <v>225000</v>
      </c>
      <c r="L10" s="60">
        <f t="shared" ref="L10:L21" si="2">IFERROR($K10/SUM($K$10:$K$21),0)</f>
        <v>0.97826086956521741</v>
      </c>
    </row>
    <row r="11" spans="1:14" ht="14.4">
      <c r="A11" s="3" t="s">
        <v>233</v>
      </c>
      <c r="B11" s="58">
        <f>SETTINGS!$B$14</f>
        <v>25000</v>
      </c>
      <c r="C11" s="11"/>
      <c r="D11" s="58">
        <f t="shared" si="0"/>
        <v>25000</v>
      </c>
      <c r="E11" s="58">
        <f>SUMIFS('QUICK ENTRY'!$E$8:$E$1007,'QUICK ENTRY'!$AF$8:$AF$1007,"Yes",'QUICK ENTRY'!$C$8:$C$1007,"Income",'QUICK ENTRY'!$V$8:$V$1007,$A11,'QUICK ENTRY'!$X$8:$X$1007,DASHBOARD!$C$4,'QUICK ENTRY'!$J$8:$J$1007,"Monthly Allowance")</f>
        <v>25000</v>
      </c>
      <c r="F11" s="58">
        <f>SUMIFS('QUICK ENTRY'!$E$8:$E$1007,'QUICK ENTRY'!$AF$8:$AF$1007,"Yes",'QUICK ENTRY'!$C$8:$C$1007,"Income",'QUICK ENTRY'!$V$8:$V$1007,$A11,'QUICK ENTRY'!$X$8:$X$1007,DASHBOARD!$C$4)-$E11</f>
        <v>0</v>
      </c>
      <c r="G11" s="58">
        <f t="shared" si="1"/>
        <v>0</v>
      </c>
      <c r="I11" s="3" t="s">
        <v>287</v>
      </c>
      <c r="J11" s="58">
        <f>SUMIFS('QUICK ENTRY'!$E$8:$E$1007,'QUICK ENTRY'!$AF$8:$AF$1007,"Yes",'QUICK ENTRY'!$C$8:$C$1007,"Income",'QUICK ENTRY'!$J$8:$J$1007,$I11,'QUICK ENTRY'!$V$8:$V$1007,DASHBOARD!$C$3,'QUICK ENTRY'!$X$8:$X$1007,DASHBOARD!$C$4)</f>
        <v>0</v>
      </c>
      <c r="K11" s="58">
        <f>SUMIFS('QUICK ENTRY'!$E$8:$E$1007,'QUICK ENTRY'!$AF$8:$AF$1007,"Yes",'QUICK ENTRY'!$C$8:$C$1007,"Income",'QUICK ENTRY'!$J$8:$J$1007,$I11,'QUICK ENTRY'!$X$8:$X$1007,DASHBOARD!$C$4)</f>
        <v>0</v>
      </c>
      <c r="L11" s="61">
        <f t="shared" si="2"/>
        <v>0</v>
      </c>
    </row>
    <row r="12" spans="1:14" ht="14.4">
      <c r="A12" s="3" t="s">
        <v>234</v>
      </c>
      <c r="B12" s="58">
        <f>SETTINGS!$B$14</f>
        <v>25000</v>
      </c>
      <c r="C12" s="11"/>
      <c r="D12" s="58">
        <f t="shared" si="0"/>
        <v>25000</v>
      </c>
      <c r="E12" s="58">
        <f>SUMIFS('QUICK ENTRY'!$E$8:$E$1007,'QUICK ENTRY'!$AF$8:$AF$1007,"Yes",'QUICK ENTRY'!$C$8:$C$1007,"Income",'QUICK ENTRY'!$V$8:$V$1007,$A12,'QUICK ENTRY'!$X$8:$X$1007,DASHBOARD!$C$4,'QUICK ENTRY'!$J$8:$J$1007,"Monthly Allowance")</f>
        <v>25000</v>
      </c>
      <c r="F12" s="58">
        <f>SUMIFS('QUICK ENTRY'!$E$8:$E$1007,'QUICK ENTRY'!$AF$8:$AF$1007,"Yes",'QUICK ENTRY'!$C$8:$C$1007,"Income",'QUICK ENTRY'!$V$8:$V$1007,$A12,'QUICK ENTRY'!$X$8:$X$1007,DASHBOARD!$C$4)-$E12</f>
        <v>0</v>
      </c>
      <c r="G12" s="58">
        <f t="shared" si="1"/>
        <v>0</v>
      </c>
      <c r="I12" s="3" t="s">
        <v>185</v>
      </c>
      <c r="J12" s="58">
        <f>SUMIFS('QUICK ENTRY'!$E$8:$E$1007,'QUICK ENTRY'!$AF$8:$AF$1007,"Yes",'QUICK ENTRY'!$C$8:$C$1007,"Income",'QUICK ENTRY'!$J$8:$J$1007,$I12,'QUICK ENTRY'!$V$8:$V$1007,DASHBOARD!$C$3,'QUICK ENTRY'!$X$8:$X$1007,DASHBOARD!$C$4)</f>
        <v>0</v>
      </c>
      <c r="K12" s="58">
        <f>SUMIFS('QUICK ENTRY'!$E$8:$E$1007,'QUICK ENTRY'!$AF$8:$AF$1007,"Yes",'QUICK ENTRY'!$C$8:$C$1007,"Income",'QUICK ENTRY'!$J$8:$J$1007,$I12,'QUICK ENTRY'!$X$8:$X$1007,DASHBOARD!$C$4)</f>
        <v>5000</v>
      </c>
      <c r="L12" s="61">
        <f t="shared" si="2"/>
        <v>2.1739130434782608E-2</v>
      </c>
    </row>
    <row r="13" spans="1:14" ht="14.4">
      <c r="A13" s="3" t="s">
        <v>235</v>
      </c>
      <c r="B13" s="58">
        <f>SETTINGS!$B$14</f>
        <v>25000</v>
      </c>
      <c r="C13" s="11"/>
      <c r="D13" s="58">
        <f t="shared" si="0"/>
        <v>25000</v>
      </c>
      <c r="E13" s="58">
        <f>SUMIFS('QUICK ENTRY'!$E$8:$E$1007,'QUICK ENTRY'!$AF$8:$AF$1007,"Yes",'QUICK ENTRY'!$C$8:$C$1007,"Income",'QUICK ENTRY'!$V$8:$V$1007,$A13,'QUICK ENTRY'!$X$8:$X$1007,DASHBOARD!$C$4,'QUICK ENTRY'!$J$8:$J$1007,"Monthly Allowance")</f>
        <v>25000</v>
      </c>
      <c r="F13" s="58">
        <f>SUMIFS('QUICK ENTRY'!$E$8:$E$1007,'QUICK ENTRY'!$AF$8:$AF$1007,"Yes",'QUICK ENTRY'!$C$8:$C$1007,"Income",'QUICK ENTRY'!$V$8:$V$1007,$A13,'QUICK ENTRY'!$X$8:$X$1007,DASHBOARD!$C$4)-$E13</f>
        <v>0</v>
      </c>
      <c r="G13" s="58">
        <f t="shared" si="1"/>
        <v>0</v>
      </c>
      <c r="I13" s="3" t="s">
        <v>288</v>
      </c>
      <c r="J13" s="58">
        <f>SUMIFS('QUICK ENTRY'!$E$8:$E$1007,'QUICK ENTRY'!$AF$8:$AF$1007,"Yes",'QUICK ENTRY'!$C$8:$C$1007,"Income",'QUICK ENTRY'!$J$8:$J$1007,$I13,'QUICK ENTRY'!$V$8:$V$1007,DASHBOARD!$C$3,'QUICK ENTRY'!$X$8:$X$1007,DASHBOARD!$C$4)</f>
        <v>0</v>
      </c>
      <c r="K13" s="58">
        <f>SUMIFS('QUICK ENTRY'!$E$8:$E$1007,'QUICK ENTRY'!$AF$8:$AF$1007,"Yes",'QUICK ENTRY'!$C$8:$C$1007,"Income",'QUICK ENTRY'!$J$8:$J$1007,$I13,'QUICK ENTRY'!$X$8:$X$1007,DASHBOARD!$C$4)</f>
        <v>0</v>
      </c>
      <c r="L13" s="61">
        <f t="shared" si="2"/>
        <v>0</v>
      </c>
    </row>
    <row r="14" spans="1:14" ht="14.4">
      <c r="A14" s="3" t="s">
        <v>236</v>
      </c>
      <c r="B14" s="58">
        <f>SETTINGS!$B$14</f>
        <v>25000</v>
      </c>
      <c r="C14" s="11"/>
      <c r="D14" s="58">
        <f t="shared" si="0"/>
        <v>25000</v>
      </c>
      <c r="E14" s="58">
        <f>SUMIFS('QUICK ENTRY'!$E$8:$E$1007,'QUICK ENTRY'!$AF$8:$AF$1007,"Yes",'QUICK ENTRY'!$C$8:$C$1007,"Income",'QUICK ENTRY'!$V$8:$V$1007,$A14,'QUICK ENTRY'!$X$8:$X$1007,DASHBOARD!$C$4,'QUICK ENTRY'!$J$8:$J$1007,"Monthly Allowance")</f>
        <v>25000</v>
      </c>
      <c r="F14" s="58">
        <f>SUMIFS('QUICK ENTRY'!$E$8:$E$1007,'QUICK ENTRY'!$AF$8:$AF$1007,"Yes",'QUICK ENTRY'!$C$8:$C$1007,"Income",'QUICK ENTRY'!$V$8:$V$1007,$A14,'QUICK ENTRY'!$X$8:$X$1007,DASHBOARD!$C$4)-$E14</f>
        <v>0</v>
      </c>
      <c r="G14" s="58">
        <f t="shared" si="1"/>
        <v>0</v>
      </c>
      <c r="I14" s="3" t="s">
        <v>289</v>
      </c>
      <c r="J14" s="58">
        <f>SUMIFS('QUICK ENTRY'!$E$8:$E$1007,'QUICK ENTRY'!$AF$8:$AF$1007,"Yes",'QUICK ENTRY'!$C$8:$C$1007,"Income",'QUICK ENTRY'!$J$8:$J$1007,$I14,'QUICK ENTRY'!$V$8:$V$1007,DASHBOARD!$C$3,'QUICK ENTRY'!$X$8:$X$1007,DASHBOARD!$C$4)</f>
        <v>0</v>
      </c>
      <c r="K14" s="58">
        <f>SUMIFS('QUICK ENTRY'!$E$8:$E$1007,'QUICK ENTRY'!$AF$8:$AF$1007,"Yes",'QUICK ENTRY'!$C$8:$C$1007,"Income",'QUICK ENTRY'!$J$8:$J$1007,$I14,'QUICK ENTRY'!$X$8:$X$1007,DASHBOARD!$C$4)</f>
        <v>0</v>
      </c>
      <c r="L14" s="61">
        <f t="shared" si="2"/>
        <v>0</v>
      </c>
    </row>
    <row r="15" spans="1:14" ht="14.4">
      <c r="A15" s="3" t="s">
        <v>237</v>
      </c>
      <c r="B15" s="58">
        <f>SETTINGS!$B$14</f>
        <v>25000</v>
      </c>
      <c r="C15" s="11"/>
      <c r="D15" s="58">
        <f t="shared" si="0"/>
        <v>25000</v>
      </c>
      <c r="E15" s="58">
        <f>SUMIFS('QUICK ENTRY'!$E$8:$E$1007,'QUICK ENTRY'!$AF$8:$AF$1007,"Yes",'QUICK ENTRY'!$C$8:$C$1007,"Income",'QUICK ENTRY'!$V$8:$V$1007,$A15,'QUICK ENTRY'!$X$8:$X$1007,DASHBOARD!$C$4,'QUICK ENTRY'!$J$8:$J$1007,"Monthly Allowance")</f>
        <v>25000</v>
      </c>
      <c r="F15" s="58">
        <f>SUMIFS('QUICK ENTRY'!$E$8:$E$1007,'QUICK ENTRY'!$AF$8:$AF$1007,"Yes",'QUICK ENTRY'!$C$8:$C$1007,"Income",'QUICK ENTRY'!$V$8:$V$1007,$A15,'QUICK ENTRY'!$X$8:$X$1007,DASHBOARD!$C$4)-$E15</f>
        <v>5000</v>
      </c>
      <c r="G15" s="58">
        <f t="shared" si="1"/>
        <v>0</v>
      </c>
      <c r="I15" s="3" t="s">
        <v>290</v>
      </c>
      <c r="J15" s="58">
        <f>SUMIFS('QUICK ENTRY'!$E$8:$E$1007,'QUICK ENTRY'!$AF$8:$AF$1007,"Yes",'QUICK ENTRY'!$C$8:$C$1007,"Income",'QUICK ENTRY'!$J$8:$J$1007,$I15,'QUICK ENTRY'!$V$8:$V$1007,DASHBOARD!$C$3,'QUICK ENTRY'!$X$8:$X$1007,DASHBOARD!$C$4)</f>
        <v>0</v>
      </c>
      <c r="K15" s="58">
        <f>SUMIFS('QUICK ENTRY'!$E$8:$E$1007,'QUICK ENTRY'!$AF$8:$AF$1007,"Yes",'QUICK ENTRY'!$C$8:$C$1007,"Income",'QUICK ENTRY'!$J$8:$J$1007,$I15,'QUICK ENTRY'!$X$8:$X$1007,DASHBOARD!$C$4)</f>
        <v>0</v>
      </c>
      <c r="L15" s="61">
        <f t="shared" si="2"/>
        <v>0</v>
      </c>
    </row>
    <row r="16" spans="1:14" ht="14.4">
      <c r="A16" s="3" t="s">
        <v>38</v>
      </c>
      <c r="B16" s="58">
        <f>SETTINGS!$B$14</f>
        <v>25000</v>
      </c>
      <c r="C16" s="11"/>
      <c r="D16" s="58">
        <f t="shared" si="0"/>
        <v>25000</v>
      </c>
      <c r="E16" s="58">
        <f>SUMIFS('QUICK ENTRY'!$E$8:$E$1007,'QUICK ENTRY'!$AF$8:$AF$1007,"Yes",'QUICK ENTRY'!$C$8:$C$1007,"Income",'QUICK ENTRY'!$V$8:$V$1007,$A16,'QUICK ENTRY'!$X$8:$X$1007,DASHBOARD!$C$4,'QUICK ENTRY'!$J$8:$J$1007,"Monthly Allowance")</f>
        <v>25000</v>
      </c>
      <c r="F16" s="58">
        <f>SUMIFS('QUICK ENTRY'!$E$8:$E$1007,'QUICK ENTRY'!$AF$8:$AF$1007,"Yes",'QUICK ENTRY'!$C$8:$C$1007,"Income",'QUICK ENTRY'!$V$8:$V$1007,$A16,'QUICK ENTRY'!$X$8:$X$1007,DASHBOARD!$C$4)-$E16</f>
        <v>0</v>
      </c>
      <c r="G16" s="58">
        <f t="shared" si="1"/>
        <v>0</v>
      </c>
      <c r="I16" s="3" t="s">
        <v>291</v>
      </c>
      <c r="J16" s="58">
        <f>SUMIFS('QUICK ENTRY'!$E$8:$E$1007,'QUICK ENTRY'!$AF$8:$AF$1007,"Yes",'QUICK ENTRY'!$C$8:$C$1007,"Income",'QUICK ENTRY'!$J$8:$J$1007,$I16,'QUICK ENTRY'!$V$8:$V$1007,DASHBOARD!$C$3,'QUICK ENTRY'!$X$8:$X$1007,DASHBOARD!$C$4)</f>
        <v>0</v>
      </c>
      <c r="K16" s="58">
        <f>SUMIFS('QUICK ENTRY'!$E$8:$E$1007,'QUICK ENTRY'!$AF$8:$AF$1007,"Yes",'QUICK ENTRY'!$C$8:$C$1007,"Income",'QUICK ENTRY'!$J$8:$J$1007,$I16,'QUICK ENTRY'!$X$8:$X$1007,DASHBOARD!$C$4)</f>
        <v>0</v>
      </c>
      <c r="L16" s="61">
        <f t="shared" si="2"/>
        <v>0</v>
      </c>
    </row>
    <row r="17" spans="1:12" ht="14.4">
      <c r="A17" s="3" t="s">
        <v>238</v>
      </c>
      <c r="B17" s="58">
        <f>SETTINGS!$B$14</f>
        <v>25000</v>
      </c>
      <c r="C17" s="11"/>
      <c r="D17" s="58">
        <f t="shared" si="0"/>
        <v>25000</v>
      </c>
      <c r="E17" s="58">
        <f>SUMIFS('QUICK ENTRY'!$E$8:$E$1007,'QUICK ENTRY'!$AF$8:$AF$1007,"Yes",'QUICK ENTRY'!$C$8:$C$1007,"Income",'QUICK ENTRY'!$V$8:$V$1007,$A17,'QUICK ENTRY'!$X$8:$X$1007,DASHBOARD!$C$4,'QUICK ENTRY'!$J$8:$J$1007,"Monthly Allowance")</f>
        <v>0</v>
      </c>
      <c r="F17" s="58">
        <f>SUMIFS('QUICK ENTRY'!$E$8:$E$1007,'QUICK ENTRY'!$AF$8:$AF$1007,"Yes",'QUICK ENTRY'!$C$8:$C$1007,"Income",'QUICK ENTRY'!$V$8:$V$1007,$A17,'QUICK ENTRY'!$X$8:$X$1007,DASHBOARD!$C$4)-$E17</f>
        <v>0</v>
      </c>
      <c r="G17" s="58">
        <f t="shared" si="1"/>
        <v>-25000</v>
      </c>
      <c r="I17" s="3" t="s">
        <v>292</v>
      </c>
      <c r="J17" s="58">
        <f>SUMIFS('QUICK ENTRY'!$E$8:$E$1007,'QUICK ENTRY'!$AF$8:$AF$1007,"Yes",'QUICK ENTRY'!$C$8:$C$1007,"Income",'QUICK ENTRY'!$J$8:$J$1007,$I17,'QUICK ENTRY'!$V$8:$V$1007,DASHBOARD!$C$3,'QUICK ENTRY'!$X$8:$X$1007,DASHBOARD!$C$4)</f>
        <v>0</v>
      </c>
      <c r="K17" s="58">
        <f>SUMIFS('QUICK ENTRY'!$E$8:$E$1007,'QUICK ENTRY'!$AF$8:$AF$1007,"Yes",'QUICK ENTRY'!$C$8:$C$1007,"Income",'QUICK ENTRY'!$J$8:$J$1007,$I17,'QUICK ENTRY'!$X$8:$X$1007,DASHBOARD!$C$4)</f>
        <v>0</v>
      </c>
      <c r="L17" s="61">
        <f t="shared" si="2"/>
        <v>0</v>
      </c>
    </row>
    <row r="18" spans="1:12" ht="14.4">
      <c r="A18" s="3" t="s">
        <v>239</v>
      </c>
      <c r="B18" s="58">
        <f>SETTINGS!$B$14</f>
        <v>25000</v>
      </c>
      <c r="C18" s="11"/>
      <c r="D18" s="58">
        <f t="shared" si="0"/>
        <v>25000</v>
      </c>
      <c r="E18" s="58">
        <f>SUMIFS('QUICK ENTRY'!$E$8:$E$1007,'QUICK ENTRY'!$AF$8:$AF$1007,"Yes",'QUICK ENTRY'!$C$8:$C$1007,"Income",'QUICK ENTRY'!$V$8:$V$1007,$A18,'QUICK ENTRY'!$X$8:$X$1007,DASHBOARD!$C$4,'QUICK ENTRY'!$J$8:$J$1007,"Monthly Allowance")</f>
        <v>0</v>
      </c>
      <c r="F18" s="58">
        <f>SUMIFS('QUICK ENTRY'!$E$8:$E$1007,'QUICK ENTRY'!$AF$8:$AF$1007,"Yes",'QUICK ENTRY'!$C$8:$C$1007,"Income",'QUICK ENTRY'!$V$8:$V$1007,$A18,'QUICK ENTRY'!$X$8:$X$1007,DASHBOARD!$C$4)-$E18</f>
        <v>0</v>
      </c>
      <c r="G18" s="58">
        <f t="shared" si="1"/>
        <v>-25000</v>
      </c>
      <c r="I18" s="3" t="s">
        <v>293</v>
      </c>
      <c r="J18" s="58">
        <f>SUMIFS('QUICK ENTRY'!$E$8:$E$1007,'QUICK ENTRY'!$AF$8:$AF$1007,"Yes",'QUICK ENTRY'!$C$8:$C$1007,"Income",'QUICK ENTRY'!$J$8:$J$1007,$I18,'QUICK ENTRY'!$V$8:$V$1007,DASHBOARD!$C$3,'QUICK ENTRY'!$X$8:$X$1007,DASHBOARD!$C$4)</f>
        <v>0</v>
      </c>
      <c r="K18" s="58">
        <f>SUMIFS('QUICK ENTRY'!$E$8:$E$1007,'QUICK ENTRY'!$AF$8:$AF$1007,"Yes",'QUICK ENTRY'!$C$8:$C$1007,"Income",'QUICK ENTRY'!$J$8:$J$1007,$I18,'QUICK ENTRY'!$X$8:$X$1007,DASHBOARD!$C$4)</f>
        <v>0</v>
      </c>
      <c r="L18" s="61">
        <f t="shared" si="2"/>
        <v>0</v>
      </c>
    </row>
    <row r="19" spans="1:12" ht="14.4">
      <c r="A19" s="4" t="s">
        <v>240</v>
      </c>
      <c r="B19" s="59">
        <f>SETTINGS!$B$14</f>
        <v>25000</v>
      </c>
      <c r="C19" s="23"/>
      <c r="D19" s="59">
        <f t="shared" si="0"/>
        <v>25000</v>
      </c>
      <c r="E19" s="59">
        <f>SUMIFS('QUICK ENTRY'!$E$8:$E$1007,'QUICK ENTRY'!$AF$8:$AF$1007,"Yes",'QUICK ENTRY'!$C$8:$C$1007,"Income",'QUICK ENTRY'!$V$8:$V$1007,$A19,'QUICK ENTRY'!$X$8:$X$1007,DASHBOARD!$C$4,'QUICK ENTRY'!$J$8:$J$1007,"Monthly Allowance")</f>
        <v>0</v>
      </c>
      <c r="F19" s="59">
        <f>SUMIFS('QUICK ENTRY'!$E$8:$E$1007,'QUICK ENTRY'!$AF$8:$AF$1007,"Yes",'QUICK ENTRY'!$C$8:$C$1007,"Income",'QUICK ENTRY'!$V$8:$V$1007,$A19,'QUICK ENTRY'!$X$8:$X$1007,DASHBOARD!$C$4)-$E19</f>
        <v>0</v>
      </c>
      <c r="G19" s="59">
        <f t="shared" si="1"/>
        <v>-25000</v>
      </c>
      <c r="I19" s="3" t="s">
        <v>294</v>
      </c>
      <c r="J19" s="58">
        <f>SUMIFS('QUICK ENTRY'!$E$8:$E$1007,'QUICK ENTRY'!$AF$8:$AF$1007,"Yes",'QUICK ENTRY'!$C$8:$C$1007,"Income",'QUICK ENTRY'!$J$8:$J$1007,$I19,'QUICK ENTRY'!$V$8:$V$1007,DASHBOARD!$C$3,'QUICK ENTRY'!$X$8:$X$1007,DASHBOARD!$C$4)</f>
        <v>0</v>
      </c>
      <c r="K19" s="58">
        <f>SUMIFS('QUICK ENTRY'!$E$8:$E$1007,'QUICK ENTRY'!$AF$8:$AF$1007,"Yes",'QUICK ENTRY'!$C$8:$C$1007,"Income",'QUICK ENTRY'!$J$8:$J$1007,$I19,'QUICK ENTRY'!$X$8:$X$1007,DASHBOARD!$C$4)</f>
        <v>0</v>
      </c>
      <c r="L19" s="61">
        <f t="shared" si="2"/>
        <v>0</v>
      </c>
    </row>
    <row r="20" spans="1:12" ht="14.4">
      <c r="I20" s="3" t="s">
        <v>295</v>
      </c>
      <c r="J20" s="58">
        <f>SUMIFS('QUICK ENTRY'!$E$8:$E$1007,'QUICK ENTRY'!$AF$8:$AF$1007,"Yes",'QUICK ENTRY'!$C$8:$C$1007,"Income",'QUICK ENTRY'!$J$8:$J$1007,$I20,'QUICK ENTRY'!$V$8:$V$1007,DASHBOARD!$C$3,'QUICK ENTRY'!$X$8:$X$1007,DASHBOARD!$C$4)</f>
        <v>0</v>
      </c>
      <c r="K20" s="58">
        <f>SUMIFS('QUICK ENTRY'!$E$8:$E$1007,'QUICK ENTRY'!$AF$8:$AF$1007,"Yes",'QUICK ENTRY'!$C$8:$C$1007,"Income",'QUICK ENTRY'!$J$8:$J$1007,$I20,'QUICK ENTRY'!$X$8:$X$1007,DASHBOARD!$C$4)</f>
        <v>0</v>
      </c>
      <c r="L20" s="61">
        <f t="shared" si="2"/>
        <v>0</v>
      </c>
    </row>
    <row r="21" spans="1:12" ht="14.4">
      <c r="I21" s="4" t="s">
        <v>280</v>
      </c>
      <c r="J21" s="59">
        <f>SUMIFS('QUICK ENTRY'!$E$8:$E$1007,'QUICK ENTRY'!$AF$8:$AF$1007,"Yes",'QUICK ENTRY'!$C$8:$C$1007,"Income",'QUICK ENTRY'!$J$8:$J$1007,$I21,'QUICK ENTRY'!$V$8:$V$1007,DASHBOARD!$C$3,'QUICK ENTRY'!$X$8:$X$1007,DASHBOARD!$C$4)</f>
        <v>0</v>
      </c>
      <c r="K21" s="59">
        <f>SUMIFS('QUICK ENTRY'!$E$8:$E$1007,'QUICK ENTRY'!$AF$8:$AF$1007,"Yes",'QUICK ENTRY'!$C$8:$C$1007,"Income",'QUICK ENTRY'!$J$8:$J$1007,$I21,'QUICK ENTRY'!$X$8:$X$1007,DASHBOARD!$C$4)</f>
        <v>0</v>
      </c>
      <c r="L21" s="62">
        <f t="shared" si="2"/>
        <v>0</v>
      </c>
    </row>
  </sheetData>
  <mergeCells count="4">
    <mergeCell ref="A1:N2"/>
    <mergeCell ref="A3:N3"/>
    <mergeCell ref="A4:N5"/>
    <mergeCell ref="I7:N7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showGridLines="0" workbookViewId="0"/>
  </sheetViews>
  <sheetFormatPr defaultRowHeight="13.8"/>
  <cols>
    <col min="1" max="1" width="22" customWidth="1"/>
    <col min="2" max="2" width="15" customWidth="1"/>
    <col min="3" max="3" width="16" customWidth="1"/>
    <col min="4" max="5" width="15" customWidth="1"/>
    <col min="6" max="7" width="17" customWidth="1"/>
    <col min="8" max="8" width="16" customWidth="1"/>
    <col min="9" max="9" width="19" customWidth="1"/>
    <col min="10" max="10" width="15" customWidth="1"/>
    <col min="11" max="11" width="16" customWidth="1"/>
    <col min="12" max="12" width="19" customWidth="1"/>
    <col min="13" max="13" width="26" customWidth="1"/>
  </cols>
  <sheetData>
    <row r="1" spans="1:13" ht="31.95" customHeight="1">
      <c r="A1" s="107" t="s">
        <v>296</v>
      </c>
      <c r="B1" s="107" t="s">
        <v>296</v>
      </c>
      <c r="C1" s="107" t="s">
        <v>296</v>
      </c>
      <c r="D1" s="107" t="s">
        <v>296</v>
      </c>
      <c r="E1" s="107" t="s">
        <v>296</v>
      </c>
      <c r="F1" s="107" t="s">
        <v>296</v>
      </c>
      <c r="G1" s="107" t="s">
        <v>296</v>
      </c>
      <c r="H1" s="107" t="s">
        <v>296</v>
      </c>
      <c r="I1" s="107" t="s">
        <v>296</v>
      </c>
      <c r="J1" s="107" t="s">
        <v>296</v>
      </c>
      <c r="K1" s="107" t="s">
        <v>296</v>
      </c>
      <c r="L1" s="107" t="s">
        <v>296</v>
      </c>
      <c r="M1" s="107" t="s">
        <v>296</v>
      </c>
    </row>
    <row r="2" spans="1:13" ht="31.95" customHeight="1">
      <c r="A2" s="107" t="s">
        <v>296</v>
      </c>
      <c r="B2" s="107" t="s">
        <v>296</v>
      </c>
      <c r="C2" s="107" t="s">
        <v>296</v>
      </c>
      <c r="D2" s="107" t="s">
        <v>296</v>
      </c>
      <c r="E2" s="107" t="s">
        <v>296</v>
      </c>
      <c r="F2" s="107" t="s">
        <v>296</v>
      </c>
      <c r="G2" s="107" t="s">
        <v>296</v>
      </c>
      <c r="H2" s="107" t="s">
        <v>296</v>
      </c>
      <c r="I2" s="107" t="s">
        <v>296</v>
      </c>
      <c r="J2" s="107" t="s">
        <v>296</v>
      </c>
      <c r="K2" s="107" t="s">
        <v>296</v>
      </c>
      <c r="L2" s="107" t="s">
        <v>296</v>
      </c>
      <c r="M2" s="107" t="s">
        <v>296</v>
      </c>
    </row>
    <row r="3" spans="1:13" ht="18" customHeight="1">
      <c r="A3" s="108" t="s">
        <v>297</v>
      </c>
      <c r="B3" s="108" t="s">
        <v>297</v>
      </c>
      <c r="C3" s="108" t="s">
        <v>297</v>
      </c>
      <c r="D3" s="108" t="s">
        <v>297</v>
      </c>
      <c r="E3" s="108" t="s">
        <v>297</v>
      </c>
      <c r="F3" s="108" t="s">
        <v>297</v>
      </c>
      <c r="G3" s="108" t="s">
        <v>297</v>
      </c>
      <c r="H3" s="108" t="s">
        <v>297</v>
      </c>
      <c r="I3" s="108" t="s">
        <v>297</v>
      </c>
      <c r="J3" s="108" t="s">
        <v>297</v>
      </c>
      <c r="K3" s="108" t="s">
        <v>297</v>
      </c>
      <c r="L3" s="108" t="s">
        <v>297</v>
      </c>
      <c r="M3" s="108" t="s">
        <v>297</v>
      </c>
    </row>
    <row r="4" spans="1:13">
      <c r="A4" s="260" t="s">
        <v>298</v>
      </c>
      <c r="B4" s="260" t="s">
        <v>298</v>
      </c>
      <c r="C4" s="260" t="s">
        <v>298</v>
      </c>
      <c r="D4" s="260" t="s">
        <v>298</v>
      </c>
      <c r="E4" s="260" t="s">
        <v>298</v>
      </c>
      <c r="F4" s="260" t="s">
        <v>298</v>
      </c>
      <c r="G4" s="260" t="s">
        <v>298</v>
      </c>
      <c r="H4" s="260" t="s">
        <v>298</v>
      </c>
      <c r="I4" s="260" t="s">
        <v>298</v>
      </c>
      <c r="J4" s="260" t="s">
        <v>298</v>
      </c>
      <c r="K4" s="260" t="s">
        <v>298</v>
      </c>
      <c r="L4" s="260" t="s">
        <v>298</v>
      </c>
      <c r="M4" s="260" t="s">
        <v>298</v>
      </c>
    </row>
    <row r="5" spans="1:13">
      <c r="A5" s="260" t="s">
        <v>298</v>
      </c>
      <c r="B5" s="260" t="s">
        <v>298</v>
      </c>
      <c r="C5" s="260" t="s">
        <v>298</v>
      </c>
      <c r="D5" s="260" t="s">
        <v>298</v>
      </c>
      <c r="E5" s="260" t="s">
        <v>298</v>
      </c>
      <c r="F5" s="260" t="s">
        <v>298</v>
      </c>
      <c r="G5" s="260" t="s">
        <v>298</v>
      </c>
      <c r="H5" s="260" t="s">
        <v>298</v>
      </c>
      <c r="I5" s="260" t="s">
        <v>298</v>
      </c>
      <c r="J5" s="260" t="s">
        <v>298</v>
      </c>
      <c r="K5" s="260" t="s">
        <v>298</v>
      </c>
      <c r="L5" s="260" t="s">
        <v>298</v>
      </c>
      <c r="M5" s="260" t="s">
        <v>298</v>
      </c>
    </row>
    <row r="7" spans="1:13" ht="30" customHeight="1">
      <c r="A7" s="40" t="s">
        <v>299</v>
      </c>
      <c r="B7" s="41" t="s">
        <v>96</v>
      </c>
      <c r="C7" s="41" t="s">
        <v>300</v>
      </c>
      <c r="D7" s="41" t="s">
        <v>301</v>
      </c>
      <c r="E7" s="41" t="s">
        <v>302</v>
      </c>
      <c r="F7" s="41" t="s">
        <v>303</v>
      </c>
      <c r="G7" s="41" t="s">
        <v>304</v>
      </c>
      <c r="H7" s="41" t="s">
        <v>94</v>
      </c>
      <c r="I7" s="41" t="s">
        <v>305</v>
      </c>
      <c r="J7" s="41" t="s">
        <v>306</v>
      </c>
      <c r="K7" s="41" t="s">
        <v>75</v>
      </c>
      <c r="L7" s="41" t="s">
        <v>307</v>
      </c>
      <c r="M7" s="42" t="s">
        <v>107</v>
      </c>
    </row>
    <row r="8" spans="1:13" ht="14.4">
      <c r="A8" s="8" t="s">
        <v>124</v>
      </c>
      <c r="B8" s="8" t="s">
        <v>128</v>
      </c>
      <c r="C8" s="22">
        <v>45000</v>
      </c>
      <c r="D8" s="22">
        <v>0</v>
      </c>
      <c r="E8" s="22">
        <v>0</v>
      </c>
      <c r="F8" s="22">
        <v>0</v>
      </c>
      <c r="G8" s="57">
        <f t="shared" ref="G8:G19" si="0">MAX(0,$C8-$D8-$E8-$F8)</f>
        <v>45000</v>
      </c>
      <c r="H8" s="46">
        <v>46270</v>
      </c>
      <c r="I8" s="57">
        <f>SUMIFS('QUICK ENTRY'!$E$8:$E$1007,'QUICK ENTRY'!$AF$8:$AF$1007,"Yes",'QUICK ENTRY'!$C$8:$C$1007,"Expense",'QUICK ENTRY'!$I$8:$I$1007,"College Fees",'QUICK ENTRY'!$J$8:$J$1007,$A8)</f>
        <v>4500</v>
      </c>
      <c r="J8" s="57">
        <f t="shared" ref="J8:J19" si="1">MAX(0,$G8-$I8)</f>
        <v>40500</v>
      </c>
      <c r="K8" s="43" t="str">
        <f t="shared" ref="K8:K19" ca="1" si="2">IF($J8=0,"Paid",IF(TODAY()&gt;$H8,"Overdue","Pending"))</f>
        <v>Overdue</v>
      </c>
      <c r="L8" s="43" t="str">
        <f ca="1">IF($K8="Paid","Paid",IF($H8=TODAY(),"Due Today",IF($H8=TODAY()+1,"Due Tomorrow",IF(AND($H8&gt;TODAY(),$H8&lt;=TODAY()+SETTINGS!$E$8),"Due Within 7 Days",IF($H8&lt;TODAY(),"Overdue","Upcoming")))))</f>
        <v>Overdue</v>
      </c>
      <c r="M8" s="8" t="s">
        <v>308</v>
      </c>
    </row>
    <row r="9" spans="1:13" ht="14.4">
      <c r="A9" s="9" t="s">
        <v>309</v>
      </c>
      <c r="B9" s="9" t="s">
        <v>128</v>
      </c>
      <c r="C9" s="11">
        <v>5000</v>
      </c>
      <c r="D9" s="11">
        <v>0</v>
      </c>
      <c r="E9" s="11">
        <v>0</v>
      </c>
      <c r="F9" s="11">
        <v>0</v>
      </c>
      <c r="G9" s="58">
        <f t="shared" si="0"/>
        <v>5000</v>
      </c>
      <c r="H9" s="13">
        <v>46275</v>
      </c>
      <c r="I9" s="58">
        <f>SUMIFS('QUICK ENTRY'!$E$8:$E$1007,'QUICK ENTRY'!$AF$8:$AF$1007,"Yes",'QUICK ENTRY'!$C$8:$C$1007,"Expense",'QUICK ENTRY'!$I$8:$I$1007,"College Fees",'QUICK ENTRY'!$J$8:$J$1007,$A9)</f>
        <v>0</v>
      </c>
      <c r="J9" s="58">
        <f t="shared" si="1"/>
        <v>5000</v>
      </c>
      <c r="K9" s="44" t="str">
        <f t="shared" ca="1" si="2"/>
        <v>Overdue</v>
      </c>
      <c r="L9" s="44" t="str">
        <f ca="1">IF($K9="Paid","Paid",IF($H9=TODAY(),"Due Today",IF($H9=TODAY()+1,"Due Tomorrow",IF(AND($H9&gt;TODAY(),$H9&lt;=TODAY()+SETTINGS!$E$8),"Due Within 7 Days",IF($H9&lt;TODAY(),"Overdue","Upcoming")))))</f>
        <v>Overdue</v>
      </c>
      <c r="M9" s="9" t="s">
        <v>308</v>
      </c>
    </row>
    <row r="10" spans="1:13" ht="14.4">
      <c r="A10" s="9" t="s">
        <v>310</v>
      </c>
      <c r="B10" s="9" t="s">
        <v>128</v>
      </c>
      <c r="C10" s="11">
        <v>2500</v>
      </c>
      <c r="D10" s="11">
        <v>0</v>
      </c>
      <c r="E10" s="11">
        <v>0</v>
      </c>
      <c r="F10" s="11">
        <v>0</v>
      </c>
      <c r="G10" s="58">
        <f t="shared" si="0"/>
        <v>2500</v>
      </c>
      <c r="H10" s="13">
        <v>46280</v>
      </c>
      <c r="I10" s="58">
        <f>SUMIFS('QUICK ENTRY'!$E$8:$E$1007,'QUICK ENTRY'!$AF$8:$AF$1007,"Yes",'QUICK ENTRY'!$C$8:$C$1007,"Expense",'QUICK ENTRY'!$I$8:$I$1007,"College Fees",'QUICK ENTRY'!$J$8:$J$1007,$A10)</f>
        <v>0</v>
      </c>
      <c r="J10" s="58">
        <f t="shared" si="1"/>
        <v>2500</v>
      </c>
      <c r="K10" s="44" t="str">
        <f t="shared" ca="1" si="2"/>
        <v>Overdue</v>
      </c>
      <c r="L10" s="44" t="str">
        <f ca="1">IF($K10="Paid","Paid",IF($H10=TODAY(),"Due Today",IF($H10=TODAY()+1,"Due Tomorrow",IF(AND($H10&gt;TODAY(),$H10&lt;=TODAY()+SETTINGS!$E$8),"Due Within 7 Days",IF($H10&lt;TODAY(),"Overdue","Upcoming")))))</f>
        <v>Overdue</v>
      </c>
      <c r="M10" s="9" t="s">
        <v>308</v>
      </c>
    </row>
    <row r="11" spans="1:13" ht="14.4">
      <c r="A11" s="9" t="s">
        <v>311</v>
      </c>
      <c r="B11" s="9" t="s">
        <v>128</v>
      </c>
      <c r="C11" s="11">
        <v>1500</v>
      </c>
      <c r="D11" s="11">
        <v>0</v>
      </c>
      <c r="E11" s="11">
        <v>0</v>
      </c>
      <c r="F11" s="11">
        <v>0</v>
      </c>
      <c r="G11" s="58">
        <f t="shared" si="0"/>
        <v>1500</v>
      </c>
      <c r="H11" s="13">
        <v>46285</v>
      </c>
      <c r="I11" s="58">
        <f>SUMIFS('QUICK ENTRY'!$E$8:$E$1007,'QUICK ENTRY'!$AF$8:$AF$1007,"Yes",'QUICK ENTRY'!$C$8:$C$1007,"Expense",'QUICK ENTRY'!$I$8:$I$1007,"College Fees",'QUICK ENTRY'!$J$8:$J$1007,$A11)</f>
        <v>0</v>
      </c>
      <c r="J11" s="58">
        <f t="shared" si="1"/>
        <v>1500</v>
      </c>
      <c r="K11" s="44" t="str">
        <f t="shared" ca="1" si="2"/>
        <v>Overdue</v>
      </c>
      <c r="L11" s="44" t="str">
        <f ca="1">IF($K11="Paid","Paid",IF($H11=TODAY(),"Due Today",IF($H11=TODAY()+1,"Due Tomorrow",IF(AND($H11&gt;TODAY(),$H11&lt;=TODAY()+SETTINGS!$E$8),"Due Within 7 Days",IF($H11&lt;TODAY(),"Overdue","Upcoming")))))</f>
        <v>Overdue</v>
      </c>
      <c r="M11" s="9" t="s">
        <v>308</v>
      </c>
    </row>
    <row r="12" spans="1:13" ht="14.4">
      <c r="A12" s="9" t="s">
        <v>312</v>
      </c>
      <c r="B12" s="9" t="s">
        <v>128</v>
      </c>
      <c r="C12" s="11">
        <v>3000</v>
      </c>
      <c r="D12" s="11">
        <v>0</v>
      </c>
      <c r="E12" s="11">
        <v>0</v>
      </c>
      <c r="F12" s="11">
        <v>0</v>
      </c>
      <c r="G12" s="58">
        <f t="shared" si="0"/>
        <v>3000</v>
      </c>
      <c r="H12" s="13">
        <v>46300</v>
      </c>
      <c r="I12" s="58">
        <f>SUMIFS('QUICK ENTRY'!$E$8:$E$1007,'QUICK ENTRY'!$AF$8:$AF$1007,"Yes",'QUICK ENTRY'!$C$8:$C$1007,"Expense",'QUICK ENTRY'!$I$8:$I$1007,"College Fees",'QUICK ENTRY'!$J$8:$J$1007,$A12)</f>
        <v>0</v>
      </c>
      <c r="J12" s="58">
        <f t="shared" si="1"/>
        <v>3000</v>
      </c>
      <c r="K12" s="44" t="str">
        <f t="shared" ca="1" si="2"/>
        <v>Overdue</v>
      </c>
      <c r="L12" s="44" t="str">
        <f ca="1">IF($K12="Paid","Paid",IF($H12=TODAY(),"Due Today",IF($H12=TODAY()+1,"Due Tomorrow",IF(AND($H12&gt;TODAY(),$H12&lt;=TODAY()+SETTINGS!$E$8),"Due Within 7 Days",IF($H12&lt;TODAY(),"Overdue","Upcoming")))))</f>
        <v>Overdue</v>
      </c>
      <c r="M12" s="9" t="s">
        <v>308</v>
      </c>
    </row>
    <row r="13" spans="1:13" ht="14.4">
      <c r="A13" s="9" t="s">
        <v>313</v>
      </c>
      <c r="B13" s="9" t="s">
        <v>128</v>
      </c>
      <c r="C13" s="11">
        <v>1000</v>
      </c>
      <c r="D13" s="11">
        <v>0</v>
      </c>
      <c r="E13" s="11">
        <v>0</v>
      </c>
      <c r="F13" s="11">
        <v>0</v>
      </c>
      <c r="G13" s="58">
        <f t="shared" si="0"/>
        <v>1000</v>
      </c>
      <c r="H13" s="13">
        <v>46305</v>
      </c>
      <c r="I13" s="58">
        <f>SUMIFS('QUICK ENTRY'!$E$8:$E$1007,'QUICK ENTRY'!$AF$8:$AF$1007,"Yes",'QUICK ENTRY'!$C$8:$C$1007,"Expense",'QUICK ENTRY'!$I$8:$I$1007,"College Fees",'QUICK ENTRY'!$J$8:$J$1007,$A13)</f>
        <v>0</v>
      </c>
      <c r="J13" s="58">
        <f t="shared" si="1"/>
        <v>1000</v>
      </c>
      <c r="K13" s="44" t="str">
        <f t="shared" ca="1" si="2"/>
        <v>Overdue</v>
      </c>
      <c r="L13" s="44" t="str">
        <f ca="1">IF($K13="Paid","Paid",IF($H13=TODAY(),"Due Today",IF($H13=TODAY()+1,"Due Tomorrow",IF(AND($H13&gt;TODAY(),$H13&lt;=TODAY()+SETTINGS!$E$8),"Due Within 7 Days",IF($H13&lt;TODAY(),"Overdue","Upcoming")))))</f>
        <v>Overdue</v>
      </c>
      <c r="M13" s="9" t="s">
        <v>308</v>
      </c>
    </row>
    <row r="14" spans="1:13" ht="14.4">
      <c r="A14" s="9" t="s">
        <v>314</v>
      </c>
      <c r="B14" s="9" t="s">
        <v>128</v>
      </c>
      <c r="C14" s="11">
        <v>1200</v>
      </c>
      <c r="D14" s="11">
        <v>0</v>
      </c>
      <c r="E14" s="11">
        <v>0</v>
      </c>
      <c r="F14" s="11">
        <v>0</v>
      </c>
      <c r="G14" s="58">
        <f t="shared" si="0"/>
        <v>1200</v>
      </c>
      <c r="H14" s="13">
        <v>46310</v>
      </c>
      <c r="I14" s="58">
        <f>SUMIFS('QUICK ENTRY'!$E$8:$E$1007,'QUICK ENTRY'!$AF$8:$AF$1007,"Yes",'QUICK ENTRY'!$C$8:$C$1007,"Expense",'QUICK ENTRY'!$I$8:$I$1007,"College Fees",'QUICK ENTRY'!$J$8:$J$1007,$A14)</f>
        <v>0</v>
      </c>
      <c r="J14" s="58">
        <f t="shared" si="1"/>
        <v>1200</v>
      </c>
      <c r="K14" s="44" t="str">
        <f t="shared" ca="1" si="2"/>
        <v>Pending</v>
      </c>
      <c r="L14" s="44" t="str">
        <f ca="1">IF($K14="Paid","Paid",IF($H14=TODAY(),"Due Today",IF($H14=TODAY()+1,"Due Tomorrow",IF(AND($H14&gt;TODAY(),$H14&lt;=TODAY()+SETTINGS!$E$8),"Due Within 7 Days",IF($H14&lt;TODAY(),"Overdue","Upcoming")))))</f>
        <v>Due Within 7 Days</v>
      </c>
      <c r="M14" s="9" t="s">
        <v>308</v>
      </c>
    </row>
    <row r="15" spans="1:13" ht="14.4">
      <c r="A15" s="9" t="s">
        <v>315</v>
      </c>
      <c r="B15" s="9" t="s">
        <v>128</v>
      </c>
      <c r="C15" s="11">
        <v>5000</v>
      </c>
      <c r="D15" s="11">
        <v>0</v>
      </c>
      <c r="E15" s="11">
        <v>0</v>
      </c>
      <c r="F15" s="11">
        <v>0</v>
      </c>
      <c r="G15" s="58">
        <f t="shared" si="0"/>
        <v>5000</v>
      </c>
      <c r="H15" s="13">
        <v>46315</v>
      </c>
      <c r="I15" s="58">
        <f>SUMIFS('QUICK ENTRY'!$E$8:$E$1007,'QUICK ENTRY'!$AF$8:$AF$1007,"Yes",'QUICK ENTRY'!$C$8:$C$1007,"Expense",'QUICK ENTRY'!$I$8:$I$1007,"College Fees",'QUICK ENTRY'!$J$8:$J$1007,$A15)</f>
        <v>0</v>
      </c>
      <c r="J15" s="58">
        <f t="shared" si="1"/>
        <v>5000</v>
      </c>
      <c r="K15" s="44" t="str">
        <f t="shared" ca="1" si="2"/>
        <v>Pending</v>
      </c>
      <c r="L15" s="44" t="str">
        <f ca="1">IF($K15="Paid","Paid",IF($H15=TODAY(),"Due Today",IF($H15=TODAY()+1,"Due Tomorrow",IF(AND($H15&gt;TODAY(),$H15&lt;=TODAY()+SETTINGS!$E$8),"Due Within 7 Days",IF($H15&lt;TODAY(),"Overdue","Upcoming")))))</f>
        <v>Upcoming</v>
      </c>
      <c r="M15" s="9" t="s">
        <v>308</v>
      </c>
    </row>
    <row r="16" spans="1:13" ht="14.4">
      <c r="A16" s="9" t="s">
        <v>316</v>
      </c>
      <c r="B16" s="9" t="s">
        <v>128</v>
      </c>
      <c r="C16" s="11">
        <v>5000</v>
      </c>
      <c r="D16" s="11">
        <v>0</v>
      </c>
      <c r="E16" s="11">
        <v>0</v>
      </c>
      <c r="F16" s="11">
        <v>0</v>
      </c>
      <c r="G16" s="58">
        <f t="shared" si="0"/>
        <v>5000</v>
      </c>
      <c r="H16" s="13">
        <v>46331</v>
      </c>
      <c r="I16" s="58">
        <f>SUMIFS('QUICK ENTRY'!$E$8:$E$1007,'QUICK ENTRY'!$AF$8:$AF$1007,"Yes",'QUICK ENTRY'!$C$8:$C$1007,"Expense",'QUICK ENTRY'!$I$8:$I$1007,"College Fees",'QUICK ENTRY'!$J$8:$J$1007,$A16)</f>
        <v>0</v>
      </c>
      <c r="J16" s="58">
        <f t="shared" si="1"/>
        <v>5000</v>
      </c>
      <c r="K16" s="44" t="str">
        <f t="shared" ca="1" si="2"/>
        <v>Pending</v>
      </c>
      <c r="L16" s="44" t="str">
        <f ca="1">IF($K16="Paid","Paid",IF($H16=TODAY(),"Due Today",IF($H16=TODAY()+1,"Due Tomorrow",IF(AND($H16&gt;TODAY(),$H16&lt;=TODAY()+SETTINGS!$E$8),"Due Within 7 Days",IF($H16&lt;TODAY(),"Overdue","Upcoming")))))</f>
        <v>Upcoming</v>
      </c>
      <c r="M16" s="9" t="s">
        <v>308</v>
      </c>
    </row>
    <row r="17" spans="1:13" ht="14.4">
      <c r="A17" s="9" t="s">
        <v>317</v>
      </c>
      <c r="B17" s="9" t="s">
        <v>128</v>
      </c>
      <c r="C17" s="11">
        <v>3000</v>
      </c>
      <c r="D17" s="11">
        <v>0</v>
      </c>
      <c r="E17" s="11">
        <v>0</v>
      </c>
      <c r="F17" s="11">
        <v>0</v>
      </c>
      <c r="G17" s="58">
        <f t="shared" si="0"/>
        <v>3000</v>
      </c>
      <c r="H17" s="13">
        <v>46336</v>
      </c>
      <c r="I17" s="58">
        <f>SUMIFS('QUICK ENTRY'!$E$8:$E$1007,'QUICK ENTRY'!$AF$8:$AF$1007,"Yes",'QUICK ENTRY'!$C$8:$C$1007,"Expense",'QUICK ENTRY'!$I$8:$I$1007,"College Fees",'QUICK ENTRY'!$J$8:$J$1007,$A17)</f>
        <v>0</v>
      </c>
      <c r="J17" s="58">
        <f t="shared" si="1"/>
        <v>3000</v>
      </c>
      <c r="K17" s="44" t="str">
        <f t="shared" ca="1" si="2"/>
        <v>Pending</v>
      </c>
      <c r="L17" s="44" t="str">
        <f ca="1">IF($K17="Paid","Paid",IF($H17=TODAY(),"Due Today",IF($H17=TODAY()+1,"Due Tomorrow",IF(AND($H17&gt;TODAY(),$H17&lt;=TODAY()+SETTINGS!$E$8),"Due Within 7 Days",IF($H17&lt;TODAY(),"Overdue","Upcoming")))))</f>
        <v>Upcoming</v>
      </c>
      <c r="M17" s="9" t="s">
        <v>308</v>
      </c>
    </row>
    <row r="18" spans="1:13" ht="14.4">
      <c r="A18" s="9" t="s">
        <v>318</v>
      </c>
      <c r="B18" s="9" t="s">
        <v>128</v>
      </c>
      <c r="C18" s="11">
        <v>1000</v>
      </c>
      <c r="D18" s="11">
        <v>0</v>
      </c>
      <c r="E18" s="11">
        <v>0</v>
      </c>
      <c r="F18" s="11">
        <v>0</v>
      </c>
      <c r="G18" s="58">
        <f t="shared" si="0"/>
        <v>1000</v>
      </c>
      <c r="H18" s="13">
        <v>46341</v>
      </c>
      <c r="I18" s="58">
        <f>SUMIFS('QUICK ENTRY'!$E$8:$E$1007,'QUICK ENTRY'!$AF$8:$AF$1007,"Yes",'QUICK ENTRY'!$C$8:$C$1007,"Expense",'QUICK ENTRY'!$I$8:$I$1007,"College Fees",'QUICK ENTRY'!$J$8:$J$1007,$A18)</f>
        <v>0</v>
      </c>
      <c r="J18" s="58">
        <f t="shared" si="1"/>
        <v>1000</v>
      </c>
      <c r="K18" s="44" t="str">
        <f t="shared" ca="1" si="2"/>
        <v>Pending</v>
      </c>
      <c r="L18" s="44" t="str">
        <f ca="1">IF($K18="Paid","Paid",IF($H18=TODAY(),"Due Today",IF($H18=TODAY()+1,"Due Tomorrow",IF(AND($H18&gt;TODAY(),$H18&lt;=TODAY()+SETTINGS!$E$8),"Due Within 7 Days",IF($H18&lt;TODAY(),"Overdue","Upcoming")))))</f>
        <v>Upcoming</v>
      </c>
      <c r="M18" s="9" t="s">
        <v>308</v>
      </c>
    </row>
    <row r="19" spans="1:13" ht="14.4">
      <c r="A19" s="10" t="s">
        <v>159</v>
      </c>
      <c r="B19" s="10" t="s">
        <v>128</v>
      </c>
      <c r="C19" s="23">
        <v>1000</v>
      </c>
      <c r="D19" s="23">
        <v>0</v>
      </c>
      <c r="E19" s="23">
        <v>0</v>
      </c>
      <c r="F19" s="23">
        <v>0</v>
      </c>
      <c r="G19" s="59">
        <f t="shared" si="0"/>
        <v>1000</v>
      </c>
      <c r="H19" s="47">
        <v>46346</v>
      </c>
      <c r="I19" s="59">
        <f>SUMIFS('QUICK ENTRY'!$E$8:$E$1007,'QUICK ENTRY'!$AF$8:$AF$1007,"Yes",'QUICK ENTRY'!$C$8:$C$1007,"Expense",'QUICK ENTRY'!$I$8:$I$1007,"College Fees",'QUICK ENTRY'!$J$8:$J$1007,$A19)</f>
        <v>0</v>
      </c>
      <c r="J19" s="59">
        <f t="shared" si="1"/>
        <v>1000</v>
      </c>
      <c r="K19" s="45" t="str">
        <f t="shared" ca="1" si="2"/>
        <v>Pending</v>
      </c>
      <c r="L19" s="45" t="str">
        <f ca="1">IF($K19="Paid","Paid",IF($H19=TODAY(),"Due Today",IF($H19=TODAY()+1,"Due Tomorrow",IF(AND($H19&gt;TODAY(),$H19&lt;=TODAY()+SETTINGS!$E$8),"Due Within 7 Days",IF($H19&lt;TODAY(),"Overdue","Upcoming")))))</f>
        <v>Upcoming</v>
      </c>
      <c r="M19" s="10" t="s">
        <v>308</v>
      </c>
    </row>
    <row r="23" spans="1:13" ht="22.95" customHeight="1">
      <c r="A23" s="115" t="s">
        <v>319</v>
      </c>
      <c r="B23" s="116" t="s">
        <v>319</v>
      </c>
      <c r="C23" s="116" t="s">
        <v>319</v>
      </c>
      <c r="D23" s="116" t="s">
        <v>319</v>
      </c>
      <c r="E23" s="116" t="s">
        <v>319</v>
      </c>
      <c r="F23" s="116" t="s">
        <v>319</v>
      </c>
      <c r="G23" s="116" t="s">
        <v>319</v>
      </c>
      <c r="H23" s="116" t="s">
        <v>319</v>
      </c>
      <c r="I23" s="117" t="s">
        <v>319</v>
      </c>
    </row>
    <row r="25" spans="1:13" ht="30" customHeight="1">
      <c r="A25" s="40" t="s">
        <v>43</v>
      </c>
      <c r="B25" s="41" t="s">
        <v>320</v>
      </c>
      <c r="C25" s="41" t="s">
        <v>321</v>
      </c>
      <c r="D25" s="41" t="s">
        <v>322</v>
      </c>
      <c r="E25" s="41" t="s">
        <v>84</v>
      </c>
      <c r="F25" s="41" t="s">
        <v>94</v>
      </c>
      <c r="G25" s="41" t="s">
        <v>323</v>
      </c>
      <c r="H25" s="41" t="s">
        <v>75</v>
      </c>
      <c r="I25" s="42" t="s">
        <v>324</v>
      </c>
    </row>
    <row r="26" spans="1:13" ht="14.4">
      <c r="A26" s="8"/>
      <c r="B26" s="22"/>
      <c r="C26" s="8"/>
      <c r="D26" s="8"/>
      <c r="E26" s="22"/>
      <c r="F26" s="46"/>
      <c r="G26" s="46"/>
      <c r="H26" s="8"/>
      <c r="I26" s="43" t="str">
        <f t="shared" ref="I26:I33" si="3">IF(A26="","",MAX(0,B26-SUMIFS($E$26:$E$33,$A$26:$A$33,A26,$H$26:$H$33,"Paid")))</f>
        <v/>
      </c>
    </row>
    <row r="27" spans="1:13" ht="14.4">
      <c r="A27" s="9"/>
      <c r="B27" s="11"/>
      <c r="C27" s="9"/>
      <c r="D27" s="9"/>
      <c r="E27" s="11"/>
      <c r="F27" s="13"/>
      <c r="G27" s="13"/>
      <c r="H27" s="9"/>
      <c r="I27" s="44" t="str">
        <f t="shared" si="3"/>
        <v/>
      </c>
    </row>
    <row r="28" spans="1:13" ht="14.4">
      <c r="A28" s="9"/>
      <c r="B28" s="11"/>
      <c r="C28" s="9"/>
      <c r="D28" s="9"/>
      <c r="E28" s="11"/>
      <c r="F28" s="13"/>
      <c r="G28" s="13"/>
      <c r="H28" s="9"/>
      <c r="I28" s="44" t="str">
        <f t="shared" si="3"/>
        <v/>
      </c>
    </row>
    <row r="29" spans="1:13" ht="14.4">
      <c r="A29" s="9"/>
      <c r="B29" s="11"/>
      <c r="C29" s="9"/>
      <c r="D29" s="9"/>
      <c r="E29" s="11"/>
      <c r="F29" s="13"/>
      <c r="G29" s="13"/>
      <c r="H29" s="9"/>
      <c r="I29" s="44" t="str">
        <f t="shared" si="3"/>
        <v/>
      </c>
    </row>
    <row r="30" spans="1:13" ht="14.4">
      <c r="A30" s="9"/>
      <c r="B30" s="11"/>
      <c r="C30" s="9"/>
      <c r="D30" s="9"/>
      <c r="E30" s="11"/>
      <c r="F30" s="13"/>
      <c r="G30" s="13"/>
      <c r="H30" s="9"/>
      <c r="I30" s="44" t="str">
        <f t="shared" si="3"/>
        <v/>
      </c>
    </row>
    <row r="31" spans="1:13" ht="14.4">
      <c r="A31" s="9"/>
      <c r="B31" s="11"/>
      <c r="C31" s="9"/>
      <c r="D31" s="9"/>
      <c r="E31" s="11"/>
      <c r="F31" s="13"/>
      <c r="G31" s="13"/>
      <c r="H31" s="9"/>
      <c r="I31" s="44" t="str">
        <f t="shared" si="3"/>
        <v/>
      </c>
    </row>
    <row r="32" spans="1:13" ht="14.4">
      <c r="A32" s="9"/>
      <c r="B32" s="11"/>
      <c r="C32" s="9"/>
      <c r="D32" s="9"/>
      <c r="E32" s="11"/>
      <c r="F32" s="13"/>
      <c r="G32" s="13"/>
      <c r="H32" s="9"/>
      <c r="I32" s="44" t="str">
        <f t="shared" si="3"/>
        <v/>
      </c>
    </row>
    <row r="33" spans="1:9" ht="14.4">
      <c r="A33" s="10"/>
      <c r="B33" s="23"/>
      <c r="C33" s="10"/>
      <c r="D33" s="10"/>
      <c r="E33" s="23"/>
      <c r="F33" s="47"/>
      <c r="G33" s="47"/>
      <c r="H33" s="10"/>
      <c r="I33" s="45" t="str">
        <f t="shared" si="3"/>
        <v/>
      </c>
    </row>
  </sheetData>
  <mergeCells count="4">
    <mergeCell ref="A1:M2"/>
    <mergeCell ref="A3:M3"/>
    <mergeCell ref="A4:M5"/>
    <mergeCell ref="A23:I23"/>
  </mergeCells>
  <conditionalFormatting sqref="K8:L19">
    <cfRule type="containsText" dxfId="60" priority="1" operator="containsText" text="Safe"/>
    <cfRule type="containsText" dxfId="59" priority="4" operator="containsText" text="Watch"/>
    <cfRule type="containsText" dxfId="58" priority="6" operator="containsText" text="Near"/>
    <cfRule type="containsText" dxfId="57" priority="7" operator="containsText" text="Over"/>
  </conditionalFormatting>
  <dataValidations count="2">
    <dataValidation type="list" sqref="B8:B19" xr:uid="{00000000-0002-0000-0600-000000000000}">
      <formula1>"Semester 1,Semester 2"</formula1>
    </dataValidation>
    <dataValidation type="list" sqref="K8:K19" xr:uid="{00000000-0002-0000-0600-000001000000}">
      <formula1>"Paid,Pending,Overdue"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9"/>
  <sheetViews>
    <sheetView showGridLines="0" workbookViewId="0"/>
  </sheetViews>
  <sheetFormatPr defaultRowHeight="13.8"/>
  <cols>
    <col min="1" max="1" width="24" customWidth="1"/>
    <col min="2" max="2" width="18" customWidth="1"/>
    <col min="3" max="3" width="16" customWidth="1"/>
    <col min="4" max="4" width="19" customWidth="1"/>
    <col min="5" max="7" width="16" customWidth="1"/>
    <col min="8" max="8" width="18" customWidth="1"/>
  </cols>
  <sheetData>
    <row r="1" spans="1:8" ht="31.95" customHeight="1">
      <c r="A1" s="107" t="s">
        <v>325</v>
      </c>
      <c r="B1" s="107" t="s">
        <v>325</v>
      </c>
      <c r="C1" s="107" t="s">
        <v>325</v>
      </c>
      <c r="D1" s="107" t="s">
        <v>325</v>
      </c>
      <c r="E1" s="107" t="s">
        <v>325</v>
      </c>
      <c r="F1" s="107" t="s">
        <v>325</v>
      </c>
      <c r="G1" s="107" t="s">
        <v>325</v>
      </c>
      <c r="H1" s="107" t="s">
        <v>325</v>
      </c>
    </row>
    <row r="2" spans="1:8" ht="31.95" customHeight="1">
      <c r="A2" s="107" t="s">
        <v>325</v>
      </c>
      <c r="B2" s="107" t="s">
        <v>325</v>
      </c>
      <c r="C2" s="107" t="s">
        <v>325</v>
      </c>
      <c r="D2" s="107" t="s">
        <v>325</v>
      </c>
      <c r="E2" s="107" t="s">
        <v>325</v>
      </c>
      <c r="F2" s="107" t="s">
        <v>325</v>
      </c>
      <c r="G2" s="107" t="s">
        <v>325</v>
      </c>
      <c r="H2" s="107" t="s">
        <v>325</v>
      </c>
    </row>
    <row r="3" spans="1:8" ht="18" customHeight="1">
      <c r="A3" s="108" t="s">
        <v>326</v>
      </c>
      <c r="B3" s="108" t="s">
        <v>326</v>
      </c>
      <c r="C3" s="108" t="s">
        <v>326</v>
      </c>
      <c r="D3" s="108" t="s">
        <v>326</v>
      </c>
      <c r="E3" s="108" t="s">
        <v>326</v>
      </c>
      <c r="F3" s="108" t="s">
        <v>326</v>
      </c>
      <c r="G3" s="108" t="s">
        <v>326</v>
      </c>
      <c r="H3" s="108" t="s">
        <v>326</v>
      </c>
    </row>
    <row r="4" spans="1:8">
      <c r="A4" s="261" t="s">
        <v>284</v>
      </c>
      <c r="B4" s="261" t="s">
        <v>284</v>
      </c>
      <c r="C4" s="261" t="s">
        <v>327</v>
      </c>
      <c r="D4" s="261" t="s">
        <v>327</v>
      </c>
      <c r="E4" s="261" t="s">
        <v>328</v>
      </c>
      <c r="F4" s="261" t="s">
        <v>328</v>
      </c>
      <c r="G4" s="261" t="s">
        <v>329</v>
      </c>
      <c r="H4" s="261" t="s">
        <v>329</v>
      </c>
    </row>
    <row r="5" spans="1:8">
      <c r="A5" s="262">
        <f>SUMIFS('QUICK ENTRY'!$E$8:$E$1007,'QUICK ENTRY'!$AF$8:$AF$1007,"Yes",'QUICK ENTRY'!$C$8:$C$1007,"Expense",'QUICK ENTRY'!$I$8:$I$1007,"Hostel",'QUICK ENTRY'!$V$8:$V$1007,DASHBOARD!$C$3,'QUICK ENTRY'!$X$8:$X$1007,DASHBOARD!$C$4)</f>
        <v>3200</v>
      </c>
      <c r="B5" s="263"/>
      <c r="C5" s="262">
        <f>SUMIFS('QUICK ENTRY'!$E$8:$E$1007,'QUICK ENTRY'!$AF$8:$AF$1007,"Yes",'QUICK ENTRY'!$C$8:$C$1007,"Expense",'QUICK ENTRY'!$I$8:$I$1007,"Hostel",'QUICK ENTRY'!$X$8:$X$1007,DASHBOARD!$C$4)</f>
        <v>10700</v>
      </c>
      <c r="D5" s="263"/>
      <c r="E5" s="262">
        <f>SUMIFS('MONTHLY BUDGET'!$S$8:$S$27,'MONTHLY BUDGET'!$A$8:$A$27,"Hostel")</f>
        <v>3500</v>
      </c>
      <c r="F5" s="263"/>
      <c r="G5" s="262">
        <f>E5-A5</f>
        <v>300</v>
      </c>
      <c r="H5" s="263"/>
    </row>
    <row r="7" spans="1:8" ht="30" customHeight="1">
      <c r="A7" s="19" t="s">
        <v>88</v>
      </c>
      <c r="B7" s="20" t="s">
        <v>284</v>
      </c>
      <c r="C7" s="20" t="s">
        <v>285</v>
      </c>
      <c r="D7" s="20" t="s">
        <v>330</v>
      </c>
      <c r="E7" s="21" t="s">
        <v>331</v>
      </c>
    </row>
    <row r="8" spans="1:8" ht="14.4">
      <c r="A8" s="2" t="s">
        <v>129</v>
      </c>
      <c r="B8" s="57">
        <f>SUMIFS('QUICK ENTRY'!$E$8:$E$1007,'QUICK ENTRY'!$AF$8:$AF$1007,"Yes",'QUICK ENTRY'!$C$8:$C$1007,"Expense",'QUICK ENTRY'!$I$8:$I$1007,"Hostel",'QUICK ENTRY'!$J$8:$J$1007,$A8,'QUICK ENTRY'!$V$8:$V$1007,DASHBOARD!$C$3,'QUICK ENTRY'!$X$8:$X$1007,DASHBOARD!$C$4)</f>
        <v>0</v>
      </c>
      <c r="C8" s="57">
        <f>SUMIFS('QUICK ENTRY'!$E$8:$E$1007,'QUICK ENTRY'!$AF$8:$AF$1007,"Yes",'QUICK ENTRY'!$C$8:$C$1007,"Expense",'QUICK ENTRY'!$I$8:$I$1007,"Hostel",'QUICK ENTRY'!$J$8:$J$1007,$A8,'QUICK ENTRY'!$X$8:$X$1007,DASHBOARD!$C$4)</f>
        <v>7500</v>
      </c>
      <c r="D8" s="43">
        <f>COUNTIFS('QUICK ENTRY'!$AF$8:$AF$1007,"Yes",'QUICK ENTRY'!$C$8:$C$1007,"Expense",'QUICK ENTRY'!$I$8:$I$1007,"Hostel",'QUICK ENTRY'!$J$8:$J$1007,$A8,'QUICK ENTRY'!$V$8:$V$1007,DASHBOARD!$C$3,'QUICK ENTRY'!$X$8:$X$1007,DASHBOARD!$C$4)</f>
        <v>0</v>
      </c>
      <c r="E8" s="60">
        <f t="shared" ref="E8:E19" si="0">IFERROR($B8/$A$5,0)</f>
        <v>0</v>
      </c>
    </row>
    <row r="9" spans="1:8" ht="14.4">
      <c r="A9" s="3" t="s">
        <v>155</v>
      </c>
      <c r="B9" s="58">
        <f>SUMIFS('QUICK ENTRY'!$E$8:$E$1007,'QUICK ENTRY'!$AF$8:$AF$1007,"Yes",'QUICK ENTRY'!$C$8:$C$1007,"Expense",'QUICK ENTRY'!$I$8:$I$1007,"Hostel",'QUICK ENTRY'!$J$8:$J$1007,$A9,'QUICK ENTRY'!$V$8:$V$1007,DASHBOARD!$C$3,'QUICK ENTRY'!$X$8:$X$1007,DASHBOARD!$C$4)</f>
        <v>3200</v>
      </c>
      <c r="C9" s="58">
        <f>SUMIFS('QUICK ENTRY'!$E$8:$E$1007,'QUICK ENTRY'!$AF$8:$AF$1007,"Yes",'QUICK ENTRY'!$C$8:$C$1007,"Expense",'QUICK ENTRY'!$I$8:$I$1007,"Hostel",'QUICK ENTRY'!$J$8:$J$1007,$A9,'QUICK ENTRY'!$X$8:$X$1007,DASHBOARD!$C$4)</f>
        <v>3200</v>
      </c>
      <c r="D9" s="44">
        <f>COUNTIFS('QUICK ENTRY'!$AF$8:$AF$1007,"Yes",'QUICK ENTRY'!$C$8:$C$1007,"Expense",'QUICK ENTRY'!$I$8:$I$1007,"Hostel",'QUICK ENTRY'!$J$8:$J$1007,$A9,'QUICK ENTRY'!$V$8:$V$1007,DASHBOARD!$C$3,'QUICK ENTRY'!$X$8:$X$1007,DASHBOARD!$C$4)</f>
        <v>1</v>
      </c>
      <c r="E9" s="61">
        <f t="shared" si="0"/>
        <v>1</v>
      </c>
    </row>
    <row r="10" spans="1:8" ht="14.4">
      <c r="A10" s="3" t="s">
        <v>332</v>
      </c>
      <c r="B10" s="58">
        <f>SUMIFS('QUICK ENTRY'!$E$8:$E$1007,'QUICK ENTRY'!$AF$8:$AF$1007,"Yes",'QUICK ENTRY'!$C$8:$C$1007,"Expense",'QUICK ENTRY'!$I$8:$I$1007,"Hostel",'QUICK ENTRY'!$J$8:$J$1007,$A10,'QUICK ENTRY'!$V$8:$V$1007,DASHBOARD!$C$3,'QUICK ENTRY'!$X$8:$X$1007,DASHBOARD!$C$4)</f>
        <v>0</v>
      </c>
      <c r="C10" s="58">
        <f>SUMIFS('QUICK ENTRY'!$E$8:$E$1007,'QUICK ENTRY'!$AF$8:$AF$1007,"Yes",'QUICK ENTRY'!$C$8:$C$1007,"Expense",'QUICK ENTRY'!$I$8:$I$1007,"Hostel",'QUICK ENTRY'!$J$8:$J$1007,$A10,'QUICK ENTRY'!$X$8:$X$1007,DASHBOARD!$C$4)</f>
        <v>0</v>
      </c>
      <c r="D10" s="44">
        <f>COUNTIFS('QUICK ENTRY'!$AF$8:$AF$1007,"Yes",'QUICK ENTRY'!$C$8:$C$1007,"Expense",'QUICK ENTRY'!$I$8:$I$1007,"Hostel",'QUICK ENTRY'!$J$8:$J$1007,$A10,'QUICK ENTRY'!$V$8:$V$1007,DASHBOARD!$C$3,'QUICK ENTRY'!$X$8:$X$1007,DASHBOARD!$C$4)</f>
        <v>0</v>
      </c>
      <c r="E10" s="61">
        <f t="shared" si="0"/>
        <v>0</v>
      </c>
    </row>
    <row r="11" spans="1:8" ht="14.4">
      <c r="A11" s="3" t="s">
        <v>333</v>
      </c>
      <c r="B11" s="58">
        <f>SUMIFS('QUICK ENTRY'!$E$8:$E$1007,'QUICK ENTRY'!$AF$8:$AF$1007,"Yes",'QUICK ENTRY'!$C$8:$C$1007,"Expense",'QUICK ENTRY'!$I$8:$I$1007,"Hostel",'QUICK ENTRY'!$J$8:$J$1007,$A11,'QUICK ENTRY'!$V$8:$V$1007,DASHBOARD!$C$3,'QUICK ENTRY'!$X$8:$X$1007,DASHBOARD!$C$4)</f>
        <v>0</v>
      </c>
      <c r="C11" s="58">
        <f>SUMIFS('QUICK ENTRY'!$E$8:$E$1007,'QUICK ENTRY'!$AF$8:$AF$1007,"Yes",'QUICK ENTRY'!$C$8:$C$1007,"Expense",'QUICK ENTRY'!$I$8:$I$1007,"Hostel",'QUICK ENTRY'!$J$8:$J$1007,$A11,'QUICK ENTRY'!$X$8:$X$1007,DASHBOARD!$C$4)</f>
        <v>0</v>
      </c>
      <c r="D11" s="44">
        <f>COUNTIFS('QUICK ENTRY'!$AF$8:$AF$1007,"Yes",'QUICK ENTRY'!$C$8:$C$1007,"Expense",'QUICK ENTRY'!$I$8:$I$1007,"Hostel",'QUICK ENTRY'!$J$8:$J$1007,$A11,'QUICK ENTRY'!$V$8:$V$1007,DASHBOARD!$C$3,'QUICK ENTRY'!$X$8:$X$1007,DASHBOARD!$C$4)</f>
        <v>0</v>
      </c>
      <c r="E11" s="61">
        <f t="shared" si="0"/>
        <v>0</v>
      </c>
    </row>
    <row r="12" spans="1:8" ht="14.4">
      <c r="A12" s="3" t="s">
        <v>334</v>
      </c>
      <c r="B12" s="58">
        <f>SUMIFS('QUICK ENTRY'!$E$8:$E$1007,'QUICK ENTRY'!$AF$8:$AF$1007,"Yes",'QUICK ENTRY'!$C$8:$C$1007,"Expense",'QUICK ENTRY'!$I$8:$I$1007,"Hostel",'QUICK ENTRY'!$J$8:$J$1007,$A12,'QUICK ENTRY'!$V$8:$V$1007,DASHBOARD!$C$3,'QUICK ENTRY'!$X$8:$X$1007,DASHBOARD!$C$4)</f>
        <v>0</v>
      </c>
      <c r="C12" s="58">
        <f>SUMIFS('QUICK ENTRY'!$E$8:$E$1007,'QUICK ENTRY'!$AF$8:$AF$1007,"Yes",'QUICK ENTRY'!$C$8:$C$1007,"Expense",'QUICK ENTRY'!$I$8:$I$1007,"Hostel",'QUICK ENTRY'!$J$8:$J$1007,$A12,'QUICK ENTRY'!$X$8:$X$1007,DASHBOARD!$C$4)</f>
        <v>0</v>
      </c>
      <c r="D12" s="44">
        <f>COUNTIFS('QUICK ENTRY'!$AF$8:$AF$1007,"Yes",'QUICK ENTRY'!$C$8:$C$1007,"Expense",'QUICK ENTRY'!$I$8:$I$1007,"Hostel",'QUICK ENTRY'!$J$8:$J$1007,$A12,'QUICK ENTRY'!$V$8:$V$1007,DASHBOARD!$C$3,'QUICK ENTRY'!$X$8:$X$1007,DASHBOARD!$C$4)</f>
        <v>0</v>
      </c>
      <c r="E12" s="61">
        <f t="shared" si="0"/>
        <v>0</v>
      </c>
    </row>
    <row r="13" spans="1:8" ht="14.4">
      <c r="A13" s="3" t="s">
        <v>335</v>
      </c>
      <c r="B13" s="58">
        <f>SUMIFS('QUICK ENTRY'!$E$8:$E$1007,'QUICK ENTRY'!$AF$8:$AF$1007,"Yes",'QUICK ENTRY'!$C$8:$C$1007,"Expense",'QUICK ENTRY'!$I$8:$I$1007,"Hostel",'QUICK ENTRY'!$J$8:$J$1007,$A13,'QUICK ENTRY'!$V$8:$V$1007,DASHBOARD!$C$3,'QUICK ENTRY'!$X$8:$X$1007,DASHBOARD!$C$4)</f>
        <v>0</v>
      </c>
      <c r="C13" s="58">
        <f>SUMIFS('QUICK ENTRY'!$E$8:$E$1007,'QUICK ENTRY'!$AF$8:$AF$1007,"Yes",'QUICK ENTRY'!$C$8:$C$1007,"Expense",'QUICK ENTRY'!$I$8:$I$1007,"Hostel",'QUICK ENTRY'!$J$8:$J$1007,$A13,'QUICK ENTRY'!$X$8:$X$1007,DASHBOARD!$C$4)</f>
        <v>0</v>
      </c>
      <c r="D13" s="44">
        <f>COUNTIFS('QUICK ENTRY'!$AF$8:$AF$1007,"Yes",'QUICK ENTRY'!$C$8:$C$1007,"Expense",'QUICK ENTRY'!$I$8:$I$1007,"Hostel",'QUICK ENTRY'!$J$8:$J$1007,$A13,'QUICK ENTRY'!$V$8:$V$1007,DASHBOARD!$C$3,'QUICK ENTRY'!$X$8:$X$1007,DASHBOARD!$C$4)</f>
        <v>0</v>
      </c>
      <c r="E13" s="61">
        <f t="shared" si="0"/>
        <v>0</v>
      </c>
    </row>
    <row r="14" spans="1:8" ht="14.4">
      <c r="A14" s="3" t="s">
        <v>336</v>
      </c>
      <c r="B14" s="58">
        <f>SUMIFS('QUICK ENTRY'!$E$8:$E$1007,'QUICK ENTRY'!$AF$8:$AF$1007,"Yes",'QUICK ENTRY'!$C$8:$C$1007,"Expense",'QUICK ENTRY'!$I$8:$I$1007,"Hostel",'QUICK ENTRY'!$J$8:$J$1007,$A14,'QUICK ENTRY'!$V$8:$V$1007,DASHBOARD!$C$3,'QUICK ENTRY'!$X$8:$X$1007,DASHBOARD!$C$4)</f>
        <v>0</v>
      </c>
      <c r="C14" s="58">
        <f>SUMIFS('QUICK ENTRY'!$E$8:$E$1007,'QUICK ENTRY'!$AF$8:$AF$1007,"Yes",'QUICK ENTRY'!$C$8:$C$1007,"Expense",'QUICK ENTRY'!$I$8:$I$1007,"Hostel",'QUICK ENTRY'!$J$8:$J$1007,$A14,'QUICK ENTRY'!$X$8:$X$1007,DASHBOARD!$C$4)</f>
        <v>0</v>
      </c>
      <c r="D14" s="44">
        <f>COUNTIFS('QUICK ENTRY'!$AF$8:$AF$1007,"Yes",'QUICK ENTRY'!$C$8:$C$1007,"Expense",'QUICK ENTRY'!$I$8:$I$1007,"Hostel",'QUICK ENTRY'!$J$8:$J$1007,$A14,'QUICK ENTRY'!$V$8:$V$1007,DASHBOARD!$C$3,'QUICK ENTRY'!$X$8:$X$1007,DASHBOARD!$C$4)</f>
        <v>0</v>
      </c>
      <c r="E14" s="61">
        <f t="shared" si="0"/>
        <v>0</v>
      </c>
    </row>
    <row r="15" spans="1:8" ht="14.4">
      <c r="A15" s="3" t="s">
        <v>337</v>
      </c>
      <c r="B15" s="58">
        <f>SUMIFS('QUICK ENTRY'!$E$8:$E$1007,'QUICK ENTRY'!$AF$8:$AF$1007,"Yes",'QUICK ENTRY'!$C$8:$C$1007,"Expense",'QUICK ENTRY'!$I$8:$I$1007,"Hostel",'QUICK ENTRY'!$J$8:$J$1007,$A15,'QUICK ENTRY'!$V$8:$V$1007,DASHBOARD!$C$3,'QUICK ENTRY'!$X$8:$X$1007,DASHBOARD!$C$4)</f>
        <v>0</v>
      </c>
      <c r="C15" s="58">
        <f>SUMIFS('QUICK ENTRY'!$E$8:$E$1007,'QUICK ENTRY'!$AF$8:$AF$1007,"Yes",'QUICK ENTRY'!$C$8:$C$1007,"Expense",'QUICK ENTRY'!$I$8:$I$1007,"Hostel",'QUICK ENTRY'!$J$8:$J$1007,$A15,'QUICK ENTRY'!$X$8:$X$1007,DASHBOARD!$C$4)</f>
        <v>0</v>
      </c>
      <c r="D15" s="44">
        <f>COUNTIFS('QUICK ENTRY'!$AF$8:$AF$1007,"Yes",'QUICK ENTRY'!$C$8:$C$1007,"Expense",'QUICK ENTRY'!$I$8:$I$1007,"Hostel",'QUICK ENTRY'!$J$8:$J$1007,$A15,'QUICK ENTRY'!$V$8:$V$1007,DASHBOARD!$C$3,'QUICK ENTRY'!$X$8:$X$1007,DASHBOARD!$C$4)</f>
        <v>0</v>
      </c>
      <c r="E15" s="61">
        <f t="shared" si="0"/>
        <v>0</v>
      </c>
    </row>
    <row r="16" spans="1:8" ht="14.4">
      <c r="A16" s="3" t="s">
        <v>315</v>
      </c>
      <c r="B16" s="58">
        <f>SUMIFS('QUICK ENTRY'!$E$8:$E$1007,'QUICK ENTRY'!$AF$8:$AF$1007,"Yes",'QUICK ENTRY'!$C$8:$C$1007,"Expense",'QUICK ENTRY'!$I$8:$I$1007,"Hostel",'QUICK ENTRY'!$J$8:$J$1007,$A16,'QUICK ENTRY'!$V$8:$V$1007,DASHBOARD!$C$3,'QUICK ENTRY'!$X$8:$X$1007,DASHBOARD!$C$4)</f>
        <v>0</v>
      </c>
      <c r="C16" s="58">
        <f>SUMIFS('QUICK ENTRY'!$E$8:$E$1007,'QUICK ENTRY'!$AF$8:$AF$1007,"Yes",'QUICK ENTRY'!$C$8:$C$1007,"Expense",'QUICK ENTRY'!$I$8:$I$1007,"Hostel",'QUICK ENTRY'!$J$8:$J$1007,$A16,'QUICK ENTRY'!$X$8:$X$1007,DASHBOARD!$C$4)</f>
        <v>0</v>
      </c>
      <c r="D16" s="44">
        <f>COUNTIFS('QUICK ENTRY'!$AF$8:$AF$1007,"Yes",'QUICK ENTRY'!$C$8:$C$1007,"Expense",'QUICK ENTRY'!$I$8:$I$1007,"Hostel",'QUICK ENTRY'!$J$8:$J$1007,$A16,'QUICK ENTRY'!$V$8:$V$1007,DASHBOARD!$C$3,'QUICK ENTRY'!$X$8:$X$1007,DASHBOARD!$C$4)</f>
        <v>0</v>
      </c>
      <c r="E16" s="61">
        <f t="shared" si="0"/>
        <v>0</v>
      </c>
    </row>
    <row r="17" spans="1:8" ht="14.4">
      <c r="A17" s="3" t="s">
        <v>338</v>
      </c>
      <c r="B17" s="58">
        <f>SUMIFS('QUICK ENTRY'!$E$8:$E$1007,'QUICK ENTRY'!$AF$8:$AF$1007,"Yes",'QUICK ENTRY'!$C$8:$C$1007,"Expense",'QUICK ENTRY'!$I$8:$I$1007,"Hostel",'QUICK ENTRY'!$J$8:$J$1007,$A17,'QUICK ENTRY'!$V$8:$V$1007,DASHBOARD!$C$3,'QUICK ENTRY'!$X$8:$X$1007,DASHBOARD!$C$4)</f>
        <v>0</v>
      </c>
      <c r="C17" s="58">
        <f>SUMIFS('QUICK ENTRY'!$E$8:$E$1007,'QUICK ENTRY'!$AF$8:$AF$1007,"Yes",'QUICK ENTRY'!$C$8:$C$1007,"Expense",'QUICK ENTRY'!$I$8:$I$1007,"Hostel",'QUICK ENTRY'!$J$8:$J$1007,$A17,'QUICK ENTRY'!$X$8:$X$1007,DASHBOARD!$C$4)</f>
        <v>0</v>
      </c>
      <c r="D17" s="44">
        <f>COUNTIFS('QUICK ENTRY'!$AF$8:$AF$1007,"Yes",'QUICK ENTRY'!$C$8:$C$1007,"Expense",'QUICK ENTRY'!$I$8:$I$1007,"Hostel",'QUICK ENTRY'!$J$8:$J$1007,$A17,'QUICK ENTRY'!$V$8:$V$1007,DASHBOARD!$C$3,'QUICK ENTRY'!$X$8:$X$1007,DASHBOARD!$C$4)</f>
        <v>0</v>
      </c>
      <c r="E17" s="61">
        <f t="shared" si="0"/>
        <v>0</v>
      </c>
    </row>
    <row r="18" spans="1:8" ht="14.4">
      <c r="A18" s="3" t="s">
        <v>339</v>
      </c>
      <c r="B18" s="58">
        <f>SUMIFS('QUICK ENTRY'!$E$8:$E$1007,'QUICK ENTRY'!$AF$8:$AF$1007,"Yes",'QUICK ENTRY'!$C$8:$C$1007,"Expense",'QUICK ENTRY'!$I$8:$I$1007,"Hostel",'QUICK ENTRY'!$J$8:$J$1007,$A18,'QUICK ENTRY'!$V$8:$V$1007,DASHBOARD!$C$3,'QUICK ENTRY'!$X$8:$X$1007,DASHBOARD!$C$4)</f>
        <v>0</v>
      </c>
      <c r="C18" s="58">
        <f>SUMIFS('QUICK ENTRY'!$E$8:$E$1007,'QUICK ENTRY'!$AF$8:$AF$1007,"Yes",'QUICK ENTRY'!$C$8:$C$1007,"Expense",'QUICK ENTRY'!$I$8:$I$1007,"Hostel",'QUICK ENTRY'!$J$8:$J$1007,$A18,'QUICK ENTRY'!$X$8:$X$1007,DASHBOARD!$C$4)</f>
        <v>0</v>
      </c>
      <c r="D18" s="44">
        <f>COUNTIFS('QUICK ENTRY'!$AF$8:$AF$1007,"Yes",'QUICK ENTRY'!$C$8:$C$1007,"Expense",'QUICK ENTRY'!$I$8:$I$1007,"Hostel",'QUICK ENTRY'!$J$8:$J$1007,$A18,'QUICK ENTRY'!$V$8:$V$1007,DASHBOARD!$C$3,'QUICK ENTRY'!$X$8:$X$1007,DASHBOARD!$C$4)</f>
        <v>0</v>
      </c>
      <c r="E18" s="61">
        <f t="shared" si="0"/>
        <v>0</v>
      </c>
    </row>
    <row r="19" spans="1:8" ht="14.4">
      <c r="A19" s="4" t="s">
        <v>159</v>
      </c>
      <c r="B19" s="59">
        <f>SUMIFS('QUICK ENTRY'!$E$8:$E$1007,'QUICK ENTRY'!$AF$8:$AF$1007,"Yes",'QUICK ENTRY'!$C$8:$C$1007,"Expense",'QUICK ENTRY'!$I$8:$I$1007,"Hostel",'QUICK ENTRY'!$J$8:$J$1007,$A19,'QUICK ENTRY'!$V$8:$V$1007,DASHBOARD!$C$3,'QUICK ENTRY'!$X$8:$X$1007,DASHBOARD!$C$4)</f>
        <v>0</v>
      </c>
      <c r="C19" s="59">
        <f>SUMIFS('QUICK ENTRY'!$E$8:$E$1007,'QUICK ENTRY'!$AF$8:$AF$1007,"Yes",'QUICK ENTRY'!$C$8:$C$1007,"Expense",'QUICK ENTRY'!$I$8:$I$1007,"Hostel",'QUICK ENTRY'!$J$8:$J$1007,$A19,'QUICK ENTRY'!$X$8:$X$1007,DASHBOARD!$C$4)</f>
        <v>0</v>
      </c>
      <c r="D19" s="45">
        <f>COUNTIFS('QUICK ENTRY'!$AF$8:$AF$1007,"Yes",'QUICK ENTRY'!$C$8:$C$1007,"Expense",'QUICK ENTRY'!$I$8:$I$1007,"Hostel",'QUICK ENTRY'!$J$8:$J$1007,$A19,'QUICK ENTRY'!$V$8:$V$1007,DASHBOARD!$C$3,'QUICK ENTRY'!$X$8:$X$1007,DASHBOARD!$C$4)</f>
        <v>0</v>
      </c>
      <c r="E19" s="62">
        <f t="shared" si="0"/>
        <v>0</v>
      </c>
    </row>
    <row r="22" spans="1:8" ht="22.95" customHeight="1">
      <c r="A22" s="115" t="s">
        <v>340</v>
      </c>
      <c r="B22" s="116" t="s">
        <v>340</v>
      </c>
      <c r="C22" s="116" t="s">
        <v>340</v>
      </c>
      <c r="D22" s="116" t="s">
        <v>340</v>
      </c>
      <c r="E22" s="116" t="s">
        <v>340</v>
      </c>
      <c r="F22" s="116" t="s">
        <v>340</v>
      </c>
      <c r="G22" s="116" t="s">
        <v>340</v>
      </c>
      <c r="H22" s="117" t="s">
        <v>340</v>
      </c>
    </row>
    <row r="24" spans="1:8" ht="30" customHeight="1">
      <c r="A24" s="40" t="s">
        <v>341</v>
      </c>
      <c r="B24" s="41" t="s">
        <v>342</v>
      </c>
      <c r="C24" s="41" t="s">
        <v>343</v>
      </c>
      <c r="D24" s="41" t="s">
        <v>344</v>
      </c>
      <c r="E24" s="41" t="s">
        <v>345</v>
      </c>
      <c r="F24" s="41" t="s">
        <v>346</v>
      </c>
      <c r="G24" s="41" t="s">
        <v>242</v>
      </c>
      <c r="H24" s="42" t="s">
        <v>75</v>
      </c>
    </row>
    <row r="25" spans="1:8" ht="14.4">
      <c r="A25" s="8" t="s">
        <v>347</v>
      </c>
      <c r="B25" s="8" t="s">
        <v>348</v>
      </c>
      <c r="C25" s="8" t="s">
        <v>349</v>
      </c>
      <c r="D25" s="8" t="s">
        <v>111</v>
      </c>
      <c r="E25" s="22">
        <v>0</v>
      </c>
      <c r="F25" s="22">
        <v>0</v>
      </c>
      <c r="G25" s="57">
        <f t="shared" ref="G25:G39" si="1">E25-F25</f>
        <v>0</v>
      </c>
      <c r="H25" s="8" t="s">
        <v>350</v>
      </c>
    </row>
    <row r="26" spans="1:8" ht="14.4">
      <c r="A26" s="9" t="s">
        <v>351</v>
      </c>
      <c r="B26" s="9" t="s">
        <v>348</v>
      </c>
      <c r="C26" s="9" t="s">
        <v>349</v>
      </c>
      <c r="D26" s="9" t="s">
        <v>111</v>
      </c>
      <c r="E26" s="11">
        <v>0</v>
      </c>
      <c r="F26" s="11">
        <v>0</v>
      </c>
      <c r="G26" s="58">
        <f t="shared" si="1"/>
        <v>0</v>
      </c>
      <c r="H26" s="9" t="s">
        <v>350</v>
      </c>
    </row>
    <row r="27" spans="1:8" ht="14.4">
      <c r="A27" s="9" t="s">
        <v>352</v>
      </c>
      <c r="B27" s="9" t="s">
        <v>348</v>
      </c>
      <c r="C27" s="9" t="s">
        <v>349</v>
      </c>
      <c r="D27" s="9" t="s">
        <v>111</v>
      </c>
      <c r="E27" s="11">
        <v>0</v>
      </c>
      <c r="F27" s="11">
        <v>0</v>
      </c>
      <c r="G27" s="58">
        <f t="shared" si="1"/>
        <v>0</v>
      </c>
      <c r="H27" s="9" t="s">
        <v>350</v>
      </c>
    </row>
    <row r="28" spans="1:8" ht="14.4">
      <c r="A28" s="9" t="s">
        <v>353</v>
      </c>
      <c r="B28" s="9" t="s">
        <v>348</v>
      </c>
      <c r="C28" s="9" t="s">
        <v>349</v>
      </c>
      <c r="D28" s="9" t="s">
        <v>111</v>
      </c>
      <c r="E28" s="11">
        <v>0</v>
      </c>
      <c r="F28" s="11">
        <v>0</v>
      </c>
      <c r="G28" s="58">
        <f t="shared" si="1"/>
        <v>0</v>
      </c>
      <c r="H28" s="9" t="s">
        <v>350</v>
      </c>
    </row>
    <row r="29" spans="1:8" ht="14.4">
      <c r="A29" s="9" t="s">
        <v>354</v>
      </c>
      <c r="B29" s="9" t="s">
        <v>348</v>
      </c>
      <c r="C29" s="9" t="s">
        <v>349</v>
      </c>
      <c r="D29" s="9" t="s">
        <v>111</v>
      </c>
      <c r="E29" s="11">
        <v>0</v>
      </c>
      <c r="F29" s="11">
        <v>0</v>
      </c>
      <c r="G29" s="58">
        <f t="shared" si="1"/>
        <v>0</v>
      </c>
      <c r="H29" s="9" t="s">
        <v>350</v>
      </c>
    </row>
    <row r="30" spans="1:8" ht="14.4">
      <c r="A30" s="9" t="s">
        <v>355</v>
      </c>
      <c r="B30" s="9" t="s">
        <v>348</v>
      </c>
      <c r="C30" s="9" t="s">
        <v>349</v>
      </c>
      <c r="D30" s="9" t="s">
        <v>111</v>
      </c>
      <c r="E30" s="11">
        <v>0</v>
      </c>
      <c r="F30" s="11">
        <v>0</v>
      </c>
      <c r="G30" s="58">
        <f t="shared" si="1"/>
        <v>0</v>
      </c>
      <c r="H30" s="9" t="s">
        <v>350</v>
      </c>
    </row>
    <row r="31" spans="1:8" ht="14.4">
      <c r="A31" s="9" t="s">
        <v>356</v>
      </c>
      <c r="B31" s="9" t="s">
        <v>348</v>
      </c>
      <c r="C31" s="9" t="s">
        <v>349</v>
      </c>
      <c r="D31" s="9" t="s">
        <v>111</v>
      </c>
      <c r="E31" s="11">
        <v>0</v>
      </c>
      <c r="F31" s="11">
        <v>0</v>
      </c>
      <c r="G31" s="58">
        <f t="shared" si="1"/>
        <v>0</v>
      </c>
      <c r="H31" s="9" t="s">
        <v>350</v>
      </c>
    </row>
    <row r="32" spans="1:8" ht="14.4">
      <c r="A32" s="9" t="s">
        <v>357</v>
      </c>
      <c r="B32" s="9" t="s">
        <v>348</v>
      </c>
      <c r="C32" s="9" t="s">
        <v>349</v>
      </c>
      <c r="D32" s="9" t="s">
        <v>111</v>
      </c>
      <c r="E32" s="11">
        <v>0</v>
      </c>
      <c r="F32" s="11">
        <v>0</v>
      </c>
      <c r="G32" s="58">
        <f t="shared" si="1"/>
        <v>0</v>
      </c>
      <c r="H32" s="9" t="s">
        <v>350</v>
      </c>
    </row>
    <row r="33" spans="1:8" ht="14.4">
      <c r="A33" s="9" t="s">
        <v>358</v>
      </c>
      <c r="B33" s="9" t="s">
        <v>348</v>
      </c>
      <c r="C33" s="9" t="s">
        <v>349</v>
      </c>
      <c r="D33" s="9" t="s">
        <v>111</v>
      </c>
      <c r="E33" s="11">
        <v>0</v>
      </c>
      <c r="F33" s="11">
        <v>0</v>
      </c>
      <c r="G33" s="58">
        <f t="shared" si="1"/>
        <v>0</v>
      </c>
      <c r="H33" s="9" t="s">
        <v>350</v>
      </c>
    </row>
    <row r="34" spans="1:8" ht="14.4">
      <c r="A34" s="9" t="s">
        <v>359</v>
      </c>
      <c r="B34" s="9" t="s">
        <v>348</v>
      </c>
      <c r="C34" s="9" t="s">
        <v>349</v>
      </c>
      <c r="D34" s="9" t="s">
        <v>111</v>
      </c>
      <c r="E34" s="11">
        <v>0</v>
      </c>
      <c r="F34" s="11">
        <v>0</v>
      </c>
      <c r="G34" s="58">
        <f t="shared" si="1"/>
        <v>0</v>
      </c>
      <c r="H34" s="9" t="s">
        <v>350</v>
      </c>
    </row>
    <row r="35" spans="1:8" ht="14.4">
      <c r="A35" s="9" t="s">
        <v>360</v>
      </c>
      <c r="B35" s="9" t="s">
        <v>348</v>
      </c>
      <c r="C35" s="9" t="s">
        <v>349</v>
      </c>
      <c r="D35" s="9" t="s">
        <v>111</v>
      </c>
      <c r="E35" s="11">
        <v>0</v>
      </c>
      <c r="F35" s="11">
        <v>0</v>
      </c>
      <c r="G35" s="58">
        <f t="shared" si="1"/>
        <v>0</v>
      </c>
      <c r="H35" s="9" t="s">
        <v>350</v>
      </c>
    </row>
    <row r="36" spans="1:8" ht="14.4">
      <c r="A36" s="9" t="s">
        <v>361</v>
      </c>
      <c r="B36" s="9" t="s">
        <v>348</v>
      </c>
      <c r="C36" s="9" t="s">
        <v>349</v>
      </c>
      <c r="D36" s="9" t="s">
        <v>111</v>
      </c>
      <c r="E36" s="11">
        <v>0</v>
      </c>
      <c r="F36" s="11">
        <v>0</v>
      </c>
      <c r="G36" s="58">
        <f t="shared" si="1"/>
        <v>0</v>
      </c>
      <c r="H36" s="9" t="s">
        <v>350</v>
      </c>
    </row>
    <row r="37" spans="1:8" ht="14.4">
      <c r="A37" s="9" t="s">
        <v>362</v>
      </c>
      <c r="B37" s="9" t="s">
        <v>348</v>
      </c>
      <c r="C37" s="9" t="s">
        <v>349</v>
      </c>
      <c r="D37" s="9" t="s">
        <v>111</v>
      </c>
      <c r="E37" s="11">
        <v>0</v>
      </c>
      <c r="F37" s="11">
        <v>0</v>
      </c>
      <c r="G37" s="58">
        <f t="shared" si="1"/>
        <v>0</v>
      </c>
      <c r="H37" s="9" t="s">
        <v>350</v>
      </c>
    </row>
    <row r="38" spans="1:8" ht="14.4">
      <c r="A38" s="9" t="s">
        <v>363</v>
      </c>
      <c r="B38" s="9" t="s">
        <v>348</v>
      </c>
      <c r="C38" s="9" t="s">
        <v>349</v>
      </c>
      <c r="D38" s="9" t="s">
        <v>111</v>
      </c>
      <c r="E38" s="11">
        <v>0</v>
      </c>
      <c r="F38" s="11">
        <v>0</v>
      </c>
      <c r="G38" s="58">
        <f t="shared" si="1"/>
        <v>0</v>
      </c>
      <c r="H38" s="9" t="s">
        <v>350</v>
      </c>
    </row>
    <row r="39" spans="1:8" ht="14.4">
      <c r="A39" s="10" t="s">
        <v>364</v>
      </c>
      <c r="B39" s="10" t="s">
        <v>348</v>
      </c>
      <c r="C39" s="10" t="s">
        <v>349</v>
      </c>
      <c r="D39" s="10" t="s">
        <v>111</v>
      </c>
      <c r="E39" s="23">
        <v>0</v>
      </c>
      <c r="F39" s="23">
        <v>0</v>
      </c>
      <c r="G39" s="59">
        <f t="shared" si="1"/>
        <v>0</v>
      </c>
      <c r="H39" s="10" t="s">
        <v>350</v>
      </c>
    </row>
  </sheetData>
  <mergeCells count="11">
    <mergeCell ref="A22:H22"/>
    <mergeCell ref="A1:H2"/>
    <mergeCell ref="A3:H3"/>
    <mergeCell ref="A4:B4"/>
    <mergeCell ref="A5:B5"/>
    <mergeCell ref="C4:D4"/>
    <mergeCell ref="C5:D5"/>
    <mergeCell ref="E4:F4"/>
    <mergeCell ref="E5:F5"/>
    <mergeCell ref="G4:H4"/>
    <mergeCell ref="G5:H5"/>
  </mergeCells>
  <conditionalFormatting sqref="E8:E19">
    <cfRule type="dataBar" priority="1">
      <dataBar>
        <cfvo type="min"/>
        <cfvo type="max"/>
        <color rgb="FF14B8A6"/>
      </dataBar>
    </cfRule>
    <cfRule type="dataBar" priority="2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{5F7A0464-7B54-ED8E-A9A6-5D7CA44BB0EB}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7A0464-7B54-ED8E-A9A6-5D7CA44BB0EB}">
            <x14:dataBar>
              <x14:cfvo type="min"/>
              <x14:cfvo type="max"/>
              <x14:negativeFillColor auto="1"/>
              <x14:axisColor auto="1"/>
            </x14:dataBar>
          </x14:cfRule>
          <xm:sqref>E8:E19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showGridLines="0" workbookViewId="0"/>
  </sheetViews>
  <sheetFormatPr defaultRowHeight="13.8"/>
  <cols>
    <col min="1" max="1" width="28" customWidth="1"/>
    <col min="2" max="3" width="18" customWidth="1"/>
    <col min="4" max="5" width="16" customWidth="1"/>
    <col min="6" max="8" width="15" customWidth="1"/>
  </cols>
  <sheetData>
    <row r="1" spans="1:8" ht="31.95" customHeight="1">
      <c r="A1" s="107" t="s">
        <v>365</v>
      </c>
      <c r="B1" s="107" t="s">
        <v>365</v>
      </c>
      <c r="C1" s="107" t="s">
        <v>365</v>
      </c>
      <c r="D1" s="107" t="s">
        <v>365</v>
      </c>
      <c r="E1" s="107" t="s">
        <v>365</v>
      </c>
      <c r="F1" s="107" t="s">
        <v>365</v>
      </c>
      <c r="G1" s="107" t="s">
        <v>365</v>
      </c>
      <c r="H1" s="107" t="s">
        <v>365</v>
      </c>
    </row>
    <row r="2" spans="1:8" ht="31.95" customHeight="1">
      <c r="A2" s="107" t="s">
        <v>365</v>
      </c>
      <c r="B2" s="107" t="s">
        <v>365</v>
      </c>
      <c r="C2" s="107" t="s">
        <v>365</v>
      </c>
      <c r="D2" s="107" t="s">
        <v>365</v>
      </c>
      <c r="E2" s="107" t="s">
        <v>365</v>
      </c>
      <c r="F2" s="107" t="s">
        <v>365</v>
      </c>
      <c r="G2" s="107" t="s">
        <v>365</v>
      </c>
      <c r="H2" s="107" t="s">
        <v>365</v>
      </c>
    </row>
    <row r="3" spans="1:8" ht="18" customHeight="1">
      <c r="A3" s="108" t="s">
        <v>366</v>
      </c>
      <c r="B3" s="108" t="s">
        <v>366</v>
      </c>
      <c r="C3" s="108" t="s">
        <v>366</v>
      </c>
      <c r="D3" s="108" t="s">
        <v>366</v>
      </c>
      <c r="E3" s="108" t="s">
        <v>366</v>
      </c>
      <c r="F3" s="108" t="s">
        <v>366</v>
      </c>
      <c r="G3" s="108" t="s">
        <v>366</v>
      </c>
      <c r="H3" s="108" t="s">
        <v>366</v>
      </c>
    </row>
    <row r="4" spans="1:8">
      <c r="A4" s="244" t="s">
        <v>284</v>
      </c>
      <c r="B4" s="244" t="s">
        <v>284</v>
      </c>
      <c r="C4" s="244" t="s">
        <v>327</v>
      </c>
      <c r="D4" s="244" t="s">
        <v>327</v>
      </c>
      <c r="E4" s="244" t="s">
        <v>328</v>
      </c>
      <c r="F4" s="244" t="s">
        <v>328</v>
      </c>
      <c r="G4" s="244" t="s">
        <v>329</v>
      </c>
      <c r="H4" s="244" t="s">
        <v>329</v>
      </c>
    </row>
    <row r="5" spans="1:8">
      <c r="A5" s="264">
        <f>SUMIFS('QUICK ENTRY'!$E$8:$E$1007,'QUICK ENTRY'!$AF$8:$AF$1007,"Yes",'QUICK ENTRY'!$C$8:$C$1007,"Expense",'QUICK ENTRY'!$I$8:$I$1007,"Food",'QUICK ENTRY'!$V$8:$V$1007,DASHBOARD!$C$3,'QUICK ENTRY'!$X$8:$X$1007,DASHBOARD!$C$4)</f>
        <v>620</v>
      </c>
      <c r="B5" s="265"/>
      <c r="C5" s="264">
        <f>SUMIFS('QUICK ENTRY'!$E$8:$E$1007,'QUICK ENTRY'!$AF$8:$AF$1007,"Yes",'QUICK ENTRY'!$C$8:$C$1007,"Expense",'QUICK ENTRY'!$I$8:$I$1007,"Food",'QUICK ENTRY'!$X$8:$X$1007,DASHBOARD!$C$4)</f>
        <v>15120</v>
      </c>
      <c r="D5" s="265"/>
      <c r="E5" s="264">
        <f>SUMIFS('MONTHLY BUDGET'!$S$8:$S$27,'MONTHLY BUDGET'!$A$8:$A$27,"Food")</f>
        <v>4000</v>
      </c>
      <c r="F5" s="265"/>
      <c r="G5" s="264">
        <f>E5-A5</f>
        <v>3380</v>
      </c>
      <c r="H5" s="265"/>
    </row>
    <row r="7" spans="1:8" ht="30" customHeight="1">
      <c r="A7" s="37" t="s">
        <v>88</v>
      </c>
      <c r="B7" s="38" t="s">
        <v>284</v>
      </c>
      <c r="C7" s="38" t="s">
        <v>285</v>
      </c>
      <c r="D7" s="38" t="s">
        <v>330</v>
      </c>
      <c r="E7" s="39" t="s">
        <v>331</v>
      </c>
    </row>
    <row r="8" spans="1:8" ht="14.4">
      <c r="A8" s="2" t="s">
        <v>155</v>
      </c>
      <c r="B8" s="57">
        <f>SUMIFS('QUICK ENTRY'!$E$8:$E$1007,'QUICK ENTRY'!$AF$8:$AF$1007,"Yes",'QUICK ENTRY'!$C$8:$C$1007,"Expense",'QUICK ENTRY'!$I$8:$I$1007,"Food",'QUICK ENTRY'!$J$8:$J$1007,$A8,'QUICK ENTRY'!$V$8:$V$1007,DASHBOARD!$C$3,'QUICK ENTRY'!$X$8:$X$1007,DASHBOARD!$C$4)</f>
        <v>0</v>
      </c>
      <c r="C8" s="57">
        <f>SUMIFS('QUICK ENTRY'!$E$8:$E$1007,'QUICK ENTRY'!$AF$8:$AF$1007,"Yes",'QUICK ENTRY'!$C$8:$C$1007,"Expense",'QUICK ENTRY'!$I$8:$I$1007,"Food",'QUICK ENTRY'!$J$8:$J$1007,$A8,'QUICK ENTRY'!$X$8:$X$1007,DASHBOARD!$C$4)</f>
        <v>7100</v>
      </c>
      <c r="D8" s="43">
        <f>COUNTIFS('QUICK ENTRY'!$AF$8:$AF$1007,"Yes",'QUICK ENTRY'!$C$8:$C$1007,"Expense",'QUICK ENTRY'!$I$8:$I$1007,"Food",'QUICK ENTRY'!$J$8:$J$1007,$A8,'QUICK ENTRY'!$V$8:$V$1007,DASHBOARD!$C$3,'QUICK ENTRY'!$X$8:$X$1007,DASHBOARD!$C$4)</f>
        <v>0</v>
      </c>
      <c r="E8" s="60">
        <f t="shared" ref="E8:E20" si="0">IFERROR($B8/$A$5,0)</f>
        <v>0</v>
      </c>
    </row>
    <row r="9" spans="1:8" ht="14.4">
      <c r="A9" s="3" t="s">
        <v>367</v>
      </c>
      <c r="B9" s="58">
        <f>SUMIFS('QUICK ENTRY'!$E$8:$E$1007,'QUICK ENTRY'!$AF$8:$AF$1007,"Yes",'QUICK ENTRY'!$C$8:$C$1007,"Expense",'QUICK ENTRY'!$I$8:$I$1007,"Food",'QUICK ENTRY'!$J$8:$J$1007,$A9,'QUICK ENTRY'!$V$8:$V$1007,DASHBOARD!$C$3,'QUICK ENTRY'!$X$8:$X$1007,DASHBOARD!$C$4)</f>
        <v>0</v>
      </c>
      <c r="C9" s="58">
        <f>SUMIFS('QUICK ENTRY'!$E$8:$E$1007,'QUICK ENTRY'!$AF$8:$AF$1007,"Yes",'QUICK ENTRY'!$C$8:$C$1007,"Expense",'QUICK ENTRY'!$I$8:$I$1007,"Food",'QUICK ENTRY'!$J$8:$J$1007,$A9,'QUICK ENTRY'!$X$8:$X$1007,DASHBOARD!$C$4)</f>
        <v>0</v>
      </c>
      <c r="D9" s="44">
        <f>COUNTIFS('QUICK ENTRY'!$AF$8:$AF$1007,"Yes",'QUICK ENTRY'!$C$8:$C$1007,"Expense",'QUICK ENTRY'!$I$8:$I$1007,"Food",'QUICK ENTRY'!$J$8:$J$1007,$A9,'QUICK ENTRY'!$V$8:$V$1007,DASHBOARD!$C$3,'QUICK ENTRY'!$X$8:$X$1007,DASHBOARD!$C$4)</f>
        <v>0</v>
      </c>
      <c r="E9" s="61">
        <f t="shared" si="0"/>
        <v>0</v>
      </c>
    </row>
    <row r="10" spans="1:8" ht="14.4">
      <c r="A10" s="3" t="s">
        <v>368</v>
      </c>
      <c r="B10" s="58">
        <f>SUMIFS('QUICK ENTRY'!$E$8:$E$1007,'QUICK ENTRY'!$AF$8:$AF$1007,"Yes",'QUICK ENTRY'!$C$8:$C$1007,"Expense",'QUICK ENTRY'!$I$8:$I$1007,"Food",'QUICK ENTRY'!$J$8:$J$1007,$A10,'QUICK ENTRY'!$V$8:$V$1007,DASHBOARD!$C$3,'QUICK ENTRY'!$X$8:$X$1007,DASHBOARD!$C$4)</f>
        <v>0</v>
      </c>
      <c r="C10" s="58">
        <f>SUMIFS('QUICK ENTRY'!$E$8:$E$1007,'QUICK ENTRY'!$AF$8:$AF$1007,"Yes",'QUICK ENTRY'!$C$8:$C$1007,"Expense",'QUICK ENTRY'!$I$8:$I$1007,"Food",'QUICK ENTRY'!$J$8:$J$1007,$A10,'QUICK ENTRY'!$X$8:$X$1007,DASHBOARD!$C$4)</f>
        <v>0</v>
      </c>
      <c r="D10" s="44">
        <f>COUNTIFS('QUICK ENTRY'!$AF$8:$AF$1007,"Yes",'QUICK ENTRY'!$C$8:$C$1007,"Expense",'QUICK ENTRY'!$I$8:$I$1007,"Food",'QUICK ENTRY'!$J$8:$J$1007,$A10,'QUICK ENTRY'!$V$8:$V$1007,DASHBOARD!$C$3,'QUICK ENTRY'!$X$8:$X$1007,DASHBOARD!$C$4)</f>
        <v>0</v>
      </c>
      <c r="E10" s="61">
        <f t="shared" si="0"/>
        <v>0</v>
      </c>
    </row>
    <row r="11" spans="1:8" ht="14.4">
      <c r="A11" s="3" t="s">
        <v>197</v>
      </c>
      <c r="B11" s="58">
        <f>SUMIFS('QUICK ENTRY'!$E$8:$E$1007,'QUICK ENTRY'!$AF$8:$AF$1007,"Yes",'QUICK ENTRY'!$C$8:$C$1007,"Expense",'QUICK ENTRY'!$I$8:$I$1007,"Food",'QUICK ENTRY'!$J$8:$J$1007,$A11,'QUICK ENTRY'!$V$8:$V$1007,DASHBOARD!$C$3,'QUICK ENTRY'!$X$8:$X$1007,DASHBOARD!$C$4)</f>
        <v>620</v>
      </c>
      <c r="C11" s="58">
        <f>SUMIFS('QUICK ENTRY'!$E$8:$E$1007,'QUICK ENTRY'!$AF$8:$AF$1007,"Yes",'QUICK ENTRY'!$C$8:$C$1007,"Expense",'QUICK ENTRY'!$I$8:$I$1007,"Food",'QUICK ENTRY'!$J$8:$J$1007,$A11,'QUICK ENTRY'!$X$8:$X$1007,DASHBOARD!$C$4)</f>
        <v>620</v>
      </c>
      <c r="D11" s="44">
        <f>COUNTIFS('QUICK ENTRY'!$AF$8:$AF$1007,"Yes",'QUICK ENTRY'!$C$8:$C$1007,"Expense",'QUICK ENTRY'!$I$8:$I$1007,"Food",'QUICK ENTRY'!$J$8:$J$1007,$A11,'QUICK ENTRY'!$V$8:$V$1007,DASHBOARD!$C$3,'QUICK ENTRY'!$X$8:$X$1007,DASHBOARD!$C$4)</f>
        <v>1</v>
      </c>
      <c r="E11" s="61">
        <f t="shared" si="0"/>
        <v>1</v>
      </c>
    </row>
    <row r="12" spans="1:8" ht="14.4">
      <c r="A12" s="3" t="s">
        <v>369</v>
      </c>
      <c r="B12" s="58">
        <f>SUMIFS('QUICK ENTRY'!$E$8:$E$1007,'QUICK ENTRY'!$AF$8:$AF$1007,"Yes",'QUICK ENTRY'!$C$8:$C$1007,"Expense",'QUICK ENTRY'!$I$8:$I$1007,"Food",'QUICK ENTRY'!$J$8:$J$1007,$A12,'QUICK ENTRY'!$V$8:$V$1007,DASHBOARD!$C$3,'QUICK ENTRY'!$X$8:$X$1007,DASHBOARD!$C$4)</f>
        <v>0</v>
      </c>
      <c r="C12" s="58">
        <f>SUMIFS('QUICK ENTRY'!$E$8:$E$1007,'QUICK ENTRY'!$AF$8:$AF$1007,"Yes",'QUICK ENTRY'!$C$8:$C$1007,"Expense",'QUICK ENTRY'!$I$8:$I$1007,"Food",'QUICK ENTRY'!$J$8:$J$1007,$A12,'QUICK ENTRY'!$X$8:$X$1007,DASHBOARD!$C$4)</f>
        <v>0</v>
      </c>
      <c r="D12" s="44">
        <f>COUNTIFS('QUICK ENTRY'!$AF$8:$AF$1007,"Yes",'QUICK ENTRY'!$C$8:$C$1007,"Expense",'QUICK ENTRY'!$I$8:$I$1007,"Food",'QUICK ENTRY'!$J$8:$J$1007,$A12,'QUICK ENTRY'!$V$8:$V$1007,DASHBOARD!$C$3,'QUICK ENTRY'!$X$8:$X$1007,DASHBOARD!$C$4)</f>
        <v>0</v>
      </c>
      <c r="E12" s="61">
        <f t="shared" si="0"/>
        <v>0</v>
      </c>
    </row>
    <row r="13" spans="1:8" ht="14.4">
      <c r="A13" s="3" t="s">
        <v>370</v>
      </c>
      <c r="B13" s="58">
        <f>SUMIFS('QUICK ENTRY'!$E$8:$E$1007,'QUICK ENTRY'!$AF$8:$AF$1007,"Yes",'QUICK ENTRY'!$C$8:$C$1007,"Expense",'QUICK ENTRY'!$I$8:$I$1007,"Food",'QUICK ENTRY'!$J$8:$J$1007,$A13,'QUICK ENTRY'!$V$8:$V$1007,DASHBOARD!$C$3,'QUICK ENTRY'!$X$8:$X$1007,DASHBOARD!$C$4)</f>
        <v>0</v>
      </c>
      <c r="C13" s="58">
        <f>SUMIFS('QUICK ENTRY'!$E$8:$E$1007,'QUICK ENTRY'!$AF$8:$AF$1007,"Yes",'QUICK ENTRY'!$C$8:$C$1007,"Expense",'QUICK ENTRY'!$I$8:$I$1007,"Food",'QUICK ENTRY'!$J$8:$J$1007,$A13,'QUICK ENTRY'!$X$8:$X$1007,DASHBOARD!$C$4)</f>
        <v>0</v>
      </c>
      <c r="D13" s="44">
        <f>COUNTIFS('QUICK ENTRY'!$AF$8:$AF$1007,"Yes",'QUICK ENTRY'!$C$8:$C$1007,"Expense",'QUICK ENTRY'!$I$8:$I$1007,"Food",'QUICK ENTRY'!$J$8:$J$1007,$A13,'QUICK ENTRY'!$V$8:$V$1007,DASHBOARD!$C$3,'QUICK ENTRY'!$X$8:$X$1007,DASHBOARD!$C$4)</f>
        <v>0</v>
      </c>
      <c r="E13" s="61">
        <f t="shared" si="0"/>
        <v>0</v>
      </c>
    </row>
    <row r="14" spans="1:8" ht="14.4">
      <c r="A14" s="3" t="s">
        <v>371</v>
      </c>
      <c r="B14" s="58">
        <f>SUMIFS('QUICK ENTRY'!$E$8:$E$1007,'QUICK ENTRY'!$AF$8:$AF$1007,"Yes",'QUICK ENTRY'!$C$8:$C$1007,"Expense",'QUICK ENTRY'!$I$8:$I$1007,"Food",'QUICK ENTRY'!$J$8:$J$1007,$A14,'QUICK ENTRY'!$V$8:$V$1007,DASHBOARD!$C$3,'QUICK ENTRY'!$X$8:$X$1007,DASHBOARD!$C$4)</f>
        <v>0</v>
      </c>
      <c r="C14" s="58">
        <f>SUMIFS('QUICK ENTRY'!$E$8:$E$1007,'QUICK ENTRY'!$AF$8:$AF$1007,"Yes",'QUICK ENTRY'!$C$8:$C$1007,"Expense",'QUICK ENTRY'!$I$8:$I$1007,"Food",'QUICK ENTRY'!$J$8:$J$1007,$A14,'QUICK ENTRY'!$X$8:$X$1007,DASHBOARD!$C$4)</f>
        <v>0</v>
      </c>
      <c r="D14" s="44">
        <f>COUNTIFS('QUICK ENTRY'!$AF$8:$AF$1007,"Yes",'QUICK ENTRY'!$C$8:$C$1007,"Expense",'QUICK ENTRY'!$I$8:$I$1007,"Food",'QUICK ENTRY'!$J$8:$J$1007,$A14,'QUICK ENTRY'!$V$8:$V$1007,DASHBOARD!$C$3,'QUICK ENTRY'!$X$8:$X$1007,DASHBOARD!$C$4)</f>
        <v>0</v>
      </c>
      <c r="E14" s="61">
        <f t="shared" si="0"/>
        <v>0</v>
      </c>
    </row>
    <row r="15" spans="1:8" ht="14.4">
      <c r="A15" s="3" t="s">
        <v>372</v>
      </c>
      <c r="B15" s="58">
        <f>SUMIFS('QUICK ENTRY'!$E$8:$E$1007,'QUICK ENTRY'!$AF$8:$AF$1007,"Yes",'QUICK ENTRY'!$C$8:$C$1007,"Expense",'QUICK ENTRY'!$I$8:$I$1007,"Food",'QUICK ENTRY'!$J$8:$J$1007,$A15,'QUICK ENTRY'!$V$8:$V$1007,DASHBOARD!$C$3,'QUICK ENTRY'!$X$8:$X$1007,DASHBOARD!$C$4)</f>
        <v>0</v>
      </c>
      <c r="C15" s="58">
        <f>SUMIFS('QUICK ENTRY'!$E$8:$E$1007,'QUICK ENTRY'!$AF$8:$AF$1007,"Yes",'QUICK ENTRY'!$C$8:$C$1007,"Expense",'QUICK ENTRY'!$I$8:$I$1007,"Food",'QUICK ENTRY'!$J$8:$J$1007,$A15,'QUICK ENTRY'!$X$8:$X$1007,DASHBOARD!$C$4)</f>
        <v>0</v>
      </c>
      <c r="D15" s="44">
        <f>COUNTIFS('QUICK ENTRY'!$AF$8:$AF$1007,"Yes",'QUICK ENTRY'!$C$8:$C$1007,"Expense",'QUICK ENTRY'!$I$8:$I$1007,"Food",'QUICK ENTRY'!$J$8:$J$1007,$A15,'QUICK ENTRY'!$V$8:$V$1007,DASHBOARD!$C$3,'QUICK ENTRY'!$X$8:$X$1007,DASHBOARD!$C$4)</f>
        <v>0</v>
      </c>
      <c r="E15" s="61">
        <f t="shared" si="0"/>
        <v>0</v>
      </c>
    </row>
    <row r="16" spans="1:8" ht="14.4">
      <c r="A16" s="3" t="s">
        <v>373</v>
      </c>
      <c r="B16" s="58">
        <f>SUMIFS('QUICK ENTRY'!$E$8:$E$1007,'QUICK ENTRY'!$AF$8:$AF$1007,"Yes",'QUICK ENTRY'!$C$8:$C$1007,"Expense",'QUICK ENTRY'!$I$8:$I$1007,"Food",'QUICK ENTRY'!$J$8:$J$1007,$A16,'QUICK ENTRY'!$V$8:$V$1007,DASHBOARD!$C$3,'QUICK ENTRY'!$X$8:$X$1007,DASHBOARD!$C$4)</f>
        <v>0</v>
      </c>
      <c r="C16" s="58">
        <f>SUMIFS('QUICK ENTRY'!$E$8:$E$1007,'QUICK ENTRY'!$AF$8:$AF$1007,"Yes",'QUICK ENTRY'!$C$8:$C$1007,"Expense",'QUICK ENTRY'!$I$8:$I$1007,"Food",'QUICK ENTRY'!$J$8:$J$1007,$A16,'QUICK ENTRY'!$X$8:$X$1007,DASHBOARD!$C$4)</f>
        <v>0</v>
      </c>
      <c r="D16" s="44">
        <f>COUNTIFS('QUICK ENTRY'!$AF$8:$AF$1007,"Yes",'QUICK ENTRY'!$C$8:$C$1007,"Expense",'QUICK ENTRY'!$I$8:$I$1007,"Food",'QUICK ENTRY'!$J$8:$J$1007,$A16,'QUICK ENTRY'!$V$8:$V$1007,DASHBOARD!$C$3,'QUICK ENTRY'!$X$8:$X$1007,DASHBOARD!$C$4)</f>
        <v>0</v>
      </c>
      <c r="E16" s="61">
        <f t="shared" si="0"/>
        <v>0</v>
      </c>
    </row>
    <row r="17" spans="1:6" ht="14.4">
      <c r="A17" s="3" t="s">
        <v>135</v>
      </c>
      <c r="B17" s="58">
        <f>SUMIFS('QUICK ENTRY'!$E$8:$E$1007,'QUICK ENTRY'!$AF$8:$AF$1007,"Yes",'QUICK ENTRY'!$C$8:$C$1007,"Expense",'QUICK ENTRY'!$I$8:$I$1007,"Food",'QUICK ENTRY'!$J$8:$J$1007,$A17,'QUICK ENTRY'!$V$8:$V$1007,DASHBOARD!$C$3,'QUICK ENTRY'!$X$8:$X$1007,DASHBOARD!$C$4)</f>
        <v>0</v>
      </c>
      <c r="C17" s="58">
        <f>SUMIFS('QUICK ENTRY'!$E$8:$E$1007,'QUICK ENTRY'!$AF$8:$AF$1007,"Yes",'QUICK ENTRY'!$C$8:$C$1007,"Expense",'QUICK ENTRY'!$I$8:$I$1007,"Food",'QUICK ENTRY'!$J$8:$J$1007,$A17,'QUICK ENTRY'!$X$8:$X$1007,DASHBOARD!$C$4)</f>
        <v>7400</v>
      </c>
      <c r="D17" s="44">
        <f>COUNTIFS('QUICK ENTRY'!$AF$8:$AF$1007,"Yes",'QUICK ENTRY'!$C$8:$C$1007,"Expense",'QUICK ENTRY'!$I$8:$I$1007,"Food",'QUICK ENTRY'!$J$8:$J$1007,$A17,'QUICK ENTRY'!$V$8:$V$1007,DASHBOARD!$C$3,'QUICK ENTRY'!$X$8:$X$1007,DASHBOARD!$C$4)</f>
        <v>0</v>
      </c>
      <c r="E17" s="61">
        <f t="shared" si="0"/>
        <v>0</v>
      </c>
    </row>
    <row r="18" spans="1:6" ht="14.4">
      <c r="A18" s="3" t="s">
        <v>374</v>
      </c>
      <c r="B18" s="58">
        <f>SUMIFS('QUICK ENTRY'!$E$8:$E$1007,'QUICK ENTRY'!$AF$8:$AF$1007,"Yes",'QUICK ENTRY'!$C$8:$C$1007,"Expense",'QUICK ENTRY'!$I$8:$I$1007,"Food",'QUICK ENTRY'!$J$8:$J$1007,$A18,'QUICK ENTRY'!$V$8:$V$1007,DASHBOARD!$C$3,'QUICK ENTRY'!$X$8:$X$1007,DASHBOARD!$C$4)</f>
        <v>0</v>
      </c>
      <c r="C18" s="58">
        <f>SUMIFS('QUICK ENTRY'!$E$8:$E$1007,'QUICK ENTRY'!$AF$8:$AF$1007,"Yes",'QUICK ENTRY'!$C$8:$C$1007,"Expense",'QUICK ENTRY'!$I$8:$I$1007,"Food",'QUICK ENTRY'!$J$8:$J$1007,$A18,'QUICK ENTRY'!$X$8:$X$1007,DASHBOARD!$C$4)</f>
        <v>0</v>
      </c>
      <c r="D18" s="44">
        <f>COUNTIFS('QUICK ENTRY'!$AF$8:$AF$1007,"Yes",'QUICK ENTRY'!$C$8:$C$1007,"Expense",'QUICK ENTRY'!$I$8:$I$1007,"Food",'QUICK ENTRY'!$J$8:$J$1007,$A18,'QUICK ENTRY'!$V$8:$V$1007,DASHBOARD!$C$3,'QUICK ENTRY'!$X$8:$X$1007,DASHBOARD!$C$4)</f>
        <v>0</v>
      </c>
      <c r="E18" s="61">
        <f t="shared" si="0"/>
        <v>0</v>
      </c>
    </row>
    <row r="19" spans="1:6" ht="14.4">
      <c r="A19" s="3" t="s">
        <v>375</v>
      </c>
      <c r="B19" s="58">
        <f>SUMIFS('QUICK ENTRY'!$E$8:$E$1007,'QUICK ENTRY'!$AF$8:$AF$1007,"Yes",'QUICK ENTRY'!$C$8:$C$1007,"Expense",'QUICK ENTRY'!$I$8:$I$1007,"Food",'QUICK ENTRY'!$J$8:$J$1007,$A19,'QUICK ENTRY'!$V$8:$V$1007,DASHBOARD!$C$3,'QUICK ENTRY'!$X$8:$X$1007,DASHBOARD!$C$4)</f>
        <v>0</v>
      </c>
      <c r="C19" s="58">
        <f>SUMIFS('QUICK ENTRY'!$E$8:$E$1007,'QUICK ENTRY'!$AF$8:$AF$1007,"Yes",'QUICK ENTRY'!$C$8:$C$1007,"Expense",'QUICK ENTRY'!$I$8:$I$1007,"Food",'QUICK ENTRY'!$J$8:$J$1007,$A19,'QUICK ENTRY'!$X$8:$X$1007,DASHBOARD!$C$4)</f>
        <v>0</v>
      </c>
      <c r="D19" s="44">
        <f>COUNTIFS('QUICK ENTRY'!$AF$8:$AF$1007,"Yes",'QUICK ENTRY'!$C$8:$C$1007,"Expense",'QUICK ENTRY'!$I$8:$I$1007,"Food",'QUICK ENTRY'!$J$8:$J$1007,$A19,'QUICK ENTRY'!$V$8:$V$1007,DASHBOARD!$C$3,'QUICK ENTRY'!$X$8:$X$1007,DASHBOARD!$C$4)</f>
        <v>0</v>
      </c>
      <c r="E19" s="61">
        <f t="shared" si="0"/>
        <v>0</v>
      </c>
    </row>
    <row r="20" spans="1:6" ht="14.4">
      <c r="A20" s="4" t="s">
        <v>376</v>
      </c>
      <c r="B20" s="59">
        <f>SUMIFS('QUICK ENTRY'!$E$8:$E$1007,'QUICK ENTRY'!$AF$8:$AF$1007,"Yes",'QUICK ENTRY'!$C$8:$C$1007,"Expense",'QUICK ENTRY'!$I$8:$I$1007,"Food",'QUICK ENTRY'!$J$8:$J$1007,$A20,'QUICK ENTRY'!$V$8:$V$1007,DASHBOARD!$C$3,'QUICK ENTRY'!$X$8:$X$1007,DASHBOARD!$C$4)</f>
        <v>0</v>
      </c>
      <c r="C20" s="59">
        <f>SUMIFS('QUICK ENTRY'!$E$8:$E$1007,'QUICK ENTRY'!$AF$8:$AF$1007,"Yes",'QUICK ENTRY'!$C$8:$C$1007,"Expense",'QUICK ENTRY'!$I$8:$I$1007,"Food",'QUICK ENTRY'!$J$8:$J$1007,$A20,'QUICK ENTRY'!$X$8:$X$1007,DASHBOARD!$C$4)</f>
        <v>0</v>
      </c>
      <c r="D20" s="45">
        <f>COUNTIFS('QUICK ENTRY'!$AF$8:$AF$1007,"Yes",'QUICK ENTRY'!$C$8:$C$1007,"Expense",'QUICK ENTRY'!$I$8:$I$1007,"Food",'QUICK ENTRY'!$J$8:$J$1007,$A20,'QUICK ENTRY'!$V$8:$V$1007,DASHBOARD!$C$3,'QUICK ENTRY'!$X$8:$X$1007,DASHBOARD!$C$4)</f>
        <v>0</v>
      </c>
      <c r="E20" s="62">
        <f t="shared" si="0"/>
        <v>0</v>
      </c>
    </row>
    <row r="23" spans="1:6" ht="22.95" customHeight="1">
      <c r="A23" s="109" t="s">
        <v>377</v>
      </c>
      <c r="B23" s="110" t="s">
        <v>377</v>
      </c>
      <c r="C23" s="110" t="s">
        <v>377</v>
      </c>
      <c r="D23" s="110" t="s">
        <v>377</v>
      </c>
      <c r="E23" s="110" t="s">
        <v>377</v>
      </c>
      <c r="F23" s="111" t="s">
        <v>377</v>
      </c>
    </row>
    <row r="25" spans="1:6" ht="14.4">
      <c r="A25" s="66" t="s">
        <v>378</v>
      </c>
      <c r="B25" s="43">
        <f>COUNTIFS('QUICK ENTRY'!$AF$8:$AF$1007,"Yes",'QUICK ENTRY'!$C$8:$C$1007,"Expense",'QUICK ENTRY'!$I$8:$I$1007,"Food",'QUICK ENTRY'!$S$8:$S$1007,"Outside Meal",'QUICK ENTRY'!$V$8:$V$1007,DASHBOARD!$C$3,'QUICK ENTRY'!$X$8:$X$1007,DASHBOARD!$C$4)</f>
        <v>1</v>
      </c>
    </row>
    <row r="26" spans="1:6" ht="14.4">
      <c r="A26" s="67" t="s">
        <v>379</v>
      </c>
      <c r="B26" s="58">
        <f ca="1">IFERROR($A$5/MAX(1,DAY(TODAY())),0)</f>
        <v>56.363636363636367</v>
      </c>
    </row>
    <row r="27" spans="1:6" ht="14.4">
      <c r="A27" s="67" t="s">
        <v>380</v>
      </c>
      <c r="B27" s="58">
        <f ca="1">B26*7</f>
        <v>394.54545454545456</v>
      </c>
    </row>
    <row r="28" spans="1:6" ht="14.4">
      <c r="A28" s="67" t="s">
        <v>381</v>
      </c>
      <c r="B28" s="58">
        <f>B8</f>
        <v>0</v>
      </c>
    </row>
    <row r="29" spans="1:6" ht="14.4">
      <c r="A29" s="67" t="s">
        <v>382</v>
      </c>
      <c r="B29" s="58">
        <f>$A$5-B28</f>
        <v>620</v>
      </c>
    </row>
    <row r="30" spans="1:6" ht="14.4">
      <c r="A30" s="67" t="s">
        <v>383</v>
      </c>
      <c r="B30" s="61">
        <f>IFERROR(B29/$A$5,0)</f>
        <v>1</v>
      </c>
    </row>
    <row r="31" spans="1:6" ht="14.4">
      <c r="A31" s="68" t="s">
        <v>384</v>
      </c>
      <c r="B31" s="45" t="str">
        <f>IF($A$5&lt;=$E$5*0.7,"Safe",IF($A$5&lt;=$E$5*0.9,"Watch Spending",IF($A$5&lt;=$E$5,"Near Limit","Over Budget")))</f>
        <v>Safe</v>
      </c>
    </row>
  </sheetData>
  <mergeCells count="11">
    <mergeCell ref="A23:F23"/>
    <mergeCell ref="A1:H2"/>
    <mergeCell ref="A3:H3"/>
    <mergeCell ref="A4:B4"/>
    <mergeCell ref="A5:B5"/>
    <mergeCell ref="C4:D4"/>
    <mergeCell ref="C5:D5"/>
    <mergeCell ref="E4:F4"/>
    <mergeCell ref="E5:F5"/>
    <mergeCell ref="G4:H4"/>
    <mergeCell ref="G5:H5"/>
  </mergeCells>
  <conditionalFormatting sqref="B31">
    <cfRule type="containsText" dxfId="56" priority="2" operator="containsText" text="Safe"/>
    <cfRule type="containsText" dxfId="55" priority="5" operator="containsText" text="Watch"/>
    <cfRule type="containsText" dxfId="54" priority="7" operator="containsText" text="Near"/>
    <cfRule type="containsText" dxfId="53" priority="8" operator="containsText" text="Over"/>
  </conditionalFormatting>
  <conditionalFormatting sqref="E8:E20">
    <cfRule type="dataBar" priority="1">
      <dataBar>
        <cfvo type="min"/>
        <cfvo type="max"/>
        <color rgb="FFF59E0B"/>
      </dataBar>
    </cfRule>
    <cfRule type="dataBar" priority="10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{38E80FDF-FB3C-9735-D58A-F095D1618C16}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E80FDF-FB3C-9735-D58A-F095D1618C16}">
            <x14:dataBar>
              <x14:cfvo type="min"/>
              <x14:cfvo type="max"/>
              <x14:negativeFillColor auto="1"/>
              <x14:axisColor auto="1"/>
            </x14:dataBar>
          </x14:cfRule>
          <xm:sqref>E8:E20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showGridLines="0" workbookViewId="0"/>
  </sheetViews>
  <sheetFormatPr defaultRowHeight="13.8"/>
  <cols>
    <col min="1" max="2" width="16" customWidth="1"/>
    <col min="3" max="3" width="22" customWidth="1"/>
    <col min="4" max="4" width="20" customWidth="1"/>
    <col min="5" max="7" width="15" customWidth="1"/>
    <col min="8" max="8" width="14" customWidth="1"/>
    <col min="9" max="9" width="17" customWidth="1"/>
    <col min="10" max="10" width="14" customWidth="1"/>
  </cols>
  <sheetData>
    <row r="1" spans="1:8" ht="31.95" customHeight="1">
      <c r="A1" s="107" t="s">
        <v>385</v>
      </c>
      <c r="B1" s="107" t="s">
        <v>385</v>
      </c>
      <c r="C1" s="107" t="s">
        <v>385</v>
      </c>
      <c r="D1" s="107" t="s">
        <v>385</v>
      </c>
      <c r="E1" s="107" t="s">
        <v>385</v>
      </c>
      <c r="F1" s="107" t="s">
        <v>385</v>
      </c>
      <c r="G1" s="107" t="s">
        <v>385</v>
      </c>
      <c r="H1" s="107" t="s">
        <v>385</v>
      </c>
    </row>
    <row r="2" spans="1:8" ht="31.95" customHeight="1">
      <c r="A2" s="107" t="s">
        <v>385</v>
      </c>
      <c r="B2" s="107" t="s">
        <v>385</v>
      </c>
      <c r="C2" s="107" t="s">
        <v>385</v>
      </c>
      <c r="D2" s="107" t="s">
        <v>385</v>
      </c>
      <c r="E2" s="107" t="s">
        <v>385</v>
      </c>
      <c r="F2" s="107" t="s">
        <v>385</v>
      </c>
      <c r="G2" s="107" t="s">
        <v>385</v>
      </c>
      <c r="H2" s="107" t="s">
        <v>385</v>
      </c>
    </row>
    <row r="3" spans="1:8" ht="18" customHeight="1">
      <c r="A3" s="108" t="s">
        <v>386</v>
      </c>
      <c r="B3" s="108" t="s">
        <v>386</v>
      </c>
      <c r="C3" s="108" t="s">
        <v>386</v>
      </c>
      <c r="D3" s="108" t="s">
        <v>386</v>
      </c>
      <c r="E3" s="108" t="s">
        <v>386</v>
      </c>
      <c r="F3" s="108" t="s">
        <v>386</v>
      </c>
      <c r="G3" s="108" t="s">
        <v>386</v>
      </c>
      <c r="H3" s="108" t="s">
        <v>386</v>
      </c>
    </row>
    <row r="4" spans="1:8">
      <c r="A4" s="245" t="s">
        <v>284</v>
      </c>
      <c r="B4" s="245" t="s">
        <v>284</v>
      </c>
      <c r="C4" s="245" t="s">
        <v>327</v>
      </c>
      <c r="D4" s="245" t="s">
        <v>327</v>
      </c>
      <c r="E4" s="245" t="s">
        <v>328</v>
      </c>
      <c r="F4" s="245" t="s">
        <v>328</v>
      </c>
      <c r="G4" s="245" t="s">
        <v>329</v>
      </c>
      <c r="H4" s="245" t="s">
        <v>329</v>
      </c>
    </row>
    <row r="5" spans="1:8">
      <c r="A5" s="266">
        <f>SUMIFS('QUICK ENTRY'!$E$8:$E$1007,'QUICK ENTRY'!$AF$8:$AF$1007,"Yes",'QUICK ENTRY'!$C$8:$C$1007,"Expense",'QUICK ENTRY'!$I$8:$I$1007,"Transport",'QUICK ENTRY'!$V$8:$V$1007,DASHBOARD!$C$3,'QUICK ENTRY'!$X$8:$X$1007,DASHBOARD!$C$4)</f>
        <v>350</v>
      </c>
      <c r="B5" s="267"/>
      <c r="C5" s="266">
        <f>SUMIFS('QUICK ENTRY'!$E$8:$E$1007,'QUICK ENTRY'!$AF$8:$AF$1007,"Yes",'QUICK ENTRY'!$C$8:$C$1007,"Expense",'QUICK ENTRY'!$I$8:$I$1007,"Transport",'QUICK ENTRY'!$X$8:$X$1007,DASHBOARD!$C$4)</f>
        <v>1550</v>
      </c>
      <c r="D5" s="267"/>
      <c r="E5" s="266">
        <f>SUMIFS('MONTHLY BUDGET'!$S$8:$S$27,'MONTHLY BUDGET'!$A$8:$A$27,"Transport")</f>
        <v>1500</v>
      </c>
      <c r="F5" s="267"/>
      <c r="G5" s="266">
        <f>E5-A5</f>
        <v>1150</v>
      </c>
      <c r="H5" s="267"/>
    </row>
    <row r="7" spans="1:8" ht="30" customHeight="1">
      <c r="A7" s="40" t="s">
        <v>88</v>
      </c>
      <c r="B7" s="41" t="s">
        <v>284</v>
      </c>
      <c r="C7" s="41" t="s">
        <v>285</v>
      </c>
      <c r="D7" s="41" t="s">
        <v>330</v>
      </c>
      <c r="E7" s="42" t="s">
        <v>331</v>
      </c>
    </row>
    <row r="8" spans="1:8" ht="14.4">
      <c r="A8" s="2" t="s">
        <v>387</v>
      </c>
      <c r="B8" s="57">
        <f>SUMIFS('QUICK ENTRY'!$E$8:$E$1007,'QUICK ENTRY'!$AF$8:$AF$1007,"Yes",'QUICK ENTRY'!$C$8:$C$1007,"Expense",'QUICK ENTRY'!$I$8:$I$1007,"Transport",'QUICK ENTRY'!$J$8:$J$1007,$A8,'QUICK ENTRY'!$V$8:$V$1007,DASHBOARD!$C$3,'QUICK ENTRY'!$X$8:$X$1007,DASHBOARD!$C$4)</f>
        <v>0</v>
      </c>
      <c r="C8" s="57">
        <f>SUMIFS('QUICK ENTRY'!$E$8:$E$1007,'QUICK ENTRY'!$AF$8:$AF$1007,"Yes",'QUICK ENTRY'!$C$8:$C$1007,"Expense",'QUICK ENTRY'!$I$8:$I$1007,"Transport",'QUICK ENTRY'!$J$8:$J$1007,$A8,'QUICK ENTRY'!$X$8:$X$1007,DASHBOARD!$C$4)</f>
        <v>0</v>
      </c>
      <c r="D8" s="43">
        <f>COUNTIFS('QUICK ENTRY'!$AF$8:$AF$1007,"Yes",'QUICK ENTRY'!$C$8:$C$1007,"Expense",'QUICK ENTRY'!$I$8:$I$1007,"Transport",'QUICK ENTRY'!$J$8:$J$1007,$A8,'QUICK ENTRY'!$V$8:$V$1007,DASHBOARD!$C$3,'QUICK ENTRY'!$X$8:$X$1007,DASHBOARD!$C$4)</f>
        <v>0</v>
      </c>
      <c r="E8" s="60">
        <f t="shared" ref="E8:E17" si="0">IFERROR($B8/$A$5,0)</f>
        <v>0</v>
      </c>
    </row>
    <row r="9" spans="1:8" ht="14.4">
      <c r="A9" s="3" t="s">
        <v>388</v>
      </c>
      <c r="B9" s="58">
        <f>SUMIFS('QUICK ENTRY'!$E$8:$E$1007,'QUICK ENTRY'!$AF$8:$AF$1007,"Yes",'QUICK ENTRY'!$C$8:$C$1007,"Expense",'QUICK ENTRY'!$I$8:$I$1007,"Transport",'QUICK ENTRY'!$J$8:$J$1007,$A9,'QUICK ENTRY'!$V$8:$V$1007,DASHBOARD!$C$3,'QUICK ENTRY'!$X$8:$X$1007,DASHBOARD!$C$4)</f>
        <v>0</v>
      </c>
      <c r="C9" s="58">
        <f>SUMIFS('QUICK ENTRY'!$E$8:$E$1007,'QUICK ENTRY'!$AF$8:$AF$1007,"Yes",'QUICK ENTRY'!$C$8:$C$1007,"Expense",'QUICK ENTRY'!$I$8:$I$1007,"Transport",'QUICK ENTRY'!$J$8:$J$1007,$A9,'QUICK ENTRY'!$X$8:$X$1007,DASHBOARD!$C$4)</f>
        <v>0</v>
      </c>
      <c r="D9" s="44">
        <f>COUNTIFS('QUICK ENTRY'!$AF$8:$AF$1007,"Yes",'QUICK ENTRY'!$C$8:$C$1007,"Expense",'QUICK ENTRY'!$I$8:$I$1007,"Transport",'QUICK ENTRY'!$J$8:$J$1007,$A9,'QUICK ENTRY'!$V$8:$V$1007,DASHBOARD!$C$3,'QUICK ENTRY'!$X$8:$X$1007,DASHBOARD!$C$4)</f>
        <v>0</v>
      </c>
      <c r="E9" s="61">
        <f t="shared" si="0"/>
        <v>0</v>
      </c>
    </row>
    <row r="10" spans="1:8" ht="14.4">
      <c r="A10" s="3" t="s">
        <v>389</v>
      </c>
      <c r="B10" s="58">
        <f>SUMIFS('QUICK ENTRY'!$E$8:$E$1007,'QUICK ENTRY'!$AF$8:$AF$1007,"Yes",'QUICK ENTRY'!$C$8:$C$1007,"Expense",'QUICK ENTRY'!$I$8:$I$1007,"Transport",'QUICK ENTRY'!$J$8:$J$1007,$A10,'QUICK ENTRY'!$V$8:$V$1007,DASHBOARD!$C$3,'QUICK ENTRY'!$X$8:$X$1007,DASHBOARD!$C$4)</f>
        <v>0</v>
      </c>
      <c r="C10" s="58">
        <f>SUMIFS('QUICK ENTRY'!$E$8:$E$1007,'QUICK ENTRY'!$AF$8:$AF$1007,"Yes",'QUICK ENTRY'!$C$8:$C$1007,"Expense",'QUICK ENTRY'!$I$8:$I$1007,"Transport",'QUICK ENTRY'!$J$8:$J$1007,$A10,'QUICK ENTRY'!$X$8:$X$1007,DASHBOARD!$C$4)</f>
        <v>0</v>
      </c>
      <c r="D10" s="44">
        <f>COUNTIFS('QUICK ENTRY'!$AF$8:$AF$1007,"Yes",'QUICK ENTRY'!$C$8:$C$1007,"Expense",'QUICK ENTRY'!$I$8:$I$1007,"Transport",'QUICK ENTRY'!$J$8:$J$1007,$A10,'QUICK ENTRY'!$V$8:$V$1007,DASHBOARD!$C$3,'QUICK ENTRY'!$X$8:$X$1007,DASHBOARD!$C$4)</f>
        <v>0</v>
      </c>
      <c r="E10" s="61">
        <f t="shared" si="0"/>
        <v>0</v>
      </c>
    </row>
    <row r="11" spans="1:8" ht="14.4">
      <c r="A11" s="3" t="s">
        <v>139</v>
      </c>
      <c r="B11" s="58">
        <f>SUMIFS('QUICK ENTRY'!$E$8:$E$1007,'QUICK ENTRY'!$AF$8:$AF$1007,"Yes",'QUICK ENTRY'!$C$8:$C$1007,"Expense",'QUICK ENTRY'!$I$8:$I$1007,"Transport",'QUICK ENTRY'!$J$8:$J$1007,$A11,'QUICK ENTRY'!$V$8:$V$1007,DASHBOARD!$C$3,'QUICK ENTRY'!$X$8:$X$1007,DASHBOARD!$C$4)</f>
        <v>0</v>
      </c>
      <c r="C11" s="58">
        <f>SUMIFS('QUICK ENTRY'!$E$8:$E$1007,'QUICK ENTRY'!$AF$8:$AF$1007,"Yes",'QUICK ENTRY'!$C$8:$C$1007,"Expense",'QUICK ENTRY'!$I$8:$I$1007,"Transport",'QUICK ENTRY'!$J$8:$J$1007,$A11,'QUICK ENTRY'!$X$8:$X$1007,DASHBOARD!$C$4)</f>
        <v>1200</v>
      </c>
      <c r="D11" s="44">
        <f>COUNTIFS('QUICK ENTRY'!$AF$8:$AF$1007,"Yes",'QUICK ENTRY'!$C$8:$C$1007,"Expense",'QUICK ENTRY'!$I$8:$I$1007,"Transport",'QUICK ENTRY'!$J$8:$J$1007,$A11,'QUICK ENTRY'!$V$8:$V$1007,DASHBOARD!$C$3,'QUICK ENTRY'!$X$8:$X$1007,DASHBOARD!$C$4)</f>
        <v>0</v>
      </c>
      <c r="E11" s="61">
        <f t="shared" si="0"/>
        <v>0</v>
      </c>
    </row>
    <row r="12" spans="1:8" ht="14.4">
      <c r="A12" s="3" t="s">
        <v>201</v>
      </c>
      <c r="B12" s="58">
        <f>SUMIFS('QUICK ENTRY'!$E$8:$E$1007,'QUICK ENTRY'!$AF$8:$AF$1007,"Yes",'QUICK ENTRY'!$C$8:$C$1007,"Expense",'QUICK ENTRY'!$I$8:$I$1007,"Transport",'QUICK ENTRY'!$J$8:$J$1007,$A12,'QUICK ENTRY'!$V$8:$V$1007,DASHBOARD!$C$3,'QUICK ENTRY'!$X$8:$X$1007,DASHBOARD!$C$4)</f>
        <v>350</v>
      </c>
      <c r="C12" s="58">
        <f>SUMIFS('QUICK ENTRY'!$E$8:$E$1007,'QUICK ENTRY'!$AF$8:$AF$1007,"Yes",'QUICK ENTRY'!$C$8:$C$1007,"Expense",'QUICK ENTRY'!$I$8:$I$1007,"Transport",'QUICK ENTRY'!$J$8:$J$1007,$A12,'QUICK ENTRY'!$X$8:$X$1007,DASHBOARD!$C$4)</f>
        <v>350</v>
      </c>
      <c r="D12" s="44">
        <f>COUNTIFS('QUICK ENTRY'!$AF$8:$AF$1007,"Yes",'QUICK ENTRY'!$C$8:$C$1007,"Expense",'QUICK ENTRY'!$I$8:$I$1007,"Transport",'QUICK ENTRY'!$J$8:$J$1007,$A12,'QUICK ENTRY'!$V$8:$V$1007,DASHBOARD!$C$3,'QUICK ENTRY'!$X$8:$X$1007,DASHBOARD!$C$4)</f>
        <v>1</v>
      </c>
      <c r="E12" s="61">
        <f t="shared" si="0"/>
        <v>1</v>
      </c>
    </row>
    <row r="13" spans="1:8" ht="14.4">
      <c r="A13" s="3" t="s">
        <v>390</v>
      </c>
      <c r="B13" s="58">
        <f>SUMIFS('QUICK ENTRY'!$E$8:$E$1007,'QUICK ENTRY'!$AF$8:$AF$1007,"Yes",'QUICK ENTRY'!$C$8:$C$1007,"Expense",'QUICK ENTRY'!$I$8:$I$1007,"Transport",'QUICK ENTRY'!$J$8:$J$1007,$A13,'QUICK ENTRY'!$V$8:$V$1007,DASHBOARD!$C$3,'QUICK ENTRY'!$X$8:$X$1007,DASHBOARD!$C$4)</f>
        <v>0</v>
      </c>
      <c r="C13" s="58">
        <f>SUMIFS('QUICK ENTRY'!$E$8:$E$1007,'QUICK ENTRY'!$AF$8:$AF$1007,"Yes",'QUICK ENTRY'!$C$8:$C$1007,"Expense",'QUICK ENTRY'!$I$8:$I$1007,"Transport",'QUICK ENTRY'!$J$8:$J$1007,$A13,'QUICK ENTRY'!$X$8:$X$1007,DASHBOARD!$C$4)</f>
        <v>0</v>
      </c>
      <c r="D13" s="44">
        <f>COUNTIFS('QUICK ENTRY'!$AF$8:$AF$1007,"Yes",'QUICK ENTRY'!$C$8:$C$1007,"Expense",'QUICK ENTRY'!$I$8:$I$1007,"Transport",'QUICK ENTRY'!$J$8:$J$1007,$A13,'QUICK ENTRY'!$V$8:$V$1007,DASHBOARD!$C$3,'QUICK ENTRY'!$X$8:$X$1007,DASHBOARD!$C$4)</f>
        <v>0</v>
      </c>
      <c r="E13" s="61">
        <f t="shared" si="0"/>
        <v>0</v>
      </c>
    </row>
    <row r="14" spans="1:8" ht="14.4">
      <c r="A14" s="3" t="s">
        <v>391</v>
      </c>
      <c r="B14" s="58">
        <f>SUMIFS('QUICK ENTRY'!$E$8:$E$1007,'QUICK ENTRY'!$AF$8:$AF$1007,"Yes",'QUICK ENTRY'!$C$8:$C$1007,"Expense",'QUICK ENTRY'!$I$8:$I$1007,"Transport",'QUICK ENTRY'!$J$8:$J$1007,$A14,'QUICK ENTRY'!$V$8:$V$1007,DASHBOARD!$C$3,'QUICK ENTRY'!$X$8:$X$1007,DASHBOARD!$C$4)</f>
        <v>0</v>
      </c>
      <c r="C14" s="58">
        <f>SUMIFS('QUICK ENTRY'!$E$8:$E$1007,'QUICK ENTRY'!$AF$8:$AF$1007,"Yes",'QUICK ENTRY'!$C$8:$C$1007,"Expense",'QUICK ENTRY'!$I$8:$I$1007,"Transport",'QUICK ENTRY'!$J$8:$J$1007,$A14,'QUICK ENTRY'!$X$8:$X$1007,DASHBOARD!$C$4)</f>
        <v>0</v>
      </c>
      <c r="D14" s="44">
        <f>COUNTIFS('QUICK ENTRY'!$AF$8:$AF$1007,"Yes",'QUICK ENTRY'!$C$8:$C$1007,"Expense",'QUICK ENTRY'!$I$8:$I$1007,"Transport",'QUICK ENTRY'!$J$8:$J$1007,$A14,'QUICK ENTRY'!$V$8:$V$1007,DASHBOARD!$C$3,'QUICK ENTRY'!$X$8:$X$1007,DASHBOARD!$C$4)</f>
        <v>0</v>
      </c>
      <c r="E14" s="61">
        <f t="shared" si="0"/>
        <v>0</v>
      </c>
    </row>
    <row r="15" spans="1:8" ht="14.4">
      <c r="A15" s="3" t="s">
        <v>392</v>
      </c>
      <c r="B15" s="58">
        <f>SUMIFS('QUICK ENTRY'!$E$8:$E$1007,'QUICK ENTRY'!$AF$8:$AF$1007,"Yes",'QUICK ENTRY'!$C$8:$C$1007,"Expense",'QUICK ENTRY'!$I$8:$I$1007,"Transport",'QUICK ENTRY'!$J$8:$J$1007,$A15,'QUICK ENTRY'!$V$8:$V$1007,DASHBOARD!$C$3,'QUICK ENTRY'!$X$8:$X$1007,DASHBOARD!$C$4)</f>
        <v>0</v>
      </c>
      <c r="C15" s="58">
        <f>SUMIFS('QUICK ENTRY'!$E$8:$E$1007,'QUICK ENTRY'!$AF$8:$AF$1007,"Yes",'QUICK ENTRY'!$C$8:$C$1007,"Expense",'QUICK ENTRY'!$I$8:$I$1007,"Transport",'QUICK ENTRY'!$J$8:$J$1007,$A15,'QUICK ENTRY'!$X$8:$X$1007,DASHBOARD!$C$4)</f>
        <v>0</v>
      </c>
      <c r="D15" s="44">
        <f>COUNTIFS('QUICK ENTRY'!$AF$8:$AF$1007,"Yes",'QUICK ENTRY'!$C$8:$C$1007,"Expense",'QUICK ENTRY'!$I$8:$I$1007,"Transport",'QUICK ENTRY'!$J$8:$J$1007,$A15,'QUICK ENTRY'!$V$8:$V$1007,DASHBOARD!$C$3,'QUICK ENTRY'!$X$8:$X$1007,DASHBOARD!$C$4)</f>
        <v>0</v>
      </c>
      <c r="E15" s="61">
        <f t="shared" si="0"/>
        <v>0</v>
      </c>
    </row>
    <row r="16" spans="1:8" ht="14.4">
      <c r="A16" s="3" t="s">
        <v>393</v>
      </c>
      <c r="B16" s="58">
        <f>SUMIFS('QUICK ENTRY'!$E$8:$E$1007,'QUICK ENTRY'!$AF$8:$AF$1007,"Yes",'QUICK ENTRY'!$C$8:$C$1007,"Expense",'QUICK ENTRY'!$I$8:$I$1007,"Transport",'QUICK ENTRY'!$J$8:$J$1007,$A16,'QUICK ENTRY'!$V$8:$V$1007,DASHBOARD!$C$3,'QUICK ENTRY'!$X$8:$X$1007,DASHBOARD!$C$4)</f>
        <v>0</v>
      </c>
      <c r="C16" s="58">
        <f>SUMIFS('QUICK ENTRY'!$E$8:$E$1007,'QUICK ENTRY'!$AF$8:$AF$1007,"Yes",'QUICK ENTRY'!$C$8:$C$1007,"Expense",'QUICK ENTRY'!$I$8:$I$1007,"Transport",'QUICK ENTRY'!$J$8:$J$1007,$A16,'QUICK ENTRY'!$X$8:$X$1007,DASHBOARD!$C$4)</f>
        <v>0</v>
      </c>
      <c r="D16" s="44">
        <f>COUNTIFS('QUICK ENTRY'!$AF$8:$AF$1007,"Yes",'QUICK ENTRY'!$C$8:$C$1007,"Expense",'QUICK ENTRY'!$I$8:$I$1007,"Transport",'QUICK ENTRY'!$J$8:$J$1007,$A16,'QUICK ENTRY'!$V$8:$V$1007,DASHBOARD!$C$3,'QUICK ENTRY'!$X$8:$X$1007,DASHBOARD!$C$4)</f>
        <v>0</v>
      </c>
      <c r="E16" s="61">
        <f t="shared" si="0"/>
        <v>0</v>
      </c>
    </row>
    <row r="17" spans="1:10" ht="14.4">
      <c r="A17" s="4" t="s">
        <v>159</v>
      </c>
      <c r="B17" s="59">
        <f>SUMIFS('QUICK ENTRY'!$E$8:$E$1007,'QUICK ENTRY'!$AF$8:$AF$1007,"Yes",'QUICK ENTRY'!$C$8:$C$1007,"Expense",'QUICK ENTRY'!$I$8:$I$1007,"Transport",'QUICK ENTRY'!$J$8:$J$1007,$A17,'QUICK ENTRY'!$V$8:$V$1007,DASHBOARD!$C$3,'QUICK ENTRY'!$X$8:$X$1007,DASHBOARD!$C$4)</f>
        <v>0</v>
      </c>
      <c r="C17" s="59">
        <f>SUMIFS('QUICK ENTRY'!$E$8:$E$1007,'QUICK ENTRY'!$AF$8:$AF$1007,"Yes",'QUICK ENTRY'!$C$8:$C$1007,"Expense",'QUICK ENTRY'!$I$8:$I$1007,"Transport",'QUICK ENTRY'!$J$8:$J$1007,$A17,'QUICK ENTRY'!$X$8:$X$1007,DASHBOARD!$C$4)</f>
        <v>0</v>
      </c>
      <c r="D17" s="45">
        <f>COUNTIFS('QUICK ENTRY'!$AF$8:$AF$1007,"Yes",'QUICK ENTRY'!$C$8:$C$1007,"Expense",'QUICK ENTRY'!$I$8:$I$1007,"Transport",'QUICK ENTRY'!$J$8:$J$1007,$A17,'QUICK ENTRY'!$V$8:$V$1007,DASHBOARD!$C$3,'QUICK ENTRY'!$X$8:$X$1007,DASHBOARD!$C$4)</f>
        <v>0</v>
      </c>
      <c r="E17" s="62">
        <f t="shared" si="0"/>
        <v>0</v>
      </c>
    </row>
    <row r="20" spans="1:10" ht="22.95" customHeight="1">
      <c r="A20" s="115" t="s">
        <v>394</v>
      </c>
      <c r="B20" s="116" t="s">
        <v>394</v>
      </c>
      <c r="C20" s="116" t="s">
        <v>394</v>
      </c>
      <c r="D20" s="116" t="s">
        <v>394</v>
      </c>
      <c r="E20" s="116" t="s">
        <v>394</v>
      </c>
      <c r="F20" s="116" t="s">
        <v>394</v>
      </c>
      <c r="G20" s="116" t="s">
        <v>394</v>
      </c>
      <c r="H20" s="116" t="s">
        <v>394</v>
      </c>
      <c r="I20" s="116" t="s">
        <v>394</v>
      </c>
      <c r="J20" s="117" t="s">
        <v>394</v>
      </c>
    </row>
    <row r="22" spans="1:10" ht="30" customHeight="1">
      <c r="A22" s="40" t="s">
        <v>395</v>
      </c>
      <c r="B22" s="41" t="s">
        <v>396</v>
      </c>
      <c r="C22" s="41" t="s">
        <v>397</v>
      </c>
      <c r="D22" s="41" t="s">
        <v>398</v>
      </c>
      <c r="E22" s="41" t="s">
        <v>399</v>
      </c>
      <c r="F22" s="41" t="s">
        <v>400</v>
      </c>
      <c r="G22" s="41" t="s">
        <v>401</v>
      </c>
      <c r="H22" s="41" t="s">
        <v>134</v>
      </c>
      <c r="I22" s="41" t="s">
        <v>402</v>
      </c>
      <c r="J22" s="42" t="s">
        <v>403</v>
      </c>
    </row>
    <row r="23" spans="1:10" ht="14.4">
      <c r="A23" s="46"/>
      <c r="B23" s="46"/>
      <c r="C23" s="8"/>
      <c r="D23" s="8"/>
      <c r="E23" s="8"/>
      <c r="F23" s="22"/>
      <c r="G23" s="22"/>
      <c r="H23" s="22"/>
      <c r="I23" s="57">
        <f t="shared" ref="I23:I30" si="1">SUM(F23:H23)</f>
        <v>0</v>
      </c>
      <c r="J23" s="8"/>
    </row>
    <row r="24" spans="1:10" ht="14.4">
      <c r="A24" s="13"/>
      <c r="B24" s="13"/>
      <c r="C24" s="9"/>
      <c r="D24" s="9"/>
      <c r="E24" s="9"/>
      <c r="F24" s="11"/>
      <c r="G24" s="11"/>
      <c r="H24" s="11"/>
      <c r="I24" s="58">
        <f t="shared" si="1"/>
        <v>0</v>
      </c>
      <c r="J24" s="9"/>
    </row>
    <row r="25" spans="1:10" ht="14.4">
      <c r="A25" s="13"/>
      <c r="B25" s="13"/>
      <c r="C25" s="9"/>
      <c r="D25" s="9"/>
      <c r="E25" s="9"/>
      <c r="F25" s="11"/>
      <c r="G25" s="11"/>
      <c r="H25" s="11"/>
      <c r="I25" s="58">
        <f t="shared" si="1"/>
        <v>0</v>
      </c>
      <c r="J25" s="9"/>
    </row>
    <row r="26" spans="1:10" ht="14.4">
      <c r="A26" s="13"/>
      <c r="B26" s="13"/>
      <c r="C26" s="9"/>
      <c r="D26" s="9"/>
      <c r="E26" s="9"/>
      <c r="F26" s="11"/>
      <c r="G26" s="11"/>
      <c r="H26" s="11"/>
      <c r="I26" s="58">
        <f t="shared" si="1"/>
        <v>0</v>
      </c>
      <c r="J26" s="9"/>
    </row>
    <row r="27" spans="1:10" ht="14.4">
      <c r="A27" s="13"/>
      <c r="B27" s="13"/>
      <c r="C27" s="9"/>
      <c r="D27" s="9"/>
      <c r="E27" s="9"/>
      <c r="F27" s="11"/>
      <c r="G27" s="11"/>
      <c r="H27" s="11"/>
      <c r="I27" s="58">
        <f t="shared" si="1"/>
        <v>0</v>
      </c>
      <c r="J27" s="9"/>
    </row>
    <row r="28" spans="1:10" ht="14.4">
      <c r="A28" s="13"/>
      <c r="B28" s="13"/>
      <c r="C28" s="9"/>
      <c r="D28" s="9"/>
      <c r="E28" s="9"/>
      <c r="F28" s="11"/>
      <c r="G28" s="11"/>
      <c r="H28" s="11"/>
      <c r="I28" s="58">
        <f t="shared" si="1"/>
        <v>0</v>
      </c>
      <c r="J28" s="9"/>
    </row>
    <row r="29" spans="1:10" ht="14.4">
      <c r="A29" s="13"/>
      <c r="B29" s="13"/>
      <c r="C29" s="9"/>
      <c r="D29" s="9"/>
      <c r="E29" s="9"/>
      <c r="F29" s="11"/>
      <c r="G29" s="11"/>
      <c r="H29" s="11"/>
      <c r="I29" s="58">
        <f t="shared" si="1"/>
        <v>0</v>
      </c>
      <c r="J29" s="9"/>
    </row>
    <row r="30" spans="1:10" ht="14.4">
      <c r="A30" s="47"/>
      <c r="B30" s="47"/>
      <c r="C30" s="10"/>
      <c r="D30" s="10"/>
      <c r="E30" s="10"/>
      <c r="F30" s="23"/>
      <c r="G30" s="23"/>
      <c r="H30" s="23"/>
      <c r="I30" s="59">
        <f t="shared" si="1"/>
        <v>0</v>
      </c>
      <c r="J30" s="10"/>
    </row>
  </sheetData>
  <mergeCells count="11">
    <mergeCell ref="A20:J20"/>
    <mergeCell ref="A1:H2"/>
    <mergeCell ref="A3:H3"/>
    <mergeCell ref="A4:B4"/>
    <mergeCell ref="A5:B5"/>
    <mergeCell ref="C4:D4"/>
    <mergeCell ref="C5:D5"/>
    <mergeCell ref="E4:F4"/>
    <mergeCell ref="E5:F5"/>
    <mergeCell ref="G4:H4"/>
    <mergeCell ref="G5:H5"/>
  </mergeCells>
  <conditionalFormatting sqref="E8:E17">
    <cfRule type="dataBar" priority="1">
      <dataBar>
        <cfvo type="min"/>
        <cfvo type="max"/>
        <color rgb="FF2563EB"/>
      </dataBar>
    </cfRule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{222A05B6-4E1D-65A7-3618-F1B408878E21}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2A05B6-4E1D-65A7-3618-F1B408878E21}">
            <x14:dataBar>
              <x14:cfvo type="min"/>
              <x14:cfvo type="max"/>
              <x14:negativeFillColor auto="1"/>
              <x14:axisColor auto="1"/>
            </x14:dataBar>
          </x14:cfRule>
          <xm:sqref>E8:E17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1"/>
  <sheetViews>
    <sheetView showGridLines="0" workbookViewId="0"/>
  </sheetViews>
  <sheetFormatPr defaultRowHeight="13.8"/>
  <cols>
    <col min="1" max="1" width="22" customWidth="1"/>
    <col min="2" max="2" width="16" customWidth="1"/>
    <col min="3" max="7" width="15" customWidth="1"/>
    <col min="8" max="8" width="13" customWidth="1"/>
    <col min="9" max="10" width="18" customWidth="1"/>
  </cols>
  <sheetData>
    <row r="1" spans="1:8" ht="31.95" customHeight="1">
      <c r="A1" s="107" t="s">
        <v>404</v>
      </c>
      <c r="B1" s="107" t="s">
        <v>404</v>
      </c>
      <c r="C1" s="107" t="s">
        <v>404</v>
      </c>
      <c r="D1" s="107" t="s">
        <v>404</v>
      </c>
      <c r="E1" s="107" t="s">
        <v>404</v>
      </c>
      <c r="F1" s="107" t="s">
        <v>404</v>
      </c>
      <c r="G1" s="107" t="s">
        <v>404</v>
      </c>
      <c r="H1" s="107" t="s">
        <v>404</v>
      </c>
    </row>
    <row r="2" spans="1:8" ht="31.95" customHeight="1">
      <c r="A2" s="107" t="s">
        <v>404</v>
      </c>
      <c r="B2" s="107" t="s">
        <v>404</v>
      </c>
      <c r="C2" s="107" t="s">
        <v>404</v>
      </c>
      <c r="D2" s="107" t="s">
        <v>404</v>
      </c>
      <c r="E2" s="107" t="s">
        <v>404</v>
      </c>
      <c r="F2" s="107" t="s">
        <v>404</v>
      </c>
      <c r="G2" s="107" t="s">
        <v>404</v>
      </c>
      <c r="H2" s="107" t="s">
        <v>404</v>
      </c>
    </row>
    <row r="3" spans="1:8" ht="18" customHeight="1">
      <c r="A3" s="108" t="s">
        <v>405</v>
      </c>
      <c r="B3" s="108" t="s">
        <v>405</v>
      </c>
      <c r="C3" s="108" t="s">
        <v>405</v>
      </c>
      <c r="D3" s="108" t="s">
        <v>405</v>
      </c>
      <c r="E3" s="108" t="s">
        <v>405</v>
      </c>
      <c r="F3" s="108" t="s">
        <v>405</v>
      </c>
      <c r="G3" s="108" t="s">
        <v>405</v>
      </c>
      <c r="H3" s="108" t="s">
        <v>405</v>
      </c>
    </row>
    <row r="4" spans="1:8">
      <c r="A4" s="268" t="s">
        <v>284</v>
      </c>
      <c r="B4" s="268" t="s">
        <v>284</v>
      </c>
      <c r="C4" s="268" t="s">
        <v>327</v>
      </c>
      <c r="D4" s="268" t="s">
        <v>327</v>
      </c>
      <c r="E4" s="268" t="s">
        <v>328</v>
      </c>
      <c r="F4" s="268" t="s">
        <v>328</v>
      </c>
      <c r="G4" s="268" t="s">
        <v>329</v>
      </c>
      <c r="H4" s="268" t="s">
        <v>329</v>
      </c>
    </row>
    <row r="5" spans="1:8">
      <c r="A5" s="269">
        <f>SUMIFS('QUICK ENTRY'!$E$8:$E$1007,'QUICK ENTRY'!$AF$8:$AF$1007,"Yes",'QUICK ENTRY'!$C$8:$C$1007,"Expense",'QUICK ENTRY'!$I$8:$I$1007,"Technology",'QUICK ENTRY'!$V$8:$V$1007,DASHBOARD!$C$3,'QUICK ENTRY'!$X$8:$X$1007,DASHBOARD!$C$4)</f>
        <v>0</v>
      </c>
      <c r="B5" s="270"/>
      <c r="C5" s="269">
        <f>SUMIFS('QUICK ENTRY'!$E$8:$E$1007,'QUICK ENTRY'!$AF$8:$AF$1007,"Yes",'QUICK ENTRY'!$C$8:$C$1007,"Expense",'QUICK ENTRY'!$I$8:$I$1007,"Technology",'QUICK ENTRY'!$X$8:$X$1007,DASHBOARD!$C$4)</f>
        <v>2500</v>
      </c>
      <c r="D5" s="270"/>
      <c r="E5" s="269">
        <f>SUMIFS('MONTHLY BUDGET'!$S$8:$S$27,'MONTHLY BUDGET'!$A$8:$A$27,"Technology")</f>
        <v>1500</v>
      </c>
      <c r="F5" s="270"/>
      <c r="G5" s="269">
        <f>E5-A5</f>
        <v>1500</v>
      </c>
      <c r="H5" s="270"/>
    </row>
    <row r="7" spans="1:8" ht="30" customHeight="1">
      <c r="A7" s="69" t="s">
        <v>88</v>
      </c>
      <c r="B7" s="70" t="s">
        <v>284</v>
      </c>
      <c r="C7" s="70" t="s">
        <v>285</v>
      </c>
      <c r="D7" s="70" t="s">
        <v>330</v>
      </c>
      <c r="E7" s="71" t="s">
        <v>331</v>
      </c>
    </row>
    <row r="8" spans="1:8" ht="14.4">
      <c r="A8" s="2" t="s">
        <v>406</v>
      </c>
      <c r="B8" s="57">
        <f>SUMIFS('QUICK ENTRY'!$E$8:$E$1007,'QUICK ENTRY'!$AF$8:$AF$1007,"Yes",'QUICK ENTRY'!$C$8:$C$1007,"Expense",'QUICK ENTRY'!$I$8:$I$1007,"Technology",'QUICK ENTRY'!$J$8:$J$1007,$A8,'QUICK ENTRY'!$V$8:$V$1007,DASHBOARD!$C$3,'QUICK ENTRY'!$X$8:$X$1007,DASHBOARD!$C$4)</f>
        <v>0</v>
      </c>
      <c r="C8" s="57">
        <f>SUMIFS('QUICK ENTRY'!$E$8:$E$1007,'QUICK ENTRY'!$AF$8:$AF$1007,"Yes",'QUICK ENTRY'!$C$8:$C$1007,"Expense",'QUICK ENTRY'!$I$8:$I$1007,"Technology",'QUICK ENTRY'!$J$8:$J$1007,$A8,'QUICK ENTRY'!$X$8:$X$1007,DASHBOARD!$C$4)</f>
        <v>0</v>
      </c>
      <c r="D8" s="43">
        <f>COUNTIFS('QUICK ENTRY'!$AF$8:$AF$1007,"Yes",'QUICK ENTRY'!$C$8:$C$1007,"Expense",'QUICK ENTRY'!$I$8:$I$1007,"Technology",'QUICK ENTRY'!$J$8:$J$1007,$A8,'QUICK ENTRY'!$V$8:$V$1007,DASHBOARD!$C$3,'QUICK ENTRY'!$X$8:$X$1007,DASHBOARD!$C$4)</f>
        <v>0</v>
      </c>
      <c r="E8" s="60">
        <f t="shared" ref="E8:E20" si="0">IFERROR($B8/$A$5,0)</f>
        <v>0</v>
      </c>
    </row>
    <row r="9" spans="1:8" ht="14.4">
      <c r="A9" s="3" t="s">
        <v>407</v>
      </c>
      <c r="B9" s="58">
        <f>SUMIFS('QUICK ENTRY'!$E$8:$E$1007,'QUICK ENTRY'!$AF$8:$AF$1007,"Yes",'QUICK ENTRY'!$C$8:$C$1007,"Expense",'QUICK ENTRY'!$I$8:$I$1007,"Technology",'QUICK ENTRY'!$J$8:$J$1007,$A9,'QUICK ENTRY'!$V$8:$V$1007,DASHBOARD!$C$3,'QUICK ENTRY'!$X$8:$X$1007,DASHBOARD!$C$4)</f>
        <v>0</v>
      </c>
      <c r="C9" s="58">
        <f>SUMIFS('QUICK ENTRY'!$E$8:$E$1007,'QUICK ENTRY'!$AF$8:$AF$1007,"Yes",'QUICK ENTRY'!$C$8:$C$1007,"Expense",'QUICK ENTRY'!$I$8:$I$1007,"Technology",'QUICK ENTRY'!$J$8:$J$1007,$A9,'QUICK ENTRY'!$X$8:$X$1007,DASHBOARD!$C$4)</f>
        <v>0</v>
      </c>
      <c r="D9" s="44">
        <f>COUNTIFS('QUICK ENTRY'!$AF$8:$AF$1007,"Yes",'QUICK ENTRY'!$C$8:$C$1007,"Expense",'QUICK ENTRY'!$I$8:$I$1007,"Technology",'QUICK ENTRY'!$J$8:$J$1007,$A9,'QUICK ENTRY'!$V$8:$V$1007,DASHBOARD!$C$3,'QUICK ENTRY'!$X$8:$X$1007,DASHBOARD!$C$4)</f>
        <v>0</v>
      </c>
      <c r="E9" s="61">
        <f t="shared" si="0"/>
        <v>0</v>
      </c>
    </row>
    <row r="10" spans="1:8" ht="14.4">
      <c r="A10" s="3" t="s">
        <v>408</v>
      </c>
      <c r="B10" s="58">
        <f>SUMIFS('QUICK ENTRY'!$E$8:$E$1007,'QUICK ENTRY'!$AF$8:$AF$1007,"Yes",'QUICK ENTRY'!$C$8:$C$1007,"Expense",'QUICK ENTRY'!$I$8:$I$1007,"Technology",'QUICK ENTRY'!$J$8:$J$1007,$A10,'QUICK ENTRY'!$V$8:$V$1007,DASHBOARD!$C$3,'QUICK ENTRY'!$X$8:$X$1007,DASHBOARD!$C$4)</f>
        <v>0</v>
      </c>
      <c r="C10" s="58">
        <f>SUMIFS('QUICK ENTRY'!$E$8:$E$1007,'QUICK ENTRY'!$AF$8:$AF$1007,"Yes",'QUICK ENTRY'!$C$8:$C$1007,"Expense",'QUICK ENTRY'!$I$8:$I$1007,"Technology",'QUICK ENTRY'!$J$8:$J$1007,$A10,'QUICK ENTRY'!$X$8:$X$1007,DASHBOARD!$C$4)</f>
        <v>0</v>
      </c>
      <c r="D10" s="44">
        <f>COUNTIFS('QUICK ENTRY'!$AF$8:$AF$1007,"Yes",'QUICK ENTRY'!$C$8:$C$1007,"Expense",'QUICK ENTRY'!$I$8:$I$1007,"Technology",'QUICK ENTRY'!$J$8:$J$1007,$A10,'QUICK ENTRY'!$V$8:$V$1007,DASHBOARD!$C$3,'QUICK ENTRY'!$X$8:$X$1007,DASHBOARD!$C$4)</f>
        <v>0</v>
      </c>
      <c r="E10" s="61">
        <f t="shared" si="0"/>
        <v>0</v>
      </c>
    </row>
    <row r="11" spans="1:8" ht="14.4">
      <c r="A11" s="3" t="s">
        <v>409</v>
      </c>
      <c r="B11" s="58">
        <f>SUMIFS('QUICK ENTRY'!$E$8:$E$1007,'QUICK ENTRY'!$AF$8:$AF$1007,"Yes",'QUICK ENTRY'!$C$8:$C$1007,"Expense",'QUICK ENTRY'!$I$8:$I$1007,"Technology",'QUICK ENTRY'!$J$8:$J$1007,$A11,'QUICK ENTRY'!$V$8:$V$1007,DASHBOARD!$C$3,'QUICK ENTRY'!$X$8:$X$1007,DASHBOARD!$C$4)</f>
        <v>0</v>
      </c>
      <c r="C11" s="58">
        <f>SUMIFS('QUICK ENTRY'!$E$8:$E$1007,'QUICK ENTRY'!$AF$8:$AF$1007,"Yes",'QUICK ENTRY'!$C$8:$C$1007,"Expense",'QUICK ENTRY'!$I$8:$I$1007,"Technology",'QUICK ENTRY'!$J$8:$J$1007,$A11,'QUICK ENTRY'!$X$8:$X$1007,DASHBOARD!$C$4)</f>
        <v>0</v>
      </c>
      <c r="D11" s="44">
        <f>COUNTIFS('QUICK ENTRY'!$AF$8:$AF$1007,"Yes",'QUICK ENTRY'!$C$8:$C$1007,"Expense",'QUICK ENTRY'!$I$8:$I$1007,"Technology",'QUICK ENTRY'!$J$8:$J$1007,$A11,'QUICK ENTRY'!$V$8:$V$1007,DASHBOARD!$C$3,'QUICK ENTRY'!$X$8:$X$1007,DASHBOARD!$C$4)</f>
        <v>0</v>
      </c>
      <c r="E11" s="61">
        <f t="shared" si="0"/>
        <v>0</v>
      </c>
    </row>
    <row r="12" spans="1:8" ht="14.4">
      <c r="A12" s="3" t="s">
        <v>410</v>
      </c>
      <c r="B12" s="58">
        <f>SUMIFS('QUICK ENTRY'!$E$8:$E$1007,'QUICK ENTRY'!$AF$8:$AF$1007,"Yes",'QUICK ENTRY'!$C$8:$C$1007,"Expense",'QUICK ENTRY'!$I$8:$I$1007,"Technology",'QUICK ENTRY'!$J$8:$J$1007,$A12,'QUICK ENTRY'!$V$8:$V$1007,DASHBOARD!$C$3,'QUICK ENTRY'!$X$8:$X$1007,DASHBOARD!$C$4)</f>
        <v>0</v>
      </c>
      <c r="C12" s="58">
        <f>SUMIFS('QUICK ENTRY'!$E$8:$E$1007,'QUICK ENTRY'!$AF$8:$AF$1007,"Yes",'QUICK ENTRY'!$C$8:$C$1007,"Expense",'QUICK ENTRY'!$I$8:$I$1007,"Technology",'QUICK ENTRY'!$J$8:$J$1007,$A12,'QUICK ENTRY'!$X$8:$X$1007,DASHBOARD!$C$4)</f>
        <v>0</v>
      </c>
      <c r="D12" s="44">
        <f>COUNTIFS('QUICK ENTRY'!$AF$8:$AF$1007,"Yes",'QUICK ENTRY'!$C$8:$C$1007,"Expense",'QUICK ENTRY'!$I$8:$I$1007,"Technology",'QUICK ENTRY'!$J$8:$J$1007,$A12,'QUICK ENTRY'!$V$8:$V$1007,DASHBOARD!$C$3,'QUICK ENTRY'!$X$8:$X$1007,DASHBOARD!$C$4)</f>
        <v>0</v>
      </c>
      <c r="E12" s="61">
        <f t="shared" si="0"/>
        <v>0</v>
      </c>
    </row>
    <row r="13" spans="1:8" ht="14.4">
      <c r="A13" s="3" t="s">
        <v>411</v>
      </c>
      <c r="B13" s="58">
        <f>SUMIFS('QUICK ENTRY'!$E$8:$E$1007,'QUICK ENTRY'!$AF$8:$AF$1007,"Yes",'QUICK ENTRY'!$C$8:$C$1007,"Expense",'QUICK ENTRY'!$I$8:$I$1007,"Technology",'QUICK ENTRY'!$J$8:$J$1007,$A13,'QUICK ENTRY'!$V$8:$V$1007,DASHBOARD!$C$3,'QUICK ENTRY'!$X$8:$X$1007,DASHBOARD!$C$4)</f>
        <v>0</v>
      </c>
      <c r="C13" s="58">
        <f>SUMIFS('QUICK ENTRY'!$E$8:$E$1007,'QUICK ENTRY'!$AF$8:$AF$1007,"Yes",'QUICK ENTRY'!$C$8:$C$1007,"Expense",'QUICK ENTRY'!$I$8:$I$1007,"Technology",'QUICK ENTRY'!$J$8:$J$1007,$A13,'QUICK ENTRY'!$X$8:$X$1007,DASHBOARD!$C$4)</f>
        <v>0</v>
      </c>
      <c r="D13" s="44">
        <f>COUNTIFS('QUICK ENTRY'!$AF$8:$AF$1007,"Yes",'QUICK ENTRY'!$C$8:$C$1007,"Expense",'QUICK ENTRY'!$I$8:$I$1007,"Technology",'QUICK ENTRY'!$J$8:$J$1007,$A13,'QUICK ENTRY'!$V$8:$V$1007,DASHBOARD!$C$3,'QUICK ENTRY'!$X$8:$X$1007,DASHBOARD!$C$4)</f>
        <v>0</v>
      </c>
      <c r="E13" s="61">
        <f t="shared" si="0"/>
        <v>0</v>
      </c>
    </row>
    <row r="14" spans="1:8" ht="14.4">
      <c r="A14" s="3" t="s">
        <v>412</v>
      </c>
      <c r="B14" s="58">
        <f>SUMIFS('QUICK ENTRY'!$E$8:$E$1007,'QUICK ENTRY'!$AF$8:$AF$1007,"Yes",'QUICK ENTRY'!$C$8:$C$1007,"Expense",'QUICK ENTRY'!$I$8:$I$1007,"Technology",'QUICK ENTRY'!$J$8:$J$1007,$A14,'QUICK ENTRY'!$V$8:$V$1007,DASHBOARD!$C$3,'QUICK ENTRY'!$X$8:$X$1007,DASHBOARD!$C$4)</f>
        <v>0</v>
      </c>
      <c r="C14" s="58">
        <f>SUMIFS('QUICK ENTRY'!$E$8:$E$1007,'QUICK ENTRY'!$AF$8:$AF$1007,"Yes",'QUICK ENTRY'!$C$8:$C$1007,"Expense",'QUICK ENTRY'!$I$8:$I$1007,"Technology",'QUICK ENTRY'!$J$8:$J$1007,$A14,'QUICK ENTRY'!$X$8:$X$1007,DASHBOARD!$C$4)</f>
        <v>0</v>
      </c>
      <c r="D14" s="44">
        <f>COUNTIFS('QUICK ENTRY'!$AF$8:$AF$1007,"Yes",'QUICK ENTRY'!$C$8:$C$1007,"Expense",'QUICK ENTRY'!$I$8:$I$1007,"Technology",'QUICK ENTRY'!$J$8:$J$1007,$A14,'QUICK ENTRY'!$V$8:$V$1007,DASHBOARD!$C$3,'QUICK ENTRY'!$X$8:$X$1007,DASHBOARD!$C$4)</f>
        <v>0</v>
      </c>
      <c r="E14" s="61">
        <f t="shared" si="0"/>
        <v>0</v>
      </c>
    </row>
    <row r="15" spans="1:8" ht="14.4">
      <c r="A15" s="3" t="s">
        <v>413</v>
      </c>
      <c r="B15" s="58">
        <f>SUMIFS('QUICK ENTRY'!$E$8:$E$1007,'QUICK ENTRY'!$AF$8:$AF$1007,"Yes",'QUICK ENTRY'!$C$8:$C$1007,"Expense",'QUICK ENTRY'!$I$8:$I$1007,"Technology",'QUICK ENTRY'!$J$8:$J$1007,$A15,'QUICK ENTRY'!$V$8:$V$1007,DASHBOARD!$C$3,'QUICK ENTRY'!$X$8:$X$1007,DASHBOARD!$C$4)</f>
        <v>0</v>
      </c>
      <c r="C15" s="58">
        <f>SUMIFS('QUICK ENTRY'!$E$8:$E$1007,'QUICK ENTRY'!$AF$8:$AF$1007,"Yes",'QUICK ENTRY'!$C$8:$C$1007,"Expense",'QUICK ENTRY'!$I$8:$I$1007,"Technology",'QUICK ENTRY'!$J$8:$J$1007,$A15,'QUICK ENTRY'!$X$8:$X$1007,DASHBOARD!$C$4)</f>
        <v>0</v>
      </c>
      <c r="D15" s="44">
        <f>COUNTIFS('QUICK ENTRY'!$AF$8:$AF$1007,"Yes",'QUICK ENTRY'!$C$8:$C$1007,"Expense",'QUICK ENTRY'!$I$8:$I$1007,"Technology",'QUICK ENTRY'!$J$8:$J$1007,$A15,'QUICK ENTRY'!$V$8:$V$1007,DASHBOARD!$C$3,'QUICK ENTRY'!$X$8:$X$1007,DASHBOARD!$C$4)</f>
        <v>0</v>
      </c>
      <c r="E15" s="61">
        <f t="shared" si="0"/>
        <v>0</v>
      </c>
    </row>
    <row r="16" spans="1:8" ht="14.4">
      <c r="A16" s="3" t="s">
        <v>414</v>
      </c>
      <c r="B16" s="58">
        <f>SUMIFS('QUICK ENTRY'!$E$8:$E$1007,'QUICK ENTRY'!$AF$8:$AF$1007,"Yes",'QUICK ENTRY'!$C$8:$C$1007,"Expense",'QUICK ENTRY'!$I$8:$I$1007,"Technology",'QUICK ENTRY'!$J$8:$J$1007,$A16,'QUICK ENTRY'!$V$8:$V$1007,DASHBOARD!$C$3,'QUICK ENTRY'!$X$8:$X$1007,DASHBOARD!$C$4)</f>
        <v>0</v>
      </c>
      <c r="C16" s="58">
        <f>SUMIFS('QUICK ENTRY'!$E$8:$E$1007,'QUICK ENTRY'!$AF$8:$AF$1007,"Yes",'QUICK ENTRY'!$C$8:$C$1007,"Expense",'QUICK ENTRY'!$I$8:$I$1007,"Technology",'QUICK ENTRY'!$J$8:$J$1007,$A16,'QUICK ENTRY'!$X$8:$X$1007,DASHBOARD!$C$4)</f>
        <v>0</v>
      </c>
      <c r="D16" s="44">
        <f>COUNTIFS('QUICK ENTRY'!$AF$8:$AF$1007,"Yes",'QUICK ENTRY'!$C$8:$C$1007,"Expense",'QUICK ENTRY'!$I$8:$I$1007,"Technology",'QUICK ENTRY'!$J$8:$J$1007,$A16,'QUICK ENTRY'!$V$8:$V$1007,DASHBOARD!$C$3,'QUICK ENTRY'!$X$8:$X$1007,DASHBOARD!$C$4)</f>
        <v>0</v>
      </c>
      <c r="E16" s="61">
        <f t="shared" si="0"/>
        <v>0</v>
      </c>
    </row>
    <row r="17" spans="1:19" ht="14.4">
      <c r="A17" s="3" t="s">
        <v>415</v>
      </c>
      <c r="B17" s="58">
        <f>SUMIFS('QUICK ENTRY'!$E$8:$E$1007,'QUICK ENTRY'!$AF$8:$AF$1007,"Yes",'QUICK ENTRY'!$C$8:$C$1007,"Expense",'QUICK ENTRY'!$I$8:$I$1007,"Technology",'QUICK ENTRY'!$J$8:$J$1007,$A17,'QUICK ENTRY'!$V$8:$V$1007,DASHBOARD!$C$3,'QUICK ENTRY'!$X$8:$X$1007,DASHBOARD!$C$4)</f>
        <v>0</v>
      </c>
      <c r="C17" s="58">
        <f>SUMIFS('QUICK ENTRY'!$E$8:$E$1007,'QUICK ENTRY'!$AF$8:$AF$1007,"Yes",'QUICK ENTRY'!$C$8:$C$1007,"Expense",'QUICK ENTRY'!$I$8:$I$1007,"Technology",'QUICK ENTRY'!$J$8:$J$1007,$A17,'QUICK ENTRY'!$X$8:$X$1007,DASHBOARD!$C$4)</f>
        <v>0</v>
      </c>
      <c r="D17" s="44">
        <f>COUNTIFS('QUICK ENTRY'!$AF$8:$AF$1007,"Yes",'QUICK ENTRY'!$C$8:$C$1007,"Expense",'QUICK ENTRY'!$I$8:$I$1007,"Technology",'QUICK ENTRY'!$J$8:$J$1007,$A17,'QUICK ENTRY'!$V$8:$V$1007,DASHBOARD!$C$3,'QUICK ENTRY'!$X$8:$X$1007,DASHBOARD!$C$4)</f>
        <v>0</v>
      </c>
      <c r="E17" s="61">
        <f t="shared" si="0"/>
        <v>0</v>
      </c>
    </row>
    <row r="18" spans="1:19" ht="14.4">
      <c r="A18" s="3" t="s">
        <v>416</v>
      </c>
      <c r="B18" s="58">
        <f>SUMIFS('QUICK ENTRY'!$E$8:$E$1007,'QUICK ENTRY'!$AF$8:$AF$1007,"Yes",'QUICK ENTRY'!$C$8:$C$1007,"Expense",'QUICK ENTRY'!$I$8:$I$1007,"Technology",'QUICK ENTRY'!$J$8:$J$1007,$A18,'QUICK ENTRY'!$V$8:$V$1007,DASHBOARD!$C$3,'QUICK ENTRY'!$X$8:$X$1007,DASHBOARD!$C$4)</f>
        <v>0</v>
      </c>
      <c r="C18" s="58">
        <f>SUMIFS('QUICK ENTRY'!$E$8:$E$1007,'QUICK ENTRY'!$AF$8:$AF$1007,"Yes",'QUICK ENTRY'!$C$8:$C$1007,"Expense",'QUICK ENTRY'!$I$8:$I$1007,"Technology",'QUICK ENTRY'!$J$8:$J$1007,$A18,'QUICK ENTRY'!$X$8:$X$1007,DASHBOARD!$C$4)</f>
        <v>0</v>
      </c>
      <c r="D18" s="44">
        <f>COUNTIFS('QUICK ENTRY'!$AF$8:$AF$1007,"Yes",'QUICK ENTRY'!$C$8:$C$1007,"Expense",'QUICK ENTRY'!$I$8:$I$1007,"Technology",'QUICK ENTRY'!$J$8:$J$1007,$A18,'QUICK ENTRY'!$V$8:$V$1007,DASHBOARD!$C$3,'QUICK ENTRY'!$X$8:$X$1007,DASHBOARD!$C$4)</f>
        <v>0</v>
      </c>
      <c r="E18" s="61">
        <f t="shared" si="0"/>
        <v>0</v>
      </c>
    </row>
    <row r="19" spans="1:19" ht="14.4">
      <c r="A19" s="3" t="s">
        <v>417</v>
      </c>
      <c r="B19" s="58">
        <f>SUMIFS('QUICK ENTRY'!$E$8:$E$1007,'QUICK ENTRY'!$AF$8:$AF$1007,"Yes",'QUICK ENTRY'!$C$8:$C$1007,"Expense",'QUICK ENTRY'!$I$8:$I$1007,"Technology",'QUICK ENTRY'!$J$8:$J$1007,$A19,'QUICK ENTRY'!$V$8:$V$1007,DASHBOARD!$C$3,'QUICK ENTRY'!$X$8:$X$1007,DASHBOARD!$C$4)</f>
        <v>0</v>
      </c>
      <c r="C19" s="58">
        <f>SUMIFS('QUICK ENTRY'!$E$8:$E$1007,'QUICK ENTRY'!$AF$8:$AF$1007,"Yes",'QUICK ENTRY'!$C$8:$C$1007,"Expense",'QUICK ENTRY'!$I$8:$I$1007,"Technology",'QUICK ENTRY'!$J$8:$J$1007,$A19,'QUICK ENTRY'!$X$8:$X$1007,DASHBOARD!$C$4)</f>
        <v>0</v>
      </c>
      <c r="D19" s="44">
        <f>COUNTIFS('QUICK ENTRY'!$AF$8:$AF$1007,"Yes",'QUICK ENTRY'!$C$8:$C$1007,"Expense",'QUICK ENTRY'!$I$8:$I$1007,"Technology",'QUICK ENTRY'!$J$8:$J$1007,$A19,'QUICK ENTRY'!$V$8:$V$1007,DASHBOARD!$C$3,'QUICK ENTRY'!$X$8:$X$1007,DASHBOARD!$C$4)</f>
        <v>0</v>
      </c>
      <c r="E19" s="61">
        <f t="shared" si="0"/>
        <v>0</v>
      </c>
    </row>
    <row r="20" spans="1:19" ht="14.4">
      <c r="A20" s="4" t="s">
        <v>159</v>
      </c>
      <c r="B20" s="59">
        <f>SUMIFS('QUICK ENTRY'!$E$8:$E$1007,'QUICK ENTRY'!$AF$8:$AF$1007,"Yes",'QUICK ENTRY'!$C$8:$C$1007,"Expense",'QUICK ENTRY'!$I$8:$I$1007,"Technology",'QUICK ENTRY'!$J$8:$J$1007,$A20,'QUICK ENTRY'!$V$8:$V$1007,DASHBOARD!$C$3,'QUICK ENTRY'!$X$8:$X$1007,DASHBOARD!$C$4)</f>
        <v>0</v>
      </c>
      <c r="C20" s="59">
        <f>SUMIFS('QUICK ENTRY'!$E$8:$E$1007,'QUICK ENTRY'!$AF$8:$AF$1007,"Yes",'QUICK ENTRY'!$C$8:$C$1007,"Expense",'QUICK ENTRY'!$I$8:$I$1007,"Technology",'QUICK ENTRY'!$J$8:$J$1007,$A20,'QUICK ENTRY'!$X$8:$X$1007,DASHBOARD!$C$4)</f>
        <v>0</v>
      </c>
      <c r="D20" s="45">
        <f>COUNTIFS('QUICK ENTRY'!$AF$8:$AF$1007,"Yes",'QUICK ENTRY'!$C$8:$C$1007,"Expense",'QUICK ENTRY'!$I$8:$I$1007,"Technology",'QUICK ENTRY'!$J$8:$J$1007,$A20,'QUICK ENTRY'!$V$8:$V$1007,DASHBOARD!$C$3,'QUICK ENTRY'!$X$8:$X$1007,DASHBOARD!$C$4)</f>
        <v>0</v>
      </c>
      <c r="E20" s="62">
        <f t="shared" si="0"/>
        <v>0</v>
      </c>
    </row>
    <row r="23" spans="1:19" ht="22.95" customHeight="1">
      <c r="A23" s="109" t="s">
        <v>418</v>
      </c>
      <c r="B23" s="110" t="s">
        <v>418</v>
      </c>
      <c r="C23" s="110" t="s">
        <v>418</v>
      </c>
      <c r="D23" s="110" t="s">
        <v>418</v>
      </c>
      <c r="E23" s="110" t="s">
        <v>418</v>
      </c>
      <c r="F23" s="110" t="s">
        <v>418</v>
      </c>
      <c r="G23" s="110" t="s">
        <v>418</v>
      </c>
      <c r="H23" s="110" t="s">
        <v>418</v>
      </c>
      <c r="I23" s="110" t="s">
        <v>418</v>
      </c>
      <c r="J23" s="111" t="s">
        <v>418</v>
      </c>
      <c r="L23" s="118" t="s">
        <v>419</v>
      </c>
      <c r="M23" s="119" t="s">
        <v>419</v>
      </c>
      <c r="N23" s="119" t="s">
        <v>419</v>
      </c>
      <c r="O23" s="119" t="s">
        <v>419</v>
      </c>
      <c r="P23" s="119" t="s">
        <v>419</v>
      </c>
      <c r="Q23" s="119" t="s">
        <v>419</v>
      </c>
      <c r="R23" s="119" t="s">
        <v>419</v>
      </c>
      <c r="S23" s="120" t="s">
        <v>419</v>
      </c>
    </row>
    <row r="25" spans="1:19" ht="30" customHeight="1">
      <c r="A25" s="40" t="s">
        <v>341</v>
      </c>
      <c r="B25" s="41" t="s">
        <v>420</v>
      </c>
      <c r="C25" s="41" t="s">
        <v>421</v>
      </c>
      <c r="D25" s="41" t="s">
        <v>422</v>
      </c>
      <c r="E25" s="41" t="s">
        <v>423</v>
      </c>
      <c r="F25" s="41" t="s">
        <v>413</v>
      </c>
      <c r="G25" s="41" t="s">
        <v>424</v>
      </c>
      <c r="H25" s="41" t="s">
        <v>425</v>
      </c>
      <c r="I25" s="41" t="s">
        <v>426</v>
      </c>
      <c r="J25" s="42" t="s">
        <v>427</v>
      </c>
      <c r="L25" s="37" t="s">
        <v>341</v>
      </c>
      <c r="M25" s="38" t="s">
        <v>428</v>
      </c>
      <c r="N25" s="38" t="s">
        <v>429</v>
      </c>
      <c r="O25" s="38" t="s">
        <v>430</v>
      </c>
      <c r="P25" s="38" t="s">
        <v>431</v>
      </c>
      <c r="Q25" s="38" t="s">
        <v>432</v>
      </c>
      <c r="R25" s="38" t="s">
        <v>433</v>
      </c>
      <c r="S25" s="39" t="s">
        <v>434</v>
      </c>
    </row>
    <row r="26" spans="1:19" ht="14.4">
      <c r="A26" s="8"/>
      <c r="B26" s="22"/>
      <c r="C26" s="22"/>
      <c r="D26" s="22"/>
      <c r="E26" s="22"/>
      <c r="F26" s="22"/>
      <c r="G26" s="22"/>
      <c r="H26" s="8"/>
      <c r="I26" s="57">
        <f t="shared" ref="I26:I31" si="1">SUM(B26:G26)</f>
        <v>0</v>
      </c>
      <c r="J26" s="57">
        <f t="shared" ref="J26:J31" si="2">IFERROR(I26/(H26*12),0)</f>
        <v>0</v>
      </c>
      <c r="L26" s="82"/>
      <c r="M26" s="101"/>
      <c r="N26" s="82"/>
      <c r="O26" s="102" t="str">
        <f t="shared" ref="O26:O31" si="3">IF(OR(M26="",N26=""),"",EDATE(M26,N26))</f>
        <v/>
      </c>
      <c r="P26" s="82" t="s">
        <v>349</v>
      </c>
      <c r="Q26" s="82"/>
      <c r="R26" s="81" t="str">
        <f t="shared" ref="R26:R31" ca="1" si="4">IF(O26="","",O26-TODAY())</f>
        <v/>
      </c>
      <c r="S26" s="81" t="str">
        <f t="shared" ref="S26:S31" si="5">IF(O26="","",IF(R26&lt;0,"Expired",IF(R26&lt;=30,"Expiring Soon","Active")))</f>
        <v/>
      </c>
    </row>
    <row r="27" spans="1:19" ht="14.4">
      <c r="A27" s="9"/>
      <c r="B27" s="11"/>
      <c r="C27" s="11"/>
      <c r="D27" s="11"/>
      <c r="E27" s="11"/>
      <c r="F27" s="11"/>
      <c r="G27" s="11"/>
      <c r="H27" s="9"/>
      <c r="I27" s="58">
        <f t="shared" si="1"/>
        <v>0</v>
      </c>
      <c r="J27" s="58">
        <f t="shared" si="2"/>
        <v>0</v>
      </c>
      <c r="L27" s="82"/>
      <c r="M27" s="101"/>
      <c r="N27" s="82"/>
      <c r="O27" s="102" t="str">
        <f t="shared" si="3"/>
        <v/>
      </c>
      <c r="P27" s="82" t="s">
        <v>349</v>
      </c>
      <c r="Q27" s="82"/>
      <c r="R27" s="81" t="str">
        <f t="shared" ca="1" si="4"/>
        <v/>
      </c>
      <c r="S27" s="81" t="str">
        <f t="shared" si="5"/>
        <v/>
      </c>
    </row>
    <row r="28" spans="1:19" ht="14.4">
      <c r="A28" s="9"/>
      <c r="B28" s="11"/>
      <c r="C28" s="11"/>
      <c r="D28" s="11"/>
      <c r="E28" s="11"/>
      <c r="F28" s="11"/>
      <c r="G28" s="11"/>
      <c r="H28" s="9"/>
      <c r="I28" s="58">
        <f t="shared" si="1"/>
        <v>0</v>
      </c>
      <c r="J28" s="58">
        <f t="shared" si="2"/>
        <v>0</v>
      </c>
      <c r="L28" s="82"/>
      <c r="M28" s="101"/>
      <c r="N28" s="82"/>
      <c r="O28" s="102" t="str">
        <f t="shared" si="3"/>
        <v/>
      </c>
      <c r="P28" s="82" t="s">
        <v>349</v>
      </c>
      <c r="Q28" s="82"/>
      <c r="R28" s="81" t="str">
        <f t="shared" ca="1" si="4"/>
        <v/>
      </c>
      <c r="S28" s="81" t="str">
        <f t="shared" si="5"/>
        <v/>
      </c>
    </row>
    <row r="29" spans="1:19" ht="14.4">
      <c r="A29" s="9"/>
      <c r="B29" s="11"/>
      <c r="C29" s="11"/>
      <c r="D29" s="11"/>
      <c r="E29" s="11"/>
      <c r="F29" s="11"/>
      <c r="G29" s="11"/>
      <c r="H29" s="9"/>
      <c r="I29" s="58">
        <f t="shared" si="1"/>
        <v>0</v>
      </c>
      <c r="J29" s="58">
        <f t="shared" si="2"/>
        <v>0</v>
      </c>
      <c r="L29" s="82"/>
      <c r="M29" s="101"/>
      <c r="N29" s="82"/>
      <c r="O29" s="102" t="str">
        <f t="shared" si="3"/>
        <v/>
      </c>
      <c r="P29" s="82" t="s">
        <v>349</v>
      </c>
      <c r="Q29" s="82"/>
      <c r="R29" s="81" t="str">
        <f t="shared" ca="1" si="4"/>
        <v/>
      </c>
      <c r="S29" s="81" t="str">
        <f t="shared" si="5"/>
        <v/>
      </c>
    </row>
    <row r="30" spans="1:19" ht="14.4">
      <c r="A30" s="9"/>
      <c r="B30" s="11"/>
      <c r="C30" s="11"/>
      <c r="D30" s="11"/>
      <c r="E30" s="11"/>
      <c r="F30" s="11"/>
      <c r="G30" s="11"/>
      <c r="H30" s="9"/>
      <c r="I30" s="58">
        <f t="shared" si="1"/>
        <v>0</v>
      </c>
      <c r="J30" s="58">
        <f t="shared" si="2"/>
        <v>0</v>
      </c>
      <c r="L30" s="82"/>
      <c r="M30" s="101"/>
      <c r="N30" s="82"/>
      <c r="O30" s="102" t="str">
        <f t="shared" si="3"/>
        <v/>
      </c>
      <c r="P30" s="82" t="s">
        <v>349</v>
      </c>
      <c r="Q30" s="82"/>
      <c r="R30" s="81" t="str">
        <f t="shared" ca="1" si="4"/>
        <v/>
      </c>
      <c r="S30" s="81" t="str">
        <f t="shared" si="5"/>
        <v/>
      </c>
    </row>
    <row r="31" spans="1:19" ht="14.4">
      <c r="A31" s="10"/>
      <c r="B31" s="23"/>
      <c r="C31" s="23"/>
      <c r="D31" s="23"/>
      <c r="E31" s="23"/>
      <c r="F31" s="23"/>
      <c r="G31" s="23"/>
      <c r="H31" s="10"/>
      <c r="I31" s="59">
        <f t="shared" si="1"/>
        <v>0</v>
      </c>
      <c r="J31" s="59">
        <f t="shared" si="2"/>
        <v>0</v>
      </c>
      <c r="L31" s="82"/>
      <c r="M31" s="101"/>
      <c r="N31" s="82"/>
      <c r="O31" s="102" t="str">
        <f t="shared" si="3"/>
        <v/>
      </c>
      <c r="P31" s="82" t="s">
        <v>349</v>
      </c>
      <c r="Q31" s="82"/>
      <c r="R31" s="81" t="str">
        <f t="shared" ca="1" si="4"/>
        <v/>
      </c>
      <c r="S31" s="81" t="str">
        <f t="shared" si="5"/>
        <v/>
      </c>
    </row>
  </sheetData>
  <mergeCells count="12">
    <mergeCell ref="A23:J23"/>
    <mergeCell ref="L23:S23"/>
    <mergeCell ref="A1:H2"/>
    <mergeCell ref="A3:H3"/>
    <mergeCell ref="A4:B4"/>
    <mergeCell ref="A5:B5"/>
    <mergeCell ref="C4:D4"/>
    <mergeCell ref="C5:D5"/>
    <mergeCell ref="E4:F4"/>
    <mergeCell ref="E5:F5"/>
    <mergeCell ref="G4:H4"/>
    <mergeCell ref="G5:H5"/>
  </mergeCells>
  <conditionalFormatting sqref="E8:E20">
    <cfRule type="dataBar" priority="1">
      <dataBar>
        <cfvo type="min"/>
        <cfvo type="max"/>
        <color rgb="FF8B5CF6"/>
      </dataBar>
    </cfRule>
    <cfRule type="dataBar" priority="10">
      <dataBar>
        <cfvo type="min"/>
        <cfvo type="max"/>
        <color rgb="FF8B5CF6"/>
      </dataBar>
      <extLst>
        <ext xmlns:x14="http://schemas.microsoft.com/office/spreadsheetml/2009/9/main" uri="{B025F937-C7B1-47D3-B67F-A62EFF666E3E}">
          <x14:id>{A854F184-867E-7C11-1EA7-66A4CCC14C57}</x14:id>
        </ext>
      </extLst>
    </cfRule>
  </conditionalFormatting>
  <conditionalFormatting sqref="S26:S31">
    <cfRule type="containsText" dxfId="52" priority="2" operator="containsText" text="Safe"/>
    <cfRule type="containsText" dxfId="51" priority="5" operator="containsText" text="Watch"/>
    <cfRule type="containsText" dxfId="50" priority="7" operator="containsText" text="Near"/>
    <cfRule type="containsText" dxfId="49" priority="8" operator="containsText" text="Over"/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54F184-867E-7C11-1EA7-66A4CCC14C57}">
            <x14:dataBar>
              <x14:cfvo type="min"/>
              <x14:cfvo type="max"/>
              <x14:negativeFillColor auto="1"/>
              <x14:axisColor auto="1"/>
            </x14:dataBar>
          </x14:cfRule>
          <xm:sqref>E8:E20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4"/>
  <sheetViews>
    <sheetView showGridLines="0" workbookViewId="0"/>
  </sheetViews>
  <sheetFormatPr defaultRowHeight="13.8"/>
  <cols>
    <col min="1" max="1" width="23" customWidth="1"/>
    <col min="2" max="9" width="15" customWidth="1"/>
    <col min="10" max="12" width="16" customWidth="1"/>
  </cols>
  <sheetData>
    <row r="1" spans="1:8" ht="31.95" customHeight="1">
      <c r="A1" s="107" t="s">
        <v>435</v>
      </c>
      <c r="B1" s="107" t="s">
        <v>435</v>
      </c>
      <c r="C1" s="107" t="s">
        <v>435</v>
      </c>
      <c r="D1" s="107" t="s">
        <v>435</v>
      </c>
      <c r="E1" s="107" t="s">
        <v>435</v>
      </c>
      <c r="F1" s="107" t="s">
        <v>435</v>
      </c>
      <c r="G1" s="107" t="s">
        <v>435</v>
      </c>
      <c r="H1" s="107" t="s">
        <v>435</v>
      </c>
    </row>
    <row r="2" spans="1:8" ht="31.95" customHeight="1">
      <c r="A2" s="107" t="s">
        <v>435</v>
      </c>
      <c r="B2" s="107" t="s">
        <v>435</v>
      </c>
      <c r="C2" s="107" t="s">
        <v>435</v>
      </c>
      <c r="D2" s="107" t="s">
        <v>435</v>
      </c>
      <c r="E2" s="107" t="s">
        <v>435</v>
      </c>
      <c r="F2" s="107" t="s">
        <v>435</v>
      </c>
      <c r="G2" s="107" t="s">
        <v>435</v>
      </c>
      <c r="H2" s="107" t="s">
        <v>435</v>
      </c>
    </row>
    <row r="3" spans="1:8" ht="18" customHeight="1">
      <c r="A3" s="108" t="s">
        <v>436</v>
      </c>
      <c r="B3" s="108" t="s">
        <v>436</v>
      </c>
      <c r="C3" s="108" t="s">
        <v>436</v>
      </c>
      <c r="D3" s="108" t="s">
        <v>436</v>
      </c>
      <c r="E3" s="108" t="s">
        <v>436</v>
      </c>
      <c r="F3" s="108" t="s">
        <v>436</v>
      </c>
      <c r="G3" s="108" t="s">
        <v>436</v>
      </c>
      <c r="H3" s="108" t="s">
        <v>436</v>
      </c>
    </row>
    <row r="4" spans="1:8">
      <c r="A4" s="268" t="s">
        <v>284</v>
      </c>
      <c r="B4" s="268" t="s">
        <v>284</v>
      </c>
      <c r="C4" s="268" t="s">
        <v>327</v>
      </c>
      <c r="D4" s="268" t="s">
        <v>327</v>
      </c>
      <c r="E4" s="268" t="s">
        <v>328</v>
      </c>
      <c r="F4" s="268" t="s">
        <v>328</v>
      </c>
      <c r="G4" s="268" t="s">
        <v>329</v>
      </c>
      <c r="H4" s="268" t="s">
        <v>329</v>
      </c>
    </row>
    <row r="5" spans="1:8">
      <c r="A5" s="269">
        <f>SUMIFS('QUICK ENTRY'!$E$8:$E$1007,'QUICK ENTRY'!$AF$8:$AF$1007,"Yes",'QUICK ENTRY'!$C$8:$C$1007,"Expense",'QUICK ENTRY'!$I$8:$I$1007,"AI-ML Learning",'QUICK ENTRY'!$V$8:$V$1007,DASHBOARD!$C$3,'QUICK ENTRY'!$X$8:$X$1007,DASHBOARD!$C$4)</f>
        <v>1499</v>
      </c>
      <c r="B5" s="270"/>
      <c r="C5" s="269">
        <f>SUMIFS('QUICK ENTRY'!$E$8:$E$1007,'QUICK ENTRY'!$AF$8:$AF$1007,"Yes",'QUICK ENTRY'!$C$8:$C$1007,"Expense",'QUICK ENTRY'!$I$8:$I$1007,"AI-ML Learning",'QUICK ENTRY'!$X$8:$X$1007,DASHBOARD!$C$4)</f>
        <v>3498</v>
      </c>
      <c r="D5" s="270"/>
      <c r="E5" s="269">
        <f>SUMIFS('MONTHLY BUDGET'!$S$8:$S$27,'MONTHLY BUDGET'!$A$8:$A$27,"AI-ML Learning")</f>
        <v>1000</v>
      </c>
      <c r="F5" s="270"/>
      <c r="G5" s="269">
        <f>E5-A5</f>
        <v>-499</v>
      </c>
      <c r="H5" s="270"/>
    </row>
    <row r="7" spans="1:8" ht="30" customHeight="1">
      <c r="A7" s="69" t="s">
        <v>88</v>
      </c>
      <c r="B7" s="70" t="s">
        <v>284</v>
      </c>
      <c r="C7" s="70" t="s">
        <v>285</v>
      </c>
      <c r="D7" s="70" t="s">
        <v>330</v>
      </c>
      <c r="E7" s="71" t="s">
        <v>331</v>
      </c>
    </row>
    <row r="8" spans="1:8" ht="14.4">
      <c r="A8" s="2" t="s">
        <v>174</v>
      </c>
      <c r="B8" s="57">
        <f>SUMIFS('QUICK ENTRY'!$E$8:$E$1007,'QUICK ENTRY'!$AF$8:$AF$1007,"Yes",'QUICK ENTRY'!$C$8:$C$1007,"Expense",'QUICK ENTRY'!$I$8:$I$1007,"AI-ML Learning",'QUICK ENTRY'!$J$8:$J$1007,$A8,'QUICK ENTRY'!$V$8:$V$1007,DASHBOARD!$C$3,'QUICK ENTRY'!$X$8:$X$1007,DASHBOARD!$C$4)</f>
        <v>1499</v>
      </c>
      <c r="C8" s="57">
        <f>SUMIFS('QUICK ENTRY'!$E$8:$E$1007,'QUICK ENTRY'!$AF$8:$AF$1007,"Yes",'QUICK ENTRY'!$C$8:$C$1007,"Expense",'QUICK ENTRY'!$I$8:$I$1007,"AI-ML Learning",'QUICK ENTRY'!$J$8:$J$1007,$A8,'QUICK ENTRY'!$X$8:$X$1007,DASHBOARD!$C$4)</f>
        <v>3498</v>
      </c>
      <c r="D8" s="43">
        <f>COUNTIFS('QUICK ENTRY'!$AF$8:$AF$1007,"Yes",'QUICK ENTRY'!$C$8:$C$1007,"Expense",'QUICK ENTRY'!$I$8:$I$1007,"AI-ML Learning",'QUICK ENTRY'!$J$8:$J$1007,$A8,'QUICK ENTRY'!$V$8:$V$1007,DASHBOARD!$C$3,'QUICK ENTRY'!$X$8:$X$1007,DASHBOARD!$C$4)</f>
        <v>1</v>
      </c>
      <c r="E8" s="60">
        <f t="shared" ref="E8:E17" si="0">IFERROR($B8/$A$5,0)</f>
        <v>1</v>
      </c>
    </row>
    <row r="9" spans="1:8" ht="14.4">
      <c r="A9" s="3" t="s">
        <v>316</v>
      </c>
      <c r="B9" s="58">
        <f>SUMIFS('QUICK ENTRY'!$E$8:$E$1007,'QUICK ENTRY'!$AF$8:$AF$1007,"Yes",'QUICK ENTRY'!$C$8:$C$1007,"Expense",'QUICK ENTRY'!$I$8:$I$1007,"AI-ML Learning",'QUICK ENTRY'!$J$8:$J$1007,$A9,'QUICK ENTRY'!$V$8:$V$1007,DASHBOARD!$C$3,'QUICK ENTRY'!$X$8:$X$1007,DASHBOARD!$C$4)</f>
        <v>0</v>
      </c>
      <c r="C9" s="58">
        <f>SUMIFS('QUICK ENTRY'!$E$8:$E$1007,'QUICK ENTRY'!$AF$8:$AF$1007,"Yes",'QUICK ENTRY'!$C$8:$C$1007,"Expense",'QUICK ENTRY'!$I$8:$I$1007,"AI-ML Learning",'QUICK ENTRY'!$J$8:$J$1007,$A9,'QUICK ENTRY'!$X$8:$X$1007,DASHBOARD!$C$4)</f>
        <v>0</v>
      </c>
      <c r="D9" s="44">
        <f>COUNTIFS('QUICK ENTRY'!$AF$8:$AF$1007,"Yes",'QUICK ENTRY'!$C$8:$C$1007,"Expense",'QUICK ENTRY'!$I$8:$I$1007,"AI-ML Learning",'QUICK ENTRY'!$J$8:$J$1007,$A9,'QUICK ENTRY'!$V$8:$V$1007,DASHBOARD!$C$3,'QUICK ENTRY'!$X$8:$X$1007,DASHBOARD!$C$4)</f>
        <v>0</v>
      </c>
      <c r="E9" s="61">
        <f t="shared" si="0"/>
        <v>0</v>
      </c>
    </row>
    <row r="10" spans="1:8" ht="14.4">
      <c r="A10" s="3" t="s">
        <v>178</v>
      </c>
      <c r="B10" s="58">
        <f>SUMIFS('QUICK ENTRY'!$E$8:$E$1007,'QUICK ENTRY'!$AF$8:$AF$1007,"Yes",'QUICK ENTRY'!$C$8:$C$1007,"Expense",'QUICK ENTRY'!$I$8:$I$1007,"AI-ML Learning",'QUICK ENTRY'!$J$8:$J$1007,$A10,'QUICK ENTRY'!$V$8:$V$1007,DASHBOARD!$C$3,'QUICK ENTRY'!$X$8:$X$1007,DASHBOARD!$C$4)</f>
        <v>0</v>
      </c>
      <c r="C10" s="58">
        <f>SUMIFS('QUICK ENTRY'!$E$8:$E$1007,'QUICK ENTRY'!$AF$8:$AF$1007,"Yes",'QUICK ENTRY'!$C$8:$C$1007,"Expense",'QUICK ENTRY'!$I$8:$I$1007,"AI-ML Learning",'QUICK ENTRY'!$J$8:$J$1007,$A10,'QUICK ENTRY'!$X$8:$X$1007,DASHBOARD!$C$4)</f>
        <v>0</v>
      </c>
      <c r="D10" s="44">
        <f>COUNTIFS('QUICK ENTRY'!$AF$8:$AF$1007,"Yes",'QUICK ENTRY'!$C$8:$C$1007,"Expense",'QUICK ENTRY'!$I$8:$I$1007,"AI-ML Learning",'QUICK ENTRY'!$J$8:$J$1007,$A10,'QUICK ENTRY'!$V$8:$V$1007,DASHBOARD!$C$3,'QUICK ENTRY'!$X$8:$X$1007,DASHBOARD!$C$4)</f>
        <v>0</v>
      </c>
      <c r="E10" s="61">
        <f t="shared" si="0"/>
        <v>0</v>
      </c>
    </row>
    <row r="11" spans="1:8" ht="14.4">
      <c r="A11" s="3" t="s">
        <v>437</v>
      </c>
      <c r="B11" s="58">
        <f>SUMIFS('QUICK ENTRY'!$E$8:$E$1007,'QUICK ENTRY'!$AF$8:$AF$1007,"Yes",'QUICK ENTRY'!$C$8:$C$1007,"Expense",'QUICK ENTRY'!$I$8:$I$1007,"AI-ML Learning",'QUICK ENTRY'!$J$8:$J$1007,$A11,'QUICK ENTRY'!$V$8:$V$1007,DASHBOARD!$C$3,'QUICK ENTRY'!$X$8:$X$1007,DASHBOARD!$C$4)</f>
        <v>0</v>
      </c>
      <c r="C11" s="58">
        <f>SUMIFS('QUICK ENTRY'!$E$8:$E$1007,'QUICK ENTRY'!$AF$8:$AF$1007,"Yes",'QUICK ENTRY'!$C$8:$C$1007,"Expense",'QUICK ENTRY'!$I$8:$I$1007,"AI-ML Learning",'QUICK ENTRY'!$J$8:$J$1007,$A11,'QUICK ENTRY'!$X$8:$X$1007,DASHBOARD!$C$4)</f>
        <v>0</v>
      </c>
      <c r="D11" s="44">
        <f>COUNTIFS('QUICK ENTRY'!$AF$8:$AF$1007,"Yes",'QUICK ENTRY'!$C$8:$C$1007,"Expense",'QUICK ENTRY'!$I$8:$I$1007,"AI-ML Learning",'QUICK ENTRY'!$J$8:$J$1007,$A11,'QUICK ENTRY'!$V$8:$V$1007,DASHBOARD!$C$3,'QUICK ENTRY'!$X$8:$X$1007,DASHBOARD!$C$4)</f>
        <v>0</v>
      </c>
      <c r="E11" s="61">
        <f t="shared" si="0"/>
        <v>0</v>
      </c>
    </row>
    <row r="12" spans="1:8" ht="14.4">
      <c r="A12" s="3" t="s">
        <v>438</v>
      </c>
      <c r="B12" s="58">
        <f>SUMIFS('QUICK ENTRY'!$E$8:$E$1007,'QUICK ENTRY'!$AF$8:$AF$1007,"Yes",'QUICK ENTRY'!$C$8:$C$1007,"Expense",'QUICK ENTRY'!$I$8:$I$1007,"AI-ML Learning",'QUICK ENTRY'!$J$8:$J$1007,$A12,'QUICK ENTRY'!$V$8:$V$1007,DASHBOARD!$C$3,'QUICK ENTRY'!$X$8:$X$1007,DASHBOARD!$C$4)</f>
        <v>0</v>
      </c>
      <c r="C12" s="58">
        <f>SUMIFS('QUICK ENTRY'!$E$8:$E$1007,'QUICK ENTRY'!$AF$8:$AF$1007,"Yes",'QUICK ENTRY'!$C$8:$C$1007,"Expense",'QUICK ENTRY'!$I$8:$I$1007,"AI-ML Learning",'QUICK ENTRY'!$J$8:$J$1007,$A12,'QUICK ENTRY'!$X$8:$X$1007,DASHBOARD!$C$4)</f>
        <v>0</v>
      </c>
      <c r="D12" s="44">
        <f>COUNTIFS('QUICK ENTRY'!$AF$8:$AF$1007,"Yes",'QUICK ENTRY'!$C$8:$C$1007,"Expense",'QUICK ENTRY'!$I$8:$I$1007,"AI-ML Learning",'QUICK ENTRY'!$J$8:$J$1007,$A12,'QUICK ENTRY'!$V$8:$V$1007,DASHBOARD!$C$3,'QUICK ENTRY'!$X$8:$X$1007,DASHBOARD!$C$4)</f>
        <v>0</v>
      </c>
      <c r="E12" s="61">
        <f t="shared" si="0"/>
        <v>0</v>
      </c>
    </row>
    <row r="13" spans="1:8" ht="14.4">
      <c r="A13" s="3" t="s">
        <v>439</v>
      </c>
      <c r="B13" s="58">
        <f>SUMIFS('QUICK ENTRY'!$E$8:$E$1007,'QUICK ENTRY'!$AF$8:$AF$1007,"Yes",'QUICK ENTRY'!$C$8:$C$1007,"Expense",'QUICK ENTRY'!$I$8:$I$1007,"AI-ML Learning",'QUICK ENTRY'!$J$8:$J$1007,$A13,'QUICK ENTRY'!$V$8:$V$1007,DASHBOARD!$C$3,'QUICK ENTRY'!$X$8:$X$1007,DASHBOARD!$C$4)</f>
        <v>0</v>
      </c>
      <c r="C13" s="58">
        <f>SUMIFS('QUICK ENTRY'!$E$8:$E$1007,'QUICK ENTRY'!$AF$8:$AF$1007,"Yes",'QUICK ENTRY'!$C$8:$C$1007,"Expense",'QUICK ENTRY'!$I$8:$I$1007,"AI-ML Learning",'QUICK ENTRY'!$J$8:$J$1007,$A13,'QUICK ENTRY'!$X$8:$X$1007,DASHBOARD!$C$4)</f>
        <v>0</v>
      </c>
      <c r="D13" s="44">
        <f>COUNTIFS('QUICK ENTRY'!$AF$8:$AF$1007,"Yes",'QUICK ENTRY'!$C$8:$C$1007,"Expense",'QUICK ENTRY'!$I$8:$I$1007,"AI-ML Learning",'QUICK ENTRY'!$J$8:$J$1007,$A13,'QUICK ENTRY'!$V$8:$V$1007,DASHBOARD!$C$3,'QUICK ENTRY'!$X$8:$X$1007,DASHBOARD!$C$4)</f>
        <v>0</v>
      </c>
      <c r="E13" s="61">
        <f t="shared" si="0"/>
        <v>0</v>
      </c>
    </row>
    <row r="14" spans="1:8" ht="14.4">
      <c r="A14" s="3" t="s">
        <v>440</v>
      </c>
      <c r="B14" s="58">
        <f>SUMIFS('QUICK ENTRY'!$E$8:$E$1007,'QUICK ENTRY'!$AF$8:$AF$1007,"Yes",'QUICK ENTRY'!$C$8:$C$1007,"Expense",'QUICK ENTRY'!$I$8:$I$1007,"AI-ML Learning",'QUICK ENTRY'!$J$8:$J$1007,$A14,'QUICK ENTRY'!$V$8:$V$1007,DASHBOARD!$C$3,'QUICK ENTRY'!$X$8:$X$1007,DASHBOARD!$C$4)</f>
        <v>0</v>
      </c>
      <c r="C14" s="58">
        <f>SUMIFS('QUICK ENTRY'!$E$8:$E$1007,'QUICK ENTRY'!$AF$8:$AF$1007,"Yes",'QUICK ENTRY'!$C$8:$C$1007,"Expense",'QUICK ENTRY'!$I$8:$I$1007,"AI-ML Learning",'QUICK ENTRY'!$J$8:$J$1007,$A14,'QUICK ENTRY'!$X$8:$X$1007,DASHBOARD!$C$4)</f>
        <v>0</v>
      </c>
      <c r="D14" s="44">
        <f>COUNTIFS('QUICK ENTRY'!$AF$8:$AF$1007,"Yes",'QUICK ENTRY'!$C$8:$C$1007,"Expense",'QUICK ENTRY'!$I$8:$I$1007,"AI-ML Learning",'QUICK ENTRY'!$J$8:$J$1007,$A14,'QUICK ENTRY'!$V$8:$V$1007,DASHBOARD!$C$3,'QUICK ENTRY'!$X$8:$X$1007,DASHBOARD!$C$4)</f>
        <v>0</v>
      </c>
      <c r="E14" s="61">
        <f t="shared" si="0"/>
        <v>0</v>
      </c>
    </row>
    <row r="15" spans="1:8" ht="14.4">
      <c r="A15" s="3" t="s">
        <v>414</v>
      </c>
      <c r="B15" s="58">
        <f>SUMIFS('QUICK ENTRY'!$E$8:$E$1007,'QUICK ENTRY'!$AF$8:$AF$1007,"Yes",'QUICK ENTRY'!$C$8:$C$1007,"Expense",'QUICK ENTRY'!$I$8:$I$1007,"AI-ML Learning",'QUICK ENTRY'!$J$8:$J$1007,$A15,'QUICK ENTRY'!$V$8:$V$1007,DASHBOARD!$C$3,'QUICK ENTRY'!$X$8:$X$1007,DASHBOARD!$C$4)</f>
        <v>0</v>
      </c>
      <c r="C15" s="58">
        <f>SUMIFS('QUICK ENTRY'!$E$8:$E$1007,'QUICK ENTRY'!$AF$8:$AF$1007,"Yes",'QUICK ENTRY'!$C$8:$C$1007,"Expense",'QUICK ENTRY'!$I$8:$I$1007,"AI-ML Learning",'QUICK ENTRY'!$J$8:$J$1007,$A15,'QUICK ENTRY'!$X$8:$X$1007,DASHBOARD!$C$4)</f>
        <v>0</v>
      </c>
      <c r="D15" s="44">
        <f>COUNTIFS('QUICK ENTRY'!$AF$8:$AF$1007,"Yes",'QUICK ENTRY'!$C$8:$C$1007,"Expense",'QUICK ENTRY'!$I$8:$I$1007,"AI-ML Learning",'QUICK ENTRY'!$J$8:$J$1007,$A15,'QUICK ENTRY'!$V$8:$V$1007,DASHBOARD!$C$3,'QUICK ENTRY'!$X$8:$X$1007,DASHBOARD!$C$4)</f>
        <v>0</v>
      </c>
      <c r="E15" s="61">
        <f t="shared" si="0"/>
        <v>0</v>
      </c>
    </row>
    <row r="16" spans="1:8" ht="14.4">
      <c r="A16" s="3" t="s">
        <v>441</v>
      </c>
      <c r="B16" s="58">
        <f>SUMIFS('QUICK ENTRY'!$E$8:$E$1007,'QUICK ENTRY'!$AF$8:$AF$1007,"Yes",'QUICK ENTRY'!$C$8:$C$1007,"Expense",'QUICK ENTRY'!$I$8:$I$1007,"AI-ML Learning",'QUICK ENTRY'!$J$8:$J$1007,$A16,'QUICK ENTRY'!$V$8:$V$1007,DASHBOARD!$C$3,'QUICK ENTRY'!$X$8:$X$1007,DASHBOARD!$C$4)</f>
        <v>0</v>
      </c>
      <c r="C16" s="58">
        <f>SUMIFS('QUICK ENTRY'!$E$8:$E$1007,'QUICK ENTRY'!$AF$8:$AF$1007,"Yes",'QUICK ENTRY'!$C$8:$C$1007,"Expense",'QUICK ENTRY'!$I$8:$I$1007,"AI-ML Learning",'QUICK ENTRY'!$J$8:$J$1007,$A16,'QUICK ENTRY'!$X$8:$X$1007,DASHBOARD!$C$4)</f>
        <v>0</v>
      </c>
      <c r="D16" s="44">
        <f>COUNTIFS('QUICK ENTRY'!$AF$8:$AF$1007,"Yes",'QUICK ENTRY'!$C$8:$C$1007,"Expense",'QUICK ENTRY'!$I$8:$I$1007,"AI-ML Learning",'QUICK ENTRY'!$J$8:$J$1007,$A16,'QUICK ENTRY'!$V$8:$V$1007,DASHBOARD!$C$3,'QUICK ENTRY'!$X$8:$X$1007,DASHBOARD!$C$4)</f>
        <v>0</v>
      </c>
      <c r="E16" s="61">
        <f t="shared" si="0"/>
        <v>0</v>
      </c>
    </row>
    <row r="17" spans="1:11" ht="14.4">
      <c r="A17" s="4" t="s">
        <v>159</v>
      </c>
      <c r="B17" s="59">
        <f>SUMIFS('QUICK ENTRY'!$E$8:$E$1007,'QUICK ENTRY'!$AF$8:$AF$1007,"Yes",'QUICK ENTRY'!$C$8:$C$1007,"Expense",'QUICK ENTRY'!$I$8:$I$1007,"AI-ML Learning",'QUICK ENTRY'!$J$8:$J$1007,$A17,'QUICK ENTRY'!$V$8:$V$1007,DASHBOARD!$C$3,'QUICK ENTRY'!$X$8:$X$1007,DASHBOARD!$C$4)</f>
        <v>0</v>
      </c>
      <c r="C17" s="59">
        <f>SUMIFS('QUICK ENTRY'!$E$8:$E$1007,'QUICK ENTRY'!$AF$8:$AF$1007,"Yes",'QUICK ENTRY'!$C$8:$C$1007,"Expense",'QUICK ENTRY'!$I$8:$I$1007,"AI-ML Learning",'QUICK ENTRY'!$J$8:$J$1007,$A17,'QUICK ENTRY'!$X$8:$X$1007,DASHBOARD!$C$4)</f>
        <v>0</v>
      </c>
      <c r="D17" s="45">
        <f>COUNTIFS('QUICK ENTRY'!$AF$8:$AF$1007,"Yes",'QUICK ENTRY'!$C$8:$C$1007,"Expense",'QUICK ENTRY'!$I$8:$I$1007,"AI-ML Learning",'QUICK ENTRY'!$J$8:$J$1007,$A17,'QUICK ENTRY'!$V$8:$V$1007,DASHBOARD!$C$3,'QUICK ENTRY'!$X$8:$X$1007,DASHBOARD!$C$4)</f>
        <v>0</v>
      </c>
      <c r="E17" s="62">
        <f t="shared" si="0"/>
        <v>0</v>
      </c>
    </row>
    <row r="20" spans="1:11" ht="22.95" customHeight="1">
      <c r="A20" s="109" t="s">
        <v>442</v>
      </c>
      <c r="B20" s="110" t="s">
        <v>442</v>
      </c>
      <c r="C20" s="110" t="s">
        <v>442</v>
      </c>
      <c r="D20" s="110" t="s">
        <v>442</v>
      </c>
      <c r="E20" s="110" t="s">
        <v>442</v>
      </c>
      <c r="F20" s="110" t="s">
        <v>442</v>
      </c>
      <c r="G20" s="110" t="s">
        <v>442</v>
      </c>
      <c r="H20" s="110" t="s">
        <v>442</v>
      </c>
      <c r="I20" s="110" t="s">
        <v>442</v>
      </c>
      <c r="J20" s="110" t="s">
        <v>442</v>
      </c>
      <c r="K20" s="111" t="s">
        <v>442</v>
      </c>
    </row>
    <row r="22" spans="1:11" ht="30" customHeight="1">
      <c r="A22" s="40" t="s">
        <v>174</v>
      </c>
      <c r="B22" s="41" t="s">
        <v>443</v>
      </c>
      <c r="C22" s="41" t="s">
        <v>444</v>
      </c>
      <c r="D22" s="41" t="s">
        <v>428</v>
      </c>
      <c r="E22" s="41" t="s">
        <v>445</v>
      </c>
      <c r="F22" s="41" t="s">
        <v>446</v>
      </c>
      <c r="G22" s="41" t="s">
        <v>447</v>
      </c>
      <c r="H22" s="41" t="s">
        <v>448</v>
      </c>
      <c r="I22" s="41" t="s">
        <v>449</v>
      </c>
      <c r="J22" s="41" t="s">
        <v>450</v>
      </c>
      <c r="K22" s="42" t="s">
        <v>107</v>
      </c>
    </row>
    <row r="23" spans="1:11" ht="14.4">
      <c r="A23" s="8"/>
      <c r="B23" s="8"/>
      <c r="C23" s="22"/>
      <c r="D23" s="46"/>
      <c r="E23" s="15"/>
      <c r="F23" s="8"/>
      <c r="G23" s="8"/>
      <c r="H23" s="8"/>
      <c r="I23" s="8"/>
      <c r="J23" s="8"/>
      <c r="K23" s="8"/>
    </row>
    <row r="24" spans="1:11" ht="14.4">
      <c r="A24" s="9"/>
      <c r="B24" s="9"/>
      <c r="C24" s="11"/>
      <c r="D24" s="13"/>
      <c r="E24" s="12"/>
      <c r="F24" s="9"/>
      <c r="G24" s="9"/>
      <c r="H24" s="9"/>
      <c r="I24" s="9"/>
      <c r="J24" s="9"/>
      <c r="K24" s="9"/>
    </row>
    <row r="25" spans="1:11" ht="14.4">
      <c r="A25" s="9"/>
      <c r="B25" s="9"/>
      <c r="C25" s="11"/>
      <c r="D25" s="13"/>
      <c r="E25" s="12"/>
      <c r="F25" s="9"/>
      <c r="G25" s="9"/>
      <c r="H25" s="9"/>
      <c r="I25" s="9"/>
      <c r="J25" s="9"/>
      <c r="K25" s="9"/>
    </row>
    <row r="26" spans="1:11" ht="14.4">
      <c r="A26" s="9"/>
      <c r="B26" s="9"/>
      <c r="C26" s="11"/>
      <c r="D26" s="13"/>
      <c r="E26" s="12"/>
      <c r="F26" s="9"/>
      <c r="G26" s="9"/>
      <c r="H26" s="9"/>
      <c r="I26" s="9"/>
      <c r="J26" s="9"/>
      <c r="K26" s="9"/>
    </row>
    <row r="27" spans="1:11" ht="14.4">
      <c r="A27" s="9"/>
      <c r="B27" s="9"/>
      <c r="C27" s="11"/>
      <c r="D27" s="13"/>
      <c r="E27" s="12"/>
      <c r="F27" s="9"/>
      <c r="G27" s="9"/>
      <c r="H27" s="9"/>
      <c r="I27" s="9"/>
      <c r="J27" s="9"/>
      <c r="K27" s="9"/>
    </row>
    <row r="28" spans="1:11" ht="14.4">
      <c r="A28" s="9"/>
      <c r="B28" s="9"/>
      <c r="C28" s="11"/>
      <c r="D28" s="13"/>
      <c r="E28" s="12"/>
      <c r="F28" s="9"/>
      <c r="G28" s="9"/>
      <c r="H28" s="9"/>
      <c r="I28" s="9"/>
      <c r="J28" s="9"/>
      <c r="K28" s="9"/>
    </row>
    <row r="29" spans="1:11" ht="14.4">
      <c r="A29" s="9"/>
      <c r="B29" s="9"/>
      <c r="C29" s="11"/>
      <c r="D29" s="13"/>
      <c r="E29" s="12"/>
      <c r="F29" s="9"/>
      <c r="G29" s="9"/>
      <c r="H29" s="9"/>
      <c r="I29" s="9"/>
      <c r="J29" s="9"/>
      <c r="K29" s="9"/>
    </row>
    <row r="30" spans="1:11" ht="14.4">
      <c r="A30" s="10"/>
      <c r="B30" s="10"/>
      <c r="C30" s="23"/>
      <c r="D30" s="47"/>
      <c r="E30" s="16"/>
      <c r="F30" s="10"/>
      <c r="G30" s="10"/>
      <c r="H30" s="10"/>
      <c r="I30" s="10"/>
      <c r="J30" s="10"/>
      <c r="K30" s="10"/>
    </row>
    <row r="34" spans="1:12" ht="22.95" customHeight="1">
      <c r="A34" s="130" t="s">
        <v>451</v>
      </c>
      <c r="B34" s="131" t="s">
        <v>451</v>
      </c>
      <c r="C34" s="131" t="s">
        <v>451</v>
      </c>
      <c r="D34" s="131" t="s">
        <v>451</v>
      </c>
      <c r="E34" s="131" t="s">
        <v>451</v>
      </c>
      <c r="F34" s="131" t="s">
        <v>451</v>
      </c>
      <c r="G34" s="131" t="s">
        <v>451</v>
      </c>
      <c r="H34" s="131" t="s">
        <v>451</v>
      </c>
      <c r="I34" s="131" t="s">
        <v>451</v>
      </c>
      <c r="J34" s="131" t="s">
        <v>451</v>
      </c>
      <c r="K34" s="131" t="s">
        <v>451</v>
      </c>
      <c r="L34" s="132" t="s">
        <v>451</v>
      </c>
    </row>
    <row r="36" spans="1:12" ht="30" customHeight="1">
      <c r="A36" s="40" t="s">
        <v>441</v>
      </c>
      <c r="B36" s="41" t="s">
        <v>96</v>
      </c>
      <c r="C36" s="41" t="s">
        <v>413</v>
      </c>
      <c r="D36" s="41" t="s">
        <v>414</v>
      </c>
      <c r="E36" s="41" t="s">
        <v>145</v>
      </c>
      <c r="F36" s="41" t="s">
        <v>452</v>
      </c>
      <c r="G36" s="41" t="s">
        <v>318</v>
      </c>
      <c r="H36" s="41" t="s">
        <v>166</v>
      </c>
      <c r="I36" s="41" t="s">
        <v>453</v>
      </c>
      <c r="J36" s="41" t="s">
        <v>72</v>
      </c>
      <c r="K36" s="41" t="s">
        <v>41</v>
      </c>
      <c r="L36" s="42" t="s">
        <v>242</v>
      </c>
    </row>
    <row r="37" spans="1:12" ht="14.4">
      <c r="A37" s="8"/>
      <c r="B37" s="8"/>
      <c r="C37" s="22"/>
      <c r="D37" s="22"/>
      <c r="E37" s="22"/>
      <c r="F37" s="22"/>
      <c r="G37" s="22"/>
      <c r="H37" s="22"/>
      <c r="I37" s="22"/>
      <c r="J37" s="22"/>
      <c r="K37" s="22"/>
      <c r="L37" s="57">
        <f t="shared" ref="L37:L44" si="1">J37-K37</f>
        <v>0</v>
      </c>
    </row>
    <row r="38" spans="1:12" ht="14.4">
      <c r="A38" s="9"/>
      <c r="B38" s="9"/>
      <c r="C38" s="11"/>
      <c r="D38" s="11"/>
      <c r="E38" s="11"/>
      <c r="F38" s="11"/>
      <c r="G38" s="11"/>
      <c r="H38" s="11"/>
      <c r="I38" s="11"/>
      <c r="J38" s="11"/>
      <c r="K38" s="11"/>
      <c r="L38" s="58">
        <f t="shared" si="1"/>
        <v>0</v>
      </c>
    </row>
    <row r="39" spans="1:12" ht="14.4">
      <c r="A39" s="9"/>
      <c r="B39" s="9"/>
      <c r="C39" s="11"/>
      <c r="D39" s="11"/>
      <c r="E39" s="11"/>
      <c r="F39" s="11"/>
      <c r="G39" s="11"/>
      <c r="H39" s="11"/>
      <c r="I39" s="11"/>
      <c r="J39" s="11"/>
      <c r="K39" s="11"/>
      <c r="L39" s="58">
        <f t="shared" si="1"/>
        <v>0</v>
      </c>
    </row>
    <row r="40" spans="1:12" ht="14.4">
      <c r="A40" s="9"/>
      <c r="B40" s="9"/>
      <c r="C40" s="11"/>
      <c r="D40" s="11"/>
      <c r="E40" s="11"/>
      <c r="F40" s="11"/>
      <c r="G40" s="11"/>
      <c r="H40" s="11"/>
      <c r="I40" s="11"/>
      <c r="J40" s="11"/>
      <c r="K40" s="11"/>
      <c r="L40" s="58">
        <f t="shared" si="1"/>
        <v>0</v>
      </c>
    </row>
    <row r="41" spans="1:12" ht="14.4">
      <c r="A41" s="9"/>
      <c r="B41" s="9"/>
      <c r="C41" s="11"/>
      <c r="D41" s="11"/>
      <c r="E41" s="11"/>
      <c r="F41" s="11"/>
      <c r="G41" s="11"/>
      <c r="H41" s="11"/>
      <c r="I41" s="11"/>
      <c r="J41" s="11"/>
      <c r="K41" s="11"/>
      <c r="L41" s="58">
        <f t="shared" si="1"/>
        <v>0</v>
      </c>
    </row>
    <row r="42" spans="1:12" ht="14.4">
      <c r="A42" s="9"/>
      <c r="B42" s="9"/>
      <c r="C42" s="11"/>
      <c r="D42" s="11"/>
      <c r="E42" s="11"/>
      <c r="F42" s="11"/>
      <c r="G42" s="11"/>
      <c r="H42" s="11"/>
      <c r="I42" s="11"/>
      <c r="J42" s="11"/>
      <c r="K42" s="11"/>
      <c r="L42" s="58">
        <f t="shared" si="1"/>
        <v>0</v>
      </c>
    </row>
    <row r="43" spans="1:12" ht="14.4">
      <c r="A43" s="9"/>
      <c r="B43" s="9"/>
      <c r="C43" s="11"/>
      <c r="D43" s="11"/>
      <c r="E43" s="11"/>
      <c r="F43" s="11"/>
      <c r="G43" s="11"/>
      <c r="H43" s="11"/>
      <c r="I43" s="11"/>
      <c r="J43" s="11"/>
      <c r="K43" s="11"/>
      <c r="L43" s="58">
        <f t="shared" si="1"/>
        <v>0</v>
      </c>
    </row>
    <row r="44" spans="1:12" ht="14.4">
      <c r="A44" s="10"/>
      <c r="B44" s="10"/>
      <c r="C44" s="23"/>
      <c r="D44" s="23"/>
      <c r="E44" s="23"/>
      <c r="F44" s="23"/>
      <c r="G44" s="23"/>
      <c r="H44" s="23"/>
      <c r="I44" s="23"/>
      <c r="J44" s="23"/>
      <c r="K44" s="23"/>
      <c r="L44" s="59">
        <f t="shared" si="1"/>
        <v>0</v>
      </c>
    </row>
  </sheetData>
  <mergeCells count="12">
    <mergeCell ref="A20:K20"/>
    <mergeCell ref="A34:L34"/>
    <mergeCell ref="A1:H2"/>
    <mergeCell ref="A3:H3"/>
    <mergeCell ref="A4:B4"/>
    <mergeCell ref="A5:B5"/>
    <mergeCell ref="C4:D4"/>
    <mergeCell ref="C5:D5"/>
    <mergeCell ref="E4:F4"/>
    <mergeCell ref="E5:F5"/>
    <mergeCell ref="G4:H4"/>
    <mergeCell ref="G5:H5"/>
  </mergeCells>
  <conditionalFormatting sqref="E8:E17">
    <cfRule type="dataBar" priority="1">
      <dataBar>
        <cfvo type="min"/>
        <cfvo type="max"/>
        <color rgb="FF8B5CF6"/>
      </dataBar>
    </cfRule>
    <cfRule type="dataBar" priority="2">
      <dataBar>
        <cfvo type="min"/>
        <cfvo type="max"/>
        <color rgb="FF8B5CF6"/>
      </dataBar>
      <extLst>
        <ext xmlns:x14="http://schemas.microsoft.com/office/spreadsheetml/2009/9/main" uri="{B025F937-C7B1-47D3-B67F-A62EFF666E3E}">
          <x14:id>{A9989598-8231-0D9E-32EF-44D544D6083A}</x14:id>
        </ext>
      </extLst>
    </cfRule>
  </conditionalFormatting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989598-8231-0D9E-32EF-44D544D6083A}">
            <x14:dataBar>
              <x14:cfvo type="min"/>
              <x14:cfvo type="max"/>
              <x14:negativeFillColor auto="1"/>
              <x14:axisColor auto="1"/>
            </x14:dataBar>
          </x14:cfRule>
          <xm:sqref>E8:E17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8"/>
  <sheetViews>
    <sheetView showGridLines="0" workbookViewId="0"/>
  </sheetViews>
  <sheetFormatPr defaultRowHeight="13.8"/>
  <cols>
    <col min="1" max="1" width="24" customWidth="1"/>
    <col min="2" max="2" width="15" customWidth="1"/>
    <col min="3" max="4" width="17" customWidth="1"/>
    <col min="5" max="5" width="15" customWidth="1"/>
    <col min="6" max="6" width="18" customWidth="1"/>
    <col min="7" max="7" width="28" customWidth="1"/>
    <col min="8" max="8" width="15" customWidth="1"/>
  </cols>
  <sheetData>
    <row r="1" spans="1:8" ht="31.95" customHeight="1">
      <c r="A1" s="107" t="s">
        <v>454</v>
      </c>
      <c r="B1" s="107" t="s">
        <v>454</v>
      </c>
      <c r="C1" s="107" t="s">
        <v>454</v>
      </c>
      <c r="D1" s="107" t="s">
        <v>454</v>
      </c>
      <c r="E1" s="107" t="s">
        <v>454</v>
      </c>
      <c r="F1" s="107" t="s">
        <v>454</v>
      </c>
      <c r="G1" s="107" t="s">
        <v>454</v>
      </c>
      <c r="H1" s="107" t="s">
        <v>454</v>
      </c>
    </row>
    <row r="2" spans="1:8" ht="31.95" customHeight="1">
      <c r="A2" s="107" t="s">
        <v>454</v>
      </c>
      <c r="B2" s="107" t="s">
        <v>454</v>
      </c>
      <c r="C2" s="107" t="s">
        <v>454</v>
      </c>
      <c r="D2" s="107" t="s">
        <v>454</v>
      </c>
      <c r="E2" s="107" t="s">
        <v>454</v>
      </c>
      <c r="F2" s="107" t="s">
        <v>454</v>
      </c>
      <c r="G2" s="107" t="s">
        <v>454</v>
      </c>
      <c r="H2" s="107" t="s">
        <v>454</v>
      </c>
    </row>
    <row r="3" spans="1:8" ht="18" customHeight="1">
      <c r="A3" s="108" t="s">
        <v>455</v>
      </c>
      <c r="B3" s="108" t="s">
        <v>455</v>
      </c>
      <c r="C3" s="108" t="s">
        <v>455</v>
      </c>
      <c r="D3" s="108" t="s">
        <v>455</v>
      </c>
      <c r="E3" s="108" t="s">
        <v>455</v>
      </c>
      <c r="F3" s="108" t="s">
        <v>455</v>
      </c>
      <c r="G3" s="108" t="s">
        <v>455</v>
      </c>
      <c r="H3" s="108" t="s">
        <v>455</v>
      </c>
    </row>
    <row r="4" spans="1:8">
      <c r="A4" s="271" t="s">
        <v>284</v>
      </c>
      <c r="B4" s="271" t="s">
        <v>284</v>
      </c>
      <c r="C4" s="271" t="s">
        <v>327</v>
      </c>
      <c r="D4" s="271" t="s">
        <v>327</v>
      </c>
      <c r="E4" s="271" t="s">
        <v>328</v>
      </c>
      <c r="F4" s="271" t="s">
        <v>328</v>
      </c>
      <c r="G4" s="271" t="s">
        <v>329</v>
      </c>
      <c r="H4" s="271" t="s">
        <v>329</v>
      </c>
    </row>
    <row r="5" spans="1:8">
      <c r="A5" s="272">
        <f>SUMIFS('QUICK ENTRY'!$E$8:$E$1007,'QUICK ENTRY'!$AF$8:$AF$1007,"Yes",'QUICK ENTRY'!$C$8:$C$1007,"Expense",'QUICK ENTRY'!$I$8:$I$1007,"Entertainment",'QUICK ENTRY'!$V$8:$V$1007,DASHBOARD!$C$3,'QUICK ENTRY'!$X$8:$X$1007,DASHBOARD!$C$4)</f>
        <v>0</v>
      </c>
      <c r="B5" s="273"/>
      <c r="C5" s="272">
        <f>SUMIFS('QUICK ENTRY'!$E$8:$E$1007,'QUICK ENTRY'!$AF$8:$AF$1007,"Yes",'QUICK ENTRY'!$C$8:$C$1007,"Expense",'QUICK ENTRY'!$I$8:$I$1007,"Entertainment",'QUICK ENTRY'!$X$8:$X$1007,DASHBOARD!$C$4)</f>
        <v>900</v>
      </c>
      <c r="D5" s="273"/>
      <c r="E5" s="272">
        <f>SUMIFS('MONTHLY BUDGET'!$S$8:$S$27,'MONTHLY BUDGET'!$A$8:$A$27,"Entertainment")</f>
        <v>1000</v>
      </c>
      <c r="F5" s="273"/>
      <c r="G5" s="272">
        <f>E5-A5</f>
        <v>1000</v>
      </c>
      <c r="H5" s="273"/>
    </row>
    <row r="7" spans="1:8" ht="30" customHeight="1">
      <c r="A7" s="103" t="s">
        <v>88</v>
      </c>
      <c r="B7" s="104" t="s">
        <v>284</v>
      </c>
      <c r="C7" s="104" t="s">
        <v>285</v>
      </c>
      <c r="D7" s="104" t="s">
        <v>330</v>
      </c>
      <c r="E7" s="105" t="s">
        <v>331</v>
      </c>
    </row>
    <row r="8" spans="1:8" ht="14.4">
      <c r="A8" s="2" t="s">
        <v>456</v>
      </c>
      <c r="B8" s="57">
        <f>SUMIFS('QUICK ENTRY'!$E$8:$E$1007,'QUICK ENTRY'!$AF$8:$AF$1007,"Yes",'QUICK ENTRY'!$C$8:$C$1007,"Expense",'QUICK ENTRY'!$I$8:$I$1007,"Entertainment",'QUICK ENTRY'!$J$8:$J$1007,$A8,'QUICK ENTRY'!$V$8:$V$1007,DASHBOARD!$C$3,'QUICK ENTRY'!$X$8:$X$1007,DASHBOARD!$C$4)</f>
        <v>0</v>
      </c>
      <c r="C8" s="57">
        <f>SUMIFS('QUICK ENTRY'!$E$8:$E$1007,'QUICK ENTRY'!$AF$8:$AF$1007,"Yes",'QUICK ENTRY'!$C$8:$C$1007,"Expense",'QUICK ENTRY'!$I$8:$I$1007,"Entertainment",'QUICK ENTRY'!$J$8:$J$1007,$A8,'QUICK ENTRY'!$X$8:$X$1007,DASHBOARD!$C$4)</f>
        <v>0</v>
      </c>
      <c r="D8" s="43">
        <f>COUNTIFS('QUICK ENTRY'!$AF$8:$AF$1007,"Yes",'QUICK ENTRY'!$C$8:$C$1007,"Expense",'QUICK ENTRY'!$I$8:$I$1007,"Entertainment",'QUICK ENTRY'!$J$8:$J$1007,$A8,'QUICK ENTRY'!$V$8:$V$1007,DASHBOARD!$C$3,'QUICK ENTRY'!$X$8:$X$1007,DASHBOARD!$C$4)</f>
        <v>0</v>
      </c>
      <c r="E8" s="60">
        <f t="shared" ref="E8:E15" si="0">IFERROR($B8/$A$5,0)</f>
        <v>0</v>
      </c>
    </row>
    <row r="9" spans="1:8" ht="14.4">
      <c r="A9" s="3" t="s">
        <v>457</v>
      </c>
      <c r="B9" s="58">
        <f>SUMIFS('QUICK ENTRY'!$E$8:$E$1007,'QUICK ENTRY'!$AF$8:$AF$1007,"Yes",'QUICK ENTRY'!$C$8:$C$1007,"Expense",'QUICK ENTRY'!$I$8:$I$1007,"Entertainment",'QUICK ENTRY'!$J$8:$J$1007,$A9,'QUICK ENTRY'!$V$8:$V$1007,DASHBOARD!$C$3,'QUICK ENTRY'!$X$8:$X$1007,DASHBOARD!$C$4)</f>
        <v>0</v>
      </c>
      <c r="C9" s="58">
        <f>SUMIFS('QUICK ENTRY'!$E$8:$E$1007,'QUICK ENTRY'!$AF$8:$AF$1007,"Yes",'QUICK ENTRY'!$C$8:$C$1007,"Expense",'QUICK ENTRY'!$I$8:$I$1007,"Entertainment",'QUICK ENTRY'!$J$8:$J$1007,$A9,'QUICK ENTRY'!$X$8:$X$1007,DASHBOARD!$C$4)</f>
        <v>0</v>
      </c>
      <c r="D9" s="44">
        <f>COUNTIFS('QUICK ENTRY'!$AF$8:$AF$1007,"Yes",'QUICK ENTRY'!$C$8:$C$1007,"Expense",'QUICK ENTRY'!$I$8:$I$1007,"Entertainment",'QUICK ENTRY'!$J$8:$J$1007,$A9,'QUICK ENTRY'!$V$8:$V$1007,DASHBOARD!$C$3,'QUICK ENTRY'!$X$8:$X$1007,DASHBOARD!$C$4)</f>
        <v>0</v>
      </c>
      <c r="E9" s="61">
        <f t="shared" si="0"/>
        <v>0</v>
      </c>
    </row>
    <row r="10" spans="1:8" ht="14.4">
      <c r="A10" s="3" t="s">
        <v>458</v>
      </c>
      <c r="B10" s="58">
        <f>SUMIFS('QUICK ENTRY'!$E$8:$E$1007,'QUICK ENTRY'!$AF$8:$AF$1007,"Yes",'QUICK ENTRY'!$C$8:$C$1007,"Expense",'QUICK ENTRY'!$I$8:$I$1007,"Entertainment",'QUICK ENTRY'!$J$8:$J$1007,$A10,'QUICK ENTRY'!$V$8:$V$1007,DASHBOARD!$C$3,'QUICK ENTRY'!$X$8:$X$1007,DASHBOARD!$C$4)</f>
        <v>0</v>
      </c>
      <c r="C10" s="58">
        <f>SUMIFS('QUICK ENTRY'!$E$8:$E$1007,'QUICK ENTRY'!$AF$8:$AF$1007,"Yes",'QUICK ENTRY'!$C$8:$C$1007,"Expense",'QUICK ENTRY'!$I$8:$I$1007,"Entertainment",'QUICK ENTRY'!$J$8:$J$1007,$A10,'QUICK ENTRY'!$X$8:$X$1007,DASHBOARD!$C$4)</f>
        <v>0</v>
      </c>
      <c r="D10" s="44">
        <f>COUNTIFS('QUICK ENTRY'!$AF$8:$AF$1007,"Yes",'QUICK ENTRY'!$C$8:$C$1007,"Expense",'QUICK ENTRY'!$I$8:$I$1007,"Entertainment",'QUICK ENTRY'!$J$8:$J$1007,$A10,'QUICK ENTRY'!$V$8:$V$1007,DASHBOARD!$C$3,'QUICK ENTRY'!$X$8:$X$1007,DASHBOARD!$C$4)</f>
        <v>0</v>
      </c>
      <c r="E10" s="61">
        <f t="shared" si="0"/>
        <v>0</v>
      </c>
    </row>
    <row r="11" spans="1:8" ht="14.4">
      <c r="A11" s="3" t="s">
        <v>459</v>
      </c>
      <c r="B11" s="58">
        <f>SUMIFS('QUICK ENTRY'!$E$8:$E$1007,'QUICK ENTRY'!$AF$8:$AF$1007,"Yes",'QUICK ENTRY'!$C$8:$C$1007,"Expense",'QUICK ENTRY'!$I$8:$I$1007,"Entertainment",'QUICK ENTRY'!$J$8:$J$1007,$A11,'QUICK ENTRY'!$V$8:$V$1007,DASHBOARD!$C$3,'QUICK ENTRY'!$X$8:$X$1007,DASHBOARD!$C$4)</f>
        <v>0</v>
      </c>
      <c r="C11" s="58">
        <f>SUMIFS('QUICK ENTRY'!$E$8:$E$1007,'QUICK ENTRY'!$AF$8:$AF$1007,"Yes",'QUICK ENTRY'!$C$8:$C$1007,"Expense",'QUICK ENTRY'!$I$8:$I$1007,"Entertainment",'QUICK ENTRY'!$J$8:$J$1007,$A11,'QUICK ENTRY'!$X$8:$X$1007,DASHBOARD!$C$4)</f>
        <v>0</v>
      </c>
      <c r="D11" s="44">
        <f>COUNTIFS('QUICK ENTRY'!$AF$8:$AF$1007,"Yes",'QUICK ENTRY'!$C$8:$C$1007,"Expense",'QUICK ENTRY'!$I$8:$I$1007,"Entertainment",'QUICK ENTRY'!$J$8:$J$1007,$A11,'QUICK ENTRY'!$V$8:$V$1007,DASHBOARD!$C$3,'QUICK ENTRY'!$X$8:$X$1007,DASHBOARD!$C$4)</f>
        <v>0</v>
      </c>
      <c r="E11" s="61">
        <f t="shared" si="0"/>
        <v>0</v>
      </c>
    </row>
    <row r="12" spans="1:8" ht="14.4">
      <c r="A12" s="3" t="s">
        <v>460</v>
      </c>
      <c r="B12" s="58">
        <f>SUMIFS('QUICK ENTRY'!$E$8:$E$1007,'QUICK ENTRY'!$AF$8:$AF$1007,"Yes",'QUICK ENTRY'!$C$8:$C$1007,"Expense",'QUICK ENTRY'!$I$8:$I$1007,"Entertainment",'QUICK ENTRY'!$J$8:$J$1007,$A12,'QUICK ENTRY'!$V$8:$V$1007,DASHBOARD!$C$3,'QUICK ENTRY'!$X$8:$X$1007,DASHBOARD!$C$4)</f>
        <v>0</v>
      </c>
      <c r="C12" s="58">
        <f>SUMIFS('QUICK ENTRY'!$E$8:$E$1007,'QUICK ENTRY'!$AF$8:$AF$1007,"Yes",'QUICK ENTRY'!$C$8:$C$1007,"Expense",'QUICK ENTRY'!$I$8:$I$1007,"Entertainment",'QUICK ENTRY'!$J$8:$J$1007,$A12,'QUICK ENTRY'!$X$8:$X$1007,DASHBOARD!$C$4)</f>
        <v>0</v>
      </c>
      <c r="D12" s="44">
        <f>COUNTIFS('QUICK ENTRY'!$AF$8:$AF$1007,"Yes",'QUICK ENTRY'!$C$8:$C$1007,"Expense",'QUICK ENTRY'!$I$8:$I$1007,"Entertainment",'QUICK ENTRY'!$J$8:$J$1007,$A12,'QUICK ENTRY'!$V$8:$V$1007,DASHBOARD!$C$3,'QUICK ENTRY'!$X$8:$X$1007,DASHBOARD!$C$4)</f>
        <v>0</v>
      </c>
      <c r="E12" s="61">
        <f t="shared" si="0"/>
        <v>0</v>
      </c>
    </row>
    <row r="13" spans="1:8" ht="14.4">
      <c r="A13" s="3" t="s">
        <v>149</v>
      </c>
      <c r="B13" s="58">
        <f>SUMIFS('QUICK ENTRY'!$E$8:$E$1007,'QUICK ENTRY'!$AF$8:$AF$1007,"Yes",'QUICK ENTRY'!$C$8:$C$1007,"Expense",'QUICK ENTRY'!$I$8:$I$1007,"Entertainment",'QUICK ENTRY'!$J$8:$J$1007,$A13,'QUICK ENTRY'!$V$8:$V$1007,DASHBOARD!$C$3,'QUICK ENTRY'!$X$8:$X$1007,DASHBOARD!$C$4)</f>
        <v>0</v>
      </c>
      <c r="C13" s="58">
        <f>SUMIFS('QUICK ENTRY'!$E$8:$E$1007,'QUICK ENTRY'!$AF$8:$AF$1007,"Yes",'QUICK ENTRY'!$C$8:$C$1007,"Expense",'QUICK ENTRY'!$I$8:$I$1007,"Entertainment",'QUICK ENTRY'!$J$8:$J$1007,$A13,'QUICK ENTRY'!$X$8:$X$1007,DASHBOARD!$C$4)</f>
        <v>0</v>
      </c>
      <c r="D13" s="44">
        <f>COUNTIFS('QUICK ENTRY'!$AF$8:$AF$1007,"Yes",'QUICK ENTRY'!$C$8:$C$1007,"Expense",'QUICK ENTRY'!$I$8:$I$1007,"Entertainment",'QUICK ENTRY'!$J$8:$J$1007,$A13,'QUICK ENTRY'!$V$8:$V$1007,DASHBOARD!$C$3,'QUICK ENTRY'!$X$8:$X$1007,DASHBOARD!$C$4)</f>
        <v>0</v>
      </c>
      <c r="E13" s="61">
        <f t="shared" si="0"/>
        <v>0</v>
      </c>
    </row>
    <row r="14" spans="1:8" ht="14.4">
      <c r="A14" s="3" t="s">
        <v>461</v>
      </c>
      <c r="B14" s="58">
        <f>SUMIFS('QUICK ENTRY'!$E$8:$E$1007,'QUICK ENTRY'!$AF$8:$AF$1007,"Yes",'QUICK ENTRY'!$C$8:$C$1007,"Expense",'QUICK ENTRY'!$I$8:$I$1007,"Entertainment",'QUICK ENTRY'!$J$8:$J$1007,$A14,'QUICK ENTRY'!$V$8:$V$1007,DASHBOARD!$C$3,'QUICK ENTRY'!$X$8:$X$1007,DASHBOARD!$C$4)</f>
        <v>0</v>
      </c>
      <c r="C14" s="58">
        <f>SUMIFS('QUICK ENTRY'!$E$8:$E$1007,'QUICK ENTRY'!$AF$8:$AF$1007,"Yes",'QUICK ENTRY'!$C$8:$C$1007,"Expense",'QUICK ENTRY'!$I$8:$I$1007,"Entertainment",'QUICK ENTRY'!$J$8:$J$1007,$A14,'QUICK ENTRY'!$X$8:$X$1007,DASHBOARD!$C$4)</f>
        <v>0</v>
      </c>
      <c r="D14" s="44">
        <f>COUNTIFS('QUICK ENTRY'!$AF$8:$AF$1007,"Yes",'QUICK ENTRY'!$C$8:$C$1007,"Expense",'QUICK ENTRY'!$I$8:$I$1007,"Entertainment",'QUICK ENTRY'!$J$8:$J$1007,$A14,'QUICK ENTRY'!$V$8:$V$1007,DASHBOARD!$C$3,'QUICK ENTRY'!$X$8:$X$1007,DASHBOARD!$C$4)</f>
        <v>0</v>
      </c>
      <c r="E14" s="61">
        <f t="shared" si="0"/>
        <v>0</v>
      </c>
    </row>
    <row r="15" spans="1:8" ht="14.4">
      <c r="A15" s="4" t="s">
        <v>159</v>
      </c>
      <c r="B15" s="59">
        <f>SUMIFS('QUICK ENTRY'!$E$8:$E$1007,'QUICK ENTRY'!$AF$8:$AF$1007,"Yes",'QUICK ENTRY'!$C$8:$C$1007,"Expense",'QUICK ENTRY'!$I$8:$I$1007,"Entertainment",'QUICK ENTRY'!$J$8:$J$1007,$A15,'QUICK ENTRY'!$V$8:$V$1007,DASHBOARD!$C$3,'QUICK ENTRY'!$X$8:$X$1007,DASHBOARD!$C$4)</f>
        <v>0</v>
      </c>
      <c r="C15" s="59">
        <f>SUMIFS('QUICK ENTRY'!$E$8:$E$1007,'QUICK ENTRY'!$AF$8:$AF$1007,"Yes",'QUICK ENTRY'!$C$8:$C$1007,"Expense",'QUICK ENTRY'!$I$8:$I$1007,"Entertainment",'QUICK ENTRY'!$J$8:$J$1007,$A15,'QUICK ENTRY'!$X$8:$X$1007,DASHBOARD!$C$4)</f>
        <v>900</v>
      </c>
      <c r="D15" s="45">
        <f>COUNTIFS('QUICK ENTRY'!$AF$8:$AF$1007,"Yes",'QUICK ENTRY'!$C$8:$C$1007,"Expense",'QUICK ENTRY'!$I$8:$I$1007,"Entertainment",'QUICK ENTRY'!$J$8:$J$1007,$A15,'QUICK ENTRY'!$V$8:$V$1007,DASHBOARD!$C$3,'QUICK ENTRY'!$X$8:$X$1007,DASHBOARD!$C$4)</f>
        <v>0</v>
      </c>
      <c r="E15" s="62">
        <f t="shared" si="0"/>
        <v>0</v>
      </c>
    </row>
    <row r="18" spans="1:7" ht="22.95" customHeight="1">
      <c r="A18" s="115" t="s">
        <v>462</v>
      </c>
      <c r="B18" s="116" t="s">
        <v>462</v>
      </c>
      <c r="C18" s="116" t="s">
        <v>462</v>
      </c>
      <c r="D18" s="116" t="s">
        <v>462</v>
      </c>
      <c r="E18" s="116" t="s">
        <v>462</v>
      </c>
      <c r="F18" s="117" t="s">
        <v>462</v>
      </c>
    </row>
    <row r="20" spans="1:7" ht="14.4">
      <c r="A20" s="2" t="s">
        <v>116</v>
      </c>
      <c r="B20" s="57">
        <f>SUMIFS('QUICK ENTRY'!$E$8:$E$1007,'QUICK ENTRY'!$AF$8:$AF$1007,"Yes",'QUICK ENTRY'!$C$8:$C$1007,"Expense",'QUICK ENTRY'!$M$8:$M$1007,$A20,'QUICK ENTRY'!$V$8:$V$1007,DASHBOARD!$C$3,'QUICK ENTRY'!$X$8:$X$1007,DASHBOARD!$C$4)</f>
        <v>5328</v>
      </c>
    </row>
    <row r="21" spans="1:7" ht="14.4">
      <c r="A21" s="3" t="s">
        <v>141</v>
      </c>
      <c r="B21" s="58">
        <f>SUMIFS('QUICK ENTRY'!$E$8:$E$1007,'QUICK ENTRY'!$AF$8:$AF$1007,"Yes",'QUICK ENTRY'!$C$8:$C$1007,"Expense",'QUICK ENTRY'!$M$8:$M$1007,$A21,'QUICK ENTRY'!$V$8:$V$1007,DASHBOARD!$C$3,'QUICK ENTRY'!$X$8:$X$1007,DASHBOARD!$C$4)</f>
        <v>1050</v>
      </c>
    </row>
    <row r="22" spans="1:7" ht="14.4">
      <c r="A22" s="3" t="s">
        <v>151</v>
      </c>
      <c r="B22" s="58">
        <f>SUMIFS('QUICK ENTRY'!$E$8:$E$1007,'QUICK ENTRY'!$AF$8:$AF$1007,"Yes",'QUICK ENTRY'!$C$8:$C$1007,"Expense",'QUICK ENTRY'!$M$8:$M$1007,$A22,'QUICK ENTRY'!$V$8:$V$1007,DASHBOARD!$C$3,'QUICK ENTRY'!$X$8:$X$1007,DASHBOARD!$C$4)</f>
        <v>819</v>
      </c>
    </row>
    <row r="23" spans="1:7" ht="14.4">
      <c r="A23" s="3" t="s">
        <v>463</v>
      </c>
      <c r="B23" s="58">
        <f>SUMIFS('QUICK ENTRY'!$E$8:$E$1007,'QUICK ENTRY'!$AF$8:$AF$1007,"Yes",'QUICK ENTRY'!$C$8:$C$1007,"Expense",'QUICK ENTRY'!$M$8:$M$1007,$A23,'QUICK ENTRY'!$V$8:$V$1007,DASHBOARD!$C$3,'QUICK ENTRY'!$X$8:$X$1007,DASHBOARD!$C$4)</f>
        <v>0</v>
      </c>
    </row>
    <row r="24" spans="1:7" ht="14.4">
      <c r="A24" s="4" t="s">
        <v>464</v>
      </c>
      <c r="B24" s="59">
        <f>SUMIFS('QUICK ENTRY'!$E$8:$E$1007,'QUICK ENTRY'!$AF$8:$AF$1007,"Yes",'QUICK ENTRY'!$C$8:$C$1007,"Expense",'QUICK ENTRY'!$M$8:$M$1007,$A24,'QUICK ENTRY'!$V$8:$V$1007,DASHBOARD!$C$3,'QUICK ENTRY'!$X$8:$X$1007,DASHBOARD!$C$4)</f>
        <v>0</v>
      </c>
    </row>
    <row r="28" spans="1:7" ht="22.95" customHeight="1">
      <c r="A28" s="118" t="s">
        <v>465</v>
      </c>
      <c r="B28" s="119" t="s">
        <v>465</v>
      </c>
      <c r="C28" s="119" t="s">
        <v>465</v>
      </c>
      <c r="D28" s="119" t="s">
        <v>465</v>
      </c>
      <c r="E28" s="119" t="s">
        <v>465</v>
      </c>
      <c r="F28" s="119" t="s">
        <v>465</v>
      </c>
      <c r="G28" s="120" t="s">
        <v>465</v>
      </c>
    </row>
    <row r="30" spans="1:7" ht="30" customHeight="1">
      <c r="A30" s="40" t="s">
        <v>341</v>
      </c>
      <c r="B30" s="41" t="s">
        <v>466</v>
      </c>
      <c r="C30" s="41" t="s">
        <v>467</v>
      </c>
      <c r="D30" s="41" t="s">
        <v>468</v>
      </c>
      <c r="E30" s="41" t="s">
        <v>226</v>
      </c>
      <c r="F30" s="41" t="s">
        <v>469</v>
      </c>
      <c r="G30" s="42" t="s">
        <v>107</v>
      </c>
    </row>
    <row r="31" spans="1:7" ht="14.4">
      <c r="A31" s="8"/>
      <c r="B31" s="22"/>
      <c r="C31" s="46"/>
      <c r="D31" s="46"/>
      <c r="E31" s="8"/>
      <c r="F31" s="8"/>
      <c r="G31" s="8"/>
    </row>
    <row r="32" spans="1:7" ht="14.4">
      <c r="A32" s="9"/>
      <c r="B32" s="11"/>
      <c r="C32" s="13"/>
      <c r="D32" s="13"/>
      <c r="E32" s="9"/>
      <c r="F32" s="9"/>
      <c r="G32" s="9"/>
    </row>
    <row r="33" spans="1:7" ht="14.4">
      <c r="A33" s="9"/>
      <c r="B33" s="11"/>
      <c r="C33" s="13"/>
      <c r="D33" s="13"/>
      <c r="E33" s="9"/>
      <c r="F33" s="9"/>
      <c r="G33" s="9"/>
    </row>
    <row r="34" spans="1:7" ht="14.4">
      <c r="A34" s="9"/>
      <c r="B34" s="11"/>
      <c r="C34" s="13"/>
      <c r="D34" s="13"/>
      <c r="E34" s="9"/>
      <c r="F34" s="9"/>
      <c r="G34" s="9"/>
    </row>
    <row r="35" spans="1:7" ht="14.4">
      <c r="A35" s="9"/>
      <c r="B35" s="11"/>
      <c r="C35" s="13"/>
      <c r="D35" s="13"/>
      <c r="E35" s="9"/>
      <c r="F35" s="9"/>
      <c r="G35" s="9"/>
    </row>
    <row r="36" spans="1:7" ht="14.4">
      <c r="A36" s="9"/>
      <c r="B36" s="11"/>
      <c r="C36" s="13"/>
      <c r="D36" s="13"/>
      <c r="E36" s="9"/>
      <c r="F36" s="9"/>
      <c r="G36" s="9"/>
    </row>
    <row r="37" spans="1:7" ht="14.4">
      <c r="A37" s="9"/>
      <c r="B37" s="11"/>
      <c r="C37" s="13"/>
      <c r="D37" s="13"/>
      <c r="E37" s="9"/>
      <c r="F37" s="9"/>
      <c r="G37" s="9"/>
    </row>
    <row r="38" spans="1:7" ht="14.4">
      <c r="A38" s="10"/>
      <c r="B38" s="23"/>
      <c r="C38" s="47"/>
      <c r="D38" s="47"/>
      <c r="E38" s="10"/>
      <c r="F38" s="10"/>
      <c r="G38" s="10"/>
    </row>
  </sheetData>
  <mergeCells count="12">
    <mergeCell ref="A18:F18"/>
    <mergeCell ref="A28:G28"/>
    <mergeCell ref="A1:H2"/>
    <mergeCell ref="A3:H3"/>
    <mergeCell ref="A4:B4"/>
    <mergeCell ref="A5:B5"/>
    <mergeCell ref="C4:D4"/>
    <mergeCell ref="C5:D5"/>
    <mergeCell ref="E4:F4"/>
    <mergeCell ref="E5:F5"/>
    <mergeCell ref="G4:H4"/>
    <mergeCell ref="G5:H5"/>
  </mergeCells>
  <conditionalFormatting sqref="E8:E15">
    <cfRule type="dataBar" priority="1">
      <dataBar>
        <cfvo type="min"/>
        <cfvo type="max"/>
        <color rgb="FFEF4444"/>
      </dataBar>
    </cfRule>
    <cfRule type="dataBar" priority="2">
      <dataBar>
        <cfvo type="min"/>
        <cfvo type="max"/>
        <color rgb="FFEF4444"/>
      </dataBar>
      <extLst>
        <ext xmlns:x14="http://schemas.microsoft.com/office/spreadsheetml/2009/9/main" uri="{B025F937-C7B1-47D3-B67F-A62EFF666E3E}">
          <x14:id>{3E432149-4EFB-D8C6-4498-B737F35185DD}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432149-4EFB-D8C6-4498-B737F35185DD}">
            <x14:dataBar>
              <x14:cfvo type="min"/>
              <x14:cfvo type="max"/>
              <x14:negativeFillColor auto="1"/>
              <x14:axisColor auto="1"/>
            </x14:dataBar>
          </x14:cfRule>
          <xm:sqref>E8:E15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7"/>
  <sheetViews>
    <sheetView showGridLines="0" workbookViewId="0"/>
  </sheetViews>
  <sheetFormatPr defaultRowHeight="13.8"/>
  <cols>
    <col min="1" max="1" width="24" customWidth="1"/>
    <col min="2" max="2" width="18" customWidth="1"/>
    <col min="3" max="3" width="14" customWidth="1"/>
    <col min="4" max="4" width="15" customWidth="1"/>
    <col min="5" max="7" width="16" customWidth="1"/>
    <col min="8" max="8" width="14" customWidth="1"/>
    <col min="9" max="9" width="18" customWidth="1"/>
    <col min="10" max="10" width="14" customWidth="1"/>
    <col min="11" max="11" width="13" customWidth="1"/>
    <col min="12" max="12" width="16" customWidth="1"/>
    <col min="13" max="13" width="12" customWidth="1"/>
    <col min="14" max="14" width="14" customWidth="1"/>
    <col min="15" max="15" width="19" customWidth="1"/>
    <col min="16" max="16" width="22" customWidth="1"/>
  </cols>
  <sheetData>
    <row r="1" spans="1:16" ht="31.95" customHeight="1">
      <c r="A1" s="107" t="s">
        <v>470</v>
      </c>
      <c r="B1" s="107" t="s">
        <v>470</v>
      </c>
      <c r="C1" s="107" t="s">
        <v>470</v>
      </c>
      <c r="D1" s="107" t="s">
        <v>470</v>
      </c>
      <c r="E1" s="107" t="s">
        <v>470</v>
      </c>
      <c r="F1" s="107" t="s">
        <v>470</v>
      </c>
      <c r="G1" s="107" t="s">
        <v>470</v>
      </c>
      <c r="H1" s="107" t="s">
        <v>470</v>
      </c>
      <c r="I1" s="107" t="s">
        <v>470</v>
      </c>
      <c r="J1" s="107" t="s">
        <v>470</v>
      </c>
      <c r="K1" s="107" t="s">
        <v>470</v>
      </c>
      <c r="L1" s="107" t="s">
        <v>470</v>
      </c>
      <c r="M1" s="107" t="s">
        <v>470</v>
      </c>
      <c r="N1" s="107" t="s">
        <v>470</v>
      </c>
      <c r="O1" s="107" t="s">
        <v>470</v>
      </c>
      <c r="P1" s="107" t="s">
        <v>470</v>
      </c>
    </row>
    <row r="2" spans="1:16" ht="31.95" customHeight="1">
      <c r="A2" s="107" t="s">
        <v>470</v>
      </c>
      <c r="B2" s="107" t="s">
        <v>470</v>
      </c>
      <c r="C2" s="107" t="s">
        <v>470</v>
      </c>
      <c r="D2" s="107" t="s">
        <v>470</v>
      </c>
      <c r="E2" s="107" t="s">
        <v>470</v>
      </c>
      <c r="F2" s="107" t="s">
        <v>470</v>
      </c>
      <c r="G2" s="107" t="s">
        <v>470</v>
      </c>
      <c r="H2" s="107" t="s">
        <v>470</v>
      </c>
      <c r="I2" s="107" t="s">
        <v>470</v>
      </c>
      <c r="J2" s="107" t="s">
        <v>470</v>
      </c>
      <c r="K2" s="107" t="s">
        <v>470</v>
      </c>
      <c r="L2" s="107" t="s">
        <v>470</v>
      </c>
      <c r="M2" s="107" t="s">
        <v>470</v>
      </c>
      <c r="N2" s="107" t="s">
        <v>470</v>
      </c>
      <c r="O2" s="107" t="s">
        <v>470</v>
      </c>
      <c r="P2" s="107" t="s">
        <v>470</v>
      </c>
    </row>
    <row r="3" spans="1:16" ht="18" customHeight="1">
      <c r="A3" s="108" t="s">
        <v>471</v>
      </c>
      <c r="B3" s="108" t="s">
        <v>471</v>
      </c>
      <c r="C3" s="108" t="s">
        <v>471</v>
      </c>
      <c r="D3" s="108" t="s">
        <v>471</v>
      </c>
      <c r="E3" s="108" t="s">
        <v>471</v>
      </c>
      <c r="F3" s="108" t="s">
        <v>471</v>
      </c>
      <c r="G3" s="108" t="s">
        <v>471</v>
      </c>
      <c r="H3" s="108" t="s">
        <v>471</v>
      </c>
      <c r="I3" s="108" t="s">
        <v>471</v>
      </c>
      <c r="J3" s="108" t="s">
        <v>471</v>
      </c>
      <c r="K3" s="108" t="s">
        <v>471</v>
      </c>
      <c r="L3" s="108" t="s">
        <v>471</v>
      </c>
      <c r="M3" s="108" t="s">
        <v>471</v>
      </c>
      <c r="N3" s="108" t="s">
        <v>471</v>
      </c>
      <c r="O3" s="108" t="s">
        <v>471</v>
      </c>
      <c r="P3" s="108" t="s">
        <v>471</v>
      </c>
    </row>
    <row r="4" spans="1:16">
      <c r="A4" s="268" t="s">
        <v>472</v>
      </c>
      <c r="B4" s="268" t="s">
        <v>472</v>
      </c>
      <c r="C4" s="268" t="s">
        <v>472</v>
      </c>
      <c r="D4" s="268" t="s">
        <v>472</v>
      </c>
      <c r="E4" s="268" t="s">
        <v>473</v>
      </c>
      <c r="F4" s="268" t="s">
        <v>473</v>
      </c>
      <c r="G4" s="268" t="s">
        <v>473</v>
      </c>
      <c r="H4" s="268" t="s">
        <v>473</v>
      </c>
      <c r="I4" s="268" t="s">
        <v>474</v>
      </c>
      <c r="J4" s="268" t="s">
        <v>474</v>
      </c>
      <c r="K4" s="268" t="s">
        <v>474</v>
      </c>
      <c r="L4" s="268" t="s">
        <v>474</v>
      </c>
      <c r="M4" s="268" t="s">
        <v>475</v>
      </c>
      <c r="N4" s="268" t="s">
        <v>475</v>
      </c>
      <c r="O4" s="268" t="s">
        <v>475</v>
      </c>
      <c r="P4" s="268" t="s">
        <v>475</v>
      </c>
    </row>
    <row r="5" spans="1:16">
      <c r="A5" s="269">
        <f>SUMIFS('RECURRING PAYMENTS'!$W$8:$W$22,'RECURRING PAYMENTS'!$C$8:$C$22,"Subscription",'RECURRING PAYMENTS'!$R$8:$R$22,"&lt;&gt;Cancelled")</f>
        <v>1088</v>
      </c>
      <c r="B5" s="274"/>
      <c r="C5" s="274"/>
      <c r="D5" s="270"/>
      <c r="E5" s="269">
        <f>SUMIFS('RECURRING PAYMENTS'!$X$8:$X$22,'RECURRING PAYMENTS'!$C$8:$C$22,"Subscription",'RECURRING PAYMENTS'!$R$8:$R$22,"&lt;&gt;Cancelled")</f>
        <v>13056</v>
      </c>
      <c r="F5" s="274"/>
      <c r="G5" s="274"/>
      <c r="H5" s="270"/>
      <c r="I5" s="275">
        <f>IFERROR(A5/DASHBOARD!$A$8,0)</f>
        <v>4.3520000000000003E-2</v>
      </c>
      <c r="J5" s="276"/>
      <c r="K5" s="276"/>
      <c r="L5" s="277"/>
      <c r="M5" s="278">
        <f ca="1">COUNTIFS('RECURRING PAYMENTS'!$C$8:$C$22,"Subscription",'RECURRING PAYMENTS'!$U$8:$U$22,"&gt;=0",'RECURRING PAYMENTS'!$U$8:$U$22,"&lt;=30")</f>
        <v>0</v>
      </c>
      <c r="N5" s="279"/>
      <c r="O5" s="279"/>
      <c r="P5" s="280"/>
    </row>
    <row r="7" spans="1:16" ht="30" customHeight="1">
      <c r="A7" s="69" t="s">
        <v>476</v>
      </c>
      <c r="B7" s="70" t="s">
        <v>40</v>
      </c>
      <c r="C7" s="70" t="s">
        <v>477</v>
      </c>
      <c r="D7" s="70" t="s">
        <v>84</v>
      </c>
      <c r="E7" s="70" t="s">
        <v>478</v>
      </c>
      <c r="F7" s="70" t="s">
        <v>473</v>
      </c>
      <c r="G7" s="70" t="s">
        <v>479</v>
      </c>
      <c r="H7" s="70" t="s">
        <v>480</v>
      </c>
      <c r="I7" s="70" t="s">
        <v>481</v>
      </c>
      <c r="J7" s="70" t="s">
        <v>482</v>
      </c>
      <c r="K7" s="70" t="s">
        <v>483</v>
      </c>
      <c r="L7" s="70" t="s">
        <v>484</v>
      </c>
      <c r="M7" s="70" t="s">
        <v>485</v>
      </c>
      <c r="N7" s="70" t="s">
        <v>75</v>
      </c>
      <c r="O7" s="70" t="s">
        <v>434</v>
      </c>
      <c r="P7" s="71" t="s">
        <v>486</v>
      </c>
    </row>
    <row r="8" spans="1:16" ht="14.4">
      <c r="A8" s="43" t="str">
        <f>'RECURRING PAYMENTS'!$B8</f>
        <v>Netflix</v>
      </c>
      <c r="B8" s="43" t="str">
        <f>'RECURRING PAYMENTS'!$D8</f>
        <v>Subscriptions</v>
      </c>
      <c r="C8" s="43" t="str">
        <f>'RECURRING PAYMENTS'!$G8</f>
        <v>Monthly</v>
      </c>
      <c r="D8" s="57">
        <f>'RECURRING PAYMENTS'!$F8</f>
        <v>199</v>
      </c>
      <c r="E8" s="57">
        <f>'RECURRING PAYMENTS'!$W8</f>
        <v>199</v>
      </c>
      <c r="F8" s="57">
        <f>'RECURRING PAYMENTS'!$X8</f>
        <v>2388</v>
      </c>
      <c r="G8" s="54">
        <f>'RECURRING PAYMENTS'!$T8</f>
        <v>46270</v>
      </c>
      <c r="H8" s="43" t="str">
        <f>'RECURRING PAYMENTS'!$M8</f>
        <v>On</v>
      </c>
      <c r="I8" s="43" t="str">
        <f>'RECURRING PAYMENTS'!$K8</f>
        <v>UPI</v>
      </c>
      <c r="J8" s="43" t="str">
        <f>'RECURRING PAYMENTS'!$N8</f>
        <v>Optional</v>
      </c>
      <c r="K8" s="43" t="str">
        <f>'RECURRING PAYMENTS'!$O8</f>
        <v>Medium</v>
      </c>
      <c r="L8" s="54">
        <f>'RECURRING PAYMENTS'!$P8</f>
        <v>46262</v>
      </c>
      <c r="M8" s="43">
        <f>'RECURRING PAYMENTS'!$Q8</f>
        <v>3</v>
      </c>
      <c r="N8" s="43" t="str">
        <f>'RECURRING PAYMENTS'!$R8</f>
        <v>Active</v>
      </c>
      <c r="O8" s="43" t="str">
        <f ca="1">'RECURRING PAYMENTS'!$V8</f>
        <v>Overdue</v>
      </c>
      <c r="P8" s="43" t="str">
        <f t="shared" ref="P8:P17" si="0">IF(OR(J8="Optional",K8="Low",M8&lt;=2),"Consider Cancelling","Keep")</f>
        <v>Consider Cancelling</v>
      </c>
    </row>
    <row r="9" spans="1:16" ht="14.4">
      <c r="A9" s="44" t="str">
        <f>'RECURRING PAYMENTS'!$B9</f>
        <v>Spotify Student</v>
      </c>
      <c r="B9" s="44" t="str">
        <f>'RECURRING PAYMENTS'!$D9</f>
        <v>Subscriptions</v>
      </c>
      <c r="C9" s="44" t="str">
        <f>'RECURRING PAYMENTS'!$G9</f>
        <v>Monthly</v>
      </c>
      <c r="D9" s="58">
        <f>'RECURRING PAYMENTS'!$F9</f>
        <v>59</v>
      </c>
      <c r="E9" s="58">
        <f>'RECURRING PAYMENTS'!$W9</f>
        <v>59</v>
      </c>
      <c r="F9" s="58">
        <f>'RECURRING PAYMENTS'!$X9</f>
        <v>708</v>
      </c>
      <c r="G9" s="55">
        <f>'RECURRING PAYMENTS'!$T9</f>
        <v>46275</v>
      </c>
      <c r="H9" s="44" t="str">
        <f>'RECURRING PAYMENTS'!$M9</f>
        <v>On</v>
      </c>
      <c r="I9" s="44" t="str">
        <f>'RECURRING PAYMENTS'!$K9</f>
        <v>UPI</v>
      </c>
      <c r="J9" s="44" t="str">
        <f>'RECURRING PAYMENTS'!$N9</f>
        <v>Optional</v>
      </c>
      <c r="K9" s="44" t="str">
        <f>'RECURRING PAYMENTS'!$O9</f>
        <v>High</v>
      </c>
      <c r="L9" s="55">
        <f>'RECURRING PAYMENTS'!$P9</f>
        <v>46266</v>
      </c>
      <c r="M9" s="44">
        <f>'RECURRING PAYMENTS'!$Q9</f>
        <v>4</v>
      </c>
      <c r="N9" s="44" t="str">
        <f>'RECURRING PAYMENTS'!$R9</f>
        <v>Active</v>
      </c>
      <c r="O9" s="44" t="str">
        <f ca="1">'RECURRING PAYMENTS'!$V9</f>
        <v>Overdue</v>
      </c>
      <c r="P9" s="44" t="str">
        <f t="shared" si="0"/>
        <v>Consider Cancelling</v>
      </c>
    </row>
    <row r="10" spans="1:16" ht="14.4">
      <c r="A10" s="44" t="str">
        <f>'RECURRING PAYMENTS'!$B10</f>
        <v>Cloud Storage</v>
      </c>
      <c r="B10" s="44" t="str">
        <f>'RECURRING PAYMENTS'!$D10</f>
        <v>Technology</v>
      </c>
      <c r="C10" s="44" t="str">
        <f>'RECURRING PAYMENTS'!$G10</f>
        <v>Monthly</v>
      </c>
      <c r="D10" s="58">
        <f>'RECURRING PAYMENTS'!$F10</f>
        <v>130</v>
      </c>
      <c r="E10" s="58">
        <f>'RECURRING PAYMENTS'!$W10</f>
        <v>130</v>
      </c>
      <c r="F10" s="58">
        <f>'RECURRING PAYMENTS'!$X10</f>
        <v>1560</v>
      </c>
      <c r="G10" s="55">
        <f>'RECURRING PAYMENTS'!$T10</f>
        <v>46280</v>
      </c>
      <c r="H10" s="44" t="str">
        <f>'RECURRING PAYMENTS'!$M10</f>
        <v>On</v>
      </c>
      <c r="I10" s="44" t="str">
        <f>'RECURRING PAYMENTS'!$K10</f>
        <v>Debit Card</v>
      </c>
      <c r="J10" s="44" t="str">
        <f>'RECURRING PAYMENTS'!$N10</f>
        <v>Useful</v>
      </c>
      <c r="K10" s="44" t="str">
        <f>'RECURRING PAYMENTS'!$O10</f>
        <v>Medium</v>
      </c>
      <c r="L10" s="55">
        <f>'RECURRING PAYMENTS'!$P10</f>
        <v>46264</v>
      </c>
      <c r="M10" s="44">
        <f>'RECURRING PAYMENTS'!$Q10</f>
        <v>4</v>
      </c>
      <c r="N10" s="44" t="str">
        <f>'RECURRING PAYMENTS'!$R10</f>
        <v>Active</v>
      </c>
      <c r="O10" s="44" t="str">
        <f ca="1">'RECURRING PAYMENTS'!$V10</f>
        <v>Overdue</v>
      </c>
      <c r="P10" s="44" t="str">
        <f t="shared" si="0"/>
        <v>Keep</v>
      </c>
    </row>
    <row r="11" spans="1:16" ht="14.4">
      <c r="A11" s="44" t="str">
        <f>'RECURRING PAYMENTS'!$B11</f>
        <v>AI Tool Plan</v>
      </c>
      <c r="B11" s="44" t="str">
        <f>'RECURRING PAYMENTS'!$D11</f>
        <v>Technology</v>
      </c>
      <c r="C11" s="44" t="str">
        <f>'RECURRING PAYMENTS'!$G11</f>
        <v>Monthly</v>
      </c>
      <c r="D11" s="58">
        <f>'RECURRING PAYMENTS'!$F11</f>
        <v>0</v>
      </c>
      <c r="E11" s="58">
        <f>'RECURRING PAYMENTS'!$W11</f>
        <v>0</v>
      </c>
      <c r="F11" s="58">
        <f>'RECURRING PAYMENTS'!$X11</f>
        <v>0</v>
      </c>
      <c r="G11" s="55">
        <f>'RECURRING PAYMENTS'!$T11</f>
        <v>46285</v>
      </c>
      <c r="H11" s="44" t="str">
        <f>'RECURRING PAYMENTS'!$M11</f>
        <v>Off</v>
      </c>
      <c r="I11" s="44" t="str">
        <f>'RECURRING PAYMENTS'!$K11</f>
        <v>Debit Card</v>
      </c>
      <c r="J11" s="44" t="str">
        <f>'RECURRING PAYMENTS'!$N11</f>
        <v>Useful</v>
      </c>
      <c r="K11" s="44" t="str">
        <f>'RECURRING PAYMENTS'!$O11</f>
        <v>Low</v>
      </c>
      <c r="L11" s="55">
        <f>'RECURRING PAYMENTS'!$P11</f>
        <v>0</v>
      </c>
      <c r="M11" s="44">
        <f>'RECURRING PAYMENTS'!$Q11</f>
        <v>2</v>
      </c>
      <c r="N11" s="44" t="str">
        <f>'RECURRING PAYMENTS'!$R11</f>
        <v>Paused</v>
      </c>
      <c r="O11" s="44" t="str">
        <f ca="1">'RECURRING PAYMENTS'!$V11</f>
        <v>Overdue</v>
      </c>
      <c r="P11" s="44" t="str">
        <f t="shared" si="0"/>
        <v>Consider Cancelling</v>
      </c>
    </row>
    <row r="12" spans="1:16" ht="14.4">
      <c r="A12" s="44" t="str">
        <f>'RECURRING PAYMENTS'!$B12</f>
        <v>Mobile Recharge</v>
      </c>
      <c r="B12" s="44" t="str">
        <f>'RECURRING PAYMENTS'!$D12</f>
        <v>Mobile &amp; Internet</v>
      </c>
      <c r="C12" s="44" t="str">
        <f>'RECURRING PAYMENTS'!$G12</f>
        <v>Monthly</v>
      </c>
      <c r="D12" s="58">
        <f>'RECURRING PAYMENTS'!$F12</f>
        <v>349</v>
      </c>
      <c r="E12" s="58">
        <f>'RECURRING PAYMENTS'!$W12</f>
        <v>349</v>
      </c>
      <c r="F12" s="58">
        <f>'RECURRING PAYMENTS'!$X12</f>
        <v>4188</v>
      </c>
      <c r="G12" s="55">
        <f>'RECURRING PAYMENTS'!$T12</f>
        <v>46297</v>
      </c>
      <c r="H12" s="44" t="str">
        <f>'RECURRING PAYMENTS'!$M12</f>
        <v>On</v>
      </c>
      <c r="I12" s="44" t="str">
        <f>'RECURRING PAYMENTS'!$K12</f>
        <v>UPI</v>
      </c>
      <c r="J12" s="44" t="str">
        <f>'RECURRING PAYMENTS'!$N12</f>
        <v>Essential</v>
      </c>
      <c r="K12" s="44" t="str">
        <f>'RECURRING PAYMENTS'!$O12</f>
        <v>High</v>
      </c>
      <c r="L12" s="55">
        <f>'RECURRING PAYMENTS'!$P12</f>
        <v>46267</v>
      </c>
      <c r="M12" s="44">
        <f>'RECURRING PAYMENTS'!$Q12</f>
        <v>5</v>
      </c>
      <c r="N12" s="44" t="str">
        <f>'RECURRING PAYMENTS'!$R12</f>
        <v>Active</v>
      </c>
      <c r="O12" s="44" t="str">
        <f ca="1">'RECURRING PAYMENTS'!$V12</f>
        <v>Overdue</v>
      </c>
      <c r="P12" s="44" t="str">
        <f t="shared" si="0"/>
        <v>Keep</v>
      </c>
    </row>
    <row r="13" spans="1:16" ht="14.4">
      <c r="A13" s="44" t="str">
        <f>'RECURRING PAYMENTS'!$B13</f>
        <v>Campus Gym</v>
      </c>
      <c r="B13" s="44" t="str">
        <f>'RECURRING PAYMENTS'!$D13</f>
        <v>Health &amp; Fitness</v>
      </c>
      <c r="C13" s="44" t="str">
        <f>'RECURRING PAYMENTS'!$G13</f>
        <v>Monthly</v>
      </c>
      <c r="D13" s="58">
        <f>'RECURRING PAYMENTS'!$F13</f>
        <v>700</v>
      </c>
      <c r="E13" s="58">
        <f>'RECURRING PAYMENTS'!$W13</f>
        <v>700</v>
      </c>
      <c r="F13" s="58">
        <f>'RECURRING PAYMENTS'!$X13</f>
        <v>8400</v>
      </c>
      <c r="G13" s="55">
        <f>'RECURRING PAYMENTS'!$T13</f>
        <v>46297</v>
      </c>
      <c r="H13" s="44" t="str">
        <f>'RECURRING PAYMENTS'!$M13</f>
        <v>On</v>
      </c>
      <c r="I13" s="44" t="str">
        <f>'RECURRING PAYMENTS'!$K13</f>
        <v>UPI</v>
      </c>
      <c r="J13" s="44" t="str">
        <f>'RECURRING PAYMENTS'!$N13</f>
        <v>Useful</v>
      </c>
      <c r="K13" s="44" t="str">
        <f>'RECURRING PAYMENTS'!$O13</f>
        <v>High</v>
      </c>
      <c r="L13" s="55">
        <f>'RECURRING PAYMENTS'!$P13</f>
        <v>46267</v>
      </c>
      <c r="M13" s="44">
        <f>'RECURRING PAYMENTS'!$Q13</f>
        <v>4</v>
      </c>
      <c r="N13" s="44" t="str">
        <f>'RECURRING PAYMENTS'!$R13</f>
        <v>Active</v>
      </c>
      <c r="O13" s="44" t="str">
        <f ca="1">'RECURRING PAYMENTS'!$V13</f>
        <v>Overdue</v>
      </c>
      <c r="P13" s="44" t="str">
        <f t="shared" si="0"/>
        <v>Keep</v>
      </c>
    </row>
    <row r="14" spans="1:16" ht="14.4">
      <c r="A14" s="44" t="str">
        <f>'RECURRING PAYMENTS'!$B14</f>
        <v>Hostel Fee</v>
      </c>
      <c r="B14" s="44" t="str">
        <f>'RECURRING PAYMENTS'!$D14</f>
        <v>Hostel</v>
      </c>
      <c r="C14" s="44" t="str">
        <f>'RECURRING PAYMENTS'!$G14</f>
        <v>Monthly</v>
      </c>
      <c r="D14" s="58">
        <f>'RECURRING PAYMENTS'!$F14</f>
        <v>3500</v>
      </c>
      <c r="E14" s="58">
        <f>'RECURRING PAYMENTS'!$W14</f>
        <v>3500</v>
      </c>
      <c r="F14" s="58">
        <f>'RECURRING PAYMENTS'!$X14</f>
        <v>42000</v>
      </c>
      <c r="G14" s="55">
        <f>'RECURRING PAYMENTS'!$T14</f>
        <v>46296</v>
      </c>
      <c r="H14" s="44" t="str">
        <f>'RECURRING PAYMENTS'!$M14</f>
        <v>Off</v>
      </c>
      <c r="I14" s="44" t="str">
        <f>'RECURRING PAYMENTS'!$K14</f>
        <v>Bank Transfer</v>
      </c>
      <c r="J14" s="44" t="str">
        <f>'RECURRING PAYMENTS'!$N14</f>
        <v>Essential</v>
      </c>
      <c r="K14" s="44" t="str">
        <f>'RECURRING PAYMENTS'!$O14</f>
        <v>High</v>
      </c>
      <c r="L14" s="55">
        <f>'RECURRING PAYMENTS'!$P14</f>
        <v>0</v>
      </c>
      <c r="M14" s="44">
        <f>'RECURRING PAYMENTS'!$Q14</f>
        <v>5</v>
      </c>
      <c r="N14" s="44" t="str">
        <f>'RECURRING PAYMENTS'!$R14</f>
        <v>Active</v>
      </c>
      <c r="O14" s="44" t="str">
        <f ca="1">'RECURRING PAYMENTS'!$V14</f>
        <v>Overdue</v>
      </c>
      <c r="P14" s="44" t="str">
        <f t="shared" si="0"/>
        <v>Keep</v>
      </c>
    </row>
    <row r="15" spans="1:16" ht="14.4">
      <c r="A15" s="44" t="str">
        <f>'RECURRING PAYMENTS'!$B15</f>
        <v>Semester Exam Fee</v>
      </c>
      <c r="B15" s="44" t="str">
        <f>'RECURRING PAYMENTS'!$D15</f>
        <v>College Fees</v>
      </c>
      <c r="C15" s="44" t="str">
        <f>'RECURRING PAYMENTS'!$G15</f>
        <v>Semester</v>
      </c>
      <c r="D15" s="58">
        <f>'RECURRING PAYMENTS'!$F15</f>
        <v>2500</v>
      </c>
      <c r="E15" s="58">
        <f>'RECURRING PAYMENTS'!$W15</f>
        <v>416.66666666666669</v>
      </c>
      <c r="F15" s="58">
        <f>'RECURRING PAYMENTS'!$X15</f>
        <v>5000</v>
      </c>
      <c r="G15" s="55">
        <f>'RECURRING PAYMENTS'!$T15</f>
        <v>46341</v>
      </c>
      <c r="H15" s="44" t="str">
        <f>'RECURRING PAYMENTS'!$M15</f>
        <v>Off</v>
      </c>
      <c r="I15" s="44" t="str">
        <f>'RECURRING PAYMENTS'!$K15</f>
        <v>Bank Transfer</v>
      </c>
      <c r="J15" s="44" t="str">
        <f>'RECURRING PAYMENTS'!$N15</f>
        <v>Essential</v>
      </c>
      <c r="K15" s="44" t="str">
        <f>'RECURRING PAYMENTS'!$O15</f>
        <v>High</v>
      </c>
      <c r="L15" s="55">
        <f>'RECURRING PAYMENTS'!$P15</f>
        <v>0</v>
      </c>
      <c r="M15" s="44">
        <f>'RECURRING PAYMENTS'!$Q15</f>
        <v>5</v>
      </c>
      <c r="N15" s="44" t="str">
        <f>'RECURRING PAYMENTS'!$R15</f>
        <v>Scheduled</v>
      </c>
      <c r="O15" s="44" t="str">
        <f ca="1">'RECURRING PAYMENTS'!$V15</f>
        <v>Upcoming</v>
      </c>
      <c r="P15" s="44" t="str">
        <f t="shared" si="0"/>
        <v>Keep</v>
      </c>
    </row>
    <row r="16" spans="1:16" ht="14.4">
      <c r="A16" s="44">
        <f>'RECURRING PAYMENTS'!$B16</f>
        <v>0</v>
      </c>
      <c r="B16" s="44">
        <f>'RECURRING PAYMENTS'!$D16</f>
        <v>0</v>
      </c>
      <c r="C16" s="44">
        <f>'RECURRING PAYMENTS'!$G16</f>
        <v>0</v>
      </c>
      <c r="D16" s="58">
        <f>'RECURRING PAYMENTS'!$F16</f>
        <v>0</v>
      </c>
      <c r="E16" s="58" t="str">
        <f>'RECURRING PAYMENTS'!$W16</f>
        <v/>
      </c>
      <c r="F16" s="58" t="str">
        <f>'RECURRING PAYMENTS'!$X16</f>
        <v/>
      </c>
      <c r="G16" s="55" t="str">
        <f>'RECURRING PAYMENTS'!$T16</f>
        <v/>
      </c>
      <c r="H16" s="44">
        <f>'RECURRING PAYMENTS'!$M16</f>
        <v>0</v>
      </c>
      <c r="I16" s="44">
        <f>'RECURRING PAYMENTS'!$K16</f>
        <v>0</v>
      </c>
      <c r="J16" s="44">
        <f>'RECURRING PAYMENTS'!$N16</f>
        <v>0</v>
      </c>
      <c r="K16" s="44">
        <f>'RECURRING PAYMENTS'!$O16</f>
        <v>0</v>
      </c>
      <c r="L16" s="55">
        <f>'RECURRING PAYMENTS'!$P16</f>
        <v>0</v>
      </c>
      <c r="M16" s="44">
        <f>'RECURRING PAYMENTS'!$Q16</f>
        <v>0</v>
      </c>
      <c r="N16" s="44">
        <f>'RECURRING PAYMENTS'!$R16</f>
        <v>0</v>
      </c>
      <c r="O16" s="44" t="str">
        <f>'RECURRING PAYMENTS'!$V16</f>
        <v/>
      </c>
      <c r="P16" s="44" t="str">
        <f t="shared" si="0"/>
        <v>Consider Cancelling</v>
      </c>
    </row>
    <row r="17" spans="1:16" ht="14.4">
      <c r="A17" s="45">
        <f>'RECURRING PAYMENTS'!$B17</f>
        <v>0</v>
      </c>
      <c r="B17" s="45">
        <f>'RECURRING PAYMENTS'!$D17</f>
        <v>0</v>
      </c>
      <c r="C17" s="45">
        <f>'RECURRING PAYMENTS'!$G17</f>
        <v>0</v>
      </c>
      <c r="D17" s="59">
        <f>'RECURRING PAYMENTS'!$F17</f>
        <v>0</v>
      </c>
      <c r="E17" s="59" t="str">
        <f>'RECURRING PAYMENTS'!$W17</f>
        <v/>
      </c>
      <c r="F17" s="59" t="str">
        <f>'RECURRING PAYMENTS'!$X17</f>
        <v/>
      </c>
      <c r="G17" s="56" t="str">
        <f>'RECURRING PAYMENTS'!$T17</f>
        <v/>
      </c>
      <c r="H17" s="45">
        <f>'RECURRING PAYMENTS'!$M17</f>
        <v>0</v>
      </c>
      <c r="I17" s="45">
        <f>'RECURRING PAYMENTS'!$K17</f>
        <v>0</v>
      </c>
      <c r="J17" s="45">
        <f>'RECURRING PAYMENTS'!$N17</f>
        <v>0</v>
      </c>
      <c r="K17" s="45">
        <f>'RECURRING PAYMENTS'!$O17</f>
        <v>0</v>
      </c>
      <c r="L17" s="56">
        <f>'RECURRING PAYMENTS'!$P17</f>
        <v>0</v>
      </c>
      <c r="M17" s="45">
        <f>'RECURRING PAYMENTS'!$Q17</f>
        <v>0</v>
      </c>
      <c r="N17" s="45">
        <f>'RECURRING PAYMENTS'!$R17</f>
        <v>0</v>
      </c>
      <c r="O17" s="45" t="str">
        <f>'RECURRING PAYMENTS'!$V17</f>
        <v/>
      </c>
      <c r="P17" s="45" t="str">
        <f t="shared" si="0"/>
        <v>Consider Cancelling</v>
      </c>
    </row>
  </sheetData>
  <mergeCells count="10">
    <mergeCell ref="A1:P2"/>
    <mergeCell ref="A3:P3"/>
    <mergeCell ref="A4:D4"/>
    <mergeCell ref="A5:D5"/>
    <mergeCell ref="E4:H4"/>
    <mergeCell ref="E5:H5"/>
    <mergeCell ref="I4:L4"/>
    <mergeCell ref="I5:L5"/>
    <mergeCell ref="M4:P4"/>
    <mergeCell ref="M5:P5"/>
  </mergeCells>
  <conditionalFormatting sqref="O8:P17">
    <cfRule type="containsText" dxfId="48" priority="1" operator="containsText" text="Safe"/>
    <cfRule type="containsText" dxfId="47" priority="4" operator="containsText" text="Watch"/>
    <cfRule type="containsText" dxfId="46" priority="6" operator="containsText" text="Near"/>
    <cfRule type="containsText" dxfId="45" priority="7" operator="containsText" text="Over"/>
  </conditionalFormatting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"/>
  <sheetViews>
    <sheetView showGridLines="0" workbookViewId="0"/>
  </sheetViews>
  <sheetFormatPr defaultRowHeight="13.8"/>
  <cols>
    <col min="1" max="1" width="22" customWidth="1"/>
    <col min="2" max="8" width="16" customWidth="1"/>
    <col min="9" max="9" width="13" customWidth="1"/>
    <col min="10" max="10" width="18" customWidth="1"/>
    <col min="11" max="11" width="14" customWidth="1"/>
    <col min="12" max="12" width="18" customWidth="1"/>
    <col min="13" max="13" width="28" customWidth="1"/>
  </cols>
  <sheetData>
    <row r="1" spans="1:13" ht="31.95" customHeight="1">
      <c r="A1" s="107" t="s">
        <v>487</v>
      </c>
      <c r="B1" s="107" t="s">
        <v>487</v>
      </c>
      <c r="C1" s="107" t="s">
        <v>487</v>
      </c>
      <c r="D1" s="107" t="s">
        <v>487</v>
      </c>
      <c r="E1" s="107" t="s">
        <v>487</v>
      </c>
      <c r="F1" s="107" t="s">
        <v>487</v>
      </c>
      <c r="G1" s="107" t="s">
        <v>487</v>
      </c>
      <c r="H1" s="107" t="s">
        <v>487</v>
      </c>
      <c r="I1" s="107" t="s">
        <v>487</v>
      </c>
      <c r="J1" s="107" t="s">
        <v>487</v>
      </c>
      <c r="K1" s="107" t="s">
        <v>487</v>
      </c>
      <c r="L1" s="107" t="s">
        <v>487</v>
      </c>
      <c r="M1" s="107" t="s">
        <v>487</v>
      </c>
    </row>
    <row r="2" spans="1:13" ht="31.95" customHeight="1">
      <c r="A2" s="107" t="s">
        <v>487</v>
      </c>
      <c r="B2" s="107" t="s">
        <v>487</v>
      </c>
      <c r="C2" s="107" t="s">
        <v>487</v>
      </c>
      <c r="D2" s="107" t="s">
        <v>487</v>
      </c>
      <c r="E2" s="107" t="s">
        <v>487</v>
      </c>
      <c r="F2" s="107" t="s">
        <v>487</v>
      </c>
      <c r="G2" s="107" t="s">
        <v>487</v>
      </c>
      <c r="H2" s="107" t="s">
        <v>487</v>
      </c>
      <c r="I2" s="107" t="s">
        <v>487</v>
      </c>
      <c r="J2" s="107" t="s">
        <v>487</v>
      </c>
      <c r="K2" s="107" t="s">
        <v>487</v>
      </c>
      <c r="L2" s="107" t="s">
        <v>487</v>
      </c>
      <c r="M2" s="107" t="s">
        <v>487</v>
      </c>
    </row>
    <row r="3" spans="1:13" ht="18" customHeight="1">
      <c r="A3" s="108" t="s">
        <v>488</v>
      </c>
      <c r="B3" s="108" t="s">
        <v>488</v>
      </c>
      <c r="C3" s="108" t="s">
        <v>488</v>
      </c>
      <c r="D3" s="108" t="s">
        <v>488</v>
      </c>
      <c r="E3" s="108" t="s">
        <v>488</v>
      </c>
      <c r="F3" s="108" t="s">
        <v>488</v>
      </c>
      <c r="G3" s="108" t="s">
        <v>488</v>
      </c>
      <c r="H3" s="108" t="s">
        <v>488</v>
      </c>
      <c r="I3" s="108" t="s">
        <v>488</v>
      </c>
      <c r="J3" s="108" t="s">
        <v>488</v>
      </c>
      <c r="K3" s="108" t="s">
        <v>488</v>
      </c>
      <c r="L3" s="108" t="s">
        <v>488</v>
      </c>
      <c r="M3" s="108" t="s">
        <v>488</v>
      </c>
    </row>
    <row r="4" spans="1:13">
      <c r="A4" s="281" t="str">
        <f>"Savings rule: "&amp;SETTINGS!$E$10&amp;" | Adjust the target and protected buffer in SETTINGS"</f>
        <v>Savings rule: Percentage | Adjust the target and protected buffer in SETTINGS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</row>
    <row r="5" spans="1:13">
      <c r="A5" s="281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</row>
    <row r="7" spans="1:13" ht="30" customHeight="1">
      <c r="A7" s="19" t="s">
        <v>489</v>
      </c>
      <c r="B7" s="20" t="s">
        <v>490</v>
      </c>
      <c r="C7" s="20" t="s">
        <v>491</v>
      </c>
      <c r="D7" s="20" t="s">
        <v>492</v>
      </c>
      <c r="E7" s="20" t="s">
        <v>493</v>
      </c>
      <c r="F7" s="20" t="s">
        <v>494</v>
      </c>
      <c r="G7" s="20" t="s">
        <v>73</v>
      </c>
      <c r="H7" s="20" t="s">
        <v>495</v>
      </c>
      <c r="I7" s="20" t="s">
        <v>496</v>
      </c>
      <c r="J7" s="20" t="s">
        <v>497</v>
      </c>
      <c r="K7" s="20" t="s">
        <v>498</v>
      </c>
      <c r="L7" s="20" t="s">
        <v>75</v>
      </c>
      <c r="M7" s="21" t="s">
        <v>107</v>
      </c>
    </row>
    <row r="8" spans="1:13" ht="14.4">
      <c r="A8" s="8" t="s">
        <v>190</v>
      </c>
      <c r="B8" s="22">
        <v>20000</v>
      </c>
      <c r="C8" s="22">
        <v>5000</v>
      </c>
      <c r="D8" s="57">
        <f>SUMIFS('QUICK ENTRY'!$E$8:$E$1007,'QUICK ENTRY'!$AF$8:$AF$1007,"Yes",'QUICK ENTRY'!$C$8:$C$1007,"Savings Transfer",'QUICK ENTRY'!$J$8:$J$1007,$A8)</f>
        <v>4500</v>
      </c>
      <c r="E8" s="57">
        <f>SUMIFS('QUICK ENTRY'!$E$8:$E$1007,'QUICK ENTRY'!$AF$8:$AF$1007,"Yes",'QUICK ENTRY'!$C$8:$C$1007,"Expense",'QUICK ENTRY'!$J$8:$J$1007,$A8)</f>
        <v>0</v>
      </c>
      <c r="F8" s="57">
        <f t="shared" ref="F8:F14" si="0">$C8+$D8-$E8</f>
        <v>9500</v>
      </c>
      <c r="G8" s="57">
        <f t="shared" ref="G8:G14" si="1">MAX(0,$B8-$F8)</f>
        <v>10500</v>
      </c>
      <c r="H8" s="46">
        <v>46477</v>
      </c>
      <c r="I8" s="43">
        <f t="shared" ref="I8:I14" ca="1" si="2">MAX(0,12*(YEAR($H8)-YEAR(TODAY()))+MONTH($H8)-MONTH(TODAY()))</f>
        <v>5</v>
      </c>
      <c r="J8" s="57">
        <f t="shared" ref="J8:J14" ca="1" si="3">IF($G8=0,0,$G8/MAX(1,$I8))</f>
        <v>2100</v>
      </c>
      <c r="K8" s="60">
        <f t="shared" ref="K8:K14" si="4">IFERROR(MIN(1,$F8/$B8),0)</f>
        <v>0.47499999999999998</v>
      </c>
      <c r="L8" s="43" t="str">
        <f t="shared" ref="L8:L14" ca="1" si="5">IF($G8=0,"Achieved",IF($D8&gt;=$J8,"On Track","Needs Attention"))</f>
        <v>On Track</v>
      </c>
      <c r="M8" s="8"/>
    </row>
    <row r="9" spans="1:13" ht="14.4">
      <c r="A9" s="9" t="s">
        <v>499</v>
      </c>
      <c r="B9" s="11">
        <v>10000</v>
      </c>
      <c r="C9" s="11">
        <v>0</v>
      </c>
      <c r="D9" s="58">
        <f>SUMIFS('QUICK ENTRY'!$E$8:$E$1007,'QUICK ENTRY'!$AF$8:$AF$1007,"Yes",'QUICK ENTRY'!$C$8:$C$1007,"Savings Transfer",'QUICK ENTRY'!$J$8:$J$1007,$A9)</f>
        <v>0</v>
      </c>
      <c r="E9" s="58">
        <f>SUMIFS('QUICK ENTRY'!$E$8:$E$1007,'QUICK ENTRY'!$AF$8:$AF$1007,"Yes",'QUICK ENTRY'!$C$8:$C$1007,"Expense",'QUICK ENTRY'!$J$8:$J$1007,$A9)</f>
        <v>0</v>
      </c>
      <c r="F9" s="58">
        <f t="shared" si="0"/>
        <v>0</v>
      </c>
      <c r="G9" s="58">
        <f t="shared" si="1"/>
        <v>10000</v>
      </c>
      <c r="H9" s="13">
        <v>46418</v>
      </c>
      <c r="I9" s="44">
        <f t="shared" ca="1" si="2"/>
        <v>3</v>
      </c>
      <c r="J9" s="58">
        <f t="shared" ca="1" si="3"/>
        <v>3333.3333333333335</v>
      </c>
      <c r="K9" s="61">
        <f t="shared" si="4"/>
        <v>0</v>
      </c>
      <c r="L9" s="44" t="str">
        <f t="shared" ca="1" si="5"/>
        <v>Needs Attention</v>
      </c>
      <c r="M9" s="9"/>
    </row>
    <row r="10" spans="1:13" ht="14.4">
      <c r="A10" s="9" t="s">
        <v>500</v>
      </c>
      <c r="B10" s="11">
        <v>60000</v>
      </c>
      <c r="C10" s="11">
        <v>0</v>
      </c>
      <c r="D10" s="58">
        <f>SUMIFS('QUICK ENTRY'!$E$8:$E$1007,'QUICK ENTRY'!$AF$8:$AF$1007,"Yes",'QUICK ENTRY'!$C$8:$C$1007,"Savings Transfer",'QUICK ENTRY'!$J$8:$J$1007,$A10)</f>
        <v>0</v>
      </c>
      <c r="E10" s="58">
        <f>SUMIFS('QUICK ENTRY'!$E$8:$E$1007,'QUICK ENTRY'!$AF$8:$AF$1007,"Yes",'QUICK ENTRY'!$C$8:$C$1007,"Expense",'QUICK ENTRY'!$J$8:$J$1007,$A10)</f>
        <v>0</v>
      </c>
      <c r="F10" s="58">
        <f t="shared" si="0"/>
        <v>0</v>
      </c>
      <c r="G10" s="58">
        <f t="shared" si="1"/>
        <v>60000</v>
      </c>
      <c r="H10" s="13">
        <v>46934</v>
      </c>
      <c r="I10" s="44">
        <f t="shared" ca="1" si="2"/>
        <v>20</v>
      </c>
      <c r="J10" s="58">
        <f t="shared" ca="1" si="3"/>
        <v>3000</v>
      </c>
      <c r="K10" s="61">
        <f t="shared" si="4"/>
        <v>0</v>
      </c>
      <c r="L10" s="44" t="str">
        <f t="shared" ca="1" si="5"/>
        <v>Needs Attention</v>
      </c>
      <c r="M10" s="9"/>
    </row>
    <row r="11" spans="1:13" ht="14.4">
      <c r="A11" s="9" t="s">
        <v>501</v>
      </c>
      <c r="B11" s="11">
        <v>15000</v>
      </c>
      <c r="C11" s="11">
        <v>0</v>
      </c>
      <c r="D11" s="58">
        <f>SUMIFS('QUICK ENTRY'!$E$8:$E$1007,'QUICK ENTRY'!$AF$8:$AF$1007,"Yes",'QUICK ENTRY'!$C$8:$C$1007,"Savings Transfer",'QUICK ENTRY'!$J$8:$J$1007,$A11)</f>
        <v>0</v>
      </c>
      <c r="E11" s="58">
        <f>SUMIFS('QUICK ENTRY'!$E$8:$E$1007,'QUICK ENTRY'!$AF$8:$AF$1007,"Yes",'QUICK ENTRY'!$C$8:$C$1007,"Expense",'QUICK ENTRY'!$J$8:$J$1007,$A11)</f>
        <v>0</v>
      </c>
      <c r="F11" s="58">
        <f t="shared" si="0"/>
        <v>0</v>
      </c>
      <c r="G11" s="58">
        <f t="shared" si="1"/>
        <v>15000</v>
      </c>
      <c r="H11" s="13">
        <v>46538</v>
      </c>
      <c r="I11" s="44">
        <f t="shared" ca="1" si="2"/>
        <v>7</v>
      </c>
      <c r="J11" s="58">
        <f t="shared" ca="1" si="3"/>
        <v>2142.8571428571427</v>
      </c>
      <c r="K11" s="61">
        <f t="shared" si="4"/>
        <v>0</v>
      </c>
      <c r="L11" s="44" t="str">
        <f t="shared" ca="1" si="5"/>
        <v>Needs Attention</v>
      </c>
      <c r="M11" s="9"/>
    </row>
    <row r="12" spans="1:13" ht="14.4">
      <c r="A12" s="9" t="s">
        <v>502</v>
      </c>
      <c r="B12" s="11">
        <v>20000</v>
      </c>
      <c r="C12" s="11">
        <v>0</v>
      </c>
      <c r="D12" s="58">
        <f>SUMIFS('QUICK ENTRY'!$E$8:$E$1007,'QUICK ENTRY'!$AF$8:$AF$1007,"Yes",'QUICK ENTRY'!$C$8:$C$1007,"Savings Transfer",'QUICK ENTRY'!$J$8:$J$1007,$A12)</f>
        <v>0</v>
      </c>
      <c r="E12" s="58">
        <f>SUMIFS('QUICK ENTRY'!$E$8:$E$1007,'QUICK ENTRY'!$AF$8:$AF$1007,"Yes",'QUICK ENTRY'!$C$8:$C$1007,"Expense",'QUICK ENTRY'!$J$8:$J$1007,$A12)</f>
        <v>0</v>
      </c>
      <c r="F12" s="58">
        <f t="shared" si="0"/>
        <v>0</v>
      </c>
      <c r="G12" s="58">
        <f t="shared" si="1"/>
        <v>20000</v>
      </c>
      <c r="H12" s="13">
        <v>46507</v>
      </c>
      <c r="I12" s="44">
        <f t="shared" ca="1" si="2"/>
        <v>6</v>
      </c>
      <c r="J12" s="58">
        <f t="shared" ca="1" si="3"/>
        <v>3333.3333333333335</v>
      </c>
      <c r="K12" s="61">
        <f t="shared" si="4"/>
        <v>0</v>
      </c>
      <c r="L12" s="44" t="str">
        <f t="shared" ca="1" si="5"/>
        <v>Needs Attention</v>
      </c>
      <c r="M12" s="9"/>
    </row>
    <row r="13" spans="1:13" ht="14.4">
      <c r="A13" s="9" t="s">
        <v>503</v>
      </c>
      <c r="B13" s="11">
        <v>50000</v>
      </c>
      <c r="C13" s="11">
        <v>0</v>
      </c>
      <c r="D13" s="58">
        <f>SUMIFS('QUICK ENTRY'!$E$8:$E$1007,'QUICK ENTRY'!$AF$8:$AF$1007,"Yes",'QUICK ENTRY'!$C$8:$C$1007,"Savings Transfer",'QUICK ENTRY'!$J$8:$J$1007,$A13)</f>
        <v>0</v>
      </c>
      <c r="E13" s="58">
        <f>SUMIFS('QUICK ENTRY'!$E$8:$E$1007,'QUICK ENTRY'!$AF$8:$AF$1007,"Yes",'QUICK ENTRY'!$C$8:$C$1007,"Expense",'QUICK ENTRY'!$J$8:$J$1007,$A13)</f>
        <v>0</v>
      </c>
      <c r="F13" s="58">
        <f t="shared" si="0"/>
        <v>0</v>
      </c>
      <c r="G13" s="58">
        <f t="shared" si="1"/>
        <v>50000</v>
      </c>
      <c r="H13" s="13">
        <v>47483</v>
      </c>
      <c r="I13" s="44">
        <f t="shared" ca="1" si="2"/>
        <v>38</v>
      </c>
      <c r="J13" s="58">
        <f t="shared" ca="1" si="3"/>
        <v>1315.7894736842106</v>
      </c>
      <c r="K13" s="61">
        <f t="shared" si="4"/>
        <v>0</v>
      </c>
      <c r="L13" s="44" t="str">
        <f t="shared" ca="1" si="5"/>
        <v>Needs Attention</v>
      </c>
      <c r="M13" s="9"/>
    </row>
    <row r="14" spans="1:13" ht="14.4">
      <c r="A14" s="10" t="s">
        <v>504</v>
      </c>
      <c r="B14" s="23">
        <v>10000</v>
      </c>
      <c r="C14" s="23">
        <v>0</v>
      </c>
      <c r="D14" s="59">
        <f>SUMIFS('QUICK ENTRY'!$E$8:$E$1007,'QUICK ENTRY'!$AF$8:$AF$1007,"Yes",'QUICK ENTRY'!$C$8:$C$1007,"Savings Transfer",'QUICK ENTRY'!$J$8:$J$1007,$A14)</f>
        <v>0</v>
      </c>
      <c r="E14" s="59">
        <f>SUMIFS('QUICK ENTRY'!$E$8:$E$1007,'QUICK ENTRY'!$AF$8:$AF$1007,"Yes",'QUICK ENTRY'!$C$8:$C$1007,"Expense",'QUICK ENTRY'!$J$8:$J$1007,$A14)</f>
        <v>0</v>
      </c>
      <c r="F14" s="59">
        <f t="shared" si="0"/>
        <v>0</v>
      </c>
      <c r="G14" s="59">
        <f t="shared" si="1"/>
        <v>10000</v>
      </c>
      <c r="H14" s="47">
        <v>46752</v>
      </c>
      <c r="I14" s="45">
        <f t="shared" ca="1" si="2"/>
        <v>14</v>
      </c>
      <c r="J14" s="59">
        <f t="shared" ca="1" si="3"/>
        <v>714.28571428571433</v>
      </c>
      <c r="K14" s="62">
        <f t="shared" si="4"/>
        <v>0</v>
      </c>
      <c r="L14" s="45" t="str">
        <f t="shared" ca="1" si="5"/>
        <v>Needs Attention</v>
      </c>
      <c r="M14" s="10"/>
    </row>
    <row r="18" spans="1:6" ht="22.95" customHeight="1">
      <c r="A18" s="115" t="s">
        <v>505</v>
      </c>
      <c r="B18" s="116" t="s">
        <v>505</v>
      </c>
      <c r="C18" s="116" t="s">
        <v>505</v>
      </c>
      <c r="D18" s="116" t="s">
        <v>505</v>
      </c>
      <c r="E18" s="116" t="s">
        <v>505</v>
      </c>
      <c r="F18" s="117" t="s">
        <v>505</v>
      </c>
    </row>
    <row r="20" spans="1:6" ht="14.4">
      <c r="A20" s="66" t="s">
        <v>114</v>
      </c>
      <c r="B20" s="57">
        <f>SETTINGS!$B$14</f>
        <v>25000</v>
      </c>
    </row>
    <row r="21" spans="1:6" ht="14.4">
      <c r="A21" s="67" t="s">
        <v>506</v>
      </c>
      <c r="B21" s="58">
        <f>IF(SETTINGS!$E$10="Percentage",B20*SETTINGS!$B$15,SETTINGS!$E$11)</f>
        <v>2500</v>
      </c>
    </row>
    <row r="22" spans="1:6" ht="14.4">
      <c r="A22" s="67" t="s">
        <v>507</v>
      </c>
      <c r="B22" s="58">
        <f>SUMIFS('QUICK ENTRY'!$E$8:$E$1007,'QUICK ENTRY'!$AF$8:$AF$1007,"Yes",'QUICK ENTRY'!$C$8:$C$1007,"Savings Transfer",'QUICK ENTRY'!$V$8:$V$1007,DASHBOARD!$C$3,'QUICK ENTRY'!$X$8:$X$1007,DASHBOARD!$C$4)</f>
        <v>2500</v>
      </c>
    </row>
    <row r="23" spans="1:6" ht="14.4">
      <c r="A23" s="67" t="s">
        <v>508</v>
      </c>
      <c r="B23" s="58" t="str">
        <f ca="1">B23-B21</f>
        <v/>
      </c>
    </row>
    <row r="24" spans="1:6" ht="14.4">
      <c r="A24" s="68" t="s">
        <v>509</v>
      </c>
      <c r="B24" s="59">
        <f>DASHBOARD!$I$8</f>
        <v>15303</v>
      </c>
    </row>
  </sheetData>
  <mergeCells count="4">
    <mergeCell ref="A1:M2"/>
    <mergeCell ref="A3:M3"/>
    <mergeCell ref="A4:M5"/>
    <mergeCell ref="A18:F18"/>
  </mergeCells>
  <conditionalFormatting sqref="K8:K14">
    <cfRule type="dataBar" priority="1">
      <dataBar>
        <cfvo type="min"/>
        <cfvo type="max"/>
        <color rgb="FF14B8A6"/>
      </dataBar>
    </cfRule>
    <cfRule type="dataBar" priority="10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{193AAFF1-FCD5-9345-9794-EA467EA1E2CB}</x14:id>
        </ext>
      </extLst>
    </cfRule>
  </conditionalFormatting>
  <conditionalFormatting sqref="L8:L14">
    <cfRule type="containsText" dxfId="44" priority="2" operator="containsText" text="Safe"/>
    <cfRule type="containsText" dxfId="43" priority="5" operator="containsText" text="Watch"/>
    <cfRule type="containsText" dxfId="42" priority="7" operator="containsText" text="Near"/>
    <cfRule type="containsText" dxfId="41" priority="8" operator="containsText" text="Over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3AAFF1-FCD5-9345-9794-EA467EA1E2CB}">
            <x14:dataBar>
              <x14:cfvo type="min"/>
              <x14:cfvo type="max"/>
              <x14:negativeFillColor auto="1"/>
              <x14:axisColor auto="1"/>
            </x14:dataBar>
          </x14:cfRule>
          <xm:sqref>K8:K14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3"/>
  <sheetViews>
    <sheetView showGridLines="0" workbookViewId="0"/>
  </sheetViews>
  <sheetFormatPr defaultRowHeight="13.8"/>
  <cols>
    <col min="1" max="1" width="15" customWidth="1"/>
    <col min="2" max="2" width="23" customWidth="1"/>
    <col min="3" max="3" width="16" customWidth="1"/>
    <col min="4" max="4" width="17" customWidth="1"/>
    <col min="5" max="9" width="16" customWidth="1"/>
    <col min="10" max="10" width="13" customWidth="1"/>
    <col min="11" max="11" width="18" customWidth="1"/>
    <col min="12" max="12" width="14" customWidth="1"/>
    <col min="13" max="13" width="19" customWidth="1"/>
    <col min="14" max="14" width="15" customWidth="1"/>
  </cols>
  <sheetData>
    <row r="1" spans="1:14" ht="31.95" customHeight="1">
      <c r="A1" s="107" t="s">
        <v>510</v>
      </c>
      <c r="B1" s="107" t="s">
        <v>510</v>
      </c>
      <c r="C1" s="107" t="s">
        <v>510</v>
      </c>
      <c r="D1" s="107" t="s">
        <v>510</v>
      </c>
      <c r="E1" s="107" t="s">
        <v>510</v>
      </c>
      <c r="F1" s="107" t="s">
        <v>510</v>
      </c>
      <c r="G1" s="107" t="s">
        <v>510</v>
      </c>
      <c r="H1" s="107" t="s">
        <v>510</v>
      </c>
      <c r="I1" s="107" t="s">
        <v>510</v>
      </c>
      <c r="J1" s="107" t="s">
        <v>510</v>
      </c>
      <c r="K1" s="107" t="s">
        <v>510</v>
      </c>
      <c r="L1" s="107" t="s">
        <v>510</v>
      </c>
      <c r="M1" s="107" t="s">
        <v>510</v>
      </c>
      <c r="N1" s="107" t="s">
        <v>510</v>
      </c>
    </row>
    <row r="2" spans="1:14" ht="31.95" customHeight="1">
      <c r="A2" s="107" t="s">
        <v>510</v>
      </c>
      <c r="B2" s="107" t="s">
        <v>510</v>
      </c>
      <c r="C2" s="107" t="s">
        <v>510</v>
      </c>
      <c r="D2" s="107" t="s">
        <v>510</v>
      </c>
      <c r="E2" s="107" t="s">
        <v>510</v>
      </c>
      <c r="F2" s="107" t="s">
        <v>510</v>
      </c>
      <c r="G2" s="107" t="s">
        <v>510</v>
      </c>
      <c r="H2" s="107" t="s">
        <v>510</v>
      </c>
      <c r="I2" s="107" t="s">
        <v>510</v>
      </c>
      <c r="J2" s="107" t="s">
        <v>510</v>
      </c>
      <c r="K2" s="107" t="s">
        <v>510</v>
      </c>
      <c r="L2" s="107" t="s">
        <v>510</v>
      </c>
      <c r="M2" s="107" t="s">
        <v>510</v>
      </c>
      <c r="N2" s="107" t="s">
        <v>510</v>
      </c>
    </row>
    <row r="3" spans="1:14" ht="18" customHeight="1">
      <c r="A3" s="108" t="s">
        <v>511</v>
      </c>
      <c r="B3" s="108" t="s">
        <v>511</v>
      </c>
      <c r="C3" s="108" t="s">
        <v>511</v>
      </c>
      <c r="D3" s="108" t="s">
        <v>511</v>
      </c>
      <c r="E3" s="108" t="s">
        <v>511</v>
      </c>
      <c r="F3" s="108" t="s">
        <v>511</v>
      </c>
      <c r="G3" s="108" t="s">
        <v>511</v>
      </c>
      <c r="H3" s="108" t="s">
        <v>511</v>
      </c>
      <c r="I3" s="108" t="s">
        <v>511</v>
      </c>
      <c r="J3" s="108" t="s">
        <v>511</v>
      </c>
      <c r="K3" s="108" t="s">
        <v>511</v>
      </c>
      <c r="L3" s="108" t="s">
        <v>511</v>
      </c>
      <c r="M3" s="108" t="s">
        <v>511</v>
      </c>
      <c r="N3" s="108" t="s">
        <v>511</v>
      </c>
    </row>
    <row r="7" spans="1:14" ht="30" customHeight="1">
      <c r="A7" s="69" t="s">
        <v>512</v>
      </c>
      <c r="B7" s="70" t="s">
        <v>513</v>
      </c>
      <c r="C7" s="70" t="s">
        <v>82</v>
      </c>
      <c r="D7" s="70" t="s">
        <v>514</v>
      </c>
      <c r="E7" s="70" t="s">
        <v>491</v>
      </c>
      <c r="F7" s="70" t="s">
        <v>492</v>
      </c>
      <c r="G7" s="70" t="s">
        <v>494</v>
      </c>
      <c r="H7" s="70" t="s">
        <v>73</v>
      </c>
      <c r="I7" s="70" t="s">
        <v>495</v>
      </c>
      <c r="J7" s="70" t="s">
        <v>496</v>
      </c>
      <c r="K7" s="70" t="s">
        <v>497</v>
      </c>
      <c r="L7" s="70" t="s">
        <v>498</v>
      </c>
      <c r="M7" s="70" t="s">
        <v>75</v>
      </c>
      <c r="N7" s="71" t="s">
        <v>226</v>
      </c>
    </row>
    <row r="8" spans="1:14" ht="14.4">
      <c r="A8" s="8" t="s">
        <v>515</v>
      </c>
      <c r="B8" s="8" t="s">
        <v>190</v>
      </c>
      <c r="C8" s="8" t="s">
        <v>192</v>
      </c>
      <c r="D8" s="22">
        <v>20000</v>
      </c>
      <c r="E8" s="22">
        <v>5000</v>
      </c>
      <c r="F8" s="57">
        <f>SUMIFS('QUICK ENTRY'!$E$8:$E$1007,'QUICK ENTRY'!$AF$8:$AF$1007,"Yes",'QUICK ENTRY'!$C$8:$C$1007,"Savings Transfer",'QUICK ENTRY'!$J$8:$J$1007,$B8)</f>
        <v>4500</v>
      </c>
      <c r="G8" s="57">
        <f t="shared" ref="G8:G13" si="0">$E8+$F8</f>
        <v>9500</v>
      </c>
      <c r="H8" s="57">
        <f t="shared" ref="H8:H13" si="1">MAX(0,$D8-$G8)</f>
        <v>10500</v>
      </c>
      <c r="I8" s="46">
        <v>46477</v>
      </c>
      <c r="J8" s="43">
        <f t="shared" ref="J8:J13" ca="1" si="2">MAX(0,12*(YEAR($I8)-YEAR(TODAY()))+MONTH($I8)-MONTH(TODAY()))</f>
        <v>5</v>
      </c>
      <c r="K8" s="57">
        <f t="shared" ref="K8:K13" ca="1" si="3">IF($H8=0,0,$H8/MAX(1,$J8))</f>
        <v>2100</v>
      </c>
      <c r="L8" s="60">
        <f t="shared" ref="L8:L13" si="4">IFERROR(MIN(1,$G8/$D8),0)</f>
        <v>0.47499999999999998</v>
      </c>
      <c r="M8" s="43" t="str">
        <f t="shared" ref="M8:M13" ca="1" si="5">IF($H8=0,"Achieved",IF($F8&gt;=$K8,"On Track","Needs Attention"))</f>
        <v>On Track</v>
      </c>
      <c r="N8" s="8" t="s">
        <v>516</v>
      </c>
    </row>
    <row r="9" spans="1:14" ht="14.4">
      <c r="A9" s="9" t="s">
        <v>517</v>
      </c>
      <c r="B9" s="9" t="s">
        <v>518</v>
      </c>
      <c r="C9" s="9" t="s">
        <v>144</v>
      </c>
      <c r="D9" s="11">
        <v>80000</v>
      </c>
      <c r="E9" s="11">
        <v>10000</v>
      </c>
      <c r="F9" s="58">
        <f>SUMIFS('QUICK ENTRY'!$E$8:$E$1007,'QUICK ENTRY'!$AF$8:$AF$1007,"Yes",'QUICK ENTRY'!$C$8:$C$1007,"Savings Transfer",'QUICK ENTRY'!$J$8:$J$1007,$B9)</f>
        <v>0</v>
      </c>
      <c r="G9" s="58">
        <f t="shared" si="0"/>
        <v>10000</v>
      </c>
      <c r="H9" s="58">
        <f t="shared" si="1"/>
        <v>70000</v>
      </c>
      <c r="I9" s="13">
        <v>46934</v>
      </c>
      <c r="J9" s="44">
        <f t="shared" ca="1" si="2"/>
        <v>20</v>
      </c>
      <c r="K9" s="58">
        <f t="shared" ca="1" si="3"/>
        <v>3500</v>
      </c>
      <c r="L9" s="61">
        <f t="shared" si="4"/>
        <v>0.125</v>
      </c>
      <c r="M9" s="44" t="str">
        <f t="shared" ca="1" si="5"/>
        <v>Needs Attention</v>
      </c>
      <c r="N9" s="9" t="s">
        <v>519</v>
      </c>
    </row>
    <row r="10" spans="1:14" ht="14.4">
      <c r="A10" s="9" t="s">
        <v>520</v>
      </c>
      <c r="B10" s="9" t="s">
        <v>521</v>
      </c>
      <c r="C10" s="9" t="s">
        <v>144</v>
      </c>
      <c r="D10" s="11">
        <v>30000</v>
      </c>
      <c r="E10" s="11">
        <v>0</v>
      </c>
      <c r="F10" s="58">
        <f>SUMIFS('QUICK ENTRY'!$E$8:$E$1007,'QUICK ENTRY'!$AF$8:$AF$1007,"Yes",'QUICK ENTRY'!$C$8:$C$1007,"Savings Transfer",'QUICK ENTRY'!$J$8:$J$1007,$B10)</f>
        <v>0</v>
      </c>
      <c r="G10" s="58">
        <f t="shared" si="0"/>
        <v>0</v>
      </c>
      <c r="H10" s="58">
        <f t="shared" si="1"/>
        <v>30000</v>
      </c>
      <c r="I10" s="13">
        <v>46752</v>
      </c>
      <c r="J10" s="44">
        <f t="shared" ca="1" si="2"/>
        <v>14</v>
      </c>
      <c r="K10" s="58">
        <f t="shared" ca="1" si="3"/>
        <v>2142.8571428571427</v>
      </c>
      <c r="L10" s="61">
        <f t="shared" si="4"/>
        <v>0</v>
      </c>
      <c r="M10" s="44" t="str">
        <f t="shared" ca="1" si="5"/>
        <v>Needs Attention</v>
      </c>
      <c r="N10" s="9" t="s">
        <v>522</v>
      </c>
    </row>
    <row r="11" spans="1:14" ht="14.4">
      <c r="A11" s="9" t="s">
        <v>523</v>
      </c>
      <c r="B11" s="9" t="s">
        <v>316</v>
      </c>
      <c r="C11" s="9" t="s">
        <v>524</v>
      </c>
      <c r="D11" s="11">
        <v>10000</v>
      </c>
      <c r="E11" s="11">
        <v>0</v>
      </c>
      <c r="F11" s="58">
        <f>SUMIFS('QUICK ENTRY'!$E$8:$E$1007,'QUICK ENTRY'!$AF$8:$AF$1007,"Yes",'QUICK ENTRY'!$C$8:$C$1007,"Savings Transfer",'QUICK ENTRY'!$J$8:$J$1007,$B11)</f>
        <v>0</v>
      </c>
      <c r="G11" s="58">
        <f t="shared" si="0"/>
        <v>0</v>
      </c>
      <c r="H11" s="58">
        <f t="shared" si="1"/>
        <v>10000</v>
      </c>
      <c r="I11" s="13">
        <v>46507</v>
      </c>
      <c r="J11" s="44">
        <f t="shared" ca="1" si="2"/>
        <v>6</v>
      </c>
      <c r="K11" s="58">
        <f t="shared" ca="1" si="3"/>
        <v>1666.6666666666667</v>
      </c>
      <c r="L11" s="61">
        <f t="shared" si="4"/>
        <v>0</v>
      </c>
      <c r="M11" s="44" t="str">
        <f t="shared" ca="1" si="5"/>
        <v>Needs Attention</v>
      </c>
      <c r="N11" s="9" t="s">
        <v>519</v>
      </c>
    </row>
    <row r="12" spans="1:14" ht="14.4">
      <c r="A12" s="9" t="s">
        <v>525</v>
      </c>
      <c r="B12" s="9" t="s">
        <v>526</v>
      </c>
      <c r="C12" s="9" t="s">
        <v>166</v>
      </c>
      <c r="D12" s="11">
        <v>15000</v>
      </c>
      <c r="E12" s="11">
        <v>0</v>
      </c>
      <c r="F12" s="58">
        <f>SUMIFS('QUICK ENTRY'!$E$8:$E$1007,'QUICK ENTRY'!$AF$8:$AF$1007,"Yes",'QUICK ENTRY'!$C$8:$C$1007,"Savings Transfer",'QUICK ENTRY'!$J$8:$J$1007,$B12)</f>
        <v>0</v>
      </c>
      <c r="G12" s="58">
        <f t="shared" si="0"/>
        <v>0</v>
      </c>
      <c r="H12" s="58">
        <f t="shared" si="1"/>
        <v>15000</v>
      </c>
      <c r="I12" s="13">
        <v>46538</v>
      </c>
      <c r="J12" s="44">
        <f t="shared" ca="1" si="2"/>
        <v>7</v>
      </c>
      <c r="K12" s="58">
        <f t="shared" ca="1" si="3"/>
        <v>2142.8571428571427</v>
      </c>
      <c r="L12" s="61">
        <f t="shared" si="4"/>
        <v>0</v>
      </c>
      <c r="M12" s="44" t="str">
        <f t="shared" ca="1" si="5"/>
        <v>Needs Attention</v>
      </c>
      <c r="N12" s="9" t="s">
        <v>522</v>
      </c>
    </row>
    <row r="13" spans="1:14" ht="14.4">
      <c r="A13" s="10" t="s">
        <v>527</v>
      </c>
      <c r="B13" s="10" t="s">
        <v>528</v>
      </c>
      <c r="C13" s="10" t="s">
        <v>529</v>
      </c>
      <c r="D13" s="23">
        <v>50000</v>
      </c>
      <c r="E13" s="23">
        <v>0</v>
      </c>
      <c r="F13" s="59">
        <f>SUMIFS('QUICK ENTRY'!$E$8:$E$1007,'QUICK ENTRY'!$AF$8:$AF$1007,"Yes",'QUICK ENTRY'!$C$8:$C$1007,"Savings Transfer",'QUICK ENTRY'!$J$8:$J$1007,$B13)</f>
        <v>0</v>
      </c>
      <c r="G13" s="59">
        <f t="shared" si="0"/>
        <v>0</v>
      </c>
      <c r="H13" s="59">
        <f t="shared" si="1"/>
        <v>50000</v>
      </c>
      <c r="I13" s="47">
        <v>47483</v>
      </c>
      <c r="J13" s="45">
        <f t="shared" ca="1" si="2"/>
        <v>38</v>
      </c>
      <c r="K13" s="59">
        <f t="shared" ca="1" si="3"/>
        <v>1315.7894736842106</v>
      </c>
      <c r="L13" s="62">
        <f t="shared" si="4"/>
        <v>0</v>
      </c>
      <c r="M13" s="45" t="str">
        <f t="shared" ca="1" si="5"/>
        <v>Needs Attention</v>
      </c>
      <c r="N13" s="10" t="s">
        <v>519</v>
      </c>
    </row>
  </sheetData>
  <mergeCells count="2">
    <mergeCell ref="A1:N2"/>
    <mergeCell ref="A3:N3"/>
  </mergeCells>
  <conditionalFormatting sqref="L8:L13">
    <cfRule type="dataBar" priority="1">
      <dataBar>
        <cfvo type="min"/>
        <cfvo type="max"/>
        <color rgb="FF8B5CF6"/>
      </dataBar>
    </cfRule>
    <cfRule type="dataBar" priority="10">
      <dataBar>
        <cfvo type="min"/>
        <cfvo type="max"/>
        <color rgb="FF8B5CF6"/>
      </dataBar>
      <extLst>
        <ext xmlns:x14="http://schemas.microsoft.com/office/spreadsheetml/2009/9/main" uri="{B025F937-C7B1-47D3-B67F-A62EFF666E3E}">
          <x14:id>{17DB0970-BDE3-A171-AB76-CE2619BE8CAA}</x14:id>
        </ext>
      </extLst>
    </cfRule>
  </conditionalFormatting>
  <conditionalFormatting sqref="M8:M13">
    <cfRule type="containsText" dxfId="40" priority="2" operator="containsText" text="Safe"/>
    <cfRule type="containsText" dxfId="39" priority="5" operator="containsText" text="Watch"/>
    <cfRule type="containsText" dxfId="38" priority="7" operator="containsText" text="Near"/>
    <cfRule type="containsText" dxfId="37" priority="8" operator="containsText" text="Over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DB0970-BDE3-A171-AB76-CE2619BE8CAA}">
            <x14:dataBar>
              <x14:cfvo type="min"/>
              <x14:cfvo type="max"/>
              <x14:negativeFillColor auto="1"/>
              <x14:axisColor auto="1"/>
            </x14:dataBar>
          </x14:cfRule>
          <xm:sqref>L8:L13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F00-000000000000}">
          <x14:formula1>
            <xm:f>SETTINGS!$R$21:$R$25</xm:f>
          </x14:formula1>
          <xm:sqref>N8:N13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5"/>
  <sheetViews>
    <sheetView showGridLines="0" workbookViewId="0"/>
  </sheetViews>
  <sheetFormatPr defaultRowHeight="13.8"/>
  <cols>
    <col min="1" max="1" width="14" customWidth="1"/>
    <col min="2" max="2" width="28" customWidth="1"/>
    <col min="3" max="4" width="15" customWidth="1"/>
    <col min="5" max="5" width="18" customWidth="1"/>
    <col min="6" max="6" width="16" customWidth="1"/>
    <col min="7" max="7" width="14" customWidth="1"/>
    <col min="8" max="8" width="18" customWidth="1"/>
    <col min="9" max="9" width="16" customWidth="1"/>
    <col min="10" max="10" width="28" customWidth="1"/>
  </cols>
  <sheetData>
    <row r="1" spans="1:10" ht="31.95" customHeight="1">
      <c r="A1" s="107" t="s">
        <v>65</v>
      </c>
      <c r="B1" s="107" t="s">
        <v>65</v>
      </c>
      <c r="C1" s="107" t="s">
        <v>65</v>
      </c>
      <c r="D1" s="107" t="s">
        <v>65</v>
      </c>
      <c r="E1" s="107" t="s">
        <v>65</v>
      </c>
      <c r="F1" s="107" t="s">
        <v>65</v>
      </c>
      <c r="G1" s="107" t="s">
        <v>65</v>
      </c>
      <c r="H1" s="107" t="s">
        <v>65</v>
      </c>
      <c r="I1" s="107" t="s">
        <v>65</v>
      </c>
      <c r="J1" s="107" t="s">
        <v>65</v>
      </c>
    </row>
    <row r="2" spans="1:10" ht="31.95" customHeight="1">
      <c r="A2" s="107" t="s">
        <v>65</v>
      </c>
      <c r="B2" s="107" t="s">
        <v>65</v>
      </c>
      <c r="C2" s="107" t="s">
        <v>65</v>
      </c>
      <c r="D2" s="107" t="s">
        <v>65</v>
      </c>
      <c r="E2" s="107" t="s">
        <v>65</v>
      </c>
      <c r="F2" s="107" t="s">
        <v>65</v>
      </c>
      <c r="G2" s="107" t="s">
        <v>65</v>
      </c>
      <c r="H2" s="107" t="s">
        <v>65</v>
      </c>
      <c r="I2" s="107" t="s">
        <v>65</v>
      </c>
      <c r="J2" s="107" t="s">
        <v>65</v>
      </c>
    </row>
    <row r="3" spans="1:10" ht="18" customHeight="1">
      <c r="A3" s="108" t="s">
        <v>530</v>
      </c>
      <c r="B3" s="108" t="s">
        <v>530</v>
      </c>
      <c r="C3" s="108" t="s">
        <v>530</v>
      </c>
      <c r="D3" s="108" t="s">
        <v>530</v>
      </c>
      <c r="E3" s="108" t="s">
        <v>530</v>
      </c>
      <c r="F3" s="108" t="s">
        <v>530</v>
      </c>
      <c r="G3" s="108" t="s">
        <v>530</v>
      </c>
      <c r="H3" s="108" t="s">
        <v>530</v>
      </c>
      <c r="I3" s="108" t="s">
        <v>530</v>
      </c>
      <c r="J3" s="108" t="s">
        <v>530</v>
      </c>
    </row>
    <row r="5" spans="1:10">
      <c r="A5" s="78" t="s">
        <v>490</v>
      </c>
      <c r="B5" s="83">
        <f>SETTINGS!$B$19</f>
        <v>20000</v>
      </c>
    </row>
    <row r="6" spans="1:10">
      <c r="A6" s="79" t="s">
        <v>531</v>
      </c>
      <c r="B6" s="84">
        <v>5000</v>
      </c>
    </row>
    <row r="7" spans="1:10">
      <c r="A7" s="79" t="s">
        <v>492</v>
      </c>
      <c r="B7" s="83">
        <f>SUMIFS('QUICK ENTRY'!$E$8:$E$1007,'QUICK ENTRY'!$AF$8:$AF$1007,"Yes",'QUICK ENTRY'!$C$8:$C$1007,"Savings Transfer",'QUICK ENTRY'!$J$8:$J$1007,"Emergency Fund")</f>
        <v>4500</v>
      </c>
    </row>
    <row r="8" spans="1:10">
      <c r="A8" s="79" t="s">
        <v>532</v>
      </c>
      <c r="B8" s="83">
        <f>B6+B7-SUMIFS('QUICK ENTRY'!$E$8:$E$1007,'QUICK ENTRY'!$AF$8:$AF$1007,"Yes",'QUICK ENTRY'!$C$8:$C$1007,"Expense",'QUICK ENTRY'!$I$8:$I$1007,"Emergency")</f>
        <v>9500</v>
      </c>
    </row>
    <row r="9" spans="1:10">
      <c r="A9" s="79" t="s">
        <v>533</v>
      </c>
      <c r="B9" s="83">
        <f>MAX(0,B5-B8)</f>
        <v>10500</v>
      </c>
    </row>
    <row r="10" spans="1:10">
      <c r="A10" s="79" t="s">
        <v>498</v>
      </c>
      <c r="B10" s="85">
        <f>IFERROR(MIN(1,B8/B5),0)</f>
        <v>0.47499999999999998</v>
      </c>
    </row>
    <row r="11" spans="1:10">
      <c r="A11" s="79" t="s">
        <v>534</v>
      </c>
      <c r="B11" s="83">
        <f>B9/12</f>
        <v>875</v>
      </c>
    </row>
    <row r="12" spans="1:10">
      <c r="A12" s="80" t="s">
        <v>75</v>
      </c>
      <c r="B12" s="81" t="str">
        <f>IF(B9=0,"Goal Achieved",IF(B10&gt;=0.75,"On Track","Build Reserve"))</f>
        <v>Build Reserve</v>
      </c>
    </row>
    <row r="15" spans="1:10" ht="22.95" customHeight="1">
      <c r="A15" s="282" t="s">
        <v>535</v>
      </c>
      <c r="B15" s="283" t="s">
        <v>535</v>
      </c>
      <c r="C15" s="283" t="s">
        <v>535</v>
      </c>
      <c r="D15" s="283" t="s">
        <v>535</v>
      </c>
      <c r="E15" s="283" t="s">
        <v>535</v>
      </c>
      <c r="F15" s="283" t="s">
        <v>535</v>
      </c>
      <c r="G15" s="283" t="s">
        <v>535</v>
      </c>
      <c r="H15" s="283" t="s">
        <v>535</v>
      </c>
      <c r="I15" s="283" t="s">
        <v>535</v>
      </c>
      <c r="J15" s="284" t="s">
        <v>535</v>
      </c>
    </row>
    <row r="17" spans="1:10" ht="30" customHeight="1">
      <c r="A17" s="40" t="s">
        <v>81</v>
      </c>
      <c r="B17" s="41" t="s">
        <v>536</v>
      </c>
      <c r="C17" s="41" t="s">
        <v>84</v>
      </c>
      <c r="D17" s="41" t="s">
        <v>537</v>
      </c>
      <c r="E17" s="41" t="s">
        <v>538</v>
      </c>
      <c r="F17" s="41" t="s">
        <v>539</v>
      </c>
      <c r="G17" s="41" t="s">
        <v>540</v>
      </c>
      <c r="H17" s="41" t="s">
        <v>99</v>
      </c>
      <c r="I17" s="41" t="s">
        <v>75</v>
      </c>
      <c r="J17" s="42" t="s">
        <v>107</v>
      </c>
    </row>
    <row r="18" spans="1:10" ht="14.4">
      <c r="A18" s="46"/>
      <c r="B18" s="8"/>
      <c r="C18" s="22"/>
      <c r="D18" s="22"/>
      <c r="E18" s="22"/>
      <c r="F18" s="57">
        <f t="shared" ref="F18:F25" si="0">$B$8-C18+D18+E18</f>
        <v>9500</v>
      </c>
      <c r="G18" s="2"/>
      <c r="H18" s="2"/>
      <c r="I18" s="2"/>
      <c r="J18" s="2"/>
    </row>
    <row r="19" spans="1:10" ht="14.4">
      <c r="A19" s="13"/>
      <c r="B19" s="9"/>
      <c r="C19" s="11"/>
      <c r="D19" s="11"/>
      <c r="E19" s="11"/>
      <c r="F19" s="58">
        <f t="shared" si="0"/>
        <v>9500</v>
      </c>
      <c r="G19" s="3"/>
      <c r="H19" s="3"/>
      <c r="I19" s="3"/>
      <c r="J19" s="3"/>
    </row>
    <row r="20" spans="1:10" ht="14.4">
      <c r="A20" s="13"/>
      <c r="B20" s="9"/>
      <c r="C20" s="11"/>
      <c r="D20" s="11"/>
      <c r="E20" s="11"/>
      <c r="F20" s="58">
        <f t="shared" si="0"/>
        <v>9500</v>
      </c>
      <c r="G20" s="3"/>
      <c r="H20" s="3"/>
      <c r="I20" s="3"/>
      <c r="J20" s="3"/>
    </row>
    <row r="21" spans="1:10" ht="14.4">
      <c r="A21" s="13"/>
      <c r="B21" s="9"/>
      <c r="C21" s="11"/>
      <c r="D21" s="11"/>
      <c r="E21" s="11"/>
      <c r="F21" s="58">
        <f t="shared" si="0"/>
        <v>9500</v>
      </c>
      <c r="G21" s="3"/>
      <c r="H21" s="3"/>
      <c r="I21" s="3"/>
      <c r="J21" s="3"/>
    </row>
    <row r="22" spans="1:10" ht="14.4">
      <c r="A22" s="13"/>
      <c r="B22" s="9"/>
      <c r="C22" s="11"/>
      <c r="D22" s="11"/>
      <c r="E22" s="11"/>
      <c r="F22" s="58">
        <f t="shared" si="0"/>
        <v>9500</v>
      </c>
      <c r="G22" s="3"/>
      <c r="H22" s="3"/>
      <c r="I22" s="3"/>
      <c r="J22" s="3"/>
    </row>
    <row r="23" spans="1:10" ht="14.4">
      <c r="A23" s="13"/>
      <c r="B23" s="9"/>
      <c r="C23" s="11"/>
      <c r="D23" s="11"/>
      <c r="E23" s="11"/>
      <c r="F23" s="58">
        <f t="shared" si="0"/>
        <v>9500</v>
      </c>
      <c r="G23" s="3"/>
      <c r="H23" s="3"/>
      <c r="I23" s="3"/>
      <c r="J23" s="3"/>
    </row>
    <row r="24" spans="1:10" ht="14.4">
      <c r="A24" s="13"/>
      <c r="B24" s="9"/>
      <c r="C24" s="11"/>
      <c r="D24" s="11"/>
      <c r="E24" s="11"/>
      <c r="F24" s="58">
        <f t="shared" si="0"/>
        <v>9500</v>
      </c>
      <c r="G24" s="3"/>
      <c r="H24" s="3"/>
      <c r="I24" s="3"/>
      <c r="J24" s="3"/>
    </row>
    <row r="25" spans="1:10" ht="14.4">
      <c r="A25" s="47"/>
      <c r="B25" s="10"/>
      <c r="C25" s="23"/>
      <c r="D25" s="23"/>
      <c r="E25" s="23"/>
      <c r="F25" s="59">
        <f t="shared" si="0"/>
        <v>9500</v>
      </c>
      <c r="G25" s="4"/>
      <c r="H25" s="4"/>
      <c r="I25" s="4"/>
      <c r="J25" s="4"/>
    </row>
  </sheetData>
  <mergeCells count="3">
    <mergeCell ref="A1:J2"/>
    <mergeCell ref="A3:J3"/>
    <mergeCell ref="A15:J15"/>
  </mergeCells>
  <conditionalFormatting sqref="B10">
    <cfRule type="dataBar" priority="1">
      <dataBar>
        <cfvo type="min"/>
        <cfvo type="max"/>
        <color rgb="FF22C55E"/>
      </dataBar>
    </cfRule>
    <cfRule type="dataBar" priority="10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{CBD0B140-7D28-779D-5C59-CFF802B3685B}</x14:id>
        </ext>
      </extLst>
    </cfRule>
  </conditionalFormatting>
  <conditionalFormatting sqref="B12">
    <cfRule type="containsText" dxfId="36" priority="2" operator="containsText" text="Safe"/>
    <cfRule type="containsText" dxfId="35" priority="5" operator="containsText" text="Watch"/>
    <cfRule type="containsText" dxfId="34" priority="7" operator="containsText" text="Near"/>
    <cfRule type="containsText" dxfId="33" priority="8" operator="containsText" text="Over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D0B140-7D28-779D-5C59-CFF802B3685B}">
            <x14:dataBar>
              <x14:cfvo type="min"/>
              <x14:cfvo type="max"/>
              <x14:negativeFillColor auto="1"/>
              <x14:axisColor auto="1"/>
            </x14:dataBar>
          </x14:cfRule>
          <xm:sqref>B10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6"/>
  <sheetViews>
    <sheetView showGridLines="0" workbookViewId="0"/>
  </sheetViews>
  <sheetFormatPr defaultRowHeight="13.8"/>
  <cols>
    <col min="1" max="1" width="22" customWidth="1"/>
    <col min="2" max="2" width="20" customWidth="1"/>
    <col min="3" max="3" width="3" customWidth="1"/>
    <col min="4" max="4" width="22" customWidth="1"/>
    <col min="5" max="5" width="18" customWidth="1"/>
    <col min="6" max="6" width="15" customWidth="1"/>
    <col min="7" max="7" width="17" customWidth="1"/>
    <col min="8" max="9" width="16" customWidth="1"/>
    <col min="10" max="10" width="18" customWidth="1"/>
    <col min="11" max="12" width="17" customWidth="1"/>
    <col min="13" max="13" width="18" customWidth="1"/>
  </cols>
  <sheetData>
    <row r="1" spans="1:13" ht="31.95" customHeight="1">
      <c r="A1" s="107" t="s">
        <v>541</v>
      </c>
      <c r="B1" s="107" t="s">
        <v>541</v>
      </c>
      <c r="C1" s="107" t="s">
        <v>541</v>
      </c>
      <c r="D1" s="107" t="s">
        <v>541</v>
      </c>
      <c r="E1" s="107" t="s">
        <v>541</v>
      </c>
      <c r="F1" s="107" t="s">
        <v>541</v>
      </c>
      <c r="G1" s="107" t="s">
        <v>541</v>
      </c>
      <c r="H1" s="107" t="s">
        <v>541</v>
      </c>
      <c r="I1" s="107" t="s">
        <v>541</v>
      </c>
      <c r="J1" s="107" t="s">
        <v>541</v>
      </c>
      <c r="K1" s="107" t="s">
        <v>541</v>
      </c>
      <c r="L1" s="107" t="s">
        <v>541</v>
      </c>
      <c r="M1" s="107" t="s">
        <v>541</v>
      </c>
    </row>
    <row r="2" spans="1:13" ht="31.95" customHeight="1">
      <c r="A2" s="107" t="s">
        <v>541</v>
      </c>
      <c r="B2" s="107" t="s">
        <v>541</v>
      </c>
      <c r="C2" s="107" t="s">
        <v>541</v>
      </c>
      <c r="D2" s="107" t="s">
        <v>541</v>
      </c>
      <c r="E2" s="107" t="s">
        <v>541</v>
      </c>
      <c r="F2" s="107" t="s">
        <v>541</v>
      </c>
      <c r="G2" s="107" t="s">
        <v>541</v>
      </c>
      <c r="H2" s="107" t="s">
        <v>541</v>
      </c>
      <c r="I2" s="107" t="s">
        <v>541</v>
      </c>
      <c r="J2" s="107" t="s">
        <v>541</v>
      </c>
      <c r="K2" s="107" t="s">
        <v>541</v>
      </c>
      <c r="L2" s="107" t="s">
        <v>541</v>
      </c>
      <c r="M2" s="107" t="s">
        <v>541</v>
      </c>
    </row>
    <row r="3" spans="1:13" ht="18" customHeight="1">
      <c r="A3" s="108" t="s">
        <v>542</v>
      </c>
      <c r="B3" s="108" t="s">
        <v>542</v>
      </c>
      <c r="C3" s="108" t="s">
        <v>542</v>
      </c>
      <c r="D3" s="108" t="s">
        <v>542</v>
      </c>
      <c r="E3" s="108" t="s">
        <v>542</v>
      </c>
      <c r="F3" s="108" t="s">
        <v>542</v>
      </c>
      <c r="G3" s="108" t="s">
        <v>542</v>
      </c>
      <c r="H3" s="108" t="s">
        <v>542</v>
      </c>
      <c r="I3" s="108" t="s">
        <v>542</v>
      </c>
      <c r="J3" s="108" t="s">
        <v>542</v>
      </c>
      <c r="K3" s="108" t="s">
        <v>542</v>
      </c>
      <c r="L3" s="108" t="s">
        <v>542</v>
      </c>
      <c r="M3" s="108" t="s">
        <v>542</v>
      </c>
    </row>
    <row r="4" spans="1:13" ht="22.95" customHeight="1">
      <c r="A4" s="130" t="s">
        <v>543</v>
      </c>
      <c r="B4" s="131" t="s">
        <v>543</v>
      </c>
      <c r="C4" s="131" t="s">
        <v>543</v>
      </c>
      <c r="D4" s="285" t="s">
        <v>544</v>
      </c>
      <c r="E4" s="33" t="s">
        <v>544</v>
      </c>
      <c r="F4" s="33" t="s">
        <v>544</v>
      </c>
      <c r="G4" s="33" t="s">
        <v>544</v>
      </c>
      <c r="H4" s="33" t="s">
        <v>544</v>
      </c>
      <c r="I4" s="33" t="s">
        <v>544</v>
      </c>
      <c r="J4" s="33" t="s">
        <v>544</v>
      </c>
      <c r="K4" s="33" t="s">
        <v>544</v>
      </c>
      <c r="L4" s="33" t="s">
        <v>544</v>
      </c>
      <c r="M4" s="14" t="s">
        <v>544</v>
      </c>
    </row>
    <row r="5" spans="1:13" ht="14.4">
      <c r="A5" s="66" t="s">
        <v>341</v>
      </c>
      <c r="B5" s="8" t="s">
        <v>518</v>
      </c>
    </row>
    <row r="6" spans="1:13" ht="30" customHeight="1">
      <c r="A6" s="67" t="s">
        <v>545</v>
      </c>
      <c r="B6" s="11">
        <v>60000</v>
      </c>
      <c r="D6" s="69" t="s">
        <v>341</v>
      </c>
      <c r="E6" s="70" t="s">
        <v>40</v>
      </c>
      <c r="F6" s="70" t="s">
        <v>226</v>
      </c>
      <c r="G6" s="70" t="s">
        <v>546</v>
      </c>
      <c r="H6" s="70" t="s">
        <v>547</v>
      </c>
      <c r="I6" s="70" t="s">
        <v>548</v>
      </c>
      <c r="J6" s="70" t="s">
        <v>91</v>
      </c>
      <c r="K6" s="70" t="s">
        <v>549</v>
      </c>
      <c r="L6" s="70" t="s">
        <v>550</v>
      </c>
      <c r="M6" s="71" t="s">
        <v>75</v>
      </c>
    </row>
    <row r="7" spans="1:13" ht="14.4">
      <c r="A7" s="67" t="s">
        <v>551</v>
      </c>
      <c r="B7" s="11">
        <f>DASHBOARD!$I$8</f>
        <v>15303</v>
      </c>
      <c r="D7" s="8" t="s">
        <v>406</v>
      </c>
      <c r="E7" s="8" t="s">
        <v>144</v>
      </c>
      <c r="F7" s="8" t="s">
        <v>519</v>
      </c>
      <c r="G7" s="22">
        <v>0</v>
      </c>
      <c r="H7" s="22">
        <v>0</v>
      </c>
      <c r="I7" s="8" t="s">
        <v>232</v>
      </c>
      <c r="J7" s="8" t="s">
        <v>141</v>
      </c>
      <c r="K7" s="22">
        <v>0</v>
      </c>
      <c r="L7" s="43" t="str">
        <f t="shared" ref="L7:L16" si="0">IF(OR(I7=0,K7=0),"No",IF(K7&gt;=I7,"Yes","No"))</f>
        <v>No</v>
      </c>
      <c r="M7" s="8" t="s">
        <v>552</v>
      </c>
    </row>
    <row r="8" spans="1:13" ht="14.4">
      <c r="A8" s="67" t="s">
        <v>553</v>
      </c>
      <c r="B8" s="11">
        <v>2000</v>
      </c>
      <c r="D8" s="9" t="s">
        <v>521</v>
      </c>
      <c r="E8" s="9" t="s">
        <v>144</v>
      </c>
      <c r="F8" s="9" t="s">
        <v>519</v>
      </c>
      <c r="G8" s="11">
        <v>0</v>
      </c>
      <c r="H8" s="11">
        <v>0</v>
      </c>
      <c r="I8" s="9" t="s">
        <v>233</v>
      </c>
      <c r="J8" s="9" t="s">
        <v>141</v>
      </c>
      <c r="K8" s="11">
        <v>0</v>
      </c>
      <c r="L8" s="44" t="str">
        <f t="shared" si="0"/>
        <v>No</v>
      </c>
      <c r="M8" s="9" t="s">
        <v>552</v>
      </c>
    </row>
    <row r="9" spans="1:13" ht="14.4">
      <c r="A9" s="67" t="s">
        <v>554</v>
      </c>
      <c r="B9" s="11">
        <v>5000</v>
      </c>
      <c r="D9" s="9" t="s">
        <v>555</v>
      </c>
      <c r="E9" s="9" t="s">
        <v>144</v>
      </c>
      <c r="F9" s="9" t="s">
        <v>522</v>
      </c>
      <c r="G9" s="11">
        <v>0</v>
      </c>
      <c r="H9" s="11">
        <v>0</v>
      </c>
      <c r="I9" s="9" t="s">
        <v>234</v>
      </c>
      <c r="J9" s="9" t="s">
        <v>151</v>
      </c>
      <c r="K9" s="11">
        <v>0</v>
      </c>
      <c r="L9" s="44" t="str">
        <f t="shared" si="0"/>
        <v>No</v>
      </c>
      <c r="M9" s="9" t="s">
        <v>552</v>
      </c>
    </row>
    <row r="10" spans="1:13" ht="14.4">
      <c r="A10" s="67" t="s">
        <v>556</v>
      </c>
      <c r="B10" s="11">
        <v>3000</v>
      </c>
      <c r="D10" s="9" t="s">
        <v>557</v>
      </c>
      <c r="E10" s="9" t="s">
        <v>144</v>
      </c>
      <c r="F10" s="9" t="s">
        <v>522</v>
      </c>
      <c r="G10" s="11">
        <v>0</v>
      </c>
      <c r="H10" s="11">
        <v>0</v>
      </c>
      <c r="I10" s="9" t="s">
        <v>235</v>
      </c>
      <c r="J10" s="9" t="s">
        <v>151</v>
      </c>
      <c r="K10" s="11">
        <v>0</v>
      </c>
      <c r="L10" s="44" t="str">
        <f t="shared" si="0"/>
        <v>No</v>
      </c>
      <c r="M10" s="9" t="s">
        <v>552</v>
      </c>
    </row>
    <row r="11" spans="1:13" ht="14.4">
      <c r="A11" s="67" t="s">
        <v>558</v>
      </c>
      <c r="B11" s="58">
        <f>MAX(0,B7-B8-B9-B10)</f>
        <v>5303</v>
      </c>
      <c r="D11" s="9" t="s">
        <v>409</v>
      </c>
      <c r="E11" s="9" t="s">
        <v>144</v>
      </c>
      <c r="F11" s="9" t="s">
        <v>522</v>
      </c>
      <c r="G11" s="11">
        <v>0</v>
      </c>
      <c r="H11" s="11">
        <v>0</v>
      </c>
      <c r="I11" s="9" t="s">
        <v>236</v>
      </c>
      <c r="J11" s="9" t="s">
        <v>151</v>
      </c>
      <c r="K11" s="11">
        <v>0</v>
      </c>
      <c r="L11" s="44" t="str">
        <f t="shared" si="0"/>
        <v>No</v>
      </c>
      <c r="M11" s="9" t="s">
        <v>552</v>
      </c>
    </row>
    <row r="12" spans="1:13" ht="14.4">
      <c r="A12" s="68" t="s">
        <v>559</v>
      </c>
      <c r="B12" s="45" t="str">
        <f>IF(B11&gt;=B6,"Affordable",IF(B11&gt;=B6*0.75,"Technically Affordable - Not Recommended","Not Currently Affordable"))</f>
        <v>Not Currently Affordable</v>
      </c>
      <c r="D12" s="9" t="s">
        <v>560</v>
      </c>
      <c r="E12" s="9" t="s">
        <v>561</v>
      </c>
      <c r="F12" s="9" t="s">
        <v>522</v>
      </c>
      <c r="G12" s="11">
        <v>0</v>
      </c>
      <c r="H12" s="11">
        <v>0</v>
      </c>
      <c r="I12" s="9" t="s">
        <v>237</v>
      </c>
      <c r="J12" s="9" t="s">
        <v>151</v>
      </c>
      <c r="K12" s="11">
        <v>0</v>
      </c>
      <c r="L12" s="44" t="str">
        <f t="shared" si="0"/>
        <v>No</v>
      </c>
      <c r="M12" s="9" t="s">
        <v>552</v>
      </c>
    </row>
    <row r="13" spans="1:13" ht="14.4">
      <c r="D13" s="9" t="s">
        <v>526</v>
      </c>
      <c r="E13" s="9" t="s">
        <v>166</v>
      </c>
      <c r="F13" s="9" t="s">
        <v>522</v>
      </c>
      <c r="G13" s="11">
        <v>0</v>
      </c>
      <c r="H13" s="11">
        <v>0</v>
      </c>
      <c r="I13" s="9" t="s">
        <v>38</v>
      </c>
      <c r="J13" s="9" t="s">
        <v>151</v>
      </c>
      <c r="K13" s="11">
        <v>0</v>
      </c>
      <c r="L13" s="44" t="str">
        <f t="shared" si="0"/>
        <v>No</v>
      </c>
      <c r="M13" s="9" t="s">
        <v>552</v>
      </c>
    </row>
    <row r="14" spans="1:13" ht="14.4">
      <c r="D14" s="9" t="s">
        <v>562</v>
      </c>
      <c r="E14" s="9" t="s">
        <v>561</v>
      </c>
      <c r="F14" s="9" t="s">
        <v>522</v>
      </c>
      <c r="G14" s="11">
        <v>0</v>
      </c>
      <c r="H14" s="11">
        <v>0</v>
      </c>
      <c r="I14" s="9" t="s">
        <v>238</v>
      </c>
      <c r="J14" s="9" t="s">
        <v>151</v>
      </c>
      <c r="K14" s="11">
        <v>0</v>
      </c>
      <c r="L14" s="44" t="str">
        <f t="shared" si="0"/>
        <v>No</v>
      </c>
      <c r="M14" s="9" t="s">
        <v>552</v>
      </c>
    </row>
    <row r="15" spans="1:13" ht="14.4">
      <c r="D15" s="9" t="s">
        <v>563</v>
      </c>
      <c r="E15" s="9" t="s">
        <v>561</v>
      </c>
      <c r="F15" s="9" t="s">
        <v>522</v>
      </c>
      <c r="G15" s="11">
        <v>0</v>
      </c>
      <c r="H15" s="11">
        <v>0</v>
      </c>
      <c r="I15" s="9" t="s">
        <v>239</v>
      </c>
      <c r="J15" s="9" t="s">
        <v>151</v>
      </c>
      <c r="K15" s="11">
        <v>0</v>
      </c>
      <c r="L15" s="44" t="str">
        <f t="shared" si="0"/>
        <v>No</v>
      </c>
      <c r="M15" s="9" t="s">
        <v>552</v>
      </c>
    </row>
    <row r="16" spans="1:13" ht="14.4">
      <c r="D16" s="10" t="s">
        <v>564</v>
      </c>
      <c r="E16" s="10" t="s">
        <v>561</v>
      </c>
      <c r="F16" s="10" t="s">
        <v>522</v>
      </c>
      <c r="G16" s="23">
        <v>0</v>
      </c>
      <c r="H16" s="23">
        <v>0</v>
      </c>
      <c r="I16" s="10" t="s">
        <v>240</v>
      </c>
      <c r="J16" s="10" t="s">
        <v>151</v>
      </c>
      <c r="K16" s="23">
        <v>0</v>
      </c>
      <c r="L16" s="45" t="str">
        <f t="shared" si="0"/>
        <v>No</v>
      </c>
      <c r="M16" s="10" t="s">
        <v>552</v>
      </c>
    </row>
    <row r="20" spans="1:13" ht="22.95" customHeight="1">
      <c r="A20" s="109" t="s">
        <v>565</v>
      </c>
      <c r="B20" s="110" t="s">
        <v>565</v>
      </c>
      <c r="C20" s="110" t="s">
        <v>565</v>
      </c>
      <c r="D20" s="110" t="s">
        <v>565</v>
      </c>
      <c r="E20" s="110" t="s">
        <v>565</v>
      </c>
      <c r="F20" s="110" t="s">
        <v>565</v>
      </c>
      <c r="G20" s="110" t="s">
        <v>565</v>
      </c>
      <c r="H20" s="111" t="s">
        <v>565</v>
      </c>
      <c r="J20" s="118" t="s">
        <v>566</v>
      </c>
      <c r="K20" s="119" t="s">
        <v>566</v>
      </c>
      <c r="L20" s="119" t="s">
        <v>566</v>
      </c>
      <c r="M20" s="120" t="s">
        <v>566</v>
      </c>
    </row>
    <row r="22" spans="1:13" ht="30" customHeight="1">
      <c r="A22" s="19" t="s">
        <v>567</v>
      </c>
      <c r="B22" s="20" t="s">
        <v>42</v>
      </c>
      <c r="C22" s="20" t="s">
        <v>134</v>
      </c>
      <c r="D22" s="20" t="s">
        <v>166</v>
      </c>
      <c r="E22" s="20" t="s">
        <v>168</v>
      </c>
      <c r="F22" s="20" t="s">
        <v>144</v>
      </c>
      <c r="G22" s="20" t="s">
        <v>57</v>
      </c>
      <c r="H22" s="21" t="s">
        <v>568</v>
      </c>
      <c r="J22" s="66" t="s">
        <v>569</v>
      </c>
      <c r="K22" s="60">
        <f>SETTINGS!$E$9</f>
        <v>0.1</v>
      </c>
    </row>
    <row r="23" spans="1:13" ht="14.4">
      <c r="A23" s="2" t="s">
        <v>570</v>
      </c>
      <c r="B23" s="57">
        <f>SETTINGS!$B$14</f>
        <v>25000</v>
      </c>
      <c r="C23" s="57">
        <f>SETTINGS!$B$35*0.85</f>
        <v>3400</v>
      </c>
      <c r="D23" s="57">
        <f>(SETTINGS!$B$36+SETTINGS!$B$45)*0.85</f>
        <v>2125</v>
      </c>
      <c r="E23" s="57">
        <f>SETTINGS!$B$44*0.85</f>
        <v>850</v>
      </c>
      <c r="F23" s="57">
        <f>(SETTINGS!$B$37+SETTINGS!$B$38)*0.85</f>
        <v>2125</v>
      </c>
      <c r="G23" s="57">
        <f>IF(SETTINGS!$E$10="Percentage",B23*SETTINGS!$B$15,SETTINGS!$E$11)</f>
        <v>2500</v>
      </c>
      <c r="H23" s="57">
        <f>(B23-SUM(C23:G23))*12</f>
        <v>168000</v>
      </c>
      <c r="J23" s="67" t="s">
        <v>571</v>
      </c>
      <c r="K23" s="58">
        <f>SUMIFS('QUICK ENTRY'!$E$8:$E$1007,'QUICK ENTRY'!$AF$8:$AF$1007,"Yes",'QUICK ENTRY'!$C$8:$C$1007,"Expense",'QUICK ENTRY'!$M$8:$M$1007,"Optional",'QUICK ENTRY'!$V$8:$V$1007,DASHBOARD!$C$3,'QUICK ENTRY'!$X$8:$X$1007,DASHBOARD!$C$4)</f>
        <v>819</v>
      </c>
    </row>
    <row r="24" spans="1:13" ht="14.4">
      <c r="A24" s="3" t="s">
        <v>572</v>
      </c>
      <c r="B24" s="58">
        <f>SETTINGS!$B$14</f>
        <v>25000</v>
      </c>
      <c r="C24" s="58">
        <f>SETTINGS!$B$35*1</f>
        <v>4000</v>
      </c>
      <c r="D24" s="58">
        <f>(SETTINGS!$B$36+SETTINGS!$B$45)*1</f>
        <v>2500</v>
      </c>
      <c r="E24" s="58">
        <f>SETTINGS!$B$44*1</f>
        <v>1000</v>
      </c>
      <c r="F24" s="58">
        <f>(SETTINGS!$B$37+SETTINGS!$B$38)*1</f>
        <v>2500</v>
      </c>
      <c r="G24" s="58">
        <f>IF(SETTINGS!$E$10="Percentage",B24*SETTINGS!$B$15,SETTINGS!$E$11)</f>
        <v>2500</v>
      </c>
      <c r="H24" s="58">
        <f>(B24-SUM(C24:G24))*12</f>
        <v>150000</v>
      </c>
      <c r="J24" s="67" t="s">
        <v>573</v>
      </c>
      <c r="K24" s="58">
        <f>K23*K22</f>
        <v>81.900000000000006</v>
      </c>
    </row>
    <row r="25" spans="1:13" ht="14.4">
      <c r="A25" s="4" t="s">
        <v>574</v>
      </c>
      <c r="B25" s="59">
        <f>SETTINGS!$B$14</f>
        <v>25000</v>
      </c>
      <c r="C25" s="59">
        <f>SETTINGS!$B$35*1.2</f>
        <v>4800</v>
      </c>
      <c r="D25" s="59">
        <f>(SETTINGS!$B$36+SETTINGS!$B$45)*1.2</f>
        <v>3000</v>
      </c>
      <c r="E25" s="59">
        <f>SETTINGS!$B$44*1.2</f>
        <v>1200</v>
      </c>
      <c r="F25" s="59">
        <f>(SETTINGS!$B$37+SETTINGS!$B$38)*1.2</f>
        <v>3000</v>
      </c>
      <c r="G25" s="59">
        <f>IF(SETTINGS!$E$10="Percentage",B25*SETTINGS!$B$15,SETTINGS!$E$11)</f>
        <v>2500</v>
      </c>
      <c r="H25" s="59">
        <f>(B25-SUM(C25:G25))*12</f>
        <v>126000</v>
      </c>
      <c r="J25" s="67" t="s">
        <v>575</v>
      </c>
      <c r="K25" s="58">
        <f>DASHBOARD!$I$8+K24</f>
        <v>15384.9</v>
      </c>
    </row>
    <row r="26" spans="1:13" ht="14.4">
      <c r="J26" s="68" t="s">
        <v>576</v>
      </c>
      <c r="K26" s="59">
        <f>K24*12</f>
        <v>982.80000000000007</v>
      </c>
    </row>
  </sheetData>
  <mergeCells count="5">
    <mergeCell ref="A1:M2"/>
    <mergeCell ref="A3:M3"/>
    <mergeCell ref="A4:D4"/>
    <mergeCell ref="A20:H20"/>
    <mergeCell ref="J20:M20"/>
  </mergeCells>
  <conditionalFormatting sqref="B12">
    <cfRule type="containsText" dxfId="32" priority="1" operator="containsText" text="Safe"/>
    <cfRule type="containsText" dxfId="31" priority="4" operator="containsText" text="Watch"/>
    <cfRule type="containsText" dxfId="30" priority="6" operator="containsText" text="Near"/>
    <cfRule type="containsText" dxfId="29" priority="7" operator="containsText" text="Over"/>
  </conditionalFormatting>
  <dataValidations count="1">
    <dataValidation type="list" sqref="M7:M16" xr:uid="{00000000-0002-0000-1100-000001000000}">
      <formula1>"Not Planned,Saving,Ready to Buy,Purchased,Cancelled"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100-000000000000}">
          <x14:formula1>
            <xm:f>SETTINGS!$K$21:$K$32</xm:f>
          </x14:formula1>
          <xm:sqref>J7:J16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7"/>
  <sheetViews>
    <sheetView showGridLines="0" workbookViewId="0"/>
  </sheetViews>
  <sheetFormatPr defaultRowHeight="13.8"/>
  <cols>
    <col min="1" max="1" width="15" customWidth="1"/>
    <col min="2" max="2" width="28" customWidth="1"/>
    <col min="3" max="3" width="16" customWidth="1"/>
    <col min="4" max="4" width="13" customWidth="1"/>
    <col min="5" max="6" width="16" customWidth="1"/>
    <col min="7" max="10" width="18" customWidth="1"/>
    <col min="11" max="11" width="28" customWidth="1"/>
  </cols>
  <sheetData>
    <row r="1" spans="1:11" ht="31.95" customHeight="1">
      <c r="A1" s="107" t="s">
        <v>577</v>
      </c>
      <c r="B1" s="107" t="s">
        <v>577</v>
      </c>
      <c r="C1" s="107" t="s">
        <v>577</v>
      </c>
      <c r="D1" s="107" t="s">
        <v>577</v>
      </c>
      <c r="E1" s="107" t="s">
        <v>577</v>
      </c>
      <c r="F1" s="107" t="s">
        <v>577</v>
      </c>
      <c r="G1" s="107" t="s">
        <v>577</v>
      </c>
      <c r="H1" s="107" t="s">
        <v>577</v>
      </c>
      <c r="I1" s="107" t="s">
        <v>577</v>
      </c>
      <c r="J1" s="107" t="s">
        <v>577</v>
      </c>
      <c r="K1" s="107" t="s">
        <v>577</v>
      </c>
    </row>
    <row r="2" spans="1:11" ht="31.95" customHeight="1">
      <c r="A2" s="107" t="s">
        <v>577</v>
      </c>
      <c r="B2" s="107" t="s">
        <v>577</v>
      </c>
      <c r="C2" s="107" t="s">
        <v>577</v>
      </c>
      <c r="D2" s="107" t="s">
        <v>577</v>
      </c>
      <c r="E2" s="107" t="s">
        <v>577</v>
      </c>
      <c r="F2" s="107" t="s">
        <v>577</v>
      </c>
      <c r="G2" s="107" t="s">
        <v>577</v>
      </c>
      <c r="H2" s="107" t="s">
        <v>577</v>
      </c>
      <c r="I2" s="107" t="s">
        <v>577</v>
      </c>
      <c r="J2" s="107" t="s">
        <v>577</v>
      </c>
      <c r="K2" s="107" t="s">
        <v>577</v>
      </c>
    </row>
    <row r="3" spans="1:11" ht="18" customHeight="1">
      <c r="A3" s="108" t="s">
        <v>578</v>
      </c>
      <c r="B3" s="108" t="s">
        <v>578</v>
      </c>
      <c r="C3" s="108" t="s">
        <v>578</v>
      </c>
      <c r="D3" s="108" t="s">
        <v>578</v>
      </c>
      <c r="E3" s="108" t="s">
        <v>578</v>
      </c>
      <c r="F3" s="108" t="s">
        <v>578</v>
      </c>
      <c r="G3" s="108" t="s">
        <v>578</v>
      </c>
      <c r="H3" s="108" t="s">
        <v>578</v>
      </c>
      <c r="I3" s="108" t="s">
        <v>578</v>
      </c>
      <c r="J3" s="108" t="s">
        <v>578</v>
      </c>
      <c r="K3" s="108" t="s">
        <v>578</v>
      </c>
    </row>
    <row r="4" spans="1:11">
      <c r="A4" s="286" t="s">
        <v>579</v>
      </c>
      <c r="B4" s="286" t="s">
        <v>579</v>
      </c>
      <c r="C4" s="286" t="s">
        <v>579</v>
      </c>
      <c r="D4" s="286" t="s">
        <v>579</v>
      </c>
      <c r="E4" s="286" t="s">
        <v>579</v>
      </c>
      <c r="F4" s="286" t="s">
        <v>579</v>
      </c>
      <c r="G4" s="286" t="s">
        <v>579</v>
      </c>
      <c r="H4" s="286" t="s">
        <v>579</v>
      </c>
      <c r="I4" s="286" t="s">
        <v>579</v>
      </c>
      <c r="J4" s="286" t="s">
        <v>579</v>
      </c>
      <c r="K4" s="286" t="s">
        <v>579</v>
      </c>
    </row>
    <row r="5" spans="1:11">
      <c r="A5" s="286" t="s">
        <v>579</v>
      </c>
      <c r="B5" s="286" t="s">
        <v>579</v>
      </c>
      <c r="C5" s="286" t="s">
        <v>579</v>
      </c>
      <c r="D5" s="286" t="s">
        <v>579</v>
      </c>
      <c r="E5" s="286" t="s">
        <v>579</v>
      </c>
      <c r="F5" s="286" t="s">
        <v>579</v>
      </c>
      <c r="G5" s="286" t="s">
        <v>579</v>
      </c>
      <c r="H5" s="286" t="s">
        <v>579</v>
      </c>
      <c r="I5" s="286" t="s">
        <v>579</v>
      </c>
      <c r="J5" s="286" t="s">
        <v>579</v>
      </c>
      <c r="K5" s="286" t="s">
        <v>579</v>
      </c>
    </row>
    <row r="7" spans="1:11" ht="30" customHeight="1">
      <c r="A7" s="19" t="s">
        <v>81</v>
      </c>
      <c r="B7" s="20" t="s">
        <v>43</v>
      </c>
      <c r="C7" s="20" t="s">
        <v>580</v>
      </c>
      <c r="D7" s="20" t="s">
        <v>581</v>
      </c>
      <c r="E7" s="20" t="s">
        <v>582</v>
      </c>
      <c r="F7" s="20" t="s">
        <v>583</v>
      </c>
      <c r="G7" s="20" t="s">
        <v>584</v>
      </c>
      <c r="H7" s="20" t="s">
        <v>585</v>
      </c>
      <c r="I7" s="20" t="s">
        <v>586</v>
      </c>
      <c r="J7" s="20" t="s">
        <v>99</v>
      </c>
      <c r="K7" s="21" t="s">
        <v>107</v>
      </c>
    </row>
    <row r="8" spans="1:11" ht="14.4">
      <c r="A8" s="46"/>
      <c r="B8" s="8"/>
      <c r="C8" s="22"/>
      <c r="D8" s="22"/>
      <c r="E8" s="57" t="str">
        <f t="shared" ref="E8:E22" si="0">IF(OR(C8="",D8=""),"",C8/D8)</f>
        <v/>
      </c>
      <c r="F8" s="22"/>
      <c r="G8" s="57">
        <f t="shared" ref="G8:G22" si="1">IF(F8&gt;E8,F8-E8,0)</f>
        <v>0</v>
      </c>
      <c r="H8" s="57">
        <f t="shared" ref="H8:H22" si="2">IF(F8&lt;E8,E8-F8,0)</f>
        <v>0</v>
      </c>
      <c r="I8" s="8" t="s">
        <v>306</v>
      </c>
      <c r="J8" s="8"/>
      <c r="K8" s="8"/>
    </row>
    <row r="9" spans="1:11" ht="14.4">
      <c r="A9" s="13"/>
      <c r="B9" s="9"/>
      <c r="C9" s="11"/>
      <c r="D9" s="11"/>
      <c r="E9" s="58" t="str">
        <f t="shared" si="0"/>
        <v/>
      </c>
      <c r="F9" s="11"/>
      <c r="G9" s="58">
        <f t="shared" si="1"/>
        <v>0</v>
      </c>
      <c r="H9" s="58">
        <f t="shared" si="2"/>
        <v>0</v>
      </c>
      <c r="I9" s="9" t="s">
        <v>306</v>
      </c>
      <c r="J9" s="9"/>
      <c r="K9" s="9"/>
    </row>
    <row r="10" spans="1:11" ht="14.4">
      <c r="A10" s="13"/>
      <c r="B10" s="9"/>
      <c r="C10" s="11"/>
      <c r="D10" s="11"/>
      <c r="E10" s="58" t="str">
        <f t="shared" si="0"/>
        <v/>
      </c>
      <c r="F10" s="11"/>
      <c r="G10" s="58">
        <f t="shared" si="1"/>
        <v>0</v>
      </c>
      <c r="H10" s="58">
        <f t="shared" si="2"/>
        <v>0</v>
      </c>
      <c r="I10" s="9" t="s">
        <v>306</v>
      </c>
      <c r="J10" s="9"/>
      <c r="K10" s="9"/>
    </row>
    <row r="11" spans="1:11" ht="14.4">
      <c r="A11" s="13"/>
      <c r="B11" s="9"/>
      <c r="C11" s="11"/>
      <c r="D11" s="11"/>
      <c r="E11" s="58" t="str">
        <f t="shared" si="0"/>
        <v/>
      </c>
      <c r="F11" s="11"/>
      <c r="G11" s="58">
        <f t="shared" si="1"/>
        <v>0</v>
      </c>
      <c r="H11" s="58">
        <f t="shared" si="2"/>
        <v>0</v>
      </c>
      <c r="I11" s="9" t="s">
        <v>306</v>
      </c>
      <c r="J11" s="9"/>
      <c r="K11" s="9"/>
    </row>
    <row r="12" spans="1:11" ht="14.4">
      <c r="A12" s="13"/>
      <c r="B12" s="9"/>
      <c r="C12" s="11"/>
      <c r="D12" s="11"/>
      <c r="E12" s="58" t="str">
        <f t="shared" si="0"/>
        <v/>
      </c>
      <c r="F12" s="11"/>
      <c r="G12" s="58">
        <f t="shared" si="1"/>
        <v>0</v>
      </c>
      <c r="H12" s="58">
        <f t="shared" si="2"/>
        <v>0</v>
      </c>
      <c r="I12" s="9" t="s">
        <v>306</v>
      </c>
      <c r="J12" s="9"/>
      <c r="K12" s="9"/>
    </row>
    <row r="13" spans="1:11" ht="14.4">
      <c r="A13" s="13"/>
      <c r="B13" s="9"/>
      <c r="C13" s="11"/>
      <c r="D13" s="11"/>
      <c r="E13" s="58" t="str">
        <f t="shared" si="0"/>
        <v/>
      </c>
      <c r="F13" s="11"/>
      <c r="G13" s="58">
        <f t="shared" si="1"/>
        <v>0</v>
      </c>
      <c r="H13" s="58">
        <f t="shared" si="2"/>
        <v>0</v>
      </c>
      <c r="I13" s="9" t="s">
        <v>306</v>
      </c>
      <c r="J13" s="9"/>
      <c r="K13" s="9"/>
    </row>
    <row r="14" spans="1:11" ht="14.4">
      <c r="A14" s="13"/>
      <c r="B14" s="9"/>
      <c r="C14" s="11"/>
      <c r="D14" s="11"/>
      <c r="E14" s="58" t="str">
        <f t="shared" si="0"/>
        <v/>
      </c>
      <c r="F14" s="11"/>
      <c r="G14" s="58">
        <f t="shared" si="1"/>
        <v>0</v>
      </c>
      <c r="H14" s="58">
        <f t="shared" si="2"/>
        <v>0</v>
      </c>
      <c r="I14" s="9" t="s">
        <v>306</v>
      </c>
      <c r="J14" s="9"/>
      <c r="K14" s="9"/>
    </row>
    <row r="15" spans="1:11" ht="14.4">
      <c r="A15" s="13"/>
      <c r="B15" s="9"/>
      <c r="C15" s="11"/>
      <c r="D15" s="11"/>
      <c r="E15" s="58" t="str">
        <f t="shared" si="0"/>
        <v/>
      </c>
      <c r="F15" s="11"/>
      <c r="G15" s="58">
        <f t="shared" si="1"/>
        <v>0</v>
      </c>
      <c r="H15" s="58">
        <f t="shared" si="2"/>
        <v>0</v>
      </c>
      <c r="I15" s="9" t="s">
        <v>306</v>
      </c>
      <c r="J15" s="9"/>
      <c r="K15" s="9"/>
    </row>
    <row r="16" spans="1:11" ht="14.4">
      <c r="A16" s="13"/>
      <c r="B16" s="9"/>
      <c r="C16" s="11"/>
      <c r="D16" s="11"/>
      <c r="E16" s="58" t="str">
        <f t="shared" si="0"/>
        <v/>
      </c>
      <c r="F16" s="11"/>
      <c r="G16" s="58">
        <f t="shared" si="1"/>
        <v>0</v>
      </c>
      <c r="H16" s="58">
        <f t="shared" si="2"/>
        <v>0</v>
      </c>
      <c r="I16" s="9" t="s">
        <v>306</v>
      </c>
      <c r="J16" s="9"/>
      <c r="K16" s="9"/>
    </row>
    <row r="17" spans="1:11" ht="14.4">
      <c r="A17" s="13"/>
      <c r="B17" s="9"/>
      <c r="C17" s="11"/>
      <c r="D17" s="11"/>
      <c r="E17" s="58" t="str">
        <f t="shared" si="0"/>
        <v/>
      </c>
      <c r="F17" s="11"/>
      <c r="G17" s="58">
        <f t="shared" si="1"/>
        <v>0</v>
      </c>
      <c r="H17" s="58">
        <f t="shared" si="2"/>
        <v>0</v>
      </c>
      <c r="I17" s="9" t="s">
        <v>306</v>
      </c>
      <c r="J17" s="9"/>
      <c r="K17" s="9"/>
    </row>
    <row r="18" spans="1:11" ht="14.4">
      <c r="A18" s="13"/>
      <c r="B18" s="9"/>
      <c r="C18" s="11"/>
      <c r="D18" s="11"/>
      <c r="E18" s="58" t="str">
        <f t="shared" si="0"/>
        <v/>
      </c>
      <c r="F18" s="11"/>
      <c r="G18" s="58">
        <f t="shared" si="1"/>
        <v>0</v>
      </c>
      <c r="H18" s="58">
        <f t="shared" si="2"/>
        <v>0</v>
      </c>
      <c r="I18" s="9" t="s">
        <v>306</v>
      </c>
      <c r="J18" s="9"/>
      <c r="K18" s="9"/>
    </row>
    <row r="19" spans="1:11" ht="14.4">
      <c r="A19" s="13"/>
      <c r="B19" s="9"/>
      <c r="C19" s="11"/>
      <c r="D19" s="11"/>
      <c r="E19" s="58" t="str">
        <f t="shared" si="0"/>
        <v/>
      </c>
      <c r="F19" s="11"/>
      <c r="G19" s="58">
        <f t="shared" si="1"/>
        <v>0</v>
      </c>
      <c r="H19" s="58">
        <f t="shared" si="2"/>
        <v>0</v>
      </c>
      <c r="I19" s="9" t="s">
        <v>306</v>
      </c>
      <c r="J19" s="9"/>
      <c r="K19" s="9"/>
    </row>
    <row r="20" spans="1:11" ht="14.4">
      <c r="A20" s="13"/>
      <c r="B20" s="9"/>
      <c r="C20" s="11"/>
      <c r="D20" s="11"/>
      <c r="E20" s="58" t="str">
        <f t="shared" si="0"/>
        <v/>
      </c>
      <c r="F20" s="11"/>
      <c r="G20" s="58">
        <f t="shared" si="1"/>
        <v>0</v>
      </c>
      <c r="H20" s="58">
        <f t="shared" si="2"/>
        <v>0</v>
      </c>
      <c r="I20" s="9" t="s">
        <v>306</v>
      </c>
      <c r="J20" s="9"/>
      <c r="K20" s="9"/>
    </row>
    <row r="21" spans="1:11" ht="14.4">
      <c r="A21" s="13"/>
      <c r="B21" s="9"/>
      <c r="C21" s="11"/>
      <c r="D21" s="11"/>
      <c r="E21" s="58" t="str">
        <f t="shared" si="0"/>
        <v/>
      </c>
      <c r="F21" s="11"/>
      <c r="G21" s="58">
        <f t="shared" si="1"/>
        <v>0</v>
      </c>
      <c r="H21" s="58">
        <f t="shared" si="2"/>
        <v>0</v>
      </c>
      <c r="I21" s="9" t="s">
        <v>306</v>
      </c>
      <c r="J21" s="9"/>
      <c r="K21" s="9"/>
    </row>
    <row r="22" spans="1:11" ht="14.4">
      <c r="A22" s="47"/>
      <c r="B22" s="10"/>
      <c r="C22" s="23"/>
      <c r="D22" s="23"/>
      <c r="E22" s="59" t="str">
        <f t="shared" si="0"/>
        <v/>
      </c>
      <c r="F22" s="23"/>
      <c r="G22" s="59">
        <f t="shared" si="1"/>
        <v>0</v>
      </c>
      <c r="H22" s="59">
        <f t="shared" si="2"/>
        <v>0</v>
      </c>
      <c r="I22" s="10" t="s">
        <v>306</v>
      </c>
      <c r="J22" s="10"/>
      <c r="K22" s="10"/>
    </row>
    <row r="25" spans="1:11" ht="14.4">
      <c r="A25" s="96" t="s">
        <v>587</v>
      </c>
      <c r="B25" s="57">
        <f>SUM(G8:G22)</f>
        <v>0</v>
      </c>
    </row>
    <row r="26" spans="1:11" ht="14.4">
      <c r="A26" s="97" t="s">
        <v>588</v>
      </c>
      <c r="B26" s="58">
        <f>SUM(H8:H22)</f>
        <v>0</v>
      </c>
    </row>
    <row r="27" spans="1:11" ht="14.4">
      <c r="A27" s="98" t="s">
        <v>589</v>
      </c>
      <c r="B27" s="59">
        <f>B25-B26</f>
        <v>0</v>
      </c>
    </row>
  </sheetData>
  <mergeCells count="3">
    <mergeCell ref="A1:K2"/>
    <mergeCell ref="A3:K3"/>
    <mergeCell ref="A4:K5"/>
  </mergeCells>
  <dataValidations count="1">
    <dataValidation type="list" sqref="I8:I22" xr:uid="{00000000-0002-0000-1200-000000000000}">
      <formula1>"Pending,Partially Settled,Settled"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2"/>
  <sheetViews>
    <sheetView showGridLines="0" workbookViewId="0"/>
  </sheetViews>
  <sheetFormatPr defaultRowHeight="13.8"/>
  <cols>
    <col min="1" max="1" width="22" customWidth="1"/>
    <col min="2" max="3" width="15" customWidth="1"/>
    <col min="4" max="4" width="16" customWidth="1"/>
    <col min="5" max="5" width="27" customWidth="1"/>
    <col min="6" max="6" width="18" customWidth="1"/>
    <col min="7" max="8" width="16" customWidth="1"/>
    <col min="9" max="9" width="14" customWidth="1"/>
    <col min="10" max="10" width="17" customWidth="1"/>
    <col min="11" max="11" width="28" customWidth="1"/>
  </cols>
  <sheetData>
    <row r="1" spans="1:11" ht="31.95" customHeight="1">
      <c r="A1" s="107" t="s">
        <v>590</v>
      </c>
      <c r="B1" s="107" t="s">
        <v>590</v>
      </c>
      <c r="C1" s="107" t="s">
        <v>590</v>
      </c>
      <c r="D1" s="107" t="s">
        <v>590</v>
      </c>
      <c r="E1" s="107" t="s">
        <v>590</v>
      </c>
      <c r="F1" s="107" t="s">
        <v>590</v>
      </c>
      <c r="G1" s="107" t="s">
        <v>590</v>
      </c>
      <c r="H1" s="107" t="s">
        <v>590</v>
      </c>
      <c r="I1" s="107" t="s">
        <v>590</v>
      </c>
      <c r="J1" s="107" t="s">
        <v>590</v>
      </c>
      <c r="K1" s="107" t="s">
        <v>590</v>
      </c>
    </row>
    <row r="2" spans="1:11" ht="31.95" customHeight="1">
      <c r="A2" s="107" t="s">
        <v>590</v>
      </c>
      <c r="B2" s="107" t="s">
        <v>590</v>
      </c>
      <c r="C2" s="107" t="s">
        <v>590</v>
      </c>
      <c r="D2" s="107" t="s">
        <v>590</v>
      </c>
      <c r="E2" s="107" t="s">
        <v>590</v>
      </c>
      <c r="F2" s="107" t="s">
        <v>590</v>
      </c>
      <c r="G2" s="107" t="s">
        <v>590</v>
      </c>
      <c r="H2" s="107" t="s">
        <v>590</v>
      </c>
      <c r="I2" s="107" t="s">
        <v>590</v>
      </c>
      <c r="J2" s="107" t="s">
        <v>590</v>
      </c>
      <c r="K2" s="107" t="s">
        <v>590</v>
      </c>
    </row>
    <row r="3" spans="1:11" ht="18" customHeight="1">
      <c r="A3" s="108" t="s">
        <v>591</v>
      </c>
      <c r="B3" s="108" t="s">
        <v>591</v>
      </c>
      <c r="C3" s="108" t="s">
        <v>591</v>
      </c>
      <c r="D3" s="108" t="s">
        <v>591</v>
      </c>
      <c r="E3" s="108" t="s">
        <v>591</v>
      </c>
      <c r="F3" s="108" t="s">
        <v>591</v>
      </c>
      <c r="G3" s="108" t="s">
        <v>591</v>
      </c>
      <c r="H3" s="108" t="s">
        <v>591</v>
      </c>
      <c r="I3" s="108" t="s">
        <v>591</v>
      </c>
      <c r="J3" s="108" t="s">
        <v>591</v>
      </c>
      <c r="K3" s="108" t="s">
        <v>591</v>
      </c>
    </row>
    <row r="4" spans="1:11">
      <c r="A4" s="259" t="s">
        <v>592</v>
      </c>
      <c r="B4" s="259" t="s">
        <v>592</v>
      </c>
      <c r="C4" s="259" t="s">
        <v>592</v>
      </c>
      <c r="D4" s="259" t="s">
        <v>592</v>
      </c>
      <c r="E4" s="259" t="s">
        <v>592</v>
      </c>
      <c r="F4" s="259" t="s">
        <v>592</v>
      </c>
      <c r="G4" s="259" t="s">
        <v>592</v>
      </c>
      <c r="H4" s="259" t="s">
        <v>592</v>
      </c>
      <c r="I4" s="259" t="s">
        <v>592</v>
      </c>
      <c r="J4" s="259" t="s">
        <v>592</v>
      </c>
      <c r="K4" s="259" t="s">
        <v>592</v>
      </c>
    </row>
    <row r="5" spans="1:11">
      <c r="A5" s="259" t="s">
        <v>592</v>
      </c>
      <c r="B5" s="259" t="s">
        <v>592</v>
      </c>
      <c r="C5" s="259" t="s">
        <v>592</v>
      </c>
      <c r="D5" s="259" t="s">
        <v>592</v>
      </c>
      <c r="E5" s="259" t="s">
        <v>592</v>
      </c>
      <c r="F5" s="259" t="s">
        <v>592</v>
      </c>
      <c r="G5" s="259" t="s">
        <v>592</v>
      </c>
      <c r="H5" s="259" t="s">
        <v>592</v>
      </c>
      <c r="I5" s="259" t="s">
        <v>592</v>
      </c>
      <c r="J5" s="259" t="s">
        <v>592</v>
      </c>
      <c r="K5" s="259" t="s">
        <v>592</v>
      </c>
    </row>
    <row r="7" spans="1:11" ht="30" customHeight="1">
      <c r="A7" s="69" t="s">
        <v>593</v>
      </c>
      <c r="B7" s="70" t="s">
        <v>81</v>
      </c>
      <c r="C7" s="70" t="s">
        <v>82</v>
      </c>
      <c r="D7" s="70" t="s">
        <v>84</v>
      </c>
      <c r="E7" s="70" t="s">
        <v>536</v>
      </c>
      <c r="F7" s="70" t="s">
        <v>594</v>
      </c>
      <c r="G7" s="70" t="s">
        <v>595</v>
      </c>
      <c r="H7" s="70" t="s">
        <v>73</v>
      </c>
      <c r="I7" s="70" t="s">
        <v>596</v>
      </c>
      <c r="J7" s="70" t="s">
        <v>75</v>
      </c>
      <c r="K7" s="71" t="s">
        <v>107</v>
      </c>
    </row>
    <row r="8" spans="1:11" ht="14.4">
      <c r="A8" s="8"/>
      <c r="B8" s="46"/>
      <c r="C8" s="8" t="s">
        <v>597</v>
      </c>
      <c r="D8" s="22"/>
      <c r="E8" s="8"/>
      <c r="F8" s="46"/>
      <c r="G8" s="22">
        <v>0</v>
      </c>
      <c r="H8" s="57" t="str">
        <f t="shared" ref="H8:H22" si="0">IF(D8="","",MAX(0,D8-G8))</f>
        <v/>
      </c>
      <c r="I8" s="43" t="str">
        <f t="shared" ref="I8:I22" ca="1" si="1">IF(F8="","",F8-TODAY())</f>
        <v/>
      </c>
      <c r="J8" s="43" t="str">
        <f t="shared" ref="J8:J22" si="2">IF(H8="","",IF(H8=0,"Settled",IF(G8&gt;0,"Partially Paid",IF(I8&lt;0,"Overdue","Pending"))))</f>
        <v/>
      </c>
      <c r="K8" s="8"/>
    </row>
    <row r="9" spans="1:11" ht="14.4">
      <c r="A9" s="9"/>
      <c r="B9" s="13"/>
      <c r="C9" s="9" t="s">
        <v>597</v>
      </c>
      <c r="D9" s="11"/>
      <c r="E9" s="9"/>
      <c r="F9" s="13"/>
      <c r="G9" s="11">
        <v>0</v>
      </c>
      <c r="H9" s="58" t="str">
        <f t="shared" si="0"/>
        <v/>
      </c>
      <c r="I9" s="44" t="str">
        <f t="shared" ca="1" si="1"/>
        <v/>
      </c>
      <c r="J9" s="44" t="str">
        <f t="shared" si="2"/>
        <v/>
      </c>
      <c r="K9" s="9"/>
    </row>
    <row r="10" spans="1:11" ht="14.4">
      <c r="A10" s="9"/>
      <c r="B10" s="13"/>
      <c r="C10" s="9" t="s">
        <v>597</v>
      </c>
      <c r="D10" s="11"/>
      <c r="E10" s="9"/>
      <c r="F10" s="13"/>
      <c r="G10" s="11">
        <v>0</v>
      </c>
      <c r="H10" s="58" t="str">
        <f t="shared" si="0"/>
        <v/>
      </c>
      <c r="I10" s="44" t="str">
        <f t="shared" ca="1" si="1"/>
        <v/>
      </c>
      <c r="J10" s="44" t="str">
        <f t="shared" si="2"/>
        <v/>
      </c>
      <c r="K10" s="9"/>
    </row>
    <row r="11" spans="1:11" ht="14.4">
      <c r="A11" s="9"/>
      <c r="B11" s="13"/>
      <c r="C11" s="9" t="s">
        <v>597</v>
      </c>
      <c r="D11" s="11"/>
      <c r="E11" s="9"/>
      <c r="F11" s="13"/>
      <c r="G11" s="11">
        <v>0</v>
      </c>
      <c r="H11" s="58" t="str">
        <f t="shared" si="0"/>
        <v/>
      </c>
      <c r="I11" s="44" t="str">
        <f t="shared" ca="1" si="1"/>
        <v/>
      </c>
      <c r="J11" s="44" t="str">
        <f t="shared" si="2"/>
        <v/>
      </c>
      <c r="K11" s="9"/>
    </row>
    <row r="12" spans="1:11" ht="14.4">
      <c r="A12" s="9"/>
      <c r="B12" s="13"/>
      <c r="C12" s="9" t="s">
        <v>597</v>
      </c>
      <c r="D12" s="11"/>
      <c r="E12" s="9"/>
      <c r="F12" s="13"/>
      <c r="G12" s="11">
        <v>0</v>
      </c>
      <c r="H12" s="58" t="str">
        <f t="shared" si="0"/>
        <v/>
      </c>
      <c r="I12" s="44" t="str">
        <f t="shared" ca="1" si="1"/>
        <v/>
      </c>
      <c r="J12" s="44" t="str">
        <f t="shared" si="2"/>
        <v/>
      </c>
      <c r="K12" s="9"/>
    </row>
    <row r="13" spans="1:11" ht="14.4">
      <c r="A13" s="9"/>
      <c r="B13" s="13"/>
      <c r="C13" s="9" t="s">
        <v>597</v>
      </c>
      <c r="D13" s="11"/>
      <c r="E13" s="9"/>
      <c r="F13" s="13"/>
      <c r="G13" s="11">
        <v>0</v>
      </c>
      <c r="H13" s="58" t="str">
        <f t="shared" si="0"/>
        <v/>
      </c>
      <c r="I13" s="44" t="str">
        <f t="shared" ca="1" si="1"/>
        <v/>
      </c>
      <c r="J13" s="44" t="str">
        <f t="shared" si="2"/>
        <v/>
      </c>
      <c r="K13" s="9"/>
    </row>
    <row r="14" spans="1:11" ht="14.4">
      <c r="A14" s="9"/>
      <c r="B14" s="13"/>
      <c r="C14" s="9" t="s">
        <v>597</v>
      </c>
      <c r="D14" s="11"/>
      <c r="E14" s="9"/>
      <c r="F14" s="13"/>
      <c r="G14" s="11">
        <v>0</v>
      </c>
      <c r="H14" s="58" t="str">
        <f t="shared" si="0"/>
        <v/>
      </c>
      <c r="I14" s="44" t="str">
        <f t="shared" ca="1" si="1"/>
        <v/>
      </c>
      <c r="J14" s="44" t="str">
        <f t="shared" si="2"/>
        <v/>
      </c>
      <c r="K14" s="9"/>
    </row>
    <row r="15" spans="1:11" ht="14.4">
      <c r="A15" s="9"/>
      <c r="B15" s="13"/>
      <c r="C15" s="9" t="s">
        <v>597</v>
      </c>
      <c r="D15" s="11"/>
      <c r="E15" s="9"/>
      <c r="F15" s="13"/>
      <c r="G15" s="11">
        <v>0</v>
      </c>
      <c r="H15" s="58" t="str">
        <f t="shared" si="0"/>
        <v/>
      </c>
      <c r="I15" s="44" t="str">
        <f t="shared" ca="1" si="1"/>
        <v/>
      </c>
      <c r="J15" s="44" t="str">
        <f t="shared" si="2"/>
        <v/>
      </c>
      <c r="K15" s="9"/>
    </row>
    <row r="16" spans="1:11" ht="14.4">
      <c r="A16" s="9"/>
      <c r="B16" s="13"/>
      <c r="C16" s="9" t="s">
        <v>597</v>
      </c>
      <c r="D16" s="11"/>
      <c r="E16" s="9"/>
      <c r="F16" s="13"/>
      <c r="G16" s="11">
        <v>0</v>
      </c>
      <c r="H16" s="58" t="str">
        <f t="shared" si="0"/>
        <v/>
      </c>
      <c r="I16" s="44" t="str">
        <f t="shared" ca="1" si="1"/>
        <v/>
      </c>
      <c r="J16" s="44" t="str">
        <f t="shared" si="2"/>
        <v/>
      </c>
      <c r="K16" s="9"/>
    </row>
    <row r="17" spans="1:11" ht="14.4">
      <c r="A17" s="9"/>
      <c r="B17" s="13"/>
      <c r="C17" s="9" t="s">
        <v>597</v>
      </c>
      <c r="D17" s="11"/>
      <c r="E17" s="9"/>
      <c r="F17" s="13"/>
      <c r="G17" s="11">
        <v>0</v>
      </c>
      <c r="H17" s="58" t="str">
        <f t="shared" si="0"/>
        <v/>
      </c>
      <c r="I17" s="44" t="str">
        <f t="shared" ca="1" si="1"/>
        <v/>
      </c>
      <c r="J17" s="44" t="str">
        <f t="shared" si="2"/>
        <v/>
      </c>
      <c r="K17" s="9"/>
    </row>
    <row r="18" spans="1:11" ht="14.4">
      <c r="A18" s="9"/>
      <c r="B18" s="13"/>
      <c r="C18" s="9" t="s">
        <v>597</v>
      </c>
      <c r="D18" s="11"/>
      <c r="E18" s="9"/>
      <c r="F18" s="13"/>
      <c r="G18" s="11">
        <v>0</v>
      </c>
      <c r="H18" s="58" t="str">
        <f t="shared" si="0"/>
        <v/>
      </c>
      <c r="I18" s="44" t="str">
        <f t="shared" ca="1" si="1"/>
        <v/>
      </c>
      <c r="J18" s="44" t="str">
        <f t="shared" si="2"/>
        <v/>
      </c>
      <c r="K18" s="9"/>
    </row>
    <row r="19" spans="1:11" ht="14.4">
      <c r="A19" s="9"/>
      <c r="B19" s="13"/>
      <c r="C19" s="9" t="s">
        <v>597</v>
      </c>
      <c r="D19" s="11"/>
      <c r="E19" s="9"/>
      <c r="F19" s="13"/>
      <c r="G19" s="11">
        <v>0</v>
      </c>
      <c r="H19" s="58" t="str">
        <f t="shared" si="0"/>
        <v/>
      </c>
      <c r="I19" s="44" t="str">
        <f t="shared" ca="1" si="1"/>
        <v/>
      </c>
      <c r="J19" s="44" t="str">
        <f t="shared" si="2"/>
        <v/>
      </c>
      <c r="K19" s="9"/>
    </row>
    <row r="20" spans="1:11" ht="14.4">
      <c r="A20" s="9"/>
      <c r="B20" s="13"/>
      <c r="C20" s="9" t="s">
        <v>597</v>
      </c>
      <c r="D20" s="11"/>
      <c r="E20" s="9"/>
      <c r="F20" s="13"/>
      <c r="G20" s="11">
        <v>0</v>
      </c>
      <c r="H20" s="58" t="str">
        <f t="shared" si="0"/>
        <v/>
      </c>
      <c r="I20" s="44" t="str">
        <f t="shared" ca="1" si="1"/>
        <v/>
      </c>
      <c r="J20" s="44" t="str">
        <f t="shared" si="2"/>
        <v/>
      </c>
      <c r="K20" s="9"/>
    </row>
    <row r="21" spans="1:11" ht="14.4">
      <c r="A21" s="9"/>
      <c r="B21" s="13"/>
      <c r="C21" s="9" t="s">
        <v>597</v>
      </c>
      <c r="D21" s="11"/>
      <c r="E21" s="9"/>
      <c r="F21" s="13"/>
      <c r="G21" s="11">
        <v>0</v>
      </c>
      <c r="H21" s="58" t="str">
        <f t="shared" si="0"/>
        <v/>
      </c>
      <c r="I21" s="44" t="str">
        <f t="shared" ca="1" si="1"/>
        <v/>
      </c>
      <c r="J21" s="44" t="str">
        <f t="shared" si="2"/>
        <v/>
      </c>
      <c r="K21" s="9"/>
    </row>
    <row r="22" spans="1:11" ht="14.4">
      <c r="A22" s="10"/>
      <c r="B22" s="47"/>
      <c r="C22" s="10" t="s">
        <v>597</v>
      </c>
      <c r="D22" s="23"/>
      <c r="E22" s="10"/>
      <c r="F22" s="47"/>
      <c r="G22" s="23">
        <v>0</v>
      </c>
      <c r="H22" s="59" t="str">
        <f t="shared" si="0"/>
        <v/>
      </c>
      <c r="I22" s="45" t="str">
        <f t="shared" ca="1" si="1"/>
        <v/>
      </c>
      <c r="J22" s="45" t="str">
        <f t="shared" si="2"/>
        <v/>
      </c>
      <c r="K22" s="10"/>
    </row>
  </sheetData>
  <mergeCells count="3">
    <mergeCell ref="A1:K2"/>
    <mergeCell ref="A3:K3"/>
    <mergeCell ref="A4:K5"/>
  </mergeCells>
  <conditionalFormatting sqref="J8:J22">
    <cfRule type="containsText" dxfId="28" priority="1" operator="containsText" text="Safe"/>
    <cfRule type="containsText" dxfId="27" priority="4" operator="containsText" text="Watch"/>
    <cfRule type="containsText" dxfId="26" priority="6" operator="containsText" text="Near"/>
    <cfRule type="containsText" dxfId="25" priority="7" operator="containsText" text="Over"/>
  </conditionalFormatting>
  <dataValidations count="1">
    <dataValidation type="list" sqref="C8:C22" xr:uid="{00000000-0002-0000-1300-000000000000}">
      <formula1>"Lent,Borrowed"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33"/>
  <sheetViews>
    <sheetView showGridLines="0" workbookViewId="0"/>
  </sheetViews>
  <sheetFormatPr defaultRowHeight="13.8"/>
  <cols>
    <col min="1" max="1" width="24" customWidth="1"/>
    <col min="2" max="3" width="16" customWidth="1"/>
    <col min="4" max="4" width="15" customWidth="1"/>
    <col min="5" max="7" width="18" customWidth="1"/>
    <col min="8" max="8" width="16" customWidth="1"/>
    <col min="9" max="9" width="18" customWidth="1"/>
    <col min="10" max="10" width="28" customWidth="1"/>
  </cols>
  <sheetData>
    <row r="1" spans="1:12" ht="31.95" customHeight="1">
      <c r="A1" s="107" t="s">
        <v>598</v>
      </c>
      <c r="B1" s="107" t="s">
        <v>598</v>
      </c>
      <c r="C1" s="107" t="s">
        <v>598</v>
      </c>
      <c r="D1" s="107" t="s">
        <v>598</v>
      </c>
      <c r="E1" s="107" t="s">
        <v>598</v>
      </c>
      <c r="F1" s="107" t="s">
        <v>598</v>
      </c>
      <c r="G1" s="107" t="s">
        <v>598</v>
      </c>
      <c r="H1" s="107" t="s">
        <v>598</v>
      </c>
      <c r="I1" s="107" t="s">
        <v>598</v>
      </c>
      <c r="J1" s="107" t="s">
        <v>598</v>
      </c>
      <c r="K1" s="107" t="s">
        <v>598</v>
      </c>
      <c r="L1" s="107" t="s">
        <v>598</v>
      </c>
    </row>
    <row r="2" spans="1:12" ht="31.95" customHeight="1">
      <c r="A2" s="107" t="s">
        <v>598</v>
      </c>
      <c r="B2" s="107" t="s">
        <v>598</v>
      </c>
      <c r="C2" s="107" t="s">
        <v>598</v>
      </c>
      <c r="D2" s="107" t="s">
        <v>598</v>
      </c>
      <c r="E2" s="107" t="s">
        <v>598</v>
      </c>
      <c r="F2" s="107" t="s">
        <v>598</v>
      </c>
      <c r="G2" s="107" t="s">
        <v>598</v>
      </c>
      <c r="H2" s="107" t="s">
        <v>598</v>
      </c>
      <c r="I2" s="107" t="s">
        <v>598</v>
      </c>
      <c r="J2" s="107" t="s">
        <v>598</v>
      </c>
      <c r="K2" s="107" t="s">
        <v>598</v>
      </c>
      <c r="L2" s="107" t="s">
        <v>598</v>
      </c>
    </row>
    <row r="3" spans="1:12" ht="18" customHeight="1">
      <c r="A3" s="108" t="s">
        <v>599</v>
      </c>
      <c r="B3" s="108" t="s">
        <v>599</v>
      </c>
      <c r="C3" s="108" t="s">
        <v>599</v>
      </c>
      <c r="D3" s="108" t="s">
        <v>599</v>
      </c>
      <c r="E3" s="108" t="s">
        <v>599</v>
      </c>
      <c r="F3" s="108" t="s">
        <v>599</v>
      </c>
      <c r="G3" s="108" t="s">
        <v>599</v>
      </c>
      <c r="H3" s="108" t="s">
        <v>599</v>
      </c>
      <c r="I3" s="108" t="s">
        <v>599</v>
      </c>
      <c r="J3" s="108" t="s">
        <v>599</v>
      </c>
      <c r="K3" s="108" t="s">
        <v>599</v>
      </c>
      <c r="L3" s="108" t="s">
        <v>599</v>
      </c>
    </row>
    <row r="4" spans="1:12">
      <c r="A4" s="259" t="s">
        <v>600</v>
      </c>
      <c r="B4" s="259" t="s">
        <v>600</v>
      </c>
      <c r="C4" s="259" t="s">
        <v>600</v>
      </c>
      <c r="D4" s="259" t="s">
        <v>600</v>
      </c>
      <c r="E4" s="259" t="s">
        <v>600</v>
      </c>
      <c r="F4" s="259" t="s">
        <v>600</v>
      </c>
      <c r="G4" s="259" t="s">
        <v>600</v>
      </c>
      <c r="H4" s="259" t="s">
        <v>600</v>
      </c>
      <c r="I4" s="259" t="s">
        <v>600</v>
      </c>
      <c r="J4" s="259" t="s">
        <v>600</v>
      </c>
      <c r="K4" s="259" t="s">
        <v>600</v>
      </c>
      <c r="L4" s="259" t="s">
        <v>600</v>
      </c>
    </row>
    <row r="5" spans="1:12">
      <c r="A5" s="259" t="s">
        <v>600</v>
      </c>
      <c r="B5" s="259" t="s">
        <v>600</v>
      </c>
      <c r="C5" s="259" t="s">
        <v>600</v>
      </c>
      <c r="D5" s="259" t="s">
        <v>600</v>
      </c>
      <c r="E5" s="259" t="s">
        <v>600</v>
      </c>
      <c r="F5" s="259" t="s">
        <v>600</v>
      </c>
      <c r="G5" s="259" t="s">
        <v>600</v>
      </c>
      <c r="H5" s="259" t="s">
        <v>600</v>
      </c>
      <c r="I5" s="259" t="s">
        <v>600</v>
      </c>
      <c r="J5" s="259" t="s">
        <v>600</v>
      </c>
      <c r="K5" s="259" t="s">
        <v>600</v>
      </c>
      <c r="L5" s="259" t="s">
        <v>600</v>
      </c>
    </row>
    <row r="7" spans="1:12" ht="30" customHeight="1">
      <c r="A7" s="19" t="s">
        <v>601</v>
      </c>
      <c r="B7" s="20" t="s">
        <v>82</v>
      </c>
      <c r="C7" s="20" t="s">
        <v>602</v>
      </c>
      <c r="D7" s="20" t="s">
        <v>603</v>
      </c>
      <c r="E7" s="20" t="s">
        <v>604</v>
      </c>
      <c r="F7" s="20" t="s">
        <v>605</v>
      </c>
      <c r="G7" s="20" t="s">
        <v>606</v>
      </c>
      <c r="H7" s="20" t="s">
        <v>306</v>
      </c>
      <c r="I7" s="20" t="s">
        <v>596</v>
      </c>
      <c r="J7" s="20" t="s">
        <v>75</v>
      </c>
      <c r="K7" s="20" t="s">
        <v>283</v>
      </c>
      <c r="L7" s="21" t="s">
        <v>107</v>
      </c>
    </row>
    <row r="8" spans="1:12" ht="14.4">
      <c r="A8" s="8"/>
      <c r="B8" s="8" t="s">
        <v>292</v>
      </c>
      <c r="C8" s="22"/>
      <c r="D8" s="22"/>
      <c r="E8" s="22">
        <v>0</v>
      </c>
      <c r="F8" s="46"/>
      <c r="G8" s="46"/>
      <c r="H8" s="57" t="str">
        <f t="shared" ref="H8:H19" si="0">IF(D8="","",MAX(0,D8-E8))</f>
        <v/>
      </c>
      <c r="I8" s="43" t="str">
        <f t="shared" ref="I8:I19" ca="1" si="1">IF(F8="","",F8-TODAY())</f>
        <v/>
      </c>
      <c r="J8" s="43" t="str">
        <f t="shared" ref="J8:J19" si="2">IF(H8="","",IF(H8=0,"Received",IF(I8&lt;0,"Overdue","Pending")))</f>
        <v/>
      </c>
      <c r="K8" s="8"/>
      <c r="L8" s="8"/>
    </row>
    <row r="9" spans="1:12" ht="14.4">
      <c r="A9" s="9"/>
      <c r="B9" s="9" t="s">
        <v>292</v>
      </c>
      <c r="C9" s="11"/>
      <c r="D9" s="11"/>
      <c r="E9" s="11">
        <v>0</v>
      </c>
      <c r="F9" s="13"/>
      <c r="G9" s="13"/>
      <c r="H9" s="58" t="str">
        <f t="shared" si="0"/>
        <v/>
      </c>
      <c r="I9" s="44" t="str">
        <f t="shared" ca="1" si="1"/>
        <v/>
      </c>
      <c r="J9" s="44" t="str">
        <f t="shared" si="2"/>
        <v/>
      </c>
      <c r="K9" s="9"/>
      <c r="L9" s="9"/>
    </row>
    <row r="10" spans="1:12" ht="14.4">
      <c r="A10" s="9"/>
      <c r="B10" s="9" t="s">
        <v>292</v>
      </c>
      <c r="C10" s="11"/>
      <c r="D10" s="11"/>
      <c r="E10" s="11">
        <v>0</v>
      </c>
      <c r="F10" s="13"/>
      <c r="G10" s="13"/>
      <c r="H10" s="58" t="str">
        <f t="shared" si="0"/>
        <v/>
      </c>
      <c r="I10" s="44" t="str">
        <f t="shared" ca="1" si="1"/>
        <v/>
      </c>
      <c r="J10" s="44" t="str">
        <f t="shared" si="2"/>
        <v/>
      </c>
      <c r="K10" s="9"/>
      <c r="L10" s="9"/>
    </row>
    <row r="11" spans="1:12" ht="14.4">
      <c r="A11" s="9"/>
      <c r="B11" s="9" t="s">
        <v>292</v>
      </c>
      <c r="C11" s="11"/>
      <c r="D11" s="11"/>
      <c r="E11" s="11">
        <v>0</v>
      </c>
      <c r="F11" s="13"/>
      <c r="G11" s="13"/>
      <c r="H11" s="58" t="str">
        <f t="shared" si="0"/>
        <v/>
      </c>
      <c r="I11" s="44" t="str">
        <f t="shared" ca="1" si="1"/>
        <v/>
      </c>
      <c r="J11" s="44" t="str">
        <f t="shared" si="2"/>
        <v/>
      </c>
      <c r="K11" s="9"/>
      <c r="L11" s="9"/>
    </row>
    <row r="12" spans="1:12" ht="14.4">
      <c r="A12" s="9"/>
      <c r="B12" s="9" t="s">
        <v>292</v>
      </c>
      <c r="C12" s="11"/>
      <c r="D12" s="11"/>
      <c r="E12" s="11">
        <v>0</v>
      </c>
      <c r="F12" s="13"/>
      <c r="G12" s="13"/>
      <c r="H12" s="58" t="str">
        <f t="shared" si="0"/>
        <v/>
      </c>
      <c r="I12" s="44" t="str">
        <f t="shared" ca="1" si="1"/>
        <v/>
      </c>
      <c r="J12" s="44" t="str">
        <f t="shared" si="2"/>
        <v/>
      </c>
      <c r="K12" s="9"/>
      <c r="L12" s="9"/>
    </row>
    <row r="13" spans="1:12" ht="14.4">
      <c r="A13" s="9"/>
      <c r="B13" s="9" t="s">
        <v>292</v>
      </c>
      <c r="C13" s="11"/>
      <c r="D13" s="11"/>
      <c r="E13" s="11">
        <v>0</v>
      </c>
      <c r="F13" s="13"/>
      <c r="G13" s="13"/>
      <c r="H13" s="58" t="str">
        <f t="shared" si="0"/>
        <v/>
      </c>
      <c r="I13" s="44" t="str">
        <f t="shared" ca="1" si="1"/>
        <v/>
      </c>
      <c r="J13" s="44" t="str">
        <f t="shared" si="2"/>
        <v/>
      </c>
      <c r="K13" s="9"/>
      <c r="L13" s="9"/>
    </row>
    <row r="14" spans="1:12" ht="14.4">
      <c r="A14" s="9"/>
      <c r="B14" s="9" t="s">
        <v>292</v>
      </c>
      <c r="C14" s="11"/>
      <c r="D14" s="11"/>
      <c r="E14" s="11">
        <v>0</v>
      </c>
      <c r="F14" s="13"/>
      <c r="G14" s="13"/>
      <c r="H14" s="58" t="str">
        <f t="shared" si="0"/>
        <v/>
      </c>
      <c r="I14" s="44" t="str">
        <f t="shared" ca="1" si="1"/>
        <v/>
      </c>
      <c r="J14" s="44" t="str">
        <f t="shared" si="2"/>
        <v/>
      </c>
      <c r="K14" s="9"/>
      <c r="L14" s="9"/>
    </row>
    <row r="15" spans="1:12" ht="14.4">
      <c r="A15" s="9"/>
      <c r="B15" s="9" t="s">
        <v>292</v>
      </c>
      <c r="C15" s="11"/>
      <c r="D15" s="11"/>
      <c r="E15" s="11">
        <v>0</v>
      </c>
      <c r="F15" s="13"/>
      <c r="G15" s="13"/>
      <c r="H15" s="58" t="str">
        <f t="shared" si="0"/>
        <v/>
      </c>
      <c r="I15" s="44" t="str">
        <f t="shared" ca="1" si="1"/>
        <v/>
      </c>
      <c r="J15" s="44" t="str">
        <f t="shared" si="2"/>
        <v/>
      </c>
      <c r="K15" s="9"/>
      <c r="L15" s="9"/>
    </row>
    <row r="16" spans="1:12" ht="14.4">
      <c r="A16" s="9"/>
      <c r="B16" s="9" t="s">
        <v>607</v>
      </c>
      <c r="C16" s="11"/>
      <c r="D16" s="11"/>
      <c r="E16" s="11">
        <v>0</v>
      </c>
      <c r="F16" s="13"/>
      <c r="G16" s="13"/>
      <c r="H16" s="58" t="str">
        <f t="shared" si="0"/>
        <v/>
      </c>
      <c r="I16" s="44" t="str">
        <f t="shared" ca="1" si="1"/>
        <v/>
      </c>
      <c r="J16" s="44" t="str">
        <f t="shared" si="2"/>
        <v/>
      </c>
      <c r="K16" s="9"/>
      <c r="L16" s="9"/>
    </row>
    <row r="17" spans="1:12" ht="14.4">
      <c r="A17" s="9"/>
      <c r="B17" s="9" t="s">
        <v>607</v>
      </c>
      <c r="C17" s="11"/>
      <c r="D17" s="11"/>
      <c r="E17" s="11">
        <v>0</v>
      </c>
      <c r="F17" s="13"/>
      <c r="G17" s="13"/>
      <c r="H17" s="58" t="str">
        <f t="shared" si="0"/>
        <v/>
      </c>
      <c r="I17" s="44" t="str">
        <f t="shared" ca="1" si="1"/>
        <v/>
      </c>
      <c r="J17" s="44" t="str">
        <f t="shared" si="2"/>
        <v/>
      </c>
      <c r="K17" s="9"/>
      <c r="L17" s="9"/>
    </row>
    <row r="18" spans="1:12" ht="14.4">
      <c r="A18" s="9"/>
      <c r="B18" s="9" t="s">
        <v>607</v>
      </c>
      <c r="C18" s="11"/>
      <c r="D18" s="11"/>
      <c r="E18" s="11">
        <v>0</v>
      </c>
      <c r="F18" s="13"/>
      <c r="G18" s="13"/>
      <c r="H18" s="58" t="str">
        <f t="shared" si="0"/>
        <v/>
      </c>
      <c r="I18" s="44" t="str">
        <f t="shared" ca="1" si="1"/>
        <v/>
      </c>
      <c r="J18" s="44" t="str">
        <f t="shared" si="2"/>
        <v/>
      </c>
      <c r="K18" s="9"/>
      <c r="L18" s="9"/>
    </row>
    <row r="19" spans="1:12" ht="14.4">
      <c r="A19" s="10"/>
      <c r="B19" s="10" t="s">
        <v>607</v>
      </c>
      <c r="C19" s="23"/>
      <c r="D19" s="23"/>
      <c r="E19" s="23">
        <v>0</v>
      </c>
      <c r="F19" s="47"/>
      <c r="G19" s="47"/>
      <c r="H19" s="59" t="str">
        <f t="shared" si="0"/>
        <v/>
      </c>
      <c r="I19" s="45" t="str">
        <f t="shared" ca="1" si="1"/>
        <v/>
      </c>
      <c r="J19" s="45" t="str">
        <f t="shared" si="2"/>
        <v/>
      </c>
      <c r="K19" s="10"/>
      <c r="L19" s="10"/>
    </row>
    <row r="23" spans="1:12" ht="22.95" customHeight="1">
      <c r="A23" s="115" t="s">
        <v>608</v>
      </c>
      <c r="B23" s="116" t="s">
        <v>608</v>
      </c>
      <c r="C23" s="116" t="s">
        <v>608</v>
      </c>
      <c r="D23" s="116" t="s">
        <v>608</v>
      </c>
      <c r="E23" s="116" t="s">
        <v>608</v>
      </c>
      <c r="F23" s="116" t="s">
        <v>608</v>
      </c>
      <c r="G23" s="116" t="s">
        <v>608</v>
      </c>
      <c r="H23" s="116" t="s">
        <v>608</v>
      </c>
      <c r="I23" s="116" t="s">
        <v>608</v>
      </c>
      <c r="J23" s="117" t="s">
        <v>608</v>
      </c>
    </row>
    <row r="25" spans="1:12" ht="30" customHeight="1">
      <c r="A25" s="40" t="s">
        <v>609</v>
      </c>
      <c r="B25" s="41" t="s">
        <v>323</v>
      </c>
      <c r="C25" s="41" t="s">
        <v>84</v>
      </c>
      <c r="D25" s="41" t="s">
        <v>610</v>
      </c>
      <c r="E25" s="41" t="s">
        <v>611</v>
      </c>
      <c r="F25" s="41" t="s">
        <v>604</v>
      </c>
      <c r="G25" s="41" t="s">
        <v>612</v>
      </c>
      <c r="H25" s="41" t="s">
        <v>75</v>
      </c>
      <c r="I25" s="41" t="s">
        <v>99</v>
      </c>
      <c r="J25" s="42" t="s">
        <v>107</v>
      </c>
    </row>
    <row r="26" spans="1:12" ht="14.4">
      <c r="A26" s="8"/>
      <c r="B26" s="46"/>
      <c r="C26" s="22"/>
      <c r="D26" s="8"/>
      <c r="E26" s="46"/>
      <c r="F26" s="22"/>
      <c r="G26" s="57" t="str">
        <f t="shared" ref="G26:G33" si="3">IF(C26="","",MAX(0,C26-F26))</f>
        <v/>
      </c>
      <c r="H26" s="43" t="str">
        <f t="shared" ref="H26:H33" ca="1" si="4">IF(G26="","",IF(G26=0,"Received",IF(E26&lt;TODAY(),"Overdue","Pending")))</f>
        <v/>
      </c>
      <c r="I26" s="8"/>
      <c r="J26" s="8"/>
    </row>
    <row r="27" spans="1:12" ht="14.4">
      <c r="A27" s="9"/>
      <c r="B27" s="13"/>
      <c r="C27" s="11"/>
      <c r="D27" s="9"/>
      <c r="E27" s="13"/>
      <c r="F27" s="11"/>
      <c r="G27" s="58" t="str">
        <f t="shared" si="3"/>
        <v/>
      </c>
      <c r="H27" s="44" t="str">
        <f t="shared" ca="1" si="4"/>
        <v/>
      </c>
      <c r="I27" s="9"/>
      <c r="J27" s="9"/>
    </row>
    <row r="28" spans="1:12" ht="14.4">
      <c r="A28" s="9"/>
      <c r="B28" s="13"/>
      <c r="C28" s="11"/>
      <c r="D28" s="9"/>
      <c r="E28" s="13"/>
      <c r="F28" s="11"/>
      <c r="G28" s="58" t="str">
        <f t="shared" si="3"/>
        <v/>
      </c>
      <c r="H28" s="44" t="str">
        <f t="shared" ca="1" si="4"/>
        <v/>
      </c>
      <c r="I28" s="9"/>
      <c r="J28" s="9"/>
    </row>
    <row r="29" spans="1:12" ht="14.4">
      <c r="A29" s="9"/>
      <c r="B29" s="13"/>
      <c r="C29" s="11"/>
      <c r="D29" s="9"/>
      <c r="E29" s="13"/>
      <c r="F29" s="11"/>
      <c r="G29" s="58" t="str">
        <f t="shared" si="3"/>
        <v/>
      </c>
      <c r="H29" s="44" t="str">
        <f t="shared" ca="1" si="4"/>
        <v/>
      </c>
      <c r="I29" s="9"/>
      <c r="J29" s="9"/>
    </row>
    <row r="30" spans="1:12" ht="14.4">
      <c r="A30" s="9"/>
      <c r="B30" s="13"/>
      <c r="C30" s="11"/>
      <c r="D30" s="9"/>
      <c r="E30" s="13"/>
      <c r="F30" s="11"/>
      <c r="G30" s="58" t="str">
        <f t="shared" si="3"/>
        <v/>
      </c>
      <c r="H30" s="44" t="str">
        <f t="shared" ca="1" si="4"/>
        <v/>
      </c>
      <c r="I30" s="9"/>
      <c r="J30" s="9"/>
    </row>
    <row r="31" spans="1:12" ht="14.4">
      <c r="A31" s="9"/>
      <c r="B31" s="13"/>
      <c r="C31" s="11"/>
      <c r="D31" s="9"/>
      <c r="E31" s="13"/>
      <c r="F31" s="11"/>
      <c r="G31" s="58" t="str">
        <f t="shared" si="3"/>
        <v/>
      </c>
      <c r="H31" s="44" t="str">
        <f t="shared" ca="1" si="4"/>
        <v/>
      </c>
      <c r="I31" s="9"/>
      <c r="J31" s="9"/>
    </row>
    <row r="32" spans="1:12" ht="14.4">
      <c r="A32" s="9"/>
      <c r="B32" s="13"/>
      <c r="C32" s="11"/>
      <c r="D32" s="9"/>
      <c r="E32" s="13"/>
      <c r="F32" s="11"/>
      <c r="G32" s="58" t="str">
        <f t="shared" si="3"/>
        <v/>
      </c>
      <c r="H32" s="44" t="str">
        <f t="shared" ca="1" si="4"/>
        <v/>
      </c>
      <c r="I32" s="9"/>
      <c r="J32" s="9"/>
    </row>
    <row r="33" spans="1:10" ht="14.4">
      <c r="A33" s="10"/>
      <c r="B33" s="47"/>
      <c r="C33" s="23"/>
      <c r="D33" s="10"/>
      <c r="E33" s="47"/>
      <c r="F33" s="23"/>
      <c r="G33" s="59" t="str">
        <f t="shared" si="3"/>
        <v/>
      </c>
      <c r="H33" s="45" t="str">
        <f t="shared" ca="1" si="4"/>
        <v/>
      </c>
      <c r="I33" s="10"/>
      <c r="J33" s="10"/>
    </row>
  </sheetData>
  <mergeCells count="4">
    <mergeCell ref="A1:L2"/>
    <mergeCell ref="A3:L3"/>
    <mergeCell ref="A4:L5"/>
    <mergeCell ref="A23:J23"/>
  </mergeCells>
  <conditionalFormatting sqref="J8:J19">
    <cfRule type="containsText" dxfId="24" priority="1" operator="containsText" text="Safe"/>
    <cfRule type="containsText" dxfId="23" priority="4" operator="containsText" text="Watch"/>
    <cfRule type="containsText" dxfId="22" priority="6" operator="containsText" text="Near"/>
    <cfRule type="containsText" dxfId="21" priority="7" operator="containsText" text="Over"/>
  </conditionalFormatting>
  <dataValidations count="1">
    <dataValidation type="list" sqref="B8:B19" xr:uid="{00000000-0002-0000-1400-000000000000}">
      <formula1>"Refund,Reimbursement"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5"/>
  <sheetViews>
    <sheetView showGridLines="0" workbookViewId="0"/>
  </sheetViews>
  <sheetFormatPr defaultRowHeight="13.8"/>
  <cols>
    <col min="1" max="1" width="26" customWidth="1"/>
    <col min="2" max="2" width="15" customWidth="1"/>
    <col min="3" max="4" width="17" customWidth="1"/>
    <col min="5" max="9" width="18" customWidth="1"/>
    <col min="10" max="10" width="16" customWidth="1"/>
    <col min="11" max="11" width="26" customWidth="1"/>
    <col min="12" max="12" width="28" customWidth="1"/>
    <col min="13" max="13" width="18" customWidth="1"/>
  </cols>
  <sheetData>
    <row r="1" spans="1:13" ht="31.95" customHeight="1">
      <c r="A1" s="107" t="s">
        <v>613</v>
      </c>
      <c r="B1" s="107" t="s">
        <v>613</v>
      </c>
      <c r="C1" s="107" t="s">
        <v>613</v>
      </c>
      <c r="D1" s="107" t="s">
        <v>613</v>
      </c>
      <c r="E1" s="107" t="s">
        <v>613</v>
      </c>
      <c r="F1" s="107" t="s">
        <v>613</v>
      </c>
      <c r="G1" s="107" t="s">
        <v>613</v>
      </c>
      <c r="H1" s="107" t="s">
        <v>613</v>
      </c>
      <c r="I1" s="107" t="s">
        <v>613</v>
      </c>
      <c r="J1" s="107" t="s">
        <v>613</v>
      </c>
      <c r="K1" s="107" t="s">
        <v>613</v>
      </c>
      <c r="L1" s="107" t="s">
        <v>613</v>
      </c>
      <c r="M1" s="107" t="s">
        <v>613</v>
      </c>
    </row>
    <row r="2" spans="1:13" ht="31.95" customHeight="1">
      <c r="A2" s="107" t="s">
        <v>613</v>
      </c>
      <c r="B2" s="107" t="s">
        <v>613</v>
      </c>
      <c r="C2" s="107" t="s">
        <v>613</v>
      </c>
      <c r="D2" s="107" t="s">
        <v>613</v>
      </c>
      <c r="E2" s="107" t="s">
        <v>613</v>
      </c>
      <c r="F2" s="107" t="s">
        <v>613</v>
      </c>
      <c r="G2" s="107" t="s">
        <v>613</v>
      </c>
      <c r="H2" s="107" t="s">
        <v>613</v>
      </c>
      <c r="I2" s="107" t="s">
        <v>613</v>
      </c>
      <c r="J2" s="107" t="s">
        <v>613</v>
      </c>
      <c r="K2" s="107" t="s">
        <v>613</v>
      </c>
      <c r="L2" s="107" t="s">
        <v>613</v>
      </c>
      <c r="M2" s="107" t="s">
        <v>613</v>
      </c>
    </row>
    <row r="3" spans="1:13" ht="18" customHeight="1">
      <c r="A3" s="108" t="s">
        <v>614</v>
      </c>
      <c r="B3" s="108" t="s">
        <v>614</v>
      </c>
      <c r="C3" s="108" t="s">
        <v>614</v>
      </c>
      <c r="D3" s="108" t="s">
        <v>614</v>
      </c>
      <c r="E3" s="108" t="s">
        <v>614</v>
      </c>
      <c r="F3" s="108" t="s">
        <v>614</v>
      </c>
      <c r="G3" s="108" t="s">
        <v>614</v>
      </c>
      <c r="H3" s="108" t="s">
        <v>614</v>
      </c>
      <c r="I3" s="108" t="s">
        <v>614</v>
      </c>
      <c r="J3" s="108" t="s">
        <v>614</v>
      </c>
      <c r="K3" s="108" t="s">
        <v>614</v>
      </c>
      <c r="L3" s="108" t="s">
        <v>614</v>
      </c>
      <c r="M3" s="108" t="s">
        <v>614</v>
      </c>
    </row>
    <row r="4" spans="1:13">
      <c r="A4" s="259" t="s">
        <v>615</v>
      </c>
      <c r="B4" s="259" t="s">
        <v>615</v>
      </c>
      <c r="C4" s="259" t="s">
        <v>615</v>
      </c>
      <c r="D4" s="259" t="s">
        <v>615</v>
      </c>
      <c r="E4" s="259" t="s">
        <v>615</v>
      </c>
      <c r="F4" s="259" t="s">
        <v>615</v>
      </c>
      <c r="G4" s="259" t="s">
        <v>615</v>
      </c>
      <c r="H4" s="259" t="s">
        <v>615</v>
      </c>
      <c r="I4" s="259" t="s">
        <v>615</v>
      </c>
      <c r="J4" s="259" t="s">
        <v>615</v>
      </c>
      <c r="K4" s="259" t="s">
        <v>615</v>
      </c>
      <c r="L4" s="259" t="s">
        <v>615</v>
      </c>
      <c r="M4" s="259" t="s">
        <v>615</v>
      </c>
    </row>
    <row r="5" spans="1:13">
      <c r="A5" s="259" t="s">
        <v>615</v>
      </c>
      <c r="B5" s="259" t="s">
        <v>615</v>
      </c>
      <c r="C5" s="259" t="s">
        <v>615</v>
      </c>
      <c r="D5" s="259" t="s">
        <v>615</v>
      </c>
      <c r="E5" s="259" t="s">
        <v>615</v>
      </c>
      <c r="F5" s="259" t="s">
        <v>615</v>
      </c>
      <c r="G5" s="259" t="s">
        <v>615</v>
      </c>
      <c r="H5" s="259" t="s">
        <v>615</v>
      </c>
      <c r="I5" s="259" t="s">
        <v>615</v>
      </c>
      <c r="J5" s="259" t="s">
        <v>615</v>
      </c>
      <c r="K5" s="259" t="s">
        <v>615</v>
      </c>
      <c r="L5" s="259" t="s">
        <v>615</v>
      </c>
      <c r="M5" s="259" t="s">
        <v>615</v>
      </c>
    </row>
    <row r="7" spans="1:13" ht="30" customHeight="1">
      <c r="A7" s="40" t="s">
        <v>185</v>
      </c>
      <c r="B7" s="41" t="s">
        <v>616</v>
      </c>
      <c r="C7" s="41" t="s">
        <v>617</v>
      </c>
      <c r="D7" s="41" t="s">
        <v>618</v>
      </c>
      <c r="E7" s="41" t="s">
        <v>619</v>
      </c>
      <c r="F7" s="41" t="s">
        <v>620</v>
      </c>
      <c r="G7" s="41" t="s">
        <v>621</v>
      </c>
      <c r="H7" s="41" t="s">
        <v>622</v>
      </c>
      <c r="I7" s="41" t="s">
        <v>75</v>
      </c>
      <c r="J7" s="41" t="s">
        <v>623</v>
      </c>
      <c r="K7" s="41" t="s">
        <v>624</v>
      </c>
      <c r="L7" s="41" t="s">
        <v>625</v>
      </c>
      <c r="M7" s="42" t="s">
        <v>434</v>
      </c>
    </row>
    <row r="8" spans="1:13" ht="14.4">
      <c r="A8" s="8" t="s">
        <v>626</v>
      </c>
      <c r="B8" s="8" t="s">
        <v>627</v>
      </c>
      <c r="C8" s="46"/>
      <c r="D8" s="46"/>
      <c r="E8" s="22">
        <v>0</v>
      </c>
      <c r="F8" s="22">
        <v>0</v>
      </c>
      <c r="G8" s="22">
        <v>0</v>
      </c>
      <c r="H8" s="46"/>
      <c r="I8" s="8" t="s">
        <v>628</v>
      </c>
      <c r="J8" s="43" t="str">
        <f t="shared" ref="J8:J15" ca="1" si="0">IF(D8="","",D8-TODAY())</f>
        <v/>
      </c>
      <c r="K8" s="8"/>
      <c r="L8" s="8"/>
      <c r="M8" s="43" t="str">
        <f t="shared" ref="M8:M15" si="1">IF(I8="Received","Received",IF(D8="","",IF(J8&lt;0,"Deadline Passed",IF(J8&lt;=7,"Deadline Soon","Open"))))</f>
        <v/>
      </c>
    </row>
    <row r="9" spans="1:13" ht="14.4">
      <c r="A9" s="9" t="s">
        <v>629</v>
      </c>
      <c r="B9" s="9" t="s">
        <v>627</v>
      </c>
      <c r="C9" s="13"/>
      <c r="D9" s="13"/>
      <c r="E9" s="11">
        <v>0</v>
      </c>
      <c r="F9" s="11">
        <v>0</v>
      </c>
      <c r="G9" s="11">
        <v>0</v>
      </c>
      <c r="H9" s="13"/>
      <c r="I9" s="9" t="s">
        <v>628</v>
      </c>
      <c r="J9" s="44" t="str">
        <f t="shared" ca="1" si="0"/>
        <v/>
      </c>
      <c r="K9" s="9"/>
      <c r="L9" s="9"/>
      <c r="M9" s="44" t="str">
        <f t="shared" si="1"/>
        <v/>
      </c>
    </row>
    <row r="10" spans="1:13" ht="14.4">
      <c r="A10" s="9" t="s">
        <v>184</v>
      </c>
      <c r="B10" s="9" t="s">
        <v>627</v>
      </c>
      <c r="C10" s="13"/>
      <c r="D10" s="13"/>
      <c r="E10" s="11">
        <v>0</v>
      </c>
      <c r="F10" s="11">
        <v>0</v>
      </c>
      <c r="G10" s="11">
        <v>0</v>
      </c>
      <c r="H10" s="13"/>
      <c r="I10" s="9" t="s">
        <v>628</v>
      </c>
      <c r="J10" s="44" t="str">
        <f t="shared" ca="1" si="0"/>
        <v/>
      </c>
      <c r="K10" s="9"/>
      <c r="L10" s="9"/>
      <c r="M10" s="44" t="str">
        <f t="shared" si="1"/>
        <v/>
      </c>
    </row>
    <row r="11" spans="1:13" ht="14.4">
      <c r="A11" s="9" t="s">
        <v>630</v>
      </c>
      <c r="B11" s="9" t="s">
        <v>627</v>
      </c>
      <c r="C11" s="13"/>
      <c r="D11" s="13"/>
      <c r="E11" s="11">
        <v>0</v>
      </c>
      <c r="F11" s="11">
        <v>0</v>
      </c>
      <c r="G11" s="11">
        <v>0</v>
      </c>
      <c r="H11" s="13"/>
      <c r="I11" s="9" t="s">
        <v>628</v>
      </c>
      <c r="J11" s="44" t="str">
        <f t="shared" ca="1" si="0"/>
        <v/>
      </c>
      <c r="K11" s="9"/>
      <c r="L11" s="9"/>
      <c r="M11" s="44" t="str">
        <f t="shared" si="1"/>
        <v/>
      </c>
    </row>
    <row r="12" spans="1:13" ht="14.4">
      <c r="A12" s="9" t="s">
        <v>631</v>
      </c>
      <c r="B12" s="9" t="s">
        <v>627</v>
      </c>
      <c r="C12" s="13"/>
      <c r="D12" s="13"/>
      <c r="E12" s="11">
        <v>0</v>
      </c>
      <c r="F12" s="11">
        <v>0</v>
      </c>
      <c r="G12" s="11">
        <v>0</v>
      </c>
      <c r="H12" s="13"/>
      <c r="I12" s="9" t="s">
        <v>628</v>
      </c>
      <c r="J12" s="44" t="str">
        <f t="shared" ca="1" si="0"/>
        <v/>
      </c>
      <c r="K12" s="9"/>
      <c r="L12" s="9"/>
      <c r="M12" s="44" t="str">
        <f t="shared" si="1"/>
        <v/>
      </c>
    </row>
    <row r="13" spans="1:13" ht="14.4">
      <c r="A13" s="9" t="s">
        <v>632</v>
      </c>
      <c r="B13" s="9" t="s">
        <v>627</v>
      </c>
      <c r="C13" s="13"/>
      <c r="D13" s="13"/>
      <c r="E13" s="11">
        <v>0</v>
      </c>
      <c r="F13" s="11">
        <v>0</v>
      </c>
      <c r="G13" s="11">
        <v>0</v>
      </c>
      <c r="H13" s="13"/>
      <c r="I13" s="9" t="s">
        <v>628</v>
      </c>
      <c r="J13" s="44" t="str">
        <f t="shared" ca="1" si="0"/>
        <v/>
      </c>
      <c r="K13" s="9"/>
      <c r="L13" s="9"/>
      <c r="M13" s="44" t="str">
        <f t="shared" si="1"/>
        <v/>
      </c>
    </row>
    <row r="14" spans="1:13" ht="14.4">
      <c r="A14" s="9" t="s">
        <v>633</v>
      </c>
      <c r="B14" s="9" t="s">
        <v>627</v>
      </c>
      <c r="C14" s="13"/>
      <c r="D14" s="13"/>
      <c r="E14" s="11">
        <v>0</v>
      </c>
      <c r="F14" s="11">
        <v>0</v>
      </c>
      <c r="G14" s="11">
        <v>0</v>
      </c>
      <c r="H14" s="13"/>
      <c r="I14" s="9" t="s">
        <v>628</v>
      </c>
      <c r="J14" s="44" t="str">
        <f t="shared" ca="1" si="0"/>
        <v/>
      </c>
      <c r="K14" s="9"/>
      <c r="L14" s="9"/>
      <c r="M14" s="44" t="str">
        <f t="shared" si="1"/>
        <v/>
      </c>
    </row>
    <row r="15" spans="1:13" ht="14.4">
      <c r="A15" s="10" t="s">
        <v>634</v>
      </c>
      <c r="B15" s="10" t="s">
        <v>627</v>
      </c>
      <c r="C15" s="47"/>
      <c r="D15" s="47"/>
      <c r="E15" s="23">
        <v>0</v>
      </c>
      <c r="F15" s="23">
        <v>0</v>
      </c>
      <c r="G15" s="23">
        <v>0</v>
      </c>
      <c r="H15" s="47"/>
      <c r="I15" s="10" t="s">
        <v>628</v>
      </c>
      <c r="J15" s="45" t="str">
        <f t="shared" ca="1" si="0"/>
        <v/>
      </c>
      <c r="K15" s="10"/>
      <c r="L15" s="10"/>
      <c r="M15" s="45" t="str">
        <f t="shared" si="1"/>
        <v/>
      </c>
    </row>
  </sheetData>
  <mergeCells count="3">
    <mergeCell ref="A1:M2"/>
    <mergeCell ref="A3:M3"/>
    <mergeCell ref="A4:M5"/>
  </mergeCells>
  <conditionalFormatting sqref="M8:M15">
    <cfRule type="containsText" dxfId="20" priority="1" operator="containsText" text="Safe"/>
    <cfRule type="containsText" dxfId="19" priority="4" operator="containsText" text="Watch"/>
    <cfRule type="containsText" dxfId="18" priority="6" operator="containsText" text="Near"/>
    <cfRule type="containsText" dxfId="17" priority="7" operator="containsText" text="Over"/>
  </conditionalFormatting>
  <dataValidations count="1">
    <dataValidation type="list" sqref="I8:I15" xr:uid="{00000000-0002-0000-1500-000000000000}">
      <formula1>"Not Applied,Application Pending,Under Review,Approved,Rejected,Payment Pending,Received"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5"/>
  <sheetViews>
    <sheetView showGridLines="0" workbookViewId="0"/>
  </sheetViews>
  <sheetFormatPr defaultRowHeight="13.8"/>
  <cols>
    <col min="1" max="1" width="22" customWidth="1"/>
    <col min="2" max="5" width="16" customWidth="1"/>
    <col min="6" max="6" width="19" customWidth="1"/>
    <col min="7" max="8" width="16" customWidth="1"/>
    <col min="9" max="9" width="17" customWidth="1"/>
    <col min="10" max="10" width="22" customWidth="1"/>
    <col min="11" max="13" width="13" customWidth="1"/>
    <col min="14" max="14" width="28" customWidth="1"/>
    <col min="15" max="15" width="14" customWidth="1"/>
  </cols>
  <sheetData>
    <row r="1" spans="1:15" ht="31.95" customHeight="1">
      <c r="A1" s="107" t="s">
        <v>635</v>
      </c>
      <c r="B1" s="107" t="s">
        <v>635</v>
      </c>
      <c r="C1" s="107" t="s">
        <v>635</v>
      </c>
      <c r="D1" s="107" t="s">
        <v>635</v>
      </c>
      <c r="E1" s="107" t="s">
        <v>635</v>
      </c>
      <c r="F1" s="107" t="s">
        <v>635</v>
      </c>
      <c r="G1" s="107" t="s">
        <v>635</v>
      </c>
      <c r="H1" s="107" t="s">
        <v>635</v>
      </c>
      <c r="I1" s="107" t="s">
        <v>635</v>
      </c>
      <c r="J1" s="107" t="s">
        <v>635</v>
      </c>
      <c r="K1" s="107" t="s">
        <v>635</v>
      </c>
      <c r="L1" s="107" t="s">
        <v>635</v>
      </c>
      <c r="M1" s="107" t="s">
        <v>635</v>
      </c>
      <c r="N1" s="107" t="s">
        <v>635</v>
      </c>
      <c r="O1" s="107" t="s">
        <v>635</v>
      </c>
    </row>
    <row r="2" spans="1:15" ht="31.95" customHeight="1">
      <c r="A2" s="107" t="s">
        <v>635</v>
      </c>
      <c r="B2" s="107" t="s">
        <v>635</v>
      </c>
      <c r="C2" s="107" t="s">
        <v>635</v>
      </c>
      <c r="D2" s="107" t="s">
        <v>635</v>
      </c>
      <c r="E2" s="107" t="s">
        <v>635</v>
      </c>
      <c r="F2" s="107" t="s">
        <v>635</v>
      </c>
      <c r="G2" s="107" t="s">
        <v>635</v>
      </c>
      <c r="H2" s="107" t="s">
        <v>635</v>
      </c>
      <c r="I2" s="107" t="s">
        <v>635</v>
      </c>
      <c r="J2" s="107" t="s">
        <v>635</v>
      </c>
      <c r="K2" s="107" t="s">
        <v>635</v>
      </c>
      <c r="L2" s="107" t="s">
        <v>635</v>
      </c>
      <c r="M2" s="107" t="s">
        <v>635</v>
      </c>
      <c r="N2" s="107" t="s">
        <v>635</v>
      </c>
      <c r="O2" s="107" t="s">
        <v>635</v>
      </c>
    </row>
    <row r="3" spans="1:15" ht="18" customHeight="1">
      <c r="A3" s="108" t="s">
        <v>636</v>
      </c>
      <c r="B3" s="108" t="s">
        <v>636</v>
      </c>
      <c r="C3" s="108" t="s">
        <v>636</v>
      </c>
      <c r="D3" s="108" t="s">
        <v>636</v>
      </c>
      <c r="E3" s="108" t="s">
        <v>636</v>
      </c>
      <c r="F3" s="108" t="s">
        <v>636</v>
      </c>
      <c r="G3" s="108" t="s">
        <v>636</v>
      </c>
      <c r="H3" s="108" t="s">
        <v>636</v>
      </c>
      <c r="I3" s="108" t="s">
        <v>636</v>
      </c>
      <c r="J3" s="108" t="s">
        <v>636</v>
      </c>
      <c r="K3" s="108" t="s">
        <v>636</v>
      </c>
      <c r="L3" s="108" t="s">
        <v>636</v>
      </c>
      <c r="M3" s="108" t="s">
        <v>636</v>
      </c>
      <c r="N3" s="108" t="s">
        <v>636</v>
      </c>
      <c r="O3" s="108" t="s">
        <v>636</v>
      </c>
    </row>
    <row r="4" spans="1:15">
      <c r="A4" s="287" t="s">
        <v>637</v>
      </c>
      <c r="B4" s="288" t="s">
        <v>637</v>
      </c>
      <c r="C4" s="288" t="s">
        <v>637</v>
      </c>
      <c r="D4" s="288" t="s">
        <v>637</v>
      </c>
      <c r="E4" s="288" t="s">
        <v>637</v>
      </c>
      <c r="F4" s="288" t="s">
        <v>637</v>
      </c>
      <c r="G4" s="288" t="s">
        <v>637</v>
      </c>
      <c r="H4" s="288" t="s">
        <v>637</v>
      </c>
      <c r="I4" s="288" t="s">
        <v>637</v>
      </c>
      <c r="J4" s="288" t="s">
        <v>637</v>
      </c>
      <c r="K4" s="288" t="s">
        <v>637</v>
      </c>
      <c r="L4" s="288" t="s">
        <v>637</v>
      </c>
      <c r="M4" s="288" t="s">
        <v>637</v>
      </c>
      <c r="N4" s="288" t="s">
        <v>637</v>
      </c>
      <c r="O4" s="289" t="s">
        <v>637</v>
      </c>
    </row>
    <row r="5" spans="1:15">
      <c r="A5" s="290" t="s">
        <v>637</v>
      </c>
      <c r="B5" s="291" t="s">
        <v>637</v>
      </c>
      <c r="C5" s="291" t="s">
        <v>637</v>
      </c>
      <c r="D5" s="291" t="s">
        <v>637</v>
      </c>
      <c r="E5" s="291" t="s">
        <v>637</v>
      </c>
      <c r="F5" s="291" t="s">
        <v>637</v>
      </c>
      <c r="G5" s="291" t="s">
        <v>637</v>
      </c>
      <c r="H5" s="291" t="s">
        <v>637</v>
      </c>
      <c r="I5" s="291" t="s">
        <v>637</v>
      </c>
      <c r="J5" s="291" t="s">
        <v>637</v>
      </c>
      <c r="K5" s="291" t="s">
        <v>637</v>
      </c>
      <c r="L5" s="291" t="s">
        <v>637</v>
      </c>
      <c r="M5" s="291" t="s">
        <v>637</v>
      </c>
      <c r="N5" s="291" t="s">
        <v>637</v>
      </c>
      <c r="O5" s="292" t="s">
        <v>637</v>
      </c>
    </row>
    <row r="7" spans="1:15" ht="30" customHeight="1">
      <c r="A7" s="19" t="s">
        <v>638</v>
      </c>
      <c r="B7" s="20" t="s">
        <v>639</v>
      </c>
      <c r="C7" s="20" t="s">
        <v>640</v>
      </c>
      <c r="D7" s="20" t="s">
        <v>641</v>
      </c>
      <c r="E7" s="20" t="s">
        <v>642</v>
      </c>
      <c r="F7" s="20" t="s">
        <v>643</v>
      </c>
      <c r="G7" s="20" t="s">
        <v>644</v>
      </c>
      <c r="H7" s="20" t="s">
        <v>242</v>
      </c>
      <c r="I7" s="20" t="s">
        <v>645</v>
      </c>
      <c r="J7" s="20" t="s">
        <v>75</v>
      </c>
      <c r="K7" s="20" t="s">
        <v>646</v>
      </c>
      <c r="L7" s="20" t="s">
        <v>647</v>
      </c>
      <c r="M7" s="20" t="s">
        <v>648</v>
      </c>
      <c r="N7" s="20" t="s">
        <v>107</v>
      </c>
      <c r="O7" s="21" t="s">
        <v>649</v>
      </c>
    </row>
    <row r="8" spans="1:15" ht="14.4">
      <c r="A8" s="8" t="s">
        <v>194</v>
      </c>
      <c r="B8" s="8" t="s">
        <v>650</v>
      </c>
      <c r="C8" s="22">
        <v>0</v>
      </c>
      <c r="D8" s="57">
        <f>SUMIFS('QUICK ENTRY'!$E$8:$E$1007,'QUICK ENTRY'!$AF$8:$AF$1007,"Yes",'QUICK ENTRY'!$L$8:$L$1007,$A8,'QUICK ENTRY'!$C$8:$C$1007,"Income")+SUMIFS('QUICK ENTRY'!$E$8:$E$1007,'QUICK ENTRY'!$AF$8:$AF$1007,"Yes",'QUICK ENTRY'!$L$8:$L$1007,$A8,'QUICK ENTRY'!$C$8:$C$1007,"Refund")+SUMIFS('QUICK ENTRY'!$E$8:$E$1007,'QUICK ENTRY'!$AF$8:$AF$1007,"Yes",'QUICK ENTRY'!$L$8:$L$1007,$A8,'QUICK ENTRY'!$C$8:$C$1007,"Reimbursement")+SUMIFS('QUICK ENTRY'!$E$8:$E$1007,'QUICK ENTRY'!$AF$8:$AF$1007,"Yes",'QUICK ENTRY'!$L$8:$L$1007,$A8,'QUICK ENTRY'!$C$8:$C$1007,"Transfer In")</f>
        <v>25000</v>
      </c>
      <c r="E8" s="57">
        <f>SUMIFS('QUICK ENTRY'!$E$8:$E$1007,'QUICK ENTRY'!$AF$8:$AF$1007,"Yes",'QUICK ENTRY'!$L$8:$L$1007,$A8,'QUICK ENTRY'!$C$8:$C$1007,"Expense")+SUMIFS('QUICK ENTRY'!$E$8:$E$1007,'QUICK ENTRY'!$AF$8:$AF$1007,"Yes",'QUICK ENTRY'!$L$8:$L$1007,$A8,'QUICK ENTRY'!$C$8:$C$1007,"Savings Transfer")+SUMIFS('QUICK ENTRY'!$E$8:$E$1007,'QUICK ENTRY'!$AF$8:$AF$1007,"Yes",'QUICK ENTRY'!$L$8:$L$1007,$A8,'QUICK ENTRY'!$C$8:$C$1007,"Transfer Out")+SUMIFS('QUICK ENTRY'!$E$8:$E$1007,'QUICK ENTRY'!$AF$8:$AF$1007,"Yes",'QUICK ENTRY'!$L$8:$L$1007,$A8,'QUICK ENTRY'!$C$8:$C$1007,"Repayment")</f>
        <v>0</v>
      </c>
      <c r="F8" s="57">
        <f t="shared" ref="F8:F15" si="0">$C8+$D8-$E8</f>
        <v>25000</v>
      </c>
      <c r="G8" s="22"/>
      <c r="H8" s="57" t="str">
        <f t="shared" ref="H8:H15" si="1">IF($G8="","",$G8-$F8)</f>
        <v/>
      </c>
      <c r="I8" s="46"/>
      <c r="J8" s="43" t="str">
        <f>IF($G8="","Not Reconciled",IF(ABS($H8)&lt;=SETTINGS!$B$23,"Matched",IF(ABS($H8)&lt;=5*SETTINGS!$B$23,"Small Difference","Reconciliation Required")))</f>
        <v>Not Reconciled</v>
      </c>
      <c r="K8" s="8" t="s">
        <v>111</v>
      </c>
      <c r="L8" s="8" t="s">
        <v>349</v>
      </c>
      <c r="M8" s="8" t="s">
        <v>349</v>
      </c>
      <c r="N8" s="8"/>
      <c r="O8" s="8" t="s">
        <v>119</v>
      </c>
    </row>
    <row r="9" spans="1:15" ht="14.4">
      <c r="A9" s="9" t="s">
        <v>651</v>
      </c>
      <c r="B9" s="9" t="s">
        <v>650</v>
      </c>
      <c r="C9" s="11">
        <v>0</v>
      </c>
      <c r="D9" s="58">
        <f>SUMIFS('QUICK ENTRY'!$E$8:$E$1007,'QUICK ENTRY'!$AF$8:$AF$1007,"Yes",'QUICK ENTRY'!$L$8:$L$1007,$A9,'QUICK ENTRY'!$C$8:$C$1007,"Income")+SUMIFS('QUICK ENTRY'!$E$8:$E$1007,'QUICK ENTRY'!$AF$8:$AF$1007,"Yes",'QUICK ENTRY'!$L$8:$L$1007,$A9,'QUICK ENTRY'!$C$8:$C$1007,"Refund")+SUMIFS('QUICK ENTRY'!$E$8:$E$1007,'QUICK ENTRY'!$AF$8:$AF$1007,"Yes",'QUICK ENTRY'!$L$8:$L$1007,$A9,'QUICK ENTRY'!$C$8:$C$1007,"Reimbursement")+SUMIFS('QUICK ENTRY'!$E$8:$E$1007,'QUICK ENTRY'!$AF$8:$AF$1007,"Yes",'QUICK ENTRY'!$L$8:$L$1007,$A9,'QUICK ENTRY'!$C$8:$C$1007,"Transfer In")</f>
        <v>0</v>
      </c>
      <c r="E9" s="58">
        <f>SUMIFS('QUICK ENTRY'!$E$8:$E$1007,'QUICK ENTRY'!$AF$8:$AF$1007,"Yes",'QUICK ENTRY'!$L$8:$L$1007,$A9,'QUICK ENTRY'!$C$8:$C$1007,"Expense")+SUMIFS('QUICK ENTRY'!$E$8:$E$1007,'QUICK ENTRY'!$AF$8:$AF$1007,"Yes",'QUICK ENTRY'!$L$8:$L$1007,$A9,'QUICK ENTRY'!$C$8:$C$1007,"Savings Transfer")+SUMIFS('QUICK ENTRY'!$E$8:$E$1007,'QUICK ENTRY'!$AF$8:$AF$1007,"Yes",'QUICK ENTRY'!$L$8:$L$1007,$A9,'QUICK ENTRY'!$C$8:$C$1007,"Transfer Out")+SUMIFS('QUICK ENTRY'!$E$8:$E$1007,'QUICK ENTRY'!$AF$8:$AF$1007,"Yes",'QUICK ENTRY'!$L$8:$L$1007,$A9,'QUICK ENTRY'!$C$8:$C$1007,"Repayment")</f>
        <v>0</v>
      </c>
      <c r="F9" s="58">
        <f t="shared" si="0"/>
        <v>0</v>
      </c>
      <c r="G9" s="11"/>
      <c r="H9" s="58" t="str">
        <f t="shared" si="1"/>
        <v/>
      </c>
      <c r="I9" s="13"/>
      <c r="J9" s="44" t="str">
        <f>IF($G9="","Not Reconciled",IF(ABS($H9)&lt;=SETTINGS!$B$23,"Matched",IF(ABS($H9)&lt;=5*SETTINGS!$B$23,"Small Difference","Reconciliation Required")))</f>
        <v>Not Reconciled</v>
      </c>
      <c r="K9" s="9" t="s">
        <v>111</v>
      </c>
      <c r="L9" s="9" t="s">
        <v>349</v>
      </c>
      <c r="M9" s="9" t="s">
        <v>349</v>
      </c>
      <c r="N9" s="9"/>
      <c r="O9" s="9" t="s">
        <v>119</v>
      </c>
    </row>
    <row r="10" spans="1:15" ht="14.4">
      <c r="A10" s="9" t="s">
        <v>652</v>
      </c>
      <c r="B10" s="9" t="s">
        <v>50</v>
      </c>
      <c r="C10" s="11">
        <v>0</v>
      </c>
      <c r="D10" s="58">
        <f>SUMIFS('QUICK ENTRY'!$E$8:$E$1007,'QUICK ENTRY'!$AF$8:$AF$1007,"Yes",'QUICK ENTRY'!$L$8:$L$1007,$A10,'QUICK ENTRY'!$C$8:$C$1007,"Income")+SUMIFS('QUICK ENTRY'!$E$8:$E$1007,'QUICK ENTRY'!$AF$8:$AF$1007,"Yes",'QUICK ENTRY'!$L$8:$L$1007,$A10,'QUICK ENTRY'!$C$8:$C$1007,"Refund")+SUMIFS('QUICK ENTRY'!$E$8:$E$1007,'QUICK ENTRY'!$AF$8:$AF$1007,"Yes",'QUICK ENTRY'!$L$8:$L$1007,$A10,'QUICK ENTRY'!$C$8:$C$1007,"Reimbursement")+SUMIFS('QUICK ENTRY'!$E$8:$E$1007,'QUICK ENTRY'!$AF$8:$AF$1007,"Yes",'QUICK ENTRY'!$L$8:$L$1007,$A10,'QUICK ENTRY'!$C$8:$C$1007,"Transfer In")</f>
        <v>0</v>
      </c>
      <c r="E10" s="58">
        <f>SUMIFS('QUICK ENTRY'!$E$8:$E$1007,'QUICK ENTRY'!$AF$8:$AF$1007,"Yes",'QUICK ENTRY'!$L$8:$L$1007,$A10,'QUICK ENTRY'!$C$8:$C$1007,"Expense")+SUMIFS('QUICK ENTRY'!$E$8:$E$1007,'QUICK ENTRY'!$AF$8:$AF$1007,"Yes",'QUICK ENTRY'!$L$8:$L$1007,$A10,'QUICK ENTRY'!$C$8:$C$1007,"Savings Transfer")+SUMIFS('QUICK ENTRY'!$E$8:$E$1007,'QUICK ENTRY'!$AF$8:$AF$1007,"Yes",'QUICK ENTRY'!$L$8:$L$1007,$A10,'QUICK ENTRY'!$C$8:$C$1007,"Transfer Out")+SUMIFS('QUICK ENTRY'!$E$8:$E$1007,'QUICK ENTRY'!$AF$8:$AF$1007,"Yes",'QUICK ENTRY'!$L$8:$L$1007,$A10,'QUICK ENTRY'!$C$8:$C$1007,"Repayment")</f>
        <v>0</v>
      </c>
      <c r="F10" s="58">
        <f t="shared" si="0"/>
        <v>0</v>
      </c>
      <c r="G10" s="11"/>
      <c r="H10" s="58" t="str">
        <f t="shared" si="1"/>
        <v/>
      </c>
      <c r="I10" s="13"/>
      <c r="J10" s="44" t="str">
        <f>IF($G10="","Not Reconciled",IF(ABS($H10)&lt;=SETTINGS!$B$23,"Matched",IF(ABS($H10)&lt;=5*SETTINGS!$B$23,"Small Difference","Reconciliation Required")))</f>
        <v>Not Reconciled</v>
      </c>
      <c r="K10" s="9" t="s">
        <v>111</v>
      </c>
      <c r="L10" s="9" t="s">
        <v>349</v>
      </c>
      <c r="M10" s="9" t="s">
        <v>349</v>
      </c>
      <c r="N10" s="9"/>
      <c r="O10" s="9" t="s">
        <v>119</v>
      </c>
    </row>
    <row r="11" spans="1:15" ht="14.4">
      <c r="A11" s="9" t="s">
        <v>115</v>
      </c>
      <c r="B11" s="9" t="s">
        <v>653</v>
      </c>
      <c r="C11" s="11">
        <v>0</v>
      </c>
      <c r="D11" s="58">
        <f>SUMIFS('QUICK ENTRY'!$E$8:$E$1007,'QUICK ENTRY'!$AF$8:$AF$1007,"Yes",'QUICK ENTRY'!$L$8:$L$1007,$A11,'QUICK ENTRY'!$C$8:$C$1007,"Income")+SUMIFS('QUICK ENTRY'!$E$8:$E$1007,'QUICK ENTRY'!$AF$8:$AF$1007,"Yes",'QUICK ENTRY'!$L$8:$L$1007,$A11,'QUICK ENTRY'!$C$8:$C$1007,"Refund")+SUMIFS('QUICK ENTRY'!$E$8:$E$1007,'QUICK ENTRY'!$AF$8:$AF$1007,"Yes",'QUICK ENTRY'!$L$8:$L$1007,$A11,'QUICK ENTRY'!$C$8:$C$1007,"Reimbursement")+SUMIFS('QUICK ENTRY'!$E$8:$E$1007,'QUICK ENTRY'!$AF$8:$AF$1007,"Yes",'QUICK ENTRY'!$L$8:$L$1007,$A11,'QUICK ENTRY'!$C$8:$C$1007,"Transfer In")</f>
        <v>205000</v>
      </c>
      <c r="E11" s="58">
        <f>SUMIFS('QUICK ENTRY'!$E$8:$E$1007,'QUICK ENTRY'!$AF$8:$AF$1007,"Yes",'QUICK ENTRY'!$L$8:$L$1007,$A11,'QUICK ENTRY'!$C$8:$C$1007,"Expense")+SUMIFS('QUICK ENTRY'!$E$8:$E$1007,'QUICK ENTRY'!$AF$8:$AF$1007,"Yes",'QUICK ENTRY'!$L$8:$L$1007,$A11,'QUICK ENTRY'!$C$8:$C$1007,"Savings Transfer")+SUMIFS('QUICK ENTRY'!$E$8:$E$1007,'QUICK ENTRY'!$AF$8:$AF$1007,"Yes",'QUICK ENTRY'!$L$8:$L$1007,$A11,'QUICK ENTRY'!$C$8:$C$1007,"Transfer Out")+SUMIFS('QUICK ENTRY'!$E$8:$E$1007,'QUICK ENTRY'!$AF$8:$AF$1007,"Yes",'QUICK ENTRY'!$L$8:$L$1007,$A11,'QUICK ENTRY'!$C$8:$C$1007,"Repayment")</f>
        <v>46945</v>
      </c>
      <c r="F11" s="58">
        <f t="shared" si="0"/>
        <v>158055</v>
      </c>
      <c r="G11" s="11"/>
      <c r="H11" s="58" t="str">
        <f t="shared" si="1"/>
        <v/>
      </c>
      <c r="I11" s="13"/>
      <c r="J11" s="44" t="str">
        <f>IF($G11="","Not Reconciled",IF(ABS($H11)&lt;=SETTINGS!$B$23,"Matched",IF(ABS($H11)&lt;=5*SETTINGS!$B$23,"Small Difference","Reconciliation Required")))</f>
        <v>Not Reconciled</v>
      </c>
      <c r="K11" s="9" t="s">
        <v>111</v>
      </c>
      <c r="L11" s="9" t="s">
        <v>349</v>
      </c>
      <c r="M11" s="9" t="s">
        <v>349</v>
      </c>
      <c r="N11" s="9"/>
      <c r="O11" s="9" t="s">
        <v>119</v>
      </c>
    </row>
    <row r="12" spans="1:15" ht="14.4">
      <c r="A12" s="9" t="s">
        <v>654</v>
      </c>
      <c r="B12" s="9" t="s">
        <v>655</v>
      </c>
      <c r="C12" s="11">
        <v>0</v>
      </c>
      <c r="D12" s="58">
        <f>SUMIFS('QUICK ENTRY'!$E$8:$E$1007,'QUICK ENTRY'!$AF$8:$AF$1007,"Yes",'QUICK ENTRY'!$L$8:$L$1007,$A12,'QUICK ENTRY'!$C$8:$C$1007,"Income")+SUMIFS('QUICK ENTRY'!$E$8:$E$1007,'QUICK ENTRY'!$AF$8:$AF$1007,"Yes",'QUICK ENTRY'!$L$8:$L$1007,$A12,'QUICK ENTRY'!$C$8:$C$1007,"Refund")+SUMIFS('QUICK ENTRY'!$E$8:$E$1007,'QUICK ENTRY'!$AF$8:$AF$1007,"Yes",'QUICK ENTRY'!$L$8:$L$1007,$A12,'QUICK ENTRY'!$C$8:$C$1007,"Reimbursement")+SUMIFS('QUICK ENTRY'!$E$8:$E$1007,'QUICK ENTRY'!$AF$8:$AF$1007,"Yes",'QUICK ENTRY'!$L$8:$L$1007,$A12,'QUICK ENTRY'!$C$8:$C$1007,"Transfer In")</f>
        <v>0</v>
      </c>
      <c r="E12" s="58">
        <f>SUMIFS('QUICK ENTRY'!$E$8:$E$1007,'QUICK ENTRY'!$AF$8:$AF$1007,"Yes",'QUICK ENTRY'!$L$8:$L$1007,$A12,'QUICK ENTRY'!$C$8:$C$1007,"Expense")+SUMIFS('QUICK ENTRY'!$E$8:$E$1007,'QUICK ENTRY'!$AF$8:$AF$1007,"Yes",'QUICK ENTRY'!$L$8:$L$1007,$A12,'QUICK ENTRY'!$C$8:$C$1007,"Savings Transfer")+SUMIFS('QUICK ENTRY'!$E$8:$E$1007,'QUICK ENTRY'!$AF$8:$AF$1007,"Yes",'QUICK ENTRY'!$L$8:$L$1007,$A12,'QUICK ENTRY'!$C$8:$C$1007,"Transfer Out")+SUMIFS('QUICK ENTRY'!$E$8:$E$1007,'QUICK ENTRY'!$AF$8:$AF$1007,"Yes",'QUICK ENTRY'!$L$8:$L$1007,$A12,'QUICK ENTRY'!$C$8:$C$1007,"Repayment")</f>
        <v>0</v>
      </c>
      <c r="F12" s="58">
        <f t="shared" si="0"/>
        <v>0</v>
      </c>
      <c r="G12" s="11"/>
      <c r="H12" s="58" t="str">
        <f t="shared" si="1"/>
        <v/>
      </c>
      <c r="I12" s="13"/>
      <c r="J12" s="44" t="str">
        <f>IF($G12="","Not Reconciled",IF(ABS($H12)&lt;=SETTINGS!$B$23,"Matched",IF(ABS($H12)&lt;=5*SETTINGS!$B$23,"Small Difference","Reconciliation Required")))</f>
        <v>Not Reconciled</v>
      </c>
      <c r="K12" s="9" t="s">
        <v>111</v>
      </c>
      <c r="L12" s="9" t="s">
        <v>349</v>
      </c>
      <c r="M12" s="9" t="s">
        <v>349</v>
      </c>
      <c r="N12" s="9"/>
      <c r="O12" s="9" t="s">
        <v>119</v>
      </c>
    </row>
    <row r="13" spans="1:15" ht="14.4">
      <c r="A13" s="9" t="s">
        <v>656</v>
      </c>
      <c r="B13" s="9" t="s">
        <v>655</v>
      </c>
      <c r="C13" s="11">
        <v>0</v>
      </c>
      <c r="D13" s="58">
        <f>SUMIFS('QUICK ENTRY'!$E$8:$E$1007,'QUICK ENTRY'!$AF$8:$AF$1007,"Yes",'QUICK ENTRY'!$L$8:$L$1007,$A13,'QUICK ENTRY'!$C$8:$C$1007,"Income")+SUMIFS('QUICK ENTRY'!$E$8:$E$1007,'QUICK ENTRY'!$AF$8:$AF$1007,"Yes",'QUICK ENTRY'!$L$8:$L$1007,$A13,'QUICK ENTRY'!$C$8:$C$1007,"Refund")+SUMIFS('QUICK ENTRY'!$E$8:$E$1007,'QUICK ENTRY'!$AF$8:$AF$1007,"Yes",'QUICK ENTRY'!$L$8:$L$1007,$A13,'QUICK ENTRY'!$C$8:$C$1007,"Reimbursement")+SUMIFS('QUICK ENTRY'!$E$8:$E$1007,'QUICK ENTRY'!$AF$8:$AF$1007,"Yes",'QUICK ENTRY'!$L$8:$L$1007,$A13,'QUICK ENTRY'!$C$8:$C$1007,"Transfer In")</f>
        <v>0</v>
      </c>
      <c r="E13" s="58">
        <f>SUMIFS('QUICK ENTRY'!$E$8:$E$1007,'QUICK ENTRY'!$AF$8:$AF$1007,"Yes",'QUICK ENTRY'!$L$8:$L$1007,$A13,'QUICK ENTRY'!$C$8:$C$1007,"Expense")+SUMIFS('QUICK ENTRY'!$E$8:$E$1007,'QUICK ENTRY'!$AF$8:$AF$1007,"Yes",'QUICK ENTRY'!$L$8:$L$1007,$A13,'QUICK ENTRY'!$C$8:$C$1007,"Savings Transfer")+SUMIFS('QUICK ENTRY'!$E$8:$E$1007,'QUICK ENTRY'!$AF$8:$AF$1007,"Yes",'QUICK ENTRY'!$L$8:$L$1007,$A13,'QUICK ENTRY'!$C$8:$C$1007,"Transfer Out")+SUMIFS('QUICK ENTRY'!$E$8:$E$1007,'QUICK ENTRY'!$AF$8:$AF$1007,"Yes",'QUICK ENTRY'!$L$8:$L$1007,$A13,'QUICK ENTRY'!$C$8:$C$1007,"Repayment")</f>
        <v>0</v>
      </c>
      <c r="F13" s="58">
        <f t="shared" si="0"/>
        <v>0</v>
      </c>
      <c r="G13" s="11"/>
      <c r="H13" s="58" t="str">
        <f t="shared" si="1"/>
        <v/>
      </c>
      <c r="I13" s="13"/>
      <c r="J13" s="44" t="str">
        <f>IF($G13="","Not Reconciled",IF(ABS($H13)&lt;=SETTINGS!$B$23,"Matched",IF(ABS($H13)&lt;=5*SETTINGS!$B$23,"Small Difference","Reconciliation Required")))</f>
        <v>Not Reconciled</v>
      </c>
      <c r="K13" s="9" t="s">
        <v>111</v>
      </c>
      <c r="L13" s="9" t="s">
        <v>349</v>
      </c>
      <c r="M13" s="9" t="s">
        <v>349</v>
      </c>
      <c r="N13" s="9"/>
      <c r="O13" s="9" t="s">
        <v>119</v>
      </c>
    </row>
    <row r="14" spans="1:15" ht="14.4">
      <c r="A14" s="9" t="s">
        <v>657</v>
      </c>
      <c r="B14" s="9" t="s">
        <v>657</v>
      </c>
      <c r="C14" s="11">
        <v>0</v>
      </c>
      <c r="D14" s="58">
        <f>SUMIFS('QUICK ENTRY'!$E$8:$E$1007,'QUICK ENTRY'!$AF$8:$AF$1007,"Yes",'QUICK ENTRY'!$L$8:$L$1007,$A14,'QUICK ENTRY'!$C$8:$C$1007,"Income")+SUMIFS('QUICK ENTRY'!$E$8:$E$1007,'QUICK ENTRY'!$AF$8:$AF$1007,"Yes",'QUICK ENTRY'!$L$8:$L$1007,$A14,'QUICK ENTRY'!$C$8:$C$1007,"Refund")+SUMIFS('QUICK ENTRY'!$E$8:$E$1007,'QUICK ENTRY'!$AF$8:$AF$1007,"Yes",'QUICK ENTRY'!$L$8:$L$1007,$A14,'QUICK ENTRY'!$C$8:$C$1007,"Reimbursement")+SUMIFS('QUICK ENTRY'!$E$8:$E$1007,'QUICK ENTRY'!$AF$8:$AF$1007,"Yes",'QUICK ENTRY'!$L$8:$L$1007,$A14,'QUICK ENTRY'!$C$8:$C$1007,"Transfer In")</f>
        <v>0</v>
      </c>
      <c r="E14" s="58">
        <f>SUMIFS('QUICK ENTRY'!$E$8:$E$1007,'QUICK ENTRY'!$AF$8:$AF$1007,"Yes",'QUICK ENTRY'!$L$8:$L$1007,$A14,'QUICK ENTRY'!$C$8:$C$1007,"Expense")+SUMIFS('QUICK ENTRY'!$E$8:$E$1007,'QUICK ENTRY'!$AF$8:$AF$1007,"Yes",'QUICK ENTRY'!$L$8:$L$1007,$A14,'QUICK ENTRY'!$C$8:$C$1007,"Savings Transfer")+SUMIFS('QUICK ENTRY'!$E$8:$E$1007,'QUICK ENTRY'!$AF$8:$AF$1007,"Yes",'QUICK ENTRY'!$L$8:$L$1007,$A14,'QUICK ENTRY'!$C$8:$C$1007,"Transfer Out")+SUMIFS('QUICK ENTRY'!$E$8:$E$1007,'QUICK ENTRY'!$AF$8:$AF$1007,"Yes",'QUICK ENTRY'!$L$8:$L$1007,$A14,'QUICK ENTRY'!$C$8:$C$1007,"Repayment")</f>
        <v>0</v>
      </c>
      <c r="F14" s="58">
        <f t="shared" si="0"/>
        <v>0</v>
      </c>
      <c r="G14" s="11"/>
      <c r="H14" s="58" t="str">
        <f t="shared" si="1"/>
        <v/>
      </c>
      <c r="I14" s="13"/>
      <c r="J14" s="44" t="str">
        <f>IF($G14="","Not Reconciled",IF(ABS($H14)&lt;=SETTINGS!$B$23,"Matched",IF(ABS($H14)&lt;=5*SETTINGS!$B$23,"Small Difference","Reconciliation Required")))</f>
        <v>Not Reconciled</v>
      </c>
      <c r="K14" s="9" t="s">
        <v>111</v>
      </c>
      <c r="L14" s="9" t="s">
        <v>349</v>
      </c>
      <c r="M14" s="9" t="s">
        <v>349</v>
      </c>
      <c r="N14" s="9"/>
      <c r="O14" s="9" t="s">
        <v>119</v>
      </c>
    </row>
    <row r="15" spans="1:15" ht="14.4">
      <c r="A15" s="10" t="s">
        <v>191</v>
      </c>
      <c r="B15" s="10" t="s">
        <v>57</v>
      </c>
      <c r="C15" s="23">
        <v>0</v>
      </c>
      <c r="D15" s="59">
        <f>SUMIFS('QUICK ENTRY'!$E$8:$E$1007,'QUICK ENTRY'!$AF$8:$AF$1007,"Yes",'QUICK ENTRY'!$L$8:$L$1007,$A15,'QUICK ENTRY'!$C$8:$C$1007,"Income")+SUMIFS('QUICK ENTRY'!$E$8:$E$1007,'QUICK ENTRY'!$AF$8:$AF$1007,"Yes",'QUICK ENTRY'!$L$8:$L$1007,$A15,'QUICK ENTRY'!$C$8:$C$1007,"Refund")+SUMIFS('QUICK ENTRY'!$E$8:$E$1007,'QUICK ENTRY'!$AF$8:$AF$1007,"Yes",'QUICK ENTRY'!$L$8:$L$1007,$A15,'QUICK ENTRY'!$C$8:$C$1007,"Reimbursement")+SUMIFS('QUICK ENTRY'!$E$8:$E$1007,'QUICK ENTRY'!$AF$8:$AF$1007,"Yes",'QUICK ENTRY'!$L$8:$L$1007,$A15,'QUICK ENTRY'!$C$8:$C$1007,"Transfer In")</f>
        <v>0</v>
      </c>
      <c r="E15" s="59">
        <f>SUMIFS('QUICK ENTRY'!$E$8:$E$1007,'QUICK ENTRY'!$AF$8:$AF$1007,"Yes",'QUICK ENTRY'!$L$8:$L$1007,$A15,'QUICK ENTRY'!$C$8:$C$1007,"Expense")+SUMIFS('QUICK ENTRY'!$E$8:$E$1007,'QUICK ENTRY'!$AF$8:$AF$1007,"Yes",'QUICK ENTRY'!$L$8:$L$1007,$A15,'QUICK ENTRY'!$C$8:$C$1007,"Savings Transfer")+SUMIFS('QUICK ENTRY'!$E$8:$E$1007,'QUICK ENTRY'!$AF$8:$AF$1007,"Yes",'QUICK ENTRY'!$L$8:$L$1007,$A15,'QUICK ENTRY'!$C$8:$C$1007,"Transfer Out")+SUMIFS('QUICK ENTRY'!$E$8:$E$1007,'QUICK ENTRY'!$AF$8:$AF$1007,"Yes",'QUICK ENTRY'!$L$8:$L$1007,$A15,'QUICK ENTRY'!$C$8:$C$1007,"Repayment")</f>
        <v>4500</v>
      </c>
      <c r="F15" s="59">
        <f t="shared" si="0"/>
        <v>-4500</v>
      </c>
      <c r="G15" s="23"/>
      <c r="H15" s="59" t="str">
        <f t="shared" si="1"/>
        <v/>
      </c>
      <c r="I15" s="47"/>
      <c r="J15" s="45" t="str">
        <f>IF($G15="","Not Reconciled",IF(ABS($H15)&lt;=SETTINGS!$B$23,"Matched",IF(ABS($H15)&lt;=5*SETTINGS!$B$23,"Small Difference","Reconciliation Required")))</f>
        <v>Not Reconciled</v>
      </c>
      <c r="K15" s="10" t="s">
        <v>349</v>
      </c>
      <c r="L15" s="10" t="s">
        <v>111</v>
      </c>
      <c r="M15" s="10" t="s">
        <v>349</v>
      </c>
      <c r="N15" s="10"/>
      <c r="O15" s="10" t="s">
        <v>119</v>
      </c>
    </row>
    <row r="19" spans="1:10" ht="22.95" customHeight="1">
      <c r="A19" s="130" t="s">
        <v>658</v>
      </c>
      <c r="B19" s="131" t="s">
        <v>658</v>
      </c>
      <c r="C19" s="131" t="s">
        <v>658</v>
      </c>
      <c r="D19" s="115" t="s">
        <v>659</v>
      </c>
      <c r="E19" s="116" t="s">
        <v>659</v>
      </c>
      <c r="F19" s="293" t="s">
        <v>659</v>
      </c>
      <c r="G19" s="33" t="s">
        <v>659</v>
      </c>
      <c r="H19" s="33" t="s">
        <v>659</v>
      </c>
      <c r="I19" s="33" t="s">
        <v>659</v>
      </c>
      <c r="J19" s="14" t="s">
        <v>659</v>
      </c>
    </row>
    <row r="21" spans="1:10" ht="14.4">
      <c r="A21" s="66" t="s">
        <v>640</v>
      </c>
      <c r="B21" s="57">
        <f>SUM(C8:C15)</f>
        <v>0</v>
      </c>
      <c r="D21" s="66" t="s">
        <v>660</v>
      </c>
      <c r="E21" s="57">
        <f>SUM(SUMIFS('QUICK ENTRY'!$E$8:$E$1007,'QUICK ENTRY'!$AF$8:$AF$1007,"Yes",'QUICK ENTRY'!$C$8:$C$1007,"Expense",'QUICK ENTRY'!$F$8:$F$1007,{"UPI","GPay","PhonePe","Paytm","BHIM","Other UPI"}))</f>
        <v>26267</v>
      </c>
    </row>
    <row r="22" spans="1:10" ht="14.4">
      <c r="A22" s="67" t="s">
        <v>641</v>
      </c>
      <c r="B22" s="58">
        <f>SUM(D8:D15)</f>
        <v>230000</v>
      </c>
      <c r="D22" s="67" t="s">
        <v>661</v>
      </c>
      <c r="E22" s="58">
        <f>IFERROR(E21/E23,0)</f>
        <v>1641.6875</v>
      </c>
    </row>
    <row r="23" spans="1:10" ht="14.4">
      <c r="A23" s="67" t="s">
        <v>642</v>
      </c>
      <c r="B23" s="58">
        <f>SUM(E8:E15)</f>
        <v>51445</v>
      </c>
      <c r="D23" s="67" t="s">
        <v>662</v>
      </c>
      <c r="E23" s="44">
        <f>SUM(COUNTIFS('QUICK ENTRY'!$AF$8:$AF$1007,"Yes",'QUICK ENTRY'!$C$8:$C$1007,"Expense",'QUICK ENTRY'!$F$8:$F$1007,{"UPI","GPay","PhonePe","Paytm","BHIM","Other UPI"}))</f>
        <v>16</v>
      </c>
    </row>
    <row r="24" spans="1:10" ht="14.4">
      <c r="A24" s="67" t="s">
        <v>643</v>
      </c>
      <c r="B24" s="58">
        <f>SUM(F8:F15)</f>
        <v>178555</v>
      </c>
      <c r="D24" s="67" t="s">
        <v>663</v>
      </c>
      <c r="E24" s="58" t="e">
        <f ca="1">MAX(_xludf.MAXIFS('QUICK ENTRY'!$E$8:$E$1007,'QUICK ENTRY'!$F$8:$F$1007,"UPI"),_xludf.MAXIFS('QUICK ENTRY'!$E$8:$E$1007,'QUICK ENTRY'!$F$8:$F$1007,"GPay"),_xludf.MAXIFS('QUICK ENTRY'!$E$8:$E$1007,'QUICK ENTRY'!$F$8:$F$1007,"PhonePe"),_xludf.MAXIFS('QUICK ENTRY'!$E$8:$E$1007,'QUICK ENTRY'!$F$8:$F$1007,"Paytm"))</f>
        <v>#NAME?</v>
      </c>
    </row>
    <row r="25" spans="1:10" ht="14.4">
      <c r="A25" s="68" t="s">
        <v>664</v>
      </c>
      <c r="B25" s="59">
        <f>SUM(H8:H15)</f>
        <v>0</v>
      </c>
      <c r="D25" s="68" t="s">
        <v>665</v>
      </c>
      <c r="E25" s="62">
        <f>IFERROR(E21/SUMIFS('QUICK ENTRY'!$E$8:$E$1007,'QUICK ENTRY'!$AF$8:$AF$1007,"Yes",'QUICK ENTRY'!$C$8:$C$1007,"Expense"),0)</f>
        <v>0.55952710618809243</v>
      </c>
    </row>
  </sheetData>
  <mergeCells count="4">
    <mergeCell ref="A1:O2"/>
    <mergeCell ref="A3:O3"/>
    <mergeCell ref="A4:O5"/>
    <mergeCell ref="A19:F19"/>
  </mergeCells>
  <conditionalFormatting sqref="J8:J15">
    <cfRule type="containsText" dxfId="16" priority="1" operator="containsText" text="Safe"/>
    <cfRule type="containsText" dxfId="15" priority="4" operator="containsText" text="Watch"/>
    <cfRule type="containsText" dxfId="14" priority="6" operator="containsText" text="Near"/>
    <cfRule type="containsText" dxfId="13" priority="7" operator="containsText" text="Over"/>
  </conditionalFormatting>
  <dataValidations count="1">
    <dataValidation type="list" sqref="K8:M15" xr:uid="{00000000-0002-0000-16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22"/>
  <sheetViews>
    <sheetView showGridLines="0" workbookViewId="0"/>
  </sheetViews>
  <sheetFormatPr defaultRowHeight="13.8"/>
  <cols>
    <col min="1" max="1" width="15" customWidth="1"/>
    <col min="2" max="2" width="24" customWidth="1"/>
    <col min="3" max="3" width="18" customWidth="1"/>
    <col min="4" max="5" width="20" customWidth="1"/>
    <col min="6" max="7" width="15" customWidth="1"/>
    <col min="8" max="8" width="14" customWidth="1"/>
    <col min="9" max="10" width="16" customWidth="1"/>
    <col min="11" max="12" width="18" customWidth="1"/>
    <col min="13" max="13" width="13" customWidth="1"/>
    <col min="14" max="14" width="15" customWidth="1"/>
    <col min="15" max="15" width="13" customWidth="1"/>
    <col min="16" max="16" width="16" customWidth="1"/>
    <col min="17" max="17" width="13" customWidth="1"/>
    <col min="18" max="18" width="15" customWidth="1"/>
    <col min="19" max="20" width="16" customWidth="1"/>
    <col min="21" max="21" width="13" customWidth="1"/>
    <col min="22" max="22" width="19" customWidth="1"/>
    <col min="23" max="23" width="18" customWidth="1"/>
    <col min="24" max="24" width="17" customWidth="1"/>
    <col min="25" max="25" width="26" customWidth="1"/>
  </cols>
  <sheetData>
    <row r="1" spans="1:25" ht="31.95" customHeight="1">
      <c r="A1" s="107" t="s">
        <v>666</v>
      </c>
      <c r="B1" s="107" t="s">
        <v>666</v>
      </c>
      <c r="C1" s="107" t="s">
        <v>666</v>
      </c>
      <c r="D1" s="107" t="s">
        <v>666</v>
      </c>
      <c r="E1" s="107" t="s">
        <v>666</v>
      </c>
      <c r="F1" s="107" t="s">
        <v>666</v>
      </c>
      <c r="G1" s="107" t="s">
        <v>666</v>
      </c>
      <c r="H1" s="107" t="s">
        <v>666</v>
      </c>
      <c r="I1" s="107" t="s">
        <v>666</v>
      </c>
      <c r="J1" s="107" t="s">
        <v>666</v>
      </c>
      <c r="K1" s="107" t="s">
        <v>666</v>
      </c>
      <c r="L1" s="107" t="s">
        <v>666</v>
      </c>
      <c r="M1" s="107" t="s">
        <v>666</v>
      </c>
      <c r="N1" s="107" t="s">
        <v>666</v>
      </c>
      <c r="O1" s="107" t="s">
        <v>666</v>
      </c>
      <c r="P1" s="107" t="s">
        <v>666</v>
      </c>
      <c r="Q1" s="107" t="s">
        <v>666</v>
      </c>
      <c r="R1" s="107" t="s">
        <v>666</v>
      </c>
      <c r="S1" s="107" t="s">
        <v>666</v>
      </c>
      <c r="T1" s="107" t="s">
        <v>666</v>
      </c>
      <c r="U1" s="107" t="s">
        <v>666</v>
      </c>
      <c r="V1" s="107" t="s">
        <v>666</v>
      </c>
      <c r="W1" s="107" t="s">
        <v>666</v>
      </c>
      <c r="X1" s="107" t="s">
        <v>666</v>
      </c>
      <c r="Y1" s="107" t="s">
        <v>666</v>
      </c>
    </row>
    <row r="2" spans="1:25" ht="31.95" customHeight="1">
      <c r="A2" s="107" t="s">
        <v>666</v>
      </c>
      <c r="B2" s="107" t="s">
        <v>666</v>
      </c>
      <c r="C2" s="107" t="s">
        <v>666</v>
      </c>
      <c r="D2" s="107" t="s">
        <v>666</v>
      </c>
      <c r="E2" s="107" t="s">
        <v>666</v>
      </c>
      <c r="F2" s="107" t="s">
        <v>666</v>
      </c>
      <c r="G2" s="107" t="s">
        <v>666</v>
      </c>
      <c r="H2" s="107" t="s">
        <v>666</v>
      </c>
      <c r="I2" s="107" t="s">
        <v>666</v>
      </c>
      <c r="J2" s="107" t="s">
        <v>666</v>
      </c>
      <c r="K2" s="107" t="s">
        <v>666</v>
      </c>
      <c r="L2" s="107" t="s">
        <v>666</v>
      </c>
      <c r="M2" s="107" t="s">
        <v>666</v>
      </c>
      <c r="N2" s="107" t="s">
        <v>666</v>
      </c>
      <c r="O2" s="107" t="s">
        <v>666</v>
      </c>
      <c r="P2" s="107" t="s">
        <v>666</v>
      </c>
      <c r="Q2" s="107" t="s">
        <v>666</v>
      </c>
      <c r="R2" s="107" t="s">
        <v>666</v>
      </c>
      <c r="S2" s="107" t="s">
        <v>666</v>
      </c>
      <c r="T2" s="107" t="s">
        <v>666</v>
      </c>
      <c r="U2" s="107" t="s">
        <v>666</v>
      </c>
      <c r="V2" s="107" t="s">
        <v>666</v>
      </c>
      <c r="W2" s="107" t="s">
        <v>666</v>
      </c>
      <c r="X2" s="107" t="s">
        <v>666</v>
      </c>
      <c r="Y2" s="107" t="s">
        <v>666</v>
      </c>
    </row>
    <row r="3" spans="1:25" ht="18" customHeight="1">
      <c r="A3" s="108" t="s">
        <v>667</v>
      </c>
      <c r="B3" s="108" t="s">
        <v>667</v>
      </c>
      <c r="C3" s="108" t="s">
        <v>667</v>
      </c>
      <c r="D3" s="108" t="s">
        <v>667</v>
      </c>
      <c r="E3" s="108" t="s">
        <v>667</v>
      </c>
      <c r="F3" s="108" t="s">
        <v>667</v>
      </c>
      <c r="G3" s="108" t="s">
        <v>667</v>
      </c>
      <c r="H3" s="108" t="s">
        <v>667</v>
      </c>
      <c r="I3" s="108" t="s">
        <v>667</v>
      </c>
      <c r="J3" s="108" t="s">
        <v>667</v>
      </c>
      <c r="K3" s="108" t="s">
        <v>667</v>
      </c>
      <c r="L3" s="108" t="s">
        <v>667</v>
      </c>
      <c r="M3" s="108" t="s">
        <v>667</v>
      </c>
      <c r="N3" s="108" t="s">
        <v>667</v>
      </c>
      <c r="O3" s="108" t="s">
        <v>667</v>
      </c>
      <c r="P3" s="108" t="s">
        <v>667</v>
      </c>
      <c r="Q3" s="108" t="s">
        <v>667</v>
      </c>
      <c r="R3" s="108" t="s">
        <v>667</v>
      </c>
      <c r="S3" s="108" t="s">
        <v>667</v>
      </c>
      <c r="T3" s="108" t="s">
        <v>667</v>
      </c>
      <c r="U3" s="108" t="s">
        <v>667</v>
      </c>
      <c r="V3" s="108" t="s">
        <v>667</v>
      </c>
      <c r="W3" s="108" t="s">
        <v>667</v>
      </c>
      <c r="X3" s="108" t="s">
        <v>667</v>
      </c>
      <c r="Y3" s="108" t="s">
        <v>667</v>
      </c>
    </row>
    <row r="4" spans="1:25">
      <c r="A4" s="259" t="s">
        <v>668</v>
      </c>
      <c r="B4" s="259" t="s">
        <v>668</v>
      </c>
      <c r="C4" s="259" t="s">
        <v>668</v>
      </c>
      <c r="D4" s="259" t="s">
        <v>668</v>
      </c>
      <c r="E4" s="259" t="s">
        <v>668</v>
      </c>
      <c r="F4" s="259" t="s">
        <v>668</v>
      </c>
      <c r="G4" s="259" t="s">
        <v>668</v>
      </c>
      <c r="H4" s="259" t="s">
        <v>668</v>
      </c>
      <c r="I4" s="259" t="s">
        <v>668</v>
      </c>
      <c r="J4" s="259" t="s">
        <v>668</v>
      </c>
      <c r="K4" s="259" t="s">
        <v>668</v>
      </c>
      <c r="L4" s="259" t="s">
        <v>668</v>
      </c>
      <c r="M4" s="259" t="s">
        <v>668</v>
      </c>
      <c r="N4" s="259" t="s">
        <v>668</v>
      </c>
      <c r="O4" s="259" t="s">
        <v>668</v>
      </c>
      <c r="P4" s="259" t="s">
        <v>668</v>
      </c>
      <c r="Q4" s="259" t="s">
        <v>668</v>
      </c>
      <c r="R4" s="259" t="s">
        <v>668</v>
      </c>
      <c r="S4" s="259" t="s">
        <v>668</v>
      </c>
      <c r="T4" s="259" t="s">
        <v>668</v>
      </c>
      <c r="U4" s="259" t="s">
        <v>668</v>
      </c>
      <c r="V4" s="259" t="s">
        <v>668</v>
      </c>
      <c r="W4" s="259" t="s">
        <v>668</v>
      </c>
      <c r="X4" s="259" t="s">
        <v>668</v>
      </c>
      <c r="Y4" s="259" t="s">
        <v>668</v>
      </c>
    </row>
    <row r="5" spans="1:25">
      <c r="A5" s="259" t="s">
        <v>668</v>
      </c>
      <c r="B5" s="259" t="s">
        <v>668</v>
      </c>
      <c r="C5" s="259" t="s">
        <v>668</v>
      </c>
      <c r="D5" s="259" t="s">
        <v>668</v>
      </c>
      <c r="E5" s="259" t="s">
        <v>668</v>
      </c>
      <c r="F5" s="259" t="s">
        <v>668</v>
      </c>
      <c r="G5" s="259" t="s">
        <v>668</v>
      </c>
      <c r="H5" s="259" t="s">
        <v>668</v>
      </c>
      <c r="I5" s="259" t="s">
        <v>668</v>
      </c>
      <c r="J5" s="259" t="s">
        <v>668</v>
      </c>
      <c r="K5" s="259" t="s">
        <v>668</v>
      </c>
      <c r="L5" s="259" t="s">
        <v>668</v>
      </c>
      <c r="M5" s="259" t="s">
        <v>668</v>
      </c>
      <c r="N5" s="259" t="s">
        <v>668</v>
      </c>
      <c r="O5" s="259" t="s">
        <v>668</v>
      </c>
      <c r="P5" s="259" t="s">
        <v>668</v>
      </c>
      <c r="Q5" s="259" t="s">
        <v>668</v>
      </c>
      <c r="R5" s="259" t="s">
        <v>668</v>
      </c>
      <c r="S5" s="259" t="s">
        <v>668</v>
      </c>
      <c r="T5" s="259" t="s">
        <v>668</v>
      </c>
      <c r="U5" s="259" t="s">
        <v>668</v>
      </c>
      <c r="V5" s="259" t="s">
        <v>668</v>
      </c>
      <c r="W5" s="259" t="s">
        <v>668</v>
      </c>
      <c r="X5" s="259" t="s">
        <v>668</v>
      </c>
      <c r="Y5" s="259" t="s">
        <v>668</v>
      </c>
    </row>
    <row r="7" spans="1:25" ht="30" customHeight="1">
      <c r="A7" s="69" t="s">
        <v>669</v>
      </c>
      <c r="B7" s="70" t="s">
        <v>476</v>
      </c>
      <c r="C7" s="70" t="s">
        <v>670</v>
      </c>
      <c r="D7" s="70" t="s">
        <v>40</v>
      </c>
      <c r="E7" s="70" t="s">
        <v>88</v>
      </c>
      <c r="F7" s="70" t="s">
        <v>84</v>
      </c>
      <c r="G7" s="70" t="s">
        <v>671</v>
      </c>
      <c r="H7" s="70" t="s">
        <v>672</v>
      </c>
      <c r="I7" s="70" t="s">
        <v>673</v>
      </c>
      <c r="J7" s="70" t="s">
        <v>674</v>
      </c>
      <c r="K7" s="70" t="s">
        <v>46</v>
      </c>
      <c r="L7" s="70" t="s">
        <v>675</v>
      </c>
      <c r="M7" s="70" t="s">
        <v>480</v>
      </c>
      <c r="N7" s="70" t="s">
        <v>676</v>
      </c>
      <c r="O7" s="70" t="s">
        <v>483</v>
      </c>
      <c r="P7" s="70" t="s">
        <v>484</v>
      </c>
      <c r="Q7" s="70" t="s">
        <v>677</v>
      </c>
      <c r="R7" s="70" t="s">
        <v>75</v>
      </c>
      <c r="S7" s="70" t="s">
        <v>678</v>
      </c>
      <c r="T7" s="70" t="s">
        <v>679</v>
      </c>
      <c r="U7" s="70" t="s">
        <v>596</v>
      </c>
      <c r="V7" s="70" t="s">
        <v>434</v>
      </c>
      <c r="W7" s="70" t="s">
        <v>680</v>
      </c>
      <c r="X7" s="70" t="s">
        <v>473</v>
      </c>
      <c r="Y7" s="71" t="s">
        <v>107</v>
      </c>
    </row>
    <row r="8" spans="1:25" ht="14.4">
      <c r="A8" s="8" t="s">
        <v>681</v>
      </c>
      <c r="B8" s="8" t="s">
        <v>150</v>
      </c>
      <c r="C8" s="8" t="s">
        <v>152</v>
      </c>
      <c r="D8" s="8" t="s">
        <v>148</v>
      </c>
      <c r="E8" s="8" t="s">
        <v>149</v>
      </c>
      <c r="F8" s="22">
        <v>199</v>
      </c>
      <c r="G8" s="8" t="s">
        <v>682</v>
      </c>
      <c r="H8" s="43">
        <f t="shared" ref="H8:H22" si="0">IF(G8="Monthly",1,IF(G8="Quarterly",3,IF(G8="Semester",6,IF(G8="Annual",12,0))))</f>
        <v>1</v>
      </c>
      <c r="I8" s="46">
        <v>46270</v>
      </c>
      <c r="J8" s="46"/>
      <c r="K8" s="8" t="s">
        <v>52</v>
      </c>
      <c r="L8" s="8" t="s">
        <v>194</v>
      </c>
      <c r="M8" s="8" t="s">
        <v>683</v>
      </c>
      <c r="N8" s="8" t="s">
        <v>151</v>
      </c>
      <c r="O8" s="8" t="s">
        <v>684</v>
      </c>
      <c r="P8" s="46">
        <v>46262</v>
      </c>
      <c r="Q8" s="8">
        <v>3</v>
      </c>
      <c r="R8" s="8" t="s">
        <v>685</v>
      </c>
      <c r="S8" s="46">
        <v>46239</v>
      </c>
      <c r="T8" s="54">
        <f t="shared" ref="T8:T22" si="1">IF(OR(R8="Cancelled",I8=""),"",IF(S8="",I8,IF(H8=0,"",EDATE(S8,H8))))</f>
        <v>46270</v>
      </c>
      <c r="U8" s="43">
        <f t="shared" ref="U8:U22" ca="1" si="2">IF(T8="","",T8-TODAY())</f>
        <v>-36</v>
      </c>
      <c r="V8" s="43" t="str">
        <f ca="1">IF(T8="","",IF(U8&lt;0,"Overdue",IF(U8=0,"Due Today",IF(U8=1,"Due Tomorrow",IF(U8&lt;=SETTINGS!$E$8,"Due Within 7 Days","Upcoming")))))</f>
        <v>Overdue</v>
      </c>
      <c r="W8" s="57">
        <f t="shared" ref="W8:W22" si="3">IF(F8="","",IF(H8=0,F8,F8/H8))</f>
        <v>199</v>
      </c>
      <c r="X8" s="57">
        <f t="shared" ref="X8:X22" si="4">IF(F8="","",IF(H8=0,F8,F8*12/H8))</f>
        <v>2388</v>
      </c>
      <c r="Y8" s="8" t="s">
        <v>686</v>
      </c>
    </row>
    <row r="9" spans="1:25" ht="14.4">
      <c r="A9" s="9" t="s">
        <v>687</v>
      </c>
      <c r="B9" s="9" t="s">
        <v>688</v>
      </c>
      <c r="C9" s="9" t="s">
        <v>152</v>
      </c>
      <c r="D9" s="9" t="s">
        <v>148</v>
      </c>
      <c r="E9" s="9" t="s">
        <v>461</v>
      </c>
      <c r="F9" s="11">
        <v>59</v>
      </c>
      <c r="G9" s="9" t="s">
        <v>682</v>
      </c>
      <c r="H9" s="44">
        <f t="shared" si="0"/>
        <v>1</v>
      </c>
      <c r="I9" s="13">
        <v>46275</v>
      </c>
      <c r="J9" s="13"/>
      <c r="K9" s="9" t="s">
        <v>52</v>
      </c>
      <c r="L9" s="9" t="s">
        <v>194</v>
      </c>
      <c r="M9" s="9" t="s">
        <v>683</v>
      </c>
      <c r="N9" s="9" t="s">
        <v>151</v>
      </c>
      <c r="O9" s="9" t="s">
        <v>689</v>
      </c>
      <c r="P9" s="13">
        <v>46266</v>
      </c>
      <c r="Q9" s="9">
        <v>4</v>
      </c>
      <c r="R9" s="9" t="s">
        <v>685</v>
      </c>
      <c r="S9" s="13">
        <v>46244</v>
      </c>
      <c r="T9" s="55">
        <f t="shared" si="1"/>
        <v>46275</v>
      </c>
      <c r="U9" s="44">
        <f t="shared" ca="1" si="2"/>
        <v>-31</v>
      </c>
      <c r="V9" s="44" t="str">
        <f ca="1">IF(T9="","",IF(U9&lt;0,"Overdue",IF(U9=0,"Due Today",IF(U9=1,"Due Tomorrow",IF(U9&lt;=SETTINGS!$E$8,"Due Within 7 Days","Upcoming")))))</f>
        <v>Overdue</v>
      </c>
      <c r="W9" s="58">
        <f t="shared" si="3"/>
        <v>59</v>
      </c>
      <c r="X9" s="58">
        <f t="shared" si="4"/>
        <v>708</v>
      </c>
      <c r="Y9" s="9" t="s">
        <v>686</v>
      </c>
    </row>
    <row r="10" spans="1:25" ht="14.4">
      <c r="A10" s="9" t="s">
        <v>690</v>
      </c>
      <c r="B10" s="9" t="s">
        <v>691</v>
      </c>
      <c r="C10" s="9" t="s">
        <v>152</v>
      </c>
      <c r="D10" s="9" t="s">
        <v>144</v>
      </c>
      <c r="E10" s="9" t="s">
        <v>414</v>
      </c>
      <c r="F10" s="11">
        <v>130</v>
      </c>
      <c r="G10" s="9" t="s">
        <v>682</v>
      </c>
      <c r="H10" s="44">
        <f t="shared" si="0"/>
        <v>1</v>
      </c>
      <c r="I10" s="13">
        <v>46280</v>
      </c>
      <c r="J10" s="13"/>
      <c r="K10" s="9" t="s">
        <v>61</v>
      </c>
      <c r="L10" s="9" t="s">
        <v>194</v>
      </c>
      <c r="M10" s="9" t="s">
        <v>683</v>
      </c>
      <c r="N10" s="9" t="s">
        <v>141</v>
      </c>
      <c r="O10" s="9" t="s">
        <v>684</v>
      </c>
      <c r="P10" s="13">
        <v>46264</v>
      </c>
      <c r="Q10" s="9">
        <v>4</v>
      </c>
      <c r="R10" s="9" t="s">
        <v>685</v>
      </c>
      <c r="S10" s="13">
        <v>46249</v>
      </c>
      <c r="T10" s="55">
        <f t="shared" si="1"/>
        <v>46280</v>
      </c>
      <c r="U10" s="44">
        <f t="shared" ca="1" si="2"/>
        <v>-26</v>
      </c>
      <c r="V10" s="44" t="str">
        <f ca="1">IF(T10="","",IF(U10&lt;0,"Overdue",IF(U10=0,"Due Today",IF(U10=1,"Due Tomorrow",IF(U10&lt;=SETTINGS!$E$8,"Due Within 7 Days","Upcoming")))))</f>
        <v>Overdue</v>
      </c>
      <c r="W10" s="58">
        <f t="shared" si="3"/>
        <v>130</v>
      </c>
      <c r="X10" s="58">
        <f t="shared" si="4"/>
        <v>1560</v>
      </c>
      <c r="Y10" s="9" t="s">
        <v>686</v>
      </c>
    </row>
    <row r="11" spans="1:25" ht="14.4">
      <c r="A11" s="9" t="s">
        <v>692</v>
      </c>
      <c r="B11" s="9" t="s">
        <v>693</v>
      </c>
      <c r="C11" s="9" t="s">
        <v>152</v>
      </c>
      <c r="D11" s="9" t="s">
        <v>144</v>
      </c>
      <c r="E11" s="9" t="s">
        <v>415</v>
      </c>
      <c r="F11" s="11">
        <v>0</v>
      </c>
      <c r="G11" s="9" t="s">
        <v>682</v>
      </c>
      <c r="H11" s="44">
        <f t="shared" si="0"/>
        <v>1</v>
      </c>
      <c r="I11" s="13">
        <v>46285</v>
      </c>
      <c r="J11" s="13"/>
      <c r="K11" s="9" t="s">
        <v>61</v>
      </c>
      <c r="L11" s="9" t="s">
        <v>194</v>
      </c>
      <c r="M11" s="9" t="s">
        <v>694</v>
      </c>
      <c r="N11" s="9" t="s">
        <v>141</v>
      </c>
      <c r="O11" s="9" t="s">
        <v>695</v>
      </c>
      <c r="P11" s="13"/>
      <c r="Q11" s="9">
        <v>2</v>
      </c>
      <c r="R11" s="9" t="s">
        <v>696</v>
      </c>
      <c r="S11" s="13"/>
      <c r="T11" s="55">
        <f t="shared" si="1"/>
        <v>46285</v>
      </c>
      <c r="U11" s="44">
        <f t="shared" ca="1" si="2"/>
        <v>-21</v>
      </c>
      <c r="V11" s="44" t="str">
        <f ca="1">IF(T11="","",IF(U11&lt;0,"Overdue",IF(U11=0,"Due Today",IF(U11=1,"Due Tomorrow",IF(U11&lt;=SETTINGS!$E$8,"Due Within 7 Days","Upcoming")))))</f>
        <v>Overdue</v>
      </c>
      <c r="W11" s="58">
        <f t="shared" si="3"/>
        <v>0</v>
      </c>
      <c r="X11" s="58">
        <f t="shared" si="4"/>
        <v>0</v>
      </c>
      <c r="Y11" s="9" t="s">
        <v>151</v>
      </c>
    </row>
    <row r="12" spans="1:25" ht="14.4">
      <c r="A12" s="9" t="s">
        <v>697</v>
      </c>
      <c r="B12" s="9" t="s">
        <v>206</v>
      </c>
      <c r="C12" s="9" t="s">
        <v>698</v>
      </c>
      <c r="D12" s="9" t="s">
        <v>205</v>
      </c>
      <c r="E12" s="9" t="s">
        <v>206</v>
      </c>
      <c r="F12" s="11">
        <v>349</v>
      </c>
      <c r="G12" s="9" t="s">
        <v>682</v>
      </c>
      <c r="H12" s="44">
        <f t="shared" si="0"/>
        <v>1</v>
      </c>
      <c r="I12" s="13">
        <v>46297</v>
      </c>
      <c r="J12" s="13"/>
      <c r="K12" s="9" t="s">
        <v>52</v>
      </c>
      <c r="L12" s="9" t="s">
        <v>115</v>
      </c>
      <c r="M12" s="9" t="s">
        <v>683</v>
      </c>
      <c r="N12" s="9" t="s">
        <v>116</v>
      </c>
      <c r="O12" s="9" t="s">
        <v>689</v>
      </c>
      <c r="P12" s="13">
        <v>46267</v>
      </c>
      <c r="Q12" s="9">
        <v>5</v>
      </c>
      <c r="R12" s="9" t="s">
        <v>685</v>
      </c>
      <c r="S12" s="13">
        <v>46267</v>
      </c>
      <c r="T12" s="55">
        <f t="shared" si="1"/>
        <v>46297</v>
      </c>
      <c r="U12" s="44">
        <f t="shared" ca="1" si="2"/>
        <v>-9</v>
      </c>
      <c r="V12" s="44" t="str">
        <f ca="1">IF(T12="","",IF(U12&lt;0,"Overdue",IF(U12=0,"Due Today",IF(U12=1,"Due Tomorrow",IF(U12&lt;=SETTINGS!$E$8,"Due Within 7 Days","Upcoming")))))</f>
        <v>Overdue</v>
      </c>
      <c r="W12" s="58">
        <f t="shared" si="3"/>
        <v>349</v>
      </c>
      <c r="X12" s="58">
        <f t="shared" si="4"/>
        <v>4188</v>
      </c>
      <c r="Y12" s="9" t="s">
        <v>686</v>
      </c>
    </row>
    <row r="13" spans="1:25" ht="14.4">
      <c r="A13" s="9" t="s">
        <v>699</v>
      </c>
      <c r="B13" s="9" t="s">
        <v>215</v>
      </c>
      <c r="C13" s="9" t="s">
        <v>152</v>
      </c>
      <c r="D13" s="9" t="s">
        <v>213</v>
      </c>
      <c r="E13" s="9" t="s">
        <v>214</v>
      </c>
      <c r="F13" s="11">
        <v>700</v>
      </c>
      <c r="G13" s="9" t="s">
        <v>682</v>
      </c>
      <c r="H13" s="44">
        <f t="shared" si="0"/>
        <v>1</v>
      </c>
      <c r="I13" s="13">
        <v>46297</v>
      </c>
      <c r="J13" s="13"/>
      <c r="K13" s="9" t="s">
        <v>52</v>
      </c>
      <c r="L13" s="9" t="s">
        <v>115</v>
      </c>
      <c r="M13" s="9" t="s">
        <v>683</v>
      </c>
      <c r="N13" s="9" t="s">
        <v>141</v>
      </c>
      <c r="O13" s="9" t="s">
        <v>689</v>
      </c>
      <c r="P13" s="13">
        <v>46267</v>
      </c>
      <c r="Q13" s="9">
        <v>4</v>
      </c>
      <c r="R13" s="9" t="s">
        <v>685</v>
      </c>
      <c r="S13" s="13">
        <v>46267</v>
      </c>
      <c r="T13" s="55">
        <f t="shared" si="1"/>
        <v>46297</v>
      </c>
      <c r="U13" s="44">
        <f t="shared" ca="1" si="2"/>
        <v>-9</v>
      </c>
      <c r="V13" s="44" t="str">
        <f ca="1">IF(T13="","",IF(U13&lt;0,"Overdue",IF(U13=0,"Due Today",IF(U13=1,"Due Tomorrow",IF(U13&lt;=SETTINGS!$E$8,"Due Within 7 Days","Upcoming")))))</f>
        <v>Overdue</v>
      </c>
      <c r="W13" s="58">
        <f t="shared" si="3"/>
        <v>700</v>
      </c>
      <c r="X13" s="58">
        <f t="shared" si="4"/>
        <v>8400</v>
      </c>
      <c r="Y13" s="9" t="s">
        <v>686</v>
      </c>
    </row>
    <row r="14" spans="1:25" ht="14.4">
      <c r="A14" s="9" t="s">
        <v>700</v>
      </c>
      <c r="B14" s="9" t="s">
        <v>129</v>
      </c>
      <c r="C14" s="9" t="s">
        <v>130</v>
      </c>
      <c r="D14" s="9" t="s">
        <v>130</v>
      </c>
      <c r="E14" s="9" t="s">
        <v>129</v>
      </c>
      <c r="F14" s="11">
        <v>3500</v>
      </c>
      <c r="G14" s="9" t="s">
        <v>682</v>
      </c>
      <c r="H14" s="44">
        <f t="shared" si="0"/>
        <v>1</v>
      </c>
      <c r="I14" s="13">
        <v>46296</v>
      </c>
      <c r="J14" s="13"/>
      <c r="K14" s="9" t="s">
        <v>67</v>
      </c>
      <c r="L14" s="9" t="s">
        <v>194</v>
      </c>
      <c r="M14" s="9" t="s">
        <v>694</v>
      </c>
      <c r="N14" s="9" t="s">
        <v>116</v>
      </c>
      <c r="O14" s="9" t="s">
        <v>689</v>
      </c>
      <c r="P14" s="13"/>
      <c r="Q14" s="9">
        <v>5</v>
      </c>
      <c r="R14" s="9" t="s">
        <v>685</v>
      </c>
      <c r="S14" s="13">
        <v>46266</v>
      </c>
      <c r="T14" s="55">
        <f t="shared" si="1"/>
        <v>46296</v>
      </c>
      <c r="U14" s="44">
        <f t="shared" ca="1" si="2"/>
        <v>-10</v>
      </c>
      <c r="V14" s="44" t="str">
        <f ca="1">IF(T14="","",IF(U14&lt;0,"Overdue",IF(U14=0,"Due Today",IF(U14=1,"Due Tomorrow",IF(U14&lt;=SETTINGS!$E$8,"Due Within 7 Days","Upcoming")))))</f>
        <v>Overdue</v>
      </c>
      <c r="W14" s="58">
        <f t="shared" si="3"/>
        <v>3500</v>
      </c>
      <c r="X14" s="58">
        <f t="shared" si="4"/>
        <v>42000</v>
      </c>
      <c r="Y14" s="9" t="s">
        <v>701</v>
      </c>
    </row>
    <row r="15" spans="1:25" ht="14.4">
      <c r="A15" s="9" t="s">
        <v>702</v>
      </c>
      <c r="B15" s="9" t="s">
        <v>703</v>
      </c>
      <c r="C15" s="9" t="s">
        <v>704</v>
      </c>
      <c r="D15" s="9" t="s">
        <v>123</v>
      </c>
      <c r="E15" s="9" t="s">
        <v>310</v>
      </c>
      <c r="F15" s="11">
        <v>2500</v>
      </c>
      <c r="G15" s="9" t="s">
        <v>96</v>
      </c>
      <c r="H15" s="44">
        <f t="shared" si="0"/>
        <v>6</v>
      </c>
      <c r="I15" s="13">
        <v>46341</v>
      </c>
      <c r="J15" s="13"/>
      <c r="K15" s="9" t="s">
        <v>67</v>
      </c>
      <c r="L15" s="9" t="s">
        <v>194</v>
      </c>
      <c r="M15" s="9" t="s">
        <v>694</v>
      </c>
      <c r="N15" s="9" t="s">
        <v>116</v>
      </c>
      <c r="O15" s="9" t="s">
        <v>689</v>
      </c>
      <c r="P15" s="13"/>
      <c r="Q15" s="9">
        <v>5</v>
      </c>
      <c r="R15" s="9" t="s">
        <v>705</v>
      </c>
      <c r="S15" s="13"/>
      <c r="T15" s="55">
        <f t="shared" si="1"/>
        <v>46341</v>
      </c>
      <c r="U15" s="44">
        <f t="shared" ca="1" si="2"/>
        <v>35</v>
      </c>
      <c r="V15" s="44" t="str">
        <f ca="1">IF(T15="","",IF(U15&lt;0,"Overdue",IF(U15=0,"Due Today",IF(U15=1,"Due Tomorrow",IF(U15&lt;=SETTINGS!$E$8,"Due Within 7 Days","Upcoming")))))</f>
        <v>Upcoming</v>
      </c>
      <c r="W15" s="58">
        <f t="shared" si="3"/>
        <v>416.66666666666669</v>
      </c>
      <c r="X15" s="58">
        <f t="shared" si="4"/>
        <v>5000</v>
      </c>
      <c r="Y15" s="9" t="s">
        <v>701</v>
      </c>
    </row>
    <row r="16" spans="1:25" ht="14.4">
      <c r="A16" s="9"/>
      <c r="B16" s="9"/>
      <c r="C16" s="9"/>
      <c r="D16" s="9"/>
      <c r="E16" s="9"/>
      <c r="F16" s="11"/>
      <c r="G16" s="9"/>
      <c r="H16" s="44">
        <f t="shared" si="0"/>
        <v>0</v>
      </c>
      <c r="I16" s="13"/>
      <c r="J16" s="13"/>
      <c r="K16" s="9"/>
      <c r="L16" s="9"/>
      <c r="M16" s="9"/>
      <c r="N16" s="9"/>
      <c r="O16" s="9"/>
      <c r="P16" s="13"/>
      <c r="Q16" s="9"/>
      <c r="R16" s="9"/>
      <c r="S16" s="13"/>
      <c r="T16" s="55" t="str">
        <f t="shared" si="1"/>
        <v/>
      </c>
      <c r="U16" s="44" t="str">
        <f t="shared" ca="1" si="2"/>
        <v/>
      </c>
      <c r="V16" s="44" t="str">
        <f>IF(T16="","",IF(U16&lt;0,"Overdue",IF(U16=0,"Due Today",IF(U16=1,"Due Tomorrow",IF(U16&lt;=SETTINGS!$E$8,"Due Within 7 Days","Upcoming")))))</f>
        <v/>
      </c>
      <c r="W16" s="58" t="str">
        <f t="shared" si="3"/>
        <v/>
      </c>
      <c r="X16" s="58" t="str">
        <f t="shared" si="4"/>
        <v/>
      </c>
      <c r="Y16" s="9"/>
    </row>
    <row r="17" spans="1:25" ht="14.4">
      <c r="A17" s="9"/>
      <c r="B17" s="9"/>
      <c r="C17" s="9"/>
      <c r="D17" s="9"/>
      <c r="E17" s="9"/>
      <c r="F17" s="11"/>
      <c r="G17" s="9"/>
      <c r="H17" s="44">
        <f t="shared" si="0"/>
        <v>0</v>
      </c>
      <c r="I17" s="13"/>
      <c r="J17" s="13"/>
      <c r="K17" s="9"/>
      <c r="L17" s="9"/>
      <c r="M17" s="9"/>
      <c r="N17" s="9"/>
      <c r="O17" s="9"/>
      <c r="P17" s="13"/>
      <c r="Q17" s="9"/>
      <c r="R17" s="9"/>
      <c r="S17" s="13"/>
      <c r="T17" s="55" t="str">
        <f t="shared" si="1"/>
        <v/>
      </c>
      <c r="U17" s="44" t="str">
        <f t="shared" ca="1" si="2"/>
        <v/>
      </c>
      <c r="V17" s="44" t="str">
        <f>IF(T17="","",IF(U17&lt;0,"Overdue",IF(U17=0,"Due Today",IF(U17=1,"Due Tomorrow",IF(U17&lt;=SETTINGS!$E$8,"Due Within 7 Days","Upcoming")))))</f>
        <v/>
      </c>
      <c r="W17" s="58" t="str">
        <f t="shared" si="3"/>
        <v/>
      </c>
      <c r="X17" s="58" t="str">
        <f t="shared" si="4"/>
        <v/>
      </c>
      <c r="Y17" s="9"/>
    </row>
    <row r="18" spans="1:25" ht="14.4">
      <c r="A18" s="9"/>
      <c r="B18" s="9"/>
      <c r="C18" s="9"/>
      <c r="D18" s="9"/>
      <c r="E18" s="9"/>
      <c r="F18" s="11"/>
      <c r="G18" s="9"/>
      <c r="H18" s="44">
        <f t="shared" si="0"/>
        <v>0</v>
      </c>
      <c r="I18" s="13"/>
      <c r="J18" s="13"/>
      <c r="K18" s="9"/>
      <c r="L18" s="9"/>
      <c r="M18" s="9"/>
      <c r="N18" s="9"/>
      <c r="O18" s="9"/>
      <c r="P18" s="13"/>
      <c r="Q18" s="9"/>
      <c r="R18" s="9"/>
      <c r="S18" s="13"/>
      <c r="T18" s="55" t="str">
        <f t="shared" si="1"/>
        <v/>
      </c>
      <c r="U18" s="44" t="str">
        <f t="shared" ca="1" si="2"/>
        <v/>
      </c>
      <c r="V18" s="44" t="str">
        <f>IF(T18="","",IF(U18&lt;0,"Overdue",IF(U18=0,"Due Today",IF(U18=1,"Due Tomorrow",IF(U18&lt;=SETTINGS!$E$8,"Due Within 7 Days","Upcoming")))))</f>
        <v/>
      </c>
      <c r="W18" s="58" t="str">
        <f t="shared" si="3"/>
        <v/>
      </c>
      <c r="X18" s="58" t="str">
        <f t="shared" si="4"/>
        <v/>
      </c>
      <c r="Y18" s="9"/>
    </row>
    <row r="19" spans="1:25" ht="14.4">
      <c r="A19" s="9"/>
      <c r="B19" s="9"/>
      <c r="C19" s="9"/>
      <c r="D19" s="9"/>
      <c r="E19" s="9"/>
      <c r="F19" s="11"/>
      <c r="G19" s="9"/>
      <c r="H19" s="44">
        <f t="shared" si="0"/>
        <v>0</v>
      </c>
      <c r="I19" s="13"/>
      <c r="J19" s="13"/>
      <c r="K19" s="9"/>
      <c r="L19" s="9"/>
      <c r="M19" s="9"/>
      <c r="N19" s="9"/>
      <c r="O19" s="9"/>
      <c r="P19" s="13"/>
      <c r="Q19" s="9"/>
      <c r="R19" s="9"/>
      <c r="S19" s="13"/>
      <c r="T19" s="55" t="str">
        <f t="shared" si="1"/>
        <v/>
      </c>
      <c r="U19" s="44" t="str">
        <f t="shared" ca="1" si="2"/>
        <v/>
      </c>
      <c r="V19" s="44" t="str">
        <f>IF(T19="","",IF(U19&lt;0,"Overdue",IF(U19=0,"Due Today",IF(U19=1,"Due Tomorrow",IF(U19&lt;=SETTINGS!$E$8,"Due Within 7 Days","Upcoming")))))</f>
        <v/>
      </c>
      <c r="W19" s="58" t="str">
        <f t="shared" si="3"/>
        <v/>
      </c>
      <c r="X19" s="58" t="str">
        <f t="shared" si="4"/>
        <v/>
      </c>
      <c r="Y19" s="9"/>
    </row>
    <row r="20" spans="1:25" ht="14.4">
      <c r="A20" s="9"/>
      <c r="B20" s="9"/>
      <c r="C20" s="9"/>
      <c r="D20" s="9"/>
      <c r="E20" s="9"/>
      <c r="F20" s="11"/>
      <c r="G20" s="9"/>
      <c r="H20" s="44">
        <f t="shared" si="0"/>
        <v>0</v>
      </c>
      <c r="I20" s="13"/>
      <c r="J20" s="13"/>
      <c r="K20" s="9"/>
      <c r="L20" s="9"/>
      <c r="M20" s="9"/>
      <c r="N20" s="9"/>
      <c r="O20" s="9"/>
      <c r="P20" s="13"/>
      <c r="Q20" s="9"/>
      <c r="R20" s="9"/>
      <c r="S20" s="13"/>
      <c r="T20" s="55" t="str">
        <f t="shared" si="1"/>
        <v/>
      </c>
      <c r="U20" s="44" t="str">
        <f t="shared" ca="1" si="2"/>
        <v/>
      </c>
      <c r="V20" s="44" t="str">
        <f>IF(T20="","",IF(U20&lt;0,"Overdue",IF(U20=0,"Due Today",IF(U20=1,"Due Tomorrow",IF(U20&lt;=SETTINGS!$E$8,"Due Within 7 Days","Upcoming")))))</f>
        <v/>
      </c>
      <c r="W20" s="58" t="str">
        <f t="shared" si="3"/>
        <v/>
      </c>
      <c r="X20" s="58" t="str">
        <f t="shared" si="4"/>
        <v/>
      </c>
      <c r="Y20" s="9"/>
    </row>
    <row r="21" spans="1:25" ht="14.4">
      <c r="A21" s="9"/>
      <c r="B21" s="9"/>
      <c r="C21" s="9"/>
      <c r="D21" s="9"/>
      <c r="E21" s="9"/>
      <c r="F21" s="11"/>
      <c r="G21" s="9"/>
      <c r="H21" s="44">
        <f t="shared" si="0"/>
        <v>0</v>
      </c>
      <c r="I21" s="13"/>
      <c r="J21" s="13"/>
      <c r="K21" s="9"/>
      <c r="L21" s="9"/>
      <c r="M21" s="9"/>
      <c r="N21" s="9"/>
      <c r="O21" s="9"/>
      <c r="P21" s="13"/>
      <c r="Q21" s="9"/>
      <c r="R21" s="9"/>
      <c r="S21" s="13"/>
      <c r="T21" s="55" t="str">
        <f t="shared" si="1"/>
        <v/>
      </c>
      <c r="U21" s="44" t="str">
        <f t="shared" ca="1" si="2"/>
        <v/>
      </c>
      <c r="V21" s="44" t="str">
        <f>IF(T21="","",IF(U21&lt;0,"Overdue",IF(U21=0,"Due Today",IF(U21=1,"Due Tomorrow",IF(U21&lt;=SETTINGS!$E$8,"Due Within 7 Days","Upcoming")))))</f>
        <v/>
      </c>
      <c r="W21" s="58" t="str">
        <f t="shared" si="3"/>
        <v/>
      </c>
      <c r="X21" s="58" t="str">
        <f t="shared" si="4"/>
        <v/>
      </c>
      <c r="Y21" s="9"/>
    </row>
    <row r="22" spans="1:25" ht="14.4">
      <c r="A22" s="10"/>
      <c r="B22" s="10"/>
      <c r="C22" s="10"/>
      <c r="D22" s="10"/>
      <c r="E22" s="10"/>
      <c r="F22" s="23"/>
      <c r="G22" s="10"/>
      <c r="H22" s="45">
        <f t="shared" si="0"/>
        <v>0</v>
      </c>
      <c r="I22" s="47"/>
      <c r="J22" s="47"/>
      <c r="K22" s="10"/>
      <c r="L22" s="10"/>
      <c r="M22" s="10"/>
      <c r="N22" s="10"/>
      <c r="O22" s="10"/>
      <c r="P22" s="47"/>
      <c r="Q22" s="10"/>
      <c r="R22" s="10"/>
      <c r="S22" s="47"/>
      <c r="T22" s="56" t="str">
        <f t="shared" si="1"/>
        <v/>
      </c>
      <c r="U22" s="45" t="str">
        <f t="shared" ca="1" si="2"/>
        <v/>
      </c>
      <c r="V22" s="45" t="str">
        <f>IF(T22="","",IF(U22&lt;0,"Overdue",IF(U22=0,"Due Today",IF(U22=1,"Due Tomorrow",IF(U22&lt;=SETTINGS!$E$8,"Due Within 7 Days","Upcoming")))))</f>
        <v/>
      </c>
      <c r="W22" s="59" t="str">
        <f t="shared" si="3"/>
        <v/>
      </c>
      <c r="X22" s="59" t="str">
        <f t="shared" si="4"/>
        <v/>
      </c>
      <c r="Y22" s="10"/>
    </row>
  </sheetData>
  <mergeCells count="3">
    <mergeCell ref="A1:Y2"/>
    <mergeCell ref="A3:Y3"/>
    <mergeCell ref="A4:Y5"/>
  </mergeCells>
  <conditionalFormatting sqref="V8:V22">
    <cfRule type="containsText" dxfId="12" priority="1" operator="containsText" text="Safe"/>
    <cfRule type="containsText" dxfId="11" priority="4" operator="containsText" text="Watch"/>
    <cfRule type="containsText" dxfId="10" priority="6" operator="containsText" text="Near"/>
    <cfRule type="containsText" dxfId="9" priority="7" operator="containsText" text="Over"/>
  </conditionalFormatting>
  <dataValidations count="2">
    <dataValidation type="list" sqref="G8:G22" xr:uid="{00000000-0002-0000-1700-000000000000}">
      <formula1>"Monthly,Quarterly,Semester,Annual,One-Time"</formula1>
    </dataValidation>
    <dataValidation type="list" sqref="M8:M22" xr:uid="{00000000-0002-0000-1700-000003000000}">
      <formula1>"On,Off"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700-000001000000}">
          <x14:formula1>
            <xm:f>SETTINGS!$M$21:$M$32</xm:f>
          </x14:formula1>
          <xm:sqref>K8:K22</xm:sqref>
        </x14:dataValidation>
        <x14:dataValidation type="list" xr:uid="{00000000-0002-0000-1700-000002000000}">
          <x14:formula1>
            <xm:f>SETTINGS!$S$21:$S$28</xm:f>
          </x14:formula1>
          <xm:sqref>L8:L22</xm:sqref>
        </x14:dataValidation>
        <x14:dataValidation type="list" xr:uid="{00000000-0002-0000-1700-000004000000}">
          <x14:formula1>
            <xm:f>SETTINGS!$O$21:$O$25</xm:f>
          </x14:formula1>
          <xm:sqref>N8:N22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0"/>
  <sheetViews>
    <sheetView showGridLines="0" workbookViewId="0"/>
  </sheetViews>
  <sheetFormatPr defaultRowHeight="13.8"/>
  <cols>
    <col min="1" max="1" width="23" customWidth="1"/>
    <col min="2" max="13" width="17" customWidth="1"/>
  </cols>
  <sheetData>
    <row r="1" spans="1:13" ht="31.95" customHeight="1">
      <c r="A1" s="107" t="s">
        <v>706</v>
      </c>
      <c r="B1" s="107" t="s">
        <v>706</v>
      </c>
      <c r="C1" s="107" t="s">
        <v>706</v>
      </c>
      <c r="D1" s="107" t="s">
        <v>706</v>
      </c>
      <c r="E1" s="107" t="s">
        <v>706</v>
      </c>
      <c r="F1" s="107" t="s">
        <v>706</v>
      </c>
      <c r="G1" s="107" t="s">
        <v>706</v>
      </c>
      <c r="H1" s="107" t="s">
        <v>706</v>
      </c>
      <c r="I1" s="107" t="s">
        <v>706</v>
      </c>
      <c r="J1" s="107" t="s">
        <v>706</v>
      </c>
      <c r="K1" s="107" t="s">
        <v>706</v>
      </c>
      <c r="L1" s="107" t="s">
        <v>706</v>
      </c>
      <c r="M1" s="107" t="s">
        <v>706</v>
      </c>
    </row>
    <row r="2" spans="1:13" ht="31.95" customHeight="1">
      <c r="A2" s="107" t="s">
        <v>706</v>
      </c>
      <c r="B2" s="107" t="s">
        <v>706</v>
      </c>
      <c r="C2" s="107" t="s">
        <v>706</v>
      </c>
      <c r="D2" s="107" t="s">
        <v>706</v>
      </c>
      <c r="E2" s="107" t="s">
        <v>706</v>
      </c>
      <c r="F2" s="107" t="s">
        <v>706</v>
      </c>
      <c r="G2" s="107" t="s">
        <v>706</v>
      </c>
      <c r="H2" s="107" t="s">
        <v>706</v>
      </c>
      <c r="I2" s="107" t="s">
        <v>706</v>
      </c>
      <c r="J2" s="107" t="s">
        <v>706</v>
      </c>
      <c r="K2" s="107" t="s">
        <v>706</v>
      </c>
      <c r="L2" s="107" t="s">
        <v>706</v>
      </c>
      <c r="M2" s="107" t="s">
        <v>706</v>
      </c>
    </row>
    <row r="3" spans="1:13" ht="18" customHeight="1">
      <c r="A3" s="108" t="s">
        <v>707</v>
      </c>
      <c r="B3" s="108" t="s">
        <v>707</v>
      </c>
      <c r="C3" s="108" t="s">
        <v>707</v>
      </c>
      <c r="D3" s="108" t="s">
        <v>707</v>
      </c>
      <c r="E3" s="108" t="s">
        <v>707</v>
      </c>
      <c r="F3" s="108" t="s">
        <v>707</v>
      </c>
      <c r="G3" s="108" t="s">
        <v>707</v>
      </c>
      <c r="H3" s="108" t="s">
        <v>707</v>
      </c>
      <c r="I3" s="108" t="s">
        <v>707</v>
      </c>
      <c r="J3" s="108" t="s">
        <v>707</v>
      </c>
      <c r="K3" s="108" t="s">
        <v>707</v>
      </c>
      <c r="L3" s="108" t="s">
        <v>707</v>
      </c>
      <c r="M3" s="108" t="s">
        <v>707</v>
      </c>
    </row>
    <row r="4" spans="1:13">
      <c r="A4" s="259" t="s">
        <v>708</v>
      </c>
      <c r="B4" s="259" t="s">
        <v>708</v>
      </c>
      <c r="C4" s="259" t="s">
        <v>708</v>
      </c>
      <c r="D4" s="259" t="s">
        <v>708</v>
      </c>
      <c r="E4" s="259" t="s">
        <v>708</v>
      </c>
      <c r="F4" s="259" t="s">
        <v>708</v>
      </c>
      <c r="G4" s="259" t="s">
        <v>708</v>
      </c>
      <c r="H4" s="259" t="s">
        <v>708</v>
      </c>
      <c r="I4" s="259" t="s">
        <v>708</v>
      </c>
      <c r="J4" s="259" t="s">
        <v>708</v>
      </c>
      <c r="K4" s="259" t="s">
        <v>708</v>
      </c>
      <c r="L4" s="259" t="s">
        <v>708</v>
      </c>
      <c r="M4" s="259" t="s">
        <v>708</v>
      </c>
    </row>
    <row r="5" spans="1:13">
      <c r="A5" s="259" t="s">
        <v>708</v>
      </c>
      <c r="B5" s="259" t="s">
        <v>708</v>
      </c>
      <c r="C5" s="259" t="s">
        <v>708</v>
      </c>
      <c r="D5" s="259" t="s">
        <v>708</v>
      </c>
      <c r="E5" s="259" t="s">
        <v>708</v>
      </c>
      <c r="F5" s="259" t="s">
        <v>708</v>
      </c>
      <c r="G5" s="259" t="s">
        <v>708</v>
      </c>
      <c r="H5" s="259" t="s">
        <v>708</v>
      </c>
      <c r="I5" s="259" t="s">
        <v>708</v>
      </c>
      <c r="J5" s="259" t="s">
        <v>708</v>
      </c>
      <c r="K5" s="259" t="s">
        <v>708</v>
      </c>
      <c r="L5" s="259" t="s">
        <v>708</v>
      </c>
      <c r="M5" s="259" t="s">
        <v>708</v>
      </c>
    </row>
    <row r="7" spans="1:13" ht="30" customHeight="1">
      <c r="A7" s="69" t="s">
        <v>96</v>
      </c>
      <c r="B7" s="70" t="s">
        <v>709</v>
      </c>
      <c r="C7" s="70" t="s">
        <v>710</v>
      </c>
      <c r="D7" s="70" t="s">
        <v>42</v>
      </c>
      <c r="E7" s="70" t="s">
        <v>43</v>
      </c>
      <c r="F7" s="70" t="s">
        <v>57</v>
      </c>
      <c r="G7" s="70" t="s">
        <v>123</v>
      </c>
      <c r="H7" s="70" t="s">
        <v>130</v>
      </c>
      <c r="I7" s="70" t="s">
        <v>134</v>
      </c>
      <c r="J7" s="70" t="s">
        <v>144</v>
      </c>
      <c r="K7" s="70" t="s">
        <v>166</v>
      </c>
      <c r="L7" s="70" t="s">
        <v>711</v>
      </c>
      <c r="M7" s="71" t="s">
        <v>712</v>
      </c>
    </row>
    <row r="8" spans="1:13" ht="14.4">
      <c r="A8" s="43" t="str">
        <f>"Semester 1"</f>
        <v>Semester 1</v>
      </c>
      <c r="B8" s="54">
        <f>SETTINGS!$B$24</f>
        <v>46204</v>
      </c>
      <c r="C8" s="54">
        <f>SETTINGS!$B$25</f>
        <v>46387</v>
      </c>
      <c r="D8" s="57">
        <f>SUMIFS('QUICK ENTRY'!$E$8:$E$1007,'QUICK ENTRY'!$AF$8:$AF$1007,"Yes",'QUICK ENTRY'!$C$8:$C$1007,"Income",'QUICK ENTRY'!$B$8:$B$1007,"&gt;="&amp;$B8,'QUICK ENTRY'!$B$8:$B$1007,"&lt;="&amp;$C8)</f>
        <v>80000</v>
      </c>
      <c r="E8" s="57">
        <f>SUMIFS('QUICK ENTRY'!$E$8:$E$1007,'QUICK ENTRY'!$AF$8:$AF$1007,"Yes",'QUICK ENTRY'!$C$8:$C$1007,"Expense",'QUICK ENTRY'!$B$8:$B$1007,"&gt;="&amp;$B8,'QUICK ENTRY'!$B$8:$B$1007,"&lt;="&amp;$C8)</f>
        <v>20597</v>
      </c>
      <c r="F8" s="57">
        <f>SUMIFS('QUICK ENTRY'!$E$8:$E$1007,'QUICK ENTRY'!$AF$8:$AF$1007,"Yes",'QUICK ENTRY'!$C$8:$C$1007,"Savings Transfer",'QUICK ENTRY'!$B$8:$B$1007,"&gt;="&amp;$B8,'QUICK ENTRY'!$B$8:$B$1007,"&lt;="&amp;$C8)</f>
        <v>4500</v>
      </c>
      <c r="G8" s="57">
        <f>SUMIFS('QUICK ENTRY'!$E$8:$E$1007,'QUICK ENTRY'!$AF$8:$AF$1007,"Yes",'QUICK ENTRY'!$C$8:$C$1007,"Expense",'QUICK ENTRY'!$I$8:$I$1007,"College Fees",'QUICK ENTRY'!$B$8:$B$1007,"&gt;="&amp;$B8,'QUICK ENTRY'!$B$8:$B$1007,"&lt;="&amp;$C8)</f>
        <v>0</v>
      </c>
      <c r="H8" s="57">
        <f>SUMIFS('QUICK ENTRY'!$E$8:$E$1007,'QUICK ENTRY'!$AF$8:$AF$1007,"Yes",'QUICK ENTRY'!$C$8:$C$1007,"Expense",'QUICK ENTRY'!$I$8:$I$1007,"Hostel",'QUICK ENTRY'!$B$8:$B$1007,"&gt;="&amp;$B8,'QUICK ENTRY'!$B$8:$B$1007,"&lt;="&amp;$C8)</f>
        <v>7200</v>
      </c>
      <c r="I8" s="57">
        <f>SUMIFS('QUICK ENTRY'!$E$8:$E$1007,'QUICK ENTRY'!$AF$8:$AF$1007,"Yes",'QUICK ENTRY'!$C$8:$C$1007,"Expense",'QUICK ENTRY'!$I$8:$I$1007,"Food",'QUICK ENTRY'!$B$8:$B$1007,"&gt;="&amp;$B8,'QUICK ENTRY'!$B$8:$B$1007,"&lt;="&amp;$C8)</f>
        <v>8220</v>
      </c>
      <c r="J8" s="57">
        <f>SUMIFS('QUICK ENTRY'!$E$8:$E$1007,'QUICK ENTRY'!$AF$8:$AF$1007,"Yes",'QUICK ENTRY'!$C$8:$C$1007,"Expense",'QUICK ENTRY'!$I$8:$I$1007,"Technology",'QUICK ENTRY'!$B$8:$B$1007,"&gt;="&amp;$B8,'QUICK ENTRY'!$B$8:$B$1007,"&lt;="&amp;$C8)+SUMIFS('QUICK ENTRY'!$E$8:$E$1007,'QUICK ENTRY'!$AF$8:$AF$1007,"Yes",'QUICK ENTRY'!$C$8:$C$1007,"Expense",'QUICK ENTRY'!$I$8:$I$1007,"AI-ML Learning",'QUICK ENTRY'!$B$8:$B$1007,"&gt;="&amp;$B8,'QUICK ENTRY'!$B$8:$B$1007,"&lt;="&amp;$C8)</f>
        <v>1499</v>
      </c>
      <c r="K8" s="57">
        <f>SUMIFS('QUICK ENTRY'!$E$8:$E$1007,'QUICK ENTRY'!$AF$8:$AF$1007,"Yes",'QUICK ENTRY'!$C$8:$C$1007,"Expense",'QUICK ENTRY'!$I$8:$I$1007,"Transport",'QUICK ENTRY'!$B$8:$B$1007,"&gt;="&amp;$B8,'QUICK ENTRY'!$B$8:$B$1007,"&lt;="&amp;$C8)+SUMIFS('QUICK ENTRY'!$E$8:$E$1007,'QUICK ENTRY'!$AF$8:$AF$1007,"Yes",'QUICK ENTRY'!$C$8:$C$1007,"Expense",'QUICK ENTRY'!$I$8:$I$1007,"Travel Home",'QUICK ENTRY'!$B$8:$B$1007,"&gt;="&amp;$B8,'QUICK ENTRY'!$B$8:$B$1007,"&lt;="&amp;$C8)</f>
        <v>2150</v>
      </c>
      <c r="L8" s="57">
        <f>SUMIFS('QUICK ENTRY'!$E$8:$E$1007,'QUICK ENTRY'!$AF$8:$AF$1007,"Yes",'QUICK ENTRY'!$C$8:$C$1007,"Expense",'QUICK ENTRY'!$I$8:$I$1007,"Personal Care",'QUICK ENTRY'!$B$8:$B$1007,"&gt;="&amp;$B8,'QUICK ENTRY'!$B$8:$B$1007,"&lt;="&amp;$C8)+SUMIFS('QUICK ENTRY'!$E$8:$E$1007,'QUICK ENTRY'!$AF$8:$AF$1007,"Yes",'QUICK ENTRY'!$C$8:$C$1007,"Expense",'QUICK ENTRY'!$I$8:$I$1007,"Clothing",'QUICK ENTRY'!$B$8:$B$1007,"&gt;="&amp;$B8,'QUICK ENTRY'!$B$8:$B$1007,"&lt;="&amp;$C8)+SUMIFS('QUICK ENTRY'!$E$8:$E$1007,'QUICK ENTRY'!$AF$8:$AF$1007,"Yes",'QUICK ENTRY'!$C$8:$C$1007,"Expense",'QUICK ENTRY'!$I$8:$I$1007,"Entertainment",'QUICK ENTRY'!$B$8:$B$1007,"&gt;="&amp;$B8,'QUICK ENTRY'!$B$8:$B$1007,"&lt;="&amp;$C8)+SUMIFS('QUICK ENTRY'!$E$8:$E$1007,'QUICK ENTRY'!$AF$8:$AF$1007,"Yes",'QUICK ENTRY'!$C$8:$C$1007,"Expense",'QUICK ENTRY'!$I$8:$I$1007,"Shopping &amp; Gifts",'QUICK ENTRY'!$B$8:$B$1007,"&gt;="&amp;$B8,'QUICK ENTRY'!$B$8:$B$1007,"&lt;="&amp;$C8)</f>
        <v>0</v>
      </c>
      <c r="M8" s="57">
        <f>IFERROR(E8/MAX(1,12*(YEAR(C8)-YEAR(B8))+MONTH(C8)-MONTH(B8)+1),0)</f>
        <v>3432.8333333333335</v>
      </c>
    </row>
    <row r="9" spans="1:13" ht="14.4">
      <c r="A9" s="45" t="str">
        <f>"Semester 2"</f>
        <v>Semester 2</v>
      </c>
      <c r="B9" s="56">
        <f>SETTINGS!$B$26</f>
        <v>46388</v>
      </c>
      <c r="C9" s="56">
        <f>SETTINGS!$B$27</f>
        <v>46568</v>
      </c>
      <c r="D9" s="59">
        <f>SUMIFS('QUICK ENTRY'!$E$8:$E$1007,'QUICK ENTRY'!$AF$8:$AF$1007,"Yes",'QUICK ENTRY'!$C$8:$C$1007,"Income",'QUICK ENTRY'!$B$8:$B$1007,"&gt;="&amp;$B9,'QUICK ENTRY'!$B$8:$B$1007,"&lt;="&amp;$C9)</f>
        <v>0</v>
      </c>
      <c r="E9" s="59">
        <f>SUMIFS('QUICK ENTRY'!$E$8:$E$1007,'QUICK ENTRY'!$AF$8:$AF$1007,"Yes",'QUICK ENTRY'!$C$8:$C$1007,"Expense",'QUICK ENTRY'!$B$8:$B$1007,"&gt;="&amp;$B9,'QUICK ENTRY'!$B$8:$B$1007,"&lt;="&amp;$C9)</f>
        <v>0</v>
      </c>
      <c r="F9" s="59">
        <f>SUMIFS('QUICK ENTRY'!$E$8:$E$1007,'QUICK ENTRY'!$AF$8:$AF$1007,"Yes",'QUICK ENTRY'!$C$8:$C$1007,"Savings Transfer",'QUICK ENTRY'!$B$8:$B$1007,"&gt;="&amp;$B9,'QUICK ENTRY'!$B$8:$B$1007,"&lt;="&amp;$C9)</f>
        <v>0</v>
      </c>
      <c r="G9" s="59">
        <f>SUMIFS('QUICK ENTRY'!$E$8:$E$1007,'QUICK ENTRY'!$AF$8:$AF$1007,"Yes",'QUICK ENTRY'!$C$8:$C$1007,"Expense",'QUICK ENTRY'!$I$8:$I$1007,"College Fees",'QUICK ENTRY'!$B$8:$B$1007,"&gt;="&amp;$B9,'QUICK ENTRY'!$B$8:$B$1007,"&lt;="&amp;$C9)</f>
        <v>0</v>
      </c>
      <c r="H9" s="59">
        <f>SUMIFS('QUICK ENTRY'!$E$8:$E$1007,'QUICK ENTRY'!$AF$8:$AF$1007,"Yes",'QUICK ENTRY'!$C$8:$C$1007,"Expense",'QUICK ENTRY'!$I$8:$I$1007,"Hostel",'QUICK ENTRY'!$B$8:$B$1007,"&gt;="&amp;$B9,'QUICK ENTRY'!$B$8:$B$1007,"&lt;="&amp;$C9)</f>
        <v>0</v>
      </c>
      <c r="I9" s="59">
        <f>SUMIFS('QUICK ENTRY'!$E$8:$E$1007,'QUICK ENTRY'!$AF$8:$AF$1007,"Yes",'QUICK ENTRY'!$C$8:$C$1007,"Expense",'QUICK ENTRY'!$I$8:$I$1007,"Food",'QUICK ENTRY'!$B$8:$B$1007,"&gt;="&amp;$B9,'QUICK ENTRY'!$B$8:$B$1007,"&lt;="&amp;$C9)</f>
        <v>0</v>
      </c>
      <c r="J9" s="59">
        <f>SUMIFS('QUICK ENTRY'!$E$8:$E$1007,'QUICK ENTRY'!$AF$8:$AF$1007,"Yes",'QUICK ENTRY'!$C$8:$C$1007,"Expense",'QUICK ENTRY'!$I$8:$I$1007,"Technology",'QUICK ENTRY'!$B$8:$B$1007,"&gt;="&amp;$B9,'QUICK ENTRY'!$B$8:$B$1007,"&lt;="&amp;$C9)+SUMIFS('QUICK ENTRY'!$E$8:$E$1007,'QUICK ENTRY'!$AF$8:$AF$1007,"Yes",'QUICK ENTRY'!$C$8:$C$1007,"Expense",'QUICK ENTRY'!$I$8:$I$1007,"AI-ML Learning",'QUICK ENTRY'!$B$8:$B$1007,"&gt;="&amp;$B9,'QUICK ENTRY'!$B$8:$B$1007,"&lt;="&amp;$C9)</f>
        <v>0</v>
      </c>
      <c r="K9" s="59">
        <f>SUMIFS('QUICK ENTRY'!$E$8:$E$1007,'QUICK ENTRY'!$AF$8:$AF$1007,"Yes",'QUICK ENTRY'!$C$8:$C$1007,"Expense",'QUICK ENTRY'!$I$8:$I$1007,"Transport",'QUICK ENTRY'!$B$8:$B$1007,"&gt;="&amp;$B9,'QUICK ENTRY'!$B$8:$B$1007,"&lt;="&amp;$C9)+SUMIFS('QUICK ENTRY'!$E$8:$E$1007,'QUICK ENTRY'!$AF$8:$AF$1007,"Yes",'QUICK ENTRY'!$C$8:$C$1007,"Expense",'QUICK ENTRY'!$I$8:$I$1007,"Travel Home",'QUICK ENTRY'!$B$8:$B$1007,"&gt;="&amp;$B9,'QUICK ENTRY'!$B$8:$B$1007,"&lt;="&amp;$C9)</f>
        <v>0</v>
      </c>
      <c r="L9" s="59">
        <f>SUMIFS('QUICK ENTRY'!$E$8:$E$1007,'QUICK ENTRY'!$AF$8:$AF$1007,"Yes",'QUICK ENTRY'!$C$8:$C$1007,"Expense",'QUICK ENTRY'!$I$8:$I$1007,"Personal Care",'QUICK ENTRY'!$B$8:$B$1007,"&gt;="&amp;$B9,'QUICK ENTRY'!$B$8:$B$1007,"&lt;="&amp;$C9)+SUMIFS('QUICK ENTRY'!$E$8:$E$1007,'QUICK ENTRY'!$AF$8:$AF$1007,"Yes",'QUICK ENTRY'!$C$8:$C$1007,"Expense",'QUICK ENTRY'!$I$8:$I$1007,"Clothing",'QUICK ENTRY'!$B$8:$B$1007,"&gt;="&amp;$B9,'QUICK ENTRY'!$B$8:$B$1007,"&lt;="&amp;$C9)+SUMIFS('QUICK ENTRY'!$E$8:$E$1007,'QUICK ENTRY'!$AF$8:$AF$1007,"Yes",'QUICK ENTRY'!$C$8:$C$1007,"Expense",'QUICK ENTRY'!$I$8:$I$1007,"Entertainment",'QUICK ENTRY'!$B$8:$B$1007,"&gt;="&amp;$B9,'QUICK ENTRY'!$B$8:$B$1007,"&lt;="&amp;$C9)+SUMIFS('QUICK ENTRY'!$E$8:$E$1007,'QUICK ENTRY'!$AF$8:$AF$1007,"Yes",'QUICK ENTRY'!$C$8:$C$1007,"Expense",'QUICK ENTRY'!$I$8:$I$1007,"Shopping &amp; Gifts",'QUICK ENTRY'!$B$8:$B$1007,"&gt;="&amp;$B9,'QUICK ENTRY'!$B$8:$B$1007,"&lt;="&amp;$C9)</f>
        <v>0</v>
      </c>
      <c r="M9" s="59">
        <f>IFERROR(E9/MAX(1,12*(YEAR(C9)-YEAR(B9))+MONTH(C9)-MONTH(B9)+1),0)</f>
        <v>0</v>
      </c>
    </row>
    <row r="12" spans="1:13" ht="14.4">
      <c r="A12" s="66" t="s">
        <v>713</v>
      </c>
      <c r="B12" s="8" t="s">
        <v>128</v>
      </c>
    </row>
    <row r="13" spans="1:13" ht="14.4">
      <c r="A13" s="67" t="s">
        <v>714</v>
      </c>
      <c r="B13" s="58">
        <f>INDEX($E$8:$E$9,MATCH($B$12,$A$8:$A$9,0))</f>
        <v>20597</v>
      </c>
    </row>
    <row r="14" spans="1:13" ht="14.4">
      <c r="A14" s="67" t="s">
        <v>715</v>
      </c>
      <c r="B14" s="58">
        <f>INDEX($M$8:$M$9,MATCH($B$12,$A$8:$A$9,0))</f>
        <v>3432.8333333333335</v>
      </c>
    </row>
    <row r="15" spans="1:13" ht="14.4">
      <c r="A15" s="67" t="s">
        <v>716</v>
      </c>
      <c r="B15" s="58">
        <f>B13/180</f>
        <v>114.42777777777778</v>
      </c>
    </row>
    <row r="16" spans="1:13" ht="14.4">
      <c r="A16" s="67" t="s">
        <v>717</v>
      </c>
      <c r="B16" s="58">
        <f>INDEX($G$8:$G$9,MATCH($B$12,$A$8:$A$9,0))</f>
        <v>0</v>
      </c>
    </row>
    <row r="17" spans="1:2" ht="14.4">
      <c r="A17" s="67" t="s">
        <v>718</v>
      </c>
      <c r="B17" s="58">
        <f>SUM(INDEX($H$8:$I$9,MATCH($B$12,$A$8:$A$9,0),0))</f>
        <v>15420</v>
      </c>
    </row>
    <row r="18" spans="1:2" ht="14.4">
      <c r="A18" s="67" t="s">
        <v>719</v>
      </c>
      <c r="B18" s="58">
        <f>INDEX($J$8:$J$9,MATCH($B$12,$A$8:$A$9,0))</f>
        <v>1499</v>
      </c>
    </row>
    <row r="19" spans="1:2" ht="14.4">
      <c r="A19" s="67" t="s">
        <v>720</v>
      </c>
      <c r="B19" s="58">
        <f>INDEX($L$8:$L$9,MATCH($B$12,$A$8:$A$9,0))</f>
        <v>0</v>
      </c>
    </row>
    <row r="20" spans="1:2" ht="14.4">
      <c r="A20" s="68" t="s">
        <v>721</v>
      </c>
      <c r="B20" s="59">
        <f>AVERAGE($E$8:$E$9)</f>
        <v>10298.5</v>
      </c>
    </row>
  </sheetData>
  <mergeCells count="3">
    <mergeCell ref="A1:M2"/>
    <mergeCell ref="A3:M3"/>
    <mergeCell ref="A4:M5"/>
  </mergeCells>
  <dataValidations count="1">
    <dataValidation type="list" sqref="B12" xr:uid="{00000000-0002-0000-1800-000000000000}">
      <formula1>"Semester 1,Semester 2"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1"/>
  <sheetViews>
    <sheetView showGridLines="0" workbookViewId="0"/>
  </sheetViews>
  <sheetFormatPr defaultRowHeight="13.8"/>
  <cols>
    <col min="1" max="1" width="23" customWidth="1"/>
    <col min="2" max="6" width="18" customWidth="1"/>
    <col min="7" max="8" width="16" customWidth="1"/>
  </cols>
  <sheetData>
    <row r="1" spans="1:8" ht="31.95" customHeight="1">
      <c r="A1" s="107" t="s">
        <v>722</v>
      </c>
      <c r="B1" s="107" t="s">
        <v>722</v>
      </c>
      <c r="C1" s="107" t="s">
        <v>722</v>
      </c>
      <c r="D1" s="107" t="s">
        <v>722</v>
      </c>
      <c r="E1" s="107" t="s">
        <v>722</v>
      </c>
      <c r="F1" s="107" t="s">
        <v>722</v>
      </c>
      <c r="G1" s="107" t="s">
        <v>722</v>
      </c>
      <c r="H1" s="107" t="s">
        <v>722</v>
      </c>
    </row>
    <row r="2" spans="1:8" ht="31.95" customHeight="1">
      <c r="A2" s="107" t="s">
        <v>722</v>
      </c>
      <c r="B2" s="107" t="s">
        <v>722</v>
      </c>
      <c r="C2" s="107" t="s">
        <v>722</v>
      </c>
      <c r="D2" s="107" t="s">
        <v>722</v>
      </c>
      <c r="E2" s="107" t="s">
        <v>722</v>
      </c>
      <c r="F2" s="107" t="s">
        <v>722</v>
      </c>
      <c r="G2" s="107" t="s">
        <v>722</v>
      </c>
      <c r="H2" s="107" t="s">
        <v>722</v>
      </c>
    </row>
    <row r="3" spans="1:8" ht="18" customHeight="1">
      <c r="A3" s="108" t="s">
        <v>723</v>
      </c>
      <c r="B3" s="108" t="s">
        <v>723</v>
      </c>
      <c r="C3" s="108" t="s">
        <v>723</v>
      </c>
      <c r="D3" s="108" t="s">
        <v>723</v>
      </c>
      <c r="E3" s="108" t="s">
        <v>723</v>
      </c>
      <c r="F3" s="108" t="s">
        <v>723</v>
      </c>
      <c r="G3" s="108" t="s">
        <v>723</v>
      </c>
      <c r="H3" s="108" t="s">
        <v>723</v>
      </c>
    </row>
    <row r="4" spans="1:8">
      <c r="A4" s="294" t="str">
        <f>"Estimated first-year cost for "&amp;TEXT(DASHBOARD!$C$4,"0")&amp;": "&amp;TEXT($D$29,"₹#,##0")</f>
        <v>Estimated first-year cost for 2026: ₹0</v>
      </c>
      <c r="B4" s="294"/>
      <c r="C4" s="294"/>
      <c r="D4" s="294"/>
      <c r="E4" s="294"/>
      <c r="F4" s="294"/>
      <c r="G4" s="294"/>
      <c r="H4" s="294"/>
    </row>
    <row r="5" spans="1:8">
      <c r="A5" s="294"/>
      <c r="B5" s="294"/>
      <c r="C5" s="294"/>
      <c r="D5" s="294"/>
      <c r="E5" s="294"/>
      <c r="F5" s="294"/>
      <c r="G5" s="294"/>
      <c r="H5" s="294"/>
    </row>
    <row r="7" spans="1:8" ht="30" customHeight="1">
      <c r="A7" s="19" t="s">
        <v>40</v>
      </c>
      <c r="B7" s="20" t="s">
        <v>724</v>
      </c>
      <c r="C7" s="20" t="s">
        <v>725</v>
      </c>
      <c r="D7" s="20" t="s">
        <v>726</v>
      </c>
      <c r="E7" s="20" t="s">
        <v>727</v>
      </c>
      <c r="F7" s="20" t="s">
        <v>281</v>
      </c>
      <c r="G7" s="20" t="s">
        <v>228</v>
      </c>
      <c r="H7" s="21" t="s">
        <v>75</v>
      </c>
    </row>
    <row r="8" spans="1:8" ht="14.4">
      <c r="A8" s="43" t="str">
        <f>SETTINGS!$A$33</f>
        <v>College Fees</v>
      </c>
      <c r="B8" s="57">
        <f>SETTINGS!$B$33</f>
        <v>4500</v>
      </c>
      <c r="C8" s="57">
        <f t="shared" ref="C8:C27" si="0">$B8*12</f>
        <v>54000</v>
      </c>
      <c r="D8" s="57">
        <f>SUMIFS('QUICK ENTRY'!$E$8:$E$1007,'QUICK ENTRY'!$AF$8:$AF$1007,"Yes",'QUICK ENTRY'!$C$8:$C$1007,IF($A8="Savings","Savings Transfer","Expense"),'QUICK ENTRY'!$I$8:$I$1007,$A8,'QUICK ENTRY'!$X$8:$X$1007,DASHBOARD!$C$4)</f>
        <v>4500</v>
      </c>
      <c r="E8" s="57">
        <f ca="1">IF(DASHBOARD!$C$4&lt;YEAR(TODAY()),$D8,IF(DASHBOARD!$C$4&gt;YEAR(TODAY()),$C8,$D8+MAX(0,12-MONTH(TODAY()))*$B8))</f>
        <v>13500</v>
      </c>
      <c r="F8" s="57">
        <f t="shared" ref="F8:F27" ca="1" si="1">$C8-$E8</f>
        <v>40500</v>
      </c>
      <c r="G8" s="43" t="str">
        <f>SETTINGS!$F$33</f>
        <v>Education</v>
      </c>
      <c r="H8" s="43" t="str">
        <f t="shared" ref="H8:H27" ca="1" si="2">IF($E8&lt;=$C8,"Within Plan","Over Plan")</f>
        <v>Within Plan</v>
      </c>
    </row>
    <row r="9" spans="1:8" ht="14.4">
      <c r="A9" s="44" t="str">
        <f>SETTINGS!$A$34</f>
        <v>Hostel</v>
      </c>
      <c r="B9" s="58">
        <f>SETTINGS!$B$34</f>
        <v>3500</v>
      </c>
      <c r="C9" s="58">
        <f t="shared" si="0"/>
        <v>42000</v>
      </c>
      <c r="D9" s="58">
        <f>SUMIFS('QUICK ENTRY'!$E$8:$E$1007,'QUICK ENTRY'!$AF$8:$AF$1007,"Yes",'QUICK ENTRY'!$C$8:$C$1007,IF($A9="Savings","Savings Transfer","Expense"),'QUICK ENTRY'!$I$8:$I$1007,$A9,'QUICK ENTRY'!$X$8:$X$1007,DASHBOARD!$C$4)</f>
        <v>10700</v>
      </c>
      <c r="E9" s="58">
        <f ca="1">IF(DASHBOARD!$C$4&lt;YEAR(TODAY()),$D9,IF(DASHBOARD!$C$4&gt;YEAR(TODAY()),$C9,$D9+MAX(0,12-MONTH(TODAY()))*$B9))</f>
        <v>17700</v>
      </c>
      <c r="F9" s="58">
        <f t="shared" ca="1" si="1"/>
        <v>24300</v>
      </c>
      <c r="G9" s="44" t="str">
        <f>SETTINGS!$F$34</f>
        <v>Living</v>
      </c>
      <c r="H9" s="44" t="str">
        <f t="shared" ca="1" si="2"/>
        <v>Within Plan</v>
      </c>
    </row>
    <row r="10" spans="1:8" ht="14.4">
      <c r="A10" s="44" t="str">
        <f>SETTINGS!$A$35</f>
        <v>Food</v>
      </c>
      <c r="B10" s="58">
        <f>SETTINGS!$B$35</f>
        <v>4000</v>
      </c>
      <c r="C10" s="58">
        <f t="shared" si="0"/>
        <v>48000</v>
      </c>
      <c r="D10" s="58">
        <f>SUMIFS('QUICK ENTRY'!$E$8:$E$1007,'QUICK ENTRY'!$AF$8:$AF$1007,"Yes",'QUICK ENTRY'!$C$8:$C$1007,IF($A10="Savings","Savings Transfer","Expense"),'QUICK ENTRY'!$I$8:$I$1007,$A10,'QUICK ENTRY'!$X$8:$X$1007,DASHBOARD!$C$4)</f>
        <v>15120</v>
      </c>
      <c r="E10" s="58">
        <f ca="1">IF(DASHBOARD!$C$4&lt;YEAR(TODAY()),$D10,IF(DASHBOARD!$C$4&gt;YEAR(TODAY()),$C10,$D10+MAX(0,12-MONTH(TODAY()))*$B10))</f>
        <v>23120</v>
      </c>
      <c r="F10" s="58">
        <f t="shared" ca="1" si="1"/>
        <v>24880</v>
      </c>
      <c r="G10" s="44" t="str">
        <f>SETTINGS!$F$35</f>
        <v>Living</v>
      </c>
      <c r="H10" s="44" t="str">
        <f t="shared" ca="1" si="2"/>
        <v>Within Plan</v>
      </c>
    </row>
    <row r="11" spans="1:8" ht="14.4">
      <c r="A11" s="44" t="str">
        <f>SETTINGS!$A$36</f>
        <v>Transport</v>
      </c>
      <c r="B11" s="58">
        <f>SETTINGS!$B$36</f>
        <v>1500</v>
      </c>
      <c r="C11" s="58">
        <f t="shared" si="0"/>
        <v>18000</v>
      </c>
      <c r="D11" s="58">
        <f>SUMIFS('QUICK ENTRY'!$E$8:$E$1007,'QUICK ENTRY'!$AF$8:$AF$1007,"Yes",'QUICK ENTRY'!$C$8:$C$1007,IF($A11="Savings","Savings Transfer","Expense"),'QUICK ENTRY'!$I$8:$I$1007,$A11,'QUICK ENTRY'!$X$8:$X$1007,DASHBOARD!$C$4)</f>
        <v>1550</v>
      </c>
      <c r="E11" s="58">
        <f ca="1">IF(DASHBOARD!$C$4&lt;YEAR(TODAY()),$D11,IF(DASHBOARD!$C$4&gt;YEAR(TODAY()),$C11,$D11+MAX(0,12-MONTH(TODAY()))*$B11))</f>
        <v>4550</v>
      </c>
      <c r="F11" s="58">
        <f t="shared" ca="1" si="1"/>
        <v>13450</v>
      </c>
      <c r="G11" s="44" t="str">
        <f>SETTINGS!$F$36</f>
        <v>Living</v>
      </c>
      <c r="H11" s="44" t="str">
        <f t="shared" ca="1" si="2"/>
        <v>Within Plan</v>
      </c>
    </row>
    <row r="12" spans="1:8" ht="14.4">
      <c r="A12" s="44" t="str">
        <f>SETTINGS!$A$37</f>
        <v>Technology</v>
      </c>
      <c r="B12" s="58">
        <f>SETTINGS!$B$37</f>
        <v>1500</v>
      </c>
      <c r="C12" s="58">
        <f t="shared" si="0"/>
        <v>18000</v>
      </c>
      <c r="D12" s="58">
        <f>SUMIFS('QUICK ENTRY'!$E$8:$E$1007,'QUICK ENTRY'!$AF$8:$AF$1007,"Yes",'QUICK ENTRY'!$C$8:$C$1007,IF($A12="Savings","Savings Transfer","Expense"),'QUICK ENTRY'!$I$8:$I$1007,$A12,'QUICK ENTRY'!$X$8:$X$1007,DASHBOARD!$C$4)</f>
        <v>2500</v>
      </c>
      <c r="E12" s="58">
        <f ca="1">IF(DASHBOARD!$C$4&lt;YEAR(TODAY()),$D12,IF(DASHBOARD!$C$4&gt;YEAR(TODAY()),$C12,$D12+MAX(0,12-MONTH(TODAY()))*$B12))</f>
        <v>5500</v>
      </c>
      <c r="F12" s="58">
        <f t="shared" ca="1" si="1"/>
        <v>12500</v>
      </c>
      <c r="G12" s="44" t="str">
        <f>SETTINGS!$F$37</f>
        <v>Education</v>
      </c>
      <c r="H12" s="44" t="str">
        <f t="shared" ca="1" si="2"/>
        <v>Within Plan</v>
      </c>
    </row>
    <row r="13" spans="1:8" ht="14.4">
      <c r="A13" s="44" t="str">
        <f>SETTINGS!$A$38</f>
        <v>AI-ML Learning</v>
      </c>
      <c r="B13" s="58">
        <f>SETTINGS!$B$38</f>
        <v>1000</v>
      </c>
      <c r="C13" s="58">
        <f t="shared" si="0"/>
        <v>12000</v>
      </c>
      <c r="D13" s="58">
        <f>SUMIFS('QUICK ENTRY'!$E$8:$E$1007,'QUICK ENTRY'!$AF$8:$AF$1007,"Yes",'QUICK ENTRY'!$C$8:$C$1007,IF($A13="Savings","Savings Transfer","Expense"),'QUICK ENTRY'!$I$8:$I$1007,$A13,'QUICK ENTRY'!$X$8:$X$1007,DASHBOARD!$C$4)</f>
        <v>3498</v>
      </c>
      <c r="E13" s="58">
        <f ca="1">IF(DASHBOARD!$C$4&lt;YEAR(TODAY()),$D13,IF(DASHBOARD!$C$4&gt;YEAR(TODAY()),$C13,$D13+MAX(0,12-MONTH(TODAY()))*$B13))</f>
        <v>5498</v>
      </c>
      <c r="F13" s="58">
        <f t="shared" ca="1" si="1"/>
        <v>6502</v>
      </c>
      <c r="G13" s="44" t="str">
        <f>SETTINGS!$F$38</f>
        <v>Education</v>
      </c>
      <c r="H13" s="44" t="str">
        <f t="shared" ca="1" si="2"/>
        <v>Within Plan</v>
      </c>
    </row>
    <row r="14" spans="1:8" ht="14.4">
      <c r="A14" s="44" t="str">
        <f>SETTINGS!$A$39</f>
        <v>Books &amp; Stationery</v>
      </c>
      <c r="B14" s="58">
        <f>SETTINGS!$B$39</f>
        <v>500</v>
      </c>
      <c r="C14" s="58">
        <f t="shared" si="0"/>
        <v>6000</v>
      </c>
      <c r="D14" s="58">
        <f>SUMIFS('QUICK ENTRY'!$E$8:$E$1007,'QUICK ENTRY'!$AF$8:$AF$1007,"Yes",'QUICK ENTRY'!$C$8:$C$1007,IF($A14="Savings","Savings Transfer","Expense"),'QUICK ENTRY'!$I$8:$I$1007,$A14,'QUICK ENTRY'!$X$8:$X$1007,DASHBOARD!$C$4)</f>
        <v>930</v>
      </c>
      <c r="E14" s="58">
        <f ca="1">IF(DASHBOARD!$C$4&lt;YEAR(TODAY()),$D14,IF(DASHBOARD!$C$4&gt;YEAR(TODAY()),$C14,$D14+MAX(0,12-MONTH(TODAY()))*$B14))</f>
        <v>1930</v>
      </c>
      <c r="F14" s="58">
        <f t="shared" ca="1" si="1"/>
        <v>4070</v>
      </c>
      <c r="G14" s="44" t="str">
        <f>SETTINGS!$F$39</f>
        <v>Education</v>
      </c>
      <c r="H14" s="44" t="str">
        <f t="shared" ca="1" si="2"/>
        <v>Within Plan</v>
      </c>
    </row>
    <row r="15" spans="1:8" ht="14.4">
      <c r="A15" s="44" t="str">
        <f>SETTINGS!$A$40</f>
        <v>Subscriptions</v>
      </c>
      <c r="B15" s="58">
        <f>SETTINGS!$B$40</f>
        <v>600</v>
      </c>
      <c r="C15" s="58">
        <f t="shared" si="0"/>
        <v>7200</v>
      </c>
      <c r="D15" s="58">
        <f>SUMIFS('QUICK ENTRY'!$E$8:$E$1007,'QUICK ENTRY'!$AF$8:$AF$1007,"Yes",'QUICK ENTRY'!$C$8:$C$1007,IF($A15="Savings","Savings Transfer","Expense"),'QUICK ENTRY'!$I$8:$I$1007,$A15,'QUICK ENTRY'!$X$8:$X$1007,DASHBOARD!$C$4)</f>
        <v>798</v>
      </c>
      <c r="E15" s="58">
        <f ca="1">IF(DASHBOARD!$C$4&lt;YEAR(TODAY()),$D15,IF(DASHBOARD!$C$4&gt;YEAR(TODAY()),$C15,$D15+MAX(0,12-MONTH(TODAY()))*$B15))</f>
        <v>1998</v>
      </c>
      <c r="F15" s="58">
        <f t="shared" ca="1" si="1"/>
        <v>5202</v>
      </c>
      <c r="G15" s="44" t="str">
        <f>SETTINGS!$F$40</f>
        <v>Lifestyle</v>
      </c>
      <c r="H15" s="44" t="str">
        <f t="shared" ca="1" si="2"/>
        <v>Within Plan</v>
      </c>
    </row>
    <row r="16" spans="1:8" ht="14.4">
      <c r="A16" s="44" t="str">
        <f>SETTINGS!$A$41</f>
        <v>Mobile &amp; Internet</v>
      </c>
      <c r="B16" s="58">
        <f>SETTINGS!$B$41</f>
        <v>400</v>
      </c>
      <c r="C16" s="58">
        <f t="shared" si="0"/>
        <v>4800</v>
      </c>
      <c r="D16" s="58">
        <f>SUMIFS('QUICK ENTRY'!$E$8:$E$1007,'QUICK ENTRY'!$AF$8:$AF$1007,"Yes",'QUICK ENTRY'!$C$8:$C$1007,IF($A16="Savings","Savings Transfer","Expense"),'QUICK ENTRY'!$I$8:$I$1007,$A16,'QUICK ENTRY'!$X$8:$X$1007,DASHBOARD!$C$4)</f>
        <v>349</v>
      </c>
      <c r="E16" s="58">
        <f ca="1">IF(DASHBOARD!$C$4&lt;YEAR(TODAY()),$D16,IF(DASHBOARD!$C$4&gt;YEAR(TODAY()),$C16,$D16+MAX(0,12-MONTH(TODAY()))*$B16))</f>
        <v>1149</v>
      </c>
      <c r="F16" s="58">
        <f t="shared" ca="1" si="1"/>
        <v>3651</v>
      </c>
      <c r="G16" s="44" t="str">
        <f>SETTINGS!$F$41</f>
        <v>Living</v>
      </c>
      <c r="H16" s="44" t="str">
        <f t="shared" ca="1" si="2"/>
        <v>Within Plan</v>
      </c>
    </row>
    <row r="17" spans="1:8" ht="14.4">
      <c r="A17" s="44" t="str">
        <f>SETTINGS!$A$42</f>
        <v>Personal Care</v>
      </c>
      <c r="B17" s="58">
        <f>SETTINGS!$B$42</f>
        <v>500</v>
      </c>
      <c r="C17" s="58">
        <f t="shared" si="0"/>
        <v>6000</v>
      </c>
      <c r="D17" s="58">
        <f>SUMIFS('QUICK ENTRY'!$E$8:$E$1007,'QUICK ENTRY'!$AF$8:$AF$1007,"Yes",'QUICK ENTRY'!$C$8:$C$1007,IF($A17="Savings","Savings Transfer","Expense"),'QUICK ENTRY'!$I$8:$I$1007,$A17,'QUICK ENTRY'!$X$8:$X$1007,DASHBOARD!$C$4)</f>
        <v>1200</v>
      </c>
      <c r="E17" s="58">
        <f ca="1">IF(DASHBOARD!$C$4&lt;YEAR(TODAY()),$D17,IF(DASHBOARD!$C$4&gt;YEAR(TODAY()),$C17,$D17+MAX(0,12-MONTH(TODAY()))*$B17))</f>
        <v>2200</v>
      </c>
      <c r="F17" s="58">
        <f t="shared" ca="1" si="1"/>
        <v>3800</v>
      </c>
      <c r="G17" s="44" t="str">
        <f>SETTINGS!$F$42</f>
        <v>Lifestyle</v>
      </c>
      <c r="H17" s="44" t="str">
        <f t="shared" ca="1" si="2"/>
        <v>Within Plan</v>
      </c>
    </row>
    <row r="18" spans="1:8" ht="14.4">
      <c r="A18" s="44" t="str">
        <f>SETTINGS!$A$43</f>
        <v>Clothing</v>
      </c>
      <c r="B18" s="58">
        <f>SETTINGS!$B$43</f>
        <v>500</v>
      </c>
      <c r="C18" s="58">
        <f t="shared" si="0"/>
        <v>6000</v>
      </c>
      <c r="D18" s="58">
        <f>SUMIFS('QUICK ENTRY'!$E$8:$E$1007,'QUICK ENTRY'!$AF$8:$AF$1007,"Yes",'QUICK ENTRY'!$C$8:$C$1007,IF($A18="Savings","Savings Transfer","Expense"),'QUICK ENTRY'!$I$8:$I$1007,$A18,'QUICK ENTRY'!$X$8:$X$1007,DASHBOARD!$C$4)</f>
        <v>0</v>
      </c>
      <c r="E18" s="58">
        <f ca="1">IF(DASHBOARD!$C$4&lt;YEAR(TODAY()),$D18,IF(DASHBOARD!$C$4&gt;YEAR(TODAY()),$C18,$D18+MAX(0,12-MONTH(TODAY()))*$B18))</f>
        <v>1000</v>
      </c>
      <c r="F18" s="58">
        <f t="shared" ca="1" si="1"/>
        <v>5000</v>
      </c>
      <c r="G18" s="44" t="str">
        <f>SETTINGS!$F$43</f>
        <v>Lifestyle</v>
      </c>
      <c r="H18" s="44" t="str">
        <f t="shared" ca="1" si="2"/>
        <v>Within Plan</v>
      </c>
    </row>
    <row r="19" spans="1:8" ht="14.4">
      <c r="A19" s="44" t="str">
        <f>SETTINGS!$A$44</f>
        <v>Entertainment</v>
      </c>
      <c r="B19" s="58">
        <f>SETTINGS!$B$44</f>
        <v>1000</v>
      </c>
      <c r="C19" s="58">
        <f t="shared" si="0"/>
        <v>12000</v>
      </c>
      <c r="D19" s="58">
        <f>SUMIFS('QUICK ENTRY'!$E$8:$E$1007,'QUICK ENTRY'!$AF$8:$AF$1007,"Yes",'QUICK ENTRY'!$C$8:$C$1007,IF($A19="Savings","Savings Transfer","Expense"),'QUICK ENTRY'!$I$8:$I$1007,$A19,'QUICK ENTRY'!$X$8:$X$1007,DASHBOARD!$C$4)</f>
        <v>900</v>
      </c>
      <c r="E19" s="58">
        <f ca="1">IF(DASHBOARD!$C$4&lt;YEAR(TODAY()),$D19,IF(DASHBOARD!$C$4&gt;YEAR(TODAY()),$C19,$D19+MAX(0,12-MONTH(TODAY()))*$B19))</f>
        <v>2900</v>
      </c>
      <c r="F19" s="58">
        <f t="shared" ca="1" si="1"/>
        <v>9100</v>
      </c>
      <c r="G19" s="44" t="str">
        <f>SETTINGS!$F$44</f>
        <v>Lifestyle</v>
      </c>
      <c r="H19" s="44" t="str">
        <f t="shared" ca="1" si="2"/>
        <v>Within Plan</v>
      </c>
    </row>
    <row r="20" spans="1:8" ht="14.4">
      <c r="A20" s="44" t="str">
        <f>SETTINGS!$A$45</f>
        <v>Travel Home</v>
      </c>
      <c r="B20" s="58">
        <f>SETTINGS!$B$45</f>
        <v>1000</v>
      </c>
      <c r="C20" s="58">
        <f t="shared" si="0"/>
        <v>12000</v>
      </c>
      <c r="D20" s="58">
        <f>SUMIFS('QUICK ENTRY'!$E$8:$E$1007,'QUICK ENTRY'!$AF$8:$AF$1007,"Yes",'QUICK ENTRY'!$C$8:$C$1007,IF($A20="Savings","Savings Transfer","Expense"),'QUICK ENTRY'!$I$8:$I$1007,$A20,'QUICK ENTRY'!$X$8:$X$1007,DASHBOARD!$C$4)</f>
        <v>4200</v>
      </c>
      <c r="E20" s="58">
        <f ca="1">IF(DASHBOARD!$C$4&lt;YEAR(TODAY()),$D20,IF(DASHBOARD!$C$4&gt;YEAR(TODAY()),$C20,$D20+MAX(0,12-MONTH(TODAY()))*$B20))</f>
        <v>6200</v>
      </c>
      <c r="F20" s="58">
        <f t="shared" ca="1" si="1"/>
        <v>5800</v>
      </c>
      <c r="G20" s="44" t="str">
        <f>SETTINGS!$F$45</f>
        <v>Living</v>
      </c>
      <c r="H20" s="44" t="str">
        <f t="shared" ca="1" si="2"/>
        <v>Within Plan</v>
      </c>
    </row>
    <row r="21" spans="1:8" ht="14.4">
      <c r="A21" s="44" t="str">
        <f>SETTINGS!$A$46</f>
        <v>Health &amp; Fitness</v>
      </c>
      <c r="B21" s="58">
        <f>SETTINGS!$B$46</f>
        <v>700</v>
      </c>
      <c r="C21" s="58">
        <f t="shared" si="0"/>
        <v>8400</v>
      </c>
      <c r="D21" s="58">
        <f>SUMIFS('QUICK ENTRY'!$E$8:$E$1007,'QUICK ENTRY'!$AF$8:$AF$1007,"Yes",'QUICK ENTRY'!$C$8:$C$1007,IF($A21="Savings","Savings Transfer","Expense"),'QUICK ENTRY'!$I$8:$I$1007,$A21,'QUICK ENTRY'!$X$8:$X$1007,DASHBOARD!$C$4)</f>
        <v>700</v>
      </c>
      <c r="E21" s="58">
        <f ca="1">IF(DASHBOARD!$C$4&lt;YEAR(TODAY()),$D21,IF(DASHBOARD!$C$4&gt;YEAR(TODAY()),$C21,$D21+MAX(0,12-MONTH(TODAY()))*$B21))</f>
        <v>2100</v>
      </c>
      <c r="F21" s="58">
        <f t="shared" ca="1" si="1"/>
        <v>6300</v>
      </c>
      <c r="G21" s="44" t="str">
        <f>SETTINGS!$F$46</f>
        <v>Living</v>
      </c>
      <c r="H21" s="44" t="str">
        <f t="shared" ca="1" si="2"/>
        <v>Within Plan</v>
      </c>
    </row>
    <row r="22" spans="1:8" ht="14.4">
      <c r="A22" s="44" t="str">
        <f>SETTINGS!$A$47</f>
        <v>Shopping &amp; Gifts</v>
      </c>
      <c r="B22" s="58">
        <f>SETTINGS!$B$47</f>
        <v>1000</v>
      </c>
      <c r="C22" s="58">
        <f t="shared" si="0"/>
        <v>12000</v>
      </c>
      <c r="D22" s="58">
        <f>SUMIFS('QUICK ENTRY'!$E$8:$E$1007,'QUICK ENTRY'!$AF$8:$AF$1007,"Yes",'QUICK ENTRY'!$C$8:$C$1007,IF($A22="Savings","Savings Transfer","Expense"),'QUICK ENTRY'!$I$8:$I$1007,$A22,'QUICK ENTRY'!$X$8:$X$1007,DASHBOARD!$C$4)</f>
        <v>0</v>
      </c>
      <c r="E22" s="58">
        <f ca="1">IF(DASHBOARD!$C$4&lt;YEAR(TODAY()),$D22,IF(DASHBOARD!$C$4&gt;YEAR(TODAY()),$C22,$D22+MAX(0,12-MONTH(TODAY()))*$B22))</f>
        <v>2000</v>
      </c>
      <c r="F22" s="58">
        <f t="shared" ca="1" si="1"/>
        <v>10000</v>
      </c>
      <c r="G22" s="44" t="str">
        <f>SETTINGS!$F$47</f>
        <v>Lifestyle</v>
      </c>
      <c r="H22" s="44" t="str">
        <f t="shared" ca="1" si="2"/>
        <v>Within Plan</v>
      </c>
    </row>
    <row r="23" spans="1:8" ht="14.4">
      <c r="A23" s="44" t="str">
        <f>SETTINGS!$A$48</f>
        <v>Emergency</v>
      </c>
      <c r="B23" s="58">
        <f>SETTINGS!$B$48</f>
        <v>500</v>
      </c>
      <c r="C23" s="58">
        <f t="shared" si="0"/>
        <v>6000</v>
      </c>
      <c r="D23" s="58">
        <f>SUMIFS('QUICK ENTRY'!$E$8:$E$1007,'QUICK ENTRY'!$AF$8:$AF$1007,"Yes",'QUICK ENTRY'!$C$8:$C$1007,IF($A23="Savings","Savings Transfer","Expense"),'QUICK ENTRY'!$I$8:$I$1007,$A23,'QUICK ENTRY'!$X$8:$X$1007,DASHBOARD!$C$4)</f>
        <v>0</v>
      </c>
      <c r="E23" s="58">
        <f ca="1">IF(DASHBOARD!$C$4&lt;YEAR(TODAY()),$D23,IF(DASHBOARD!$C$4&gt;YEAR(TODAY()),$C23,$D23+MAX(0,12-MONTH(TODAY()))*$B23))</f>
        <v>1000</v>
      </c>
      <c r="F23" s="58">
        <f t="shared" ca="1" si="1"/>
        <v>5000</v>
      </c>
      <c r="G23" s="44" t="str">
        <f>SETTINGS!$F$48</f>
        <v>Living</v>
      </c>
      <c r="H23" s="44" t="str">
        <f t="shared" ca="1" si="2"/>
        <v>Within Plan</v>
      </c>
    </row>
    <row r="24" spans="1:8" ht="14.4">
      <c r="A24" s="44" t="str">
        <f>SETTINGS!$A$49</f>
        <v>Savings</v>
      </c>
      <c r="B24" s="58">
        <f>SETTINGS!$B$49</f>
        <v>2000</v>
      </c>
      <c r="C24" s="58">
        <f t="shared" si="0"/>
        <v>24000</v>
      </c>
      <c r="D24" s="58">
        <f>SUMIFS('QUICK ENTRY'!$E$8:$E$1007,'QUICK ENTRY'!$AF$8:$AF$1007,"Yes",'QUICK ENTRY'!$C$8:$C$1007,IF($A24="Savings","Savings Transfer","Expense"),'QUICK ENTRY'!$I$8:$I$1007,$A24,'QUICK ENTRY'!$X$8:$X$1007,DASHBOARD!$C$4)</f>
        <v>4500</v>
      </c>
      <c r="E24" s="58">
        <f ca="1">IF(DASHBOARD!$C$4&lt;YEAR(TODAY()),$D24,IF(DASHBOARD!$C$4&gt;YEAR(TODAY()),$C24,$D24+MAX(0,12-MONTH(TODAY()))*$B24))</f>
        <v>8500</v>
      </c>
      <c r="F24" s="58">
        <f t="shared" ca="1" si="1"/>
        <v>15500</v>
      </c>
      <c r="G24" s="44" t="str">
        <f>SETTINGS!$F$49</f>
        <v>Savings</v>
      </c>
      <c r="H24" s="44" t="str">
        <f t="shared" ca="1" si="2"/>
        <v>Within Plan</v>
      </c>
    </row>
    <row r="25" spans="1:8" ht="14.4">
      <c r="A25" s="44" t="str">
        <f>SETTINGS!$A$50</f>
        <v>Miscellaneous</v>
      </c>
      <c r="B25" s="58">
        <f>SETTINGS!$B$50</f>
        <v>800</v>
      </c>
      <c r="C25" s="58">
        <f t="shared" si="0"/>
        <v>9600</v>
      </c>
      <c r="D25" s="58">
        <f>SUMIFS('QUICK ENTRY'!$E$8:$E$1007,'QUICK ENTRY'!$AF$8:$AF$1007,"Yes",'QUICK ENTRY'!$C$8:$C$1007,IF($A25="Savings","Savings Transfer","Expense"),'QUICK ENTRY'!$I$8:$I$1007,$A25,'QUICK ENTRY'!$X$8:$X$1007,DASHBOARD!$C$4)</f>
        <v>0</v>
      </c>
      <c r="E25" s="58">
        <f ca="1">IF(DASHBOARD!$C$4&lt;YEAR(TODAY()),$D25,IF(DASHBOARD!$C$4&gt;YEAR(TODAY()),$C25,$D25+MAX(0,12-MONTH(TODAY()))*$B25))</f>
        <v>1600</v>
      </c>
      <c r="F25" s="58">
        <f t="shared" ca="1" si="1"/>
        <v>8000</v>
      </c>
      <c r="G25" s="44" t="str">
        <f>SETTINGS!$F$50</f>
        <v>Other</v>
      </c>
      <c r="H25" s="44" t="str">
        <f t="shared" ca="1" si="2"/>
        <v>Within Plan</v>
      </c>
    </row>
    <row r="26" spans="1:8" ht="14.4">
      <c r="A26" s="44" t="str">
        <f>SETTINGS!$A$51</f>
        <v>Shared Expenses</v>
      </c>
      <c r="B26" s="58">
        <f>SETTINGS!$B$51</f>
        <v>500</v>
      </c>
      <c r="C26" s="58">
        <f t="shared" si="0"/>
        <v>6000</v>
      </c>
      <c r="D26" s="58">
        <f>SUMIFS('QUICK ENTRY'!$E$8:$E$1007,'QUICK ENTRY'!$AF$8:$AF$1007,"Yes",'QUICK ENTRY'!$C$8:$C$1007,IF($A26="Savings","Savings Transfer","Expense"),'QUICK ENTRY'!$I$8:$I$1007,$A26,'QUICK ENTRY'!$X$8:$X$1007,DASHBOARD!$C$4)</f>
        <v>0</v>
      </c>
      <c r="E26" s="58">
        <f ca="1">IF(DASHBOARD!$C$4&lt;YEAR(TODAY()),$D26,IF(DASHBOARD!$C$4&gt;YEAR(TODAY()),$C26,$D26+MAX(0,12-MONTH(TODAY()))*$B26))</f>
        <v>1000</v>
      </c>
      <c r="F26" s="58">
        <f t="shared" ca="1" si="1"/>
        <v>5000</v>
      </c>
      <c r="G26" s="44" t="str">
        <f>SETTINGS!$F$51</f>
        <v>Living</v>
      </c>
      <c r="H26" s="44" t="str">
        <f t="shared" ca="1" si="2"/>
        <v>Within Plan</v>
      </c>
    </row>
    <row r="27" spans="1:8" ht="14.4">
      <c r="A27" s="45" t="str">
        <f>SETTINGS!$A$52</f>
        <v>Career</v>
      </c>
      <c r="B27" s="59">
        <f>SETTINGS!$B$52</f>
        <v>500</v>
      </c>
      <c r="C27" s="59">
        <f t="shared" si="0"/>
        <v>6000</v>
      </c>
      <c r="D27" s="59">
        <f>SUMIFS('QUICK ENTRY'!$E$8:$E$1007,'QUICK ENTRY'!$AF$8:$AF$1007,"Yes",'QUICK ENTRY'!$C$8:$C$1007,IF($A27="Savings","Savings Transfer","Expense"),'QUICK ENTRY'!$I$8:$I$1007,$A27,'QUICK ENTRY'!$X$8:$X$1007,DASHBOARD!$C$4)</f>
        <v>0</v>
      </c>
      <c r="E27" s="59">
        <f ca="1">IF(DASHBOARD!$C$4&lt;YEAR(TODAY()),$D27,IF(DASHBOARD!$C$4&gt;YEAR(TODAY()),$C27,$D27+MAX(0,12-MONTH(TODAY()))*$B27))</f>
        <v>1000</v>
      </c>
      <c r="F27" s="59">
        <f t="shared" ca="1" si="1"/>
        <v>5000</v>
      </c>
      <c r="G27" s="45" t="str">
        <f>SETTINGS!$F$52</f>
        <v>Education</v>
      </c>
      <c r="H27" s="45" t="str">
        <f t="shared" ca="1" si="2"/>
        <v>Within Plan</v>
      </c>
    </row>
    <row r="29" spans="1:8" ht="14.4">
      <c r="A29" s="96" t="s">
        <v>728</v>
      </c>
      <c r="B29" s="57">
        <f>SUMIF(A8:A27,"&lt;&gt;Savings",C8:C27)</f>
        <v>294000</v>
      </c>
    </row>
    <row r="30" spans="1:8" ht="14.4">
      <c r="A30" s="97" t="s">
        <v>729</v>
      </c>
      <c r="B30" s="58">
        <f>SUMIF(A8:A27,"&lt;&gt;Savings",D8:D27)</f>
        <v>46945</v>
      </c>
    </row>
    <row r="31" spans="1:8" ht="14.4">
      <c r="A31" s="98" t="s">
        <v>730</v>
      </c>
      <c r="B31" s="59">
        <f ca="1">SUMIF(A8:A27,"&lt;&gt;Savings",E8:E27)</f>
        <v>95945</v>
      </c>
    </row>
  </sheetData>
  <mergeCells count="3">
    <mergeCell ref="A1:H2"/>
    <mergeCell ref="A3:H3"/>
    <mergeCell ref="A4:H5"/>
  </mergeCells>
  <conditionalFormatting sqref="H8:H27">
    <cfRule type="containsText" dxfId="8" priority="1" operator="containsText" text="Safe"/>
    <cfRule type="containsText" dxfId="7" priority="4" operator="containsText" text="Watch"/>
    <cfRule type="containsText" dxfId="6" priority="6" operator="containsText" text="Near"/>
    <cfRule type="containsText" dxfId="5" priority="7" operator="containsText" text="Over"/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36"/>
  <sheetViews>
    <sheetView showGridLines="0" workbookViewId="0"/>
  </sheetViews>
  <sheetFormatPr defaultRowHeight="13.8"/>
  <cols>
    <col min="1" max="1" width="30" customWidth="1"/>
    <col min="2" max="2" width="18" customWidth="1"/>
    <col min="3" max="3" width="3" customWidth="1"/>
    <col min="4" max="4" width="25" customWidth="1"/>
    <col min="5" max="14" width="14" customWidth="1"/>
  </cols>
  <sheetData>
    <row r="1" spans="1:14" ht="31.95" customHeight="1">
      <c r="A1" s="107" t="s">
        <v>731</v>
      </c>
      <c r="B1" s="107" t="s">
        <v>731</v>
      </c>
      <c r="C1" s="107" t="s">
        <v>731</v>
      </c>
      <c r="D1" s="107" t="s">
        <v>731</v>
      </c>
      <c r="E1" s="107" t="s">
        <v>731</v>
      </c>
      <c r="F1" s="107" t="s">
        <v>731</v>
      </c>
      <c r="G1" s="107" t="s">
        <v>731</v>
      </c>
      <c r="H1" s="107" t="s">
        <v>731</v>
      </c>
      <c r="I1" s="107" t="s">
        <v>731</v>
      </c>
      <c r="J1" s="107" t="s">
        <v>731</v>
      </c>
      <c r="K1" s="107" t="s">
        <v>731</v>
      </c>
      <c r="L1" s="107" t="s">
        <v>731</v>
      </c>
      <c r="M1" s="107" t="s">
        <v>731</v>
      </c>
      <c r="N1" s="107" t="s">
        <v>731</v>
      </c>
    </row>
    <row r="2" spans="1:14" ht="31.95" customHeight="1">
      <c r="A2" s="107" t="s">
        <v>731</v>
      </c>
      <c r="B2" s="107" t="s">
        <v>731</v>
      </c>
      <c r="C2" s="107" t="s">
        <v>731</v>
      </c>
      <c r="D2" s="107" t="s">
        <v>731</v>
      </c>
      <c r="E2" s="107" t="s">
        <v>731</v>
      </c>
      <c r="F2" s="107" t="s">
        <v>731</v>
      </c>
      <c r="G2" s="107" t="s">
        <v>731</v>
      </c>
      <c r="H2" s="107" t="s">
        <v>731</v>
      </c>
      <c r="I2" s="107" t="s">
        <v>731</v>
      </c>
      <c r="J2" s="107" t="s">
        <v>731</v>
      </c>
      <c r="K2" s="107" t="s">
        <v>731</v>
      </c>
      <c r="L2" s="107" t="s">
        <v>731</v>
      </c>
      <c r="M2" s="107" t="s">
        <v>731</v>
      </c>
      <c r="N2" s="107" t="s">
        <v>731</v>
      </c>
    </row>
    <row r="3" spans="1:14" ht="18" customHeight="1">
      <c r="A3" s="108" t="s">
        <v>732</v>
      </c>
      <c r="B3" s="108" t="s">
        <v>732</v>
      </c>
      <c r="C3" s="108" t="s">
        <v>732</v>
      </c>
      <c r="D3" s="108" t="s">
        <v>732</v>
      </c>
      <c r="E3" s="108" t="s">
        <v>732</v>
      </c>
      <c r="F3" s="108" t="s">
        <v>732</v>
      </c>
      <c r="G3" s="108" t="s">
        <v>732</v>
      </c>
      <c r="H3" s="108" t="s">
        <v>732</v>
      </c>
      <c r="I3" s="108" t="s">
        <v>732</v>
      </c>
      <c r="J3" s="108" t="s">
        <v>732</v>
      </c>
      <c r="K3" s="108" t="s">
        <v>732</v>
      </c>
      <c r="L3" s="108" t="s">
        <v>732</v>
      </c>
      <c r="M3" s="108" t="s">
        <v>732</v>
      </c>
      <c r="N3" s="108" t="s">
        <v>732</v>
      </c>
    </row>
    <row r="4" spans="1:14">
      <c r="A4" s="295" t="str">
        <f>"Report for "&amp;DASHBOARD!$C$3&amp;" "&amp;TEXT(DASHBOARD!$C$4,"0")&amp;"  •  Status: "&amp;$N$7</f>
        <v>Report for September 2026  •  Status: Open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</row>
    <row r="6" spans="1:14" ht="30" customHeight="1">
      <c r="A6" s="130" t="s">
        <v>733</v>
      </c>
      <c r="B6" s="131" t="s">
        <v>733</v>
      </c>
      <c r="C6" s="131" t="s">
        <v>733</v>
      </c>
      <c r="D6" s="296" t="s">
        <v>734</v>
      </c>
      <c r="E6" s="25" t="s">
        <v>734</v>
      </c>
      <c r="F6" s="25" t="s">
        <v>734</v>
      </c>
      <c r="G6" s="25" t="s">
        <v>734</v>
      </c>
      <c r="H6" s="25" t="s">
        <v>734</v>
      </c>
      <c r="I6" s="26" t="s">
        <v>734</v>
      </c>
      <c r="N6" s="99" t="s">
        <v>735</v>
      </c>
    </row>
    <row r="7" spans="1:14">
      <c r="N7" s="82" t="s">
        <v>736</v>
      </c>
    </row>
    <row r="8" spans="1:14" ht="30" customHeight="1">
      <c r="A8" s="66" t="s">
        <v>42</v>
      </c>
      <c r="B8" s="57">
        <f>DASHBOARD!$A$8</f>
        <v>25000</v>
      </c>
      <c r="D8" s="19" t="s">
        <v>737</v>
      </c>
      <c r="E8" s="20" t="s">
        <v>40</v>
      </c>
      <c r="F8" s="20" t="s">
        <v>72</v>
      </c>
      <c r="G8" s="20" t="s">
        <v>41</v>
      </c>
      <c r="H8" s="20" t="s">
        <v>74</v>
      </c>
      <c r="I8" s="21" t="s">
        <v>75</v>
      </c>
    </row>
    <row r="9" spans="1:14" ht="14.4">
      <c r="A9" s="67" t="s">
        <v>738</v>
      </c>
      <c r="B9" s="58">
        <f>DASHBOARD!$E$8</f>
        <v>7197</v>
      </c>
      <c r="D9" s="43">
        <f>1</f>
        <v>1</v>
      </c>
      <c r="E9" s="43" t="str">
        <f>IFERROR(INDEX(DASHBOARD!$A$27:$A$46,MATCH(LARGE(DASHBOARD!$C$27:$C$46,$D9),DASHBOARD!$C$27:$C$46,0)),"—")</f>
        <v>Hostel</v>
      </c>
      <c r="F9" s="57">
        <f>IFERROR(INDEX(DASHBOARD!$B$27:$B$46,MATCH($E9,DASHBOARD!$A$27:$A$46,0)),0)</f>
        <v>3500</v>
      </c>
      <c r="G9" s="57">
        <f>IFERROR(INDEX(DASHBOARD!$C$27:$C$46,MATCH($E9,DASHBOARD!$A$27:$A$46,0)),0)</f>
        <v>3200</v>
      </c>
      <c r="H9" s="60">
        <f>IFERROR($G9/$F9,0)</f>
        <v>0.91428571428571426</v>
      </c>
      <c r="I9" s="43" t="str">
        <f>IF($H9&lt;=0.7,"Safe",IF($H9&lt;=0.9,"Watch Spending",IF($H9&lt;=1,"Near Limit","Over Budget")))</f>
        <v>Near Limit</v>
      </c>
    </row>
    <row r="10" spans="1:14" ht="14.4">
      <c r="A10" s="67" t="s">
        <v>57</v>
      </c>
      <c r="B10" s="58">
        <f>DASHBOARD!$M$8</f>
        <v>2500</v>
      </c>
      <c r="D10" s="44">
        <f>2</f>
        <v>2</v>
      </c>
      <c r="E10" s="44" t="str">
        <f>IFERROR(INDEX(DASHBOARD!$A$27:$A$46,MATCH(LARGE(DASHBOARD!$C$27:$C$46,$D10),DASHBOARD!$C$27:$C$46,0)),"—")</f>
        <v>Savings</v>
      </c>
      <c r="F10" s="58">
        <f>IFERROR(INDEX(DASHBOARD!$B$27:$B$46,MATCH($E10,DASHBOARD!$A$27:$A$46,0)),0)</f>
        <v>2000</v>
      </c>
      <c r="G10" s="58">
        <f>IFERROR(INDEX(DASHBOARD!$C$27:$C$46,MATCH($E10,DASHBOARD!$A$27:$A$46,0)),0)</f>
        <v>2500</v>
      </c>
      <c r="H10" s="61">
        <f>IFERROR($G10/$F10,0)</f>
        <v>1.25</v>
      </c>
      <c r="I10" s="44" t="str">
        <f>IF($H10&lt;=0.7,"Safe",IF($H10&lt;=0.9,"Watch Spending",IF($H10&lt;=1,"Near Limit","Over Budget")))</f>
        <v>Over Budget</v>
      </c>
    </row>
    <row r="11" spans="1:14" ht="14.4">
      <c r="A11" s="67" t="s">
        <v>739</v>
      </c>
      <c r="B11" s="58">
        <f>DASHBOARD!$I$8</f>
        <v>15303</v>
      </c>
      <c r="D11" s="44">
        <f>3</f>
        <v>3</v>
      </c>
      <c r="E11" s="44" t="str">
        <f>IFERROR(INDEX(DASHBOARD!$A$27:$A$46,MATCH(LARGE(DASHBOARD!$C$27:$C$46,$D11),DASHBOARD!$C$27:$C$46,0)),"—")</f>
        <v>AI-ML Learning</v>
      </c>
      <c r="F11" s="58">
        <f>IFERROR(INDEX(DASHBOARD!$B$27:$B$46,MATCH($E11,DASHBOARD!$A$27:$A$46,0)),0)</f>
        <v>1000</v>
      </c>
      <c r="G11" s="58">
        <f>IFERROR(INDEX(DASHBOARD!$C$27:$C$46,MATCH($E11,DASHBOARD!$A$27:$A$46,0)),0)</f>
        <v>1499</v>
      </c>
      <c r="H11" s="61">
        <f>IFERROR($G11/$F11,0)</f>
        <v>1.4990000000000001</v>
      </c>
      <c r="I11" s="44" t="str">
        <f>IF($H11&lt;=0.7,"Safe",IF($H11&lt;=0.9,"Watch Spending",IF($H11&lt;=1,"Near Limit","Over Budget")))</f>
        <v>Over Budget</v>
      </c>
    </row>
    <row r="12" spans="1:14" ht="14.4">
      <c r="A12" s="67" t="s">
        <v>72</v>
      </c>
      <c r="B12" s="58">
        <f>'MONTHLY BUDGET'!$S$28</f>
        <v>26500</v>
      </c>
      <c r="D12" s="44">
        <f>4</f>
        <v>4</v>
      </c>
      <c r="E12" s="44" t="str">
        <f>IFERROR(INDEX(DASHBOARD!$A$27:$A$46,MATCH(LARGE(DASHBOARD!$C$27:$C$46,$D12),DASHBOARD!$C$27:$C$46,0)),"—")</f>
        <v>Health &amp; Fitness</v>
      </c>
      <c r="F12" s="58">
        <f>IFERROR(INDEX(DASHBOARD!$B$27:$B$46,MATCH($E12,DASHBOARD!$A$27:$A$46,0)),0)</f>
        <v>700</v>
      </c>
      <c r="G12" s="58">
        <f>IFERROR(INDEX(DASHBOARD!$C$27:$C$46,MATCH($E12,DASHBOARD!$A$27:$A$46,0)),0)</f>
        <v>700</v>
      </c>
      <c r="H12" s="61">
        <f>IFERROR($G12/$F12,0)</f>
        <v>1</v>
      </c>
      <c r="I12" s="44" t="str">
        <f>IF($H12&lt;=0.7,"Safe",IF($H12&lt;=0.9,"Watch Spending",IF($H12&lt;=1,"Near Limit","Over Budget")))</f>
        <v>Near Limit</v>
      </c>
    </row>
    <row r="13" spans="1:14" ht="14.4">
      <c r="A13" s="67" t="s">
        <v>740</v>
      </c>
      <c r="B13" s="58">
        <f>'MONTHLY BUDGET'!$U$28</f>
        <v>16803</v>
      </c>
      <c r="D13" s="45">
        <f>5</f>
        <v>5</v>
      </c>
      <c r="E13" s="45" t="str">
        <f>IFERROR(INDEX(DASHBOARD!$A$27:$A$46,MATCH(LARGE(DASHBOARD!$C$27:$C$46,$D13),DASHBOARD!$C$27:$C$46,0)),"—")</f>
        <v>Food</v>
      </c>
      <c r="F13" s="59">
        <f>IFERROR(INDEX(DASHBOARD!$B$27:$B$46,MATCH($E13,DASHBOARD!$A$27:$A$46,0)),0)</f>
        <v>4000</v>
      </c>
      <c r="G13" s="59">
        <f>IFERROR(INDEX(DASHBOARD!$C$27:$C$46,MATCH($E13,DASHBOARD!$A$27:$A$46,0)),0)</f>
        <v>620</v>
      </c>
      <c r="H13" s="62">
        <f>IFERROR($G13/$F13,0)</f>
        <v>0.155</v>
      </c>
      <c r="I13" s="45" t="str">
        <f>IF($H13&lt;=0.7,"Safe",IF($H13&lt;=0.9,"Watch Spending",IF($H13&lt;=1,"Near Limit","Over Budget")))</f>
        <v>Safe</v>
      </c>
    </row>
    <row r="14" spans="1:14" ht="14.4">
      <c r="A14" s="67" t="s">
        <v>741</v>
      </c>
      <c r="B14" s="61">
        <f>DASHBOARD!$A$13</f>
        <v>0.1</v>
      </c>
    </row>
    <row r="15" spans="1:14" ht="14.4">
      <c r="A15" s="67" t="s">
        <v>742</v>
      </c>
      <c r="B15" s="58">
        <f ca="1">'MONTHLY BUDGET'!$B$40</f>
        <v>0</v>
      </c>
    </row>
    <row r="16" spans="1:14" ht="22.95" customHeight="1">
      <c r="A16" s="67" t="s">
        <v>743</v>
      </c>
      <c r="B16" s="44" t="str">
        <f>'MONTHLY BUDGET'!$B$41</f>
        <v>Hostel</v>
      </c>
      <c r="D16" s="115" t="s">
        <v>744</v>
      </c>
      <c r="E16" s="116" t="s">
        <v>744</v>
      </c>
      <c r="F16" s="116" t="s">
        <v>744</v>
      </c>
      <c r="G16" s="116" t="s">
        <v>744</v>
      </c>
      <c r="H16" s="116" t="s">
        <v>744</v>
      </c>
      <c r="I16" s="116" t="s">
        <v>744</v>
      </c>
      <c r="J16" s="116" t="s">
        <v>744</v>
      </c>
      <c r="K16" s="116" t="s">
        <v>744</v>
      </c>
      <c r="L16" s="116" t="s">
        <v>744</v>
      </c>
      <c r="M16" s="116" t="s">
        <v>744</v>
      </c>
      <c r="N16" s="117" t="s">
        <v>744</v>
      </c>
    </row>
    <row r="17" spans="1:14" ht="14.4">
      <c r="A17" s="67" t="s">
        <v>330</v>
      </c>
      <c r="B17" s="44">
        <f>'MONTHLY BUDGET'!$B$39</f>
        <v>8</v>
      </c>
    </row>
    <row r="18" spans="1:14" ht="25.95" customHeight="1">
      <c r="A18" s="67" t="s">
        <v>745</v>
      </c>
      <c r="B18" s="58">
        <f ca="1">'MONTHLY BUDGET'!$B$37</f>
        <v>239.9</v>
      </c>
      <c r="D18" s="297" t="str">
        <f>INSIGHTS!$F$8</f>
        <v>Budget use is 37% — keep monitoring your pace.</v>
      </c>
      <c r="E18" s="297"/>
      <c r="F18" s="297"/>
      <c r="G18" s="297"/>
      <c r="H18" s="297"/>
      <c r="I18" s="297"/>
      <c r="J18" s="297"/>
      <c r="K18" s="297"/>
      <c r="L18" s="297"/>
      <c r="M18" s="297"/>
      <c r="N18" s="297"/>
    </row>
    <row r="19" spans="1:14" ht="25.95" customHeight="1">
      <c r="A19" s="67" t="s">
        <v>746</v>
      </c>
      <c r="B19" s="61">
        <f>INDEX('ANNUAL SUMMARY'!$V$8:$V$19,MATCH(DASHBOARD!$C$3,'ANNUAL SUMMARY'!$A$8:$A$19,0))</f>
        <v>0.38403846153846155</v>
      </c>
      <c r="D19" s="298" t="str">
        <f>INSIGHTS!$F$9</f>
        <v>Savings are meeting the configured target.</v>
      </c>
      <c r="E19" s="298"/>
      <c r="F19" s="298"/>
      <c r="G19" s="298"/>
      <c r="H19" s="298"/>
      <c r="I19" s="298"/>
      <c r="J19" s="298"/>
      <c r="K19" s="298"/>
      <c r="L19" s="298"/>
      <c r="M19" s="298"/>
      <c r="N19" s="298"/>
    </row>
    <row r="20" spans="1:14" ht="25.95" customHeight="1">
      <c r="A20" s="68" t="s">
        <v>747</v>
      </c>
      <c r="B20" s="45">
        <f>INSIGHTS!$B$8</f>
        <v>83</v>
      </c>
      <c r="D20" s="298" t="str">
        <f ca="1">INSIGHTS!$F$10</f>
        <v>Projected spending is within the monthly plan.</v>
      </c>
      <c r="E20" s="298"/>
      <c r="F20" s="298"/>
      <c r="G20" s="298"/>
      <c r="H20" s="298"/>
      <c r="I20" s="298"/>
      <c r="J20" s="298"/>
      <c r="K20" s="298"/>
      <c r="L20" s="298"/>
      <c r="M20" s="298"/>
      <c r="N20" s="298"/>
    </row>
    <row r="21" spans="1:14" ht="25.95" customHeight="1">
      <c r="D21" s="298" t="str">
        <f>INSIGHTS!$F$11</f>
        <v>Prioritize the emergency fund until at least 50% of the target is reached.</v>
      </c>
      <c r="E21" s="298"/>
      <c r="F21" s="298"/>
      <c r="G21" s="298"/>
      <c r="H21" s="298"/>
      <c r="I21" s="298"/>
      <c r="J21" s="298"/>
      <c r="K21" s="298"/>
      <c r="L21" s="298"/>
      <c r="M21" s="298"/>
      <c r="N21" s="298"/>
    </row>
    <row r="22" spans="1:14" ht="25.95" customHeight="1">
      <c r="D22" s="299" t="str">
        <f>INSIGHTS!$F$12</f>
        <v>No duplicate transactions are currently flagged.</v>
      </c>
      <c r="E22" s="299"/>
      <c r="F22" s="299"/>
      <c r="G22" s="299"/>
      <c r="H22" s="299"/>
      <c r="I22" s="299"/>
      <c r="J22" s="299"/>
      <c r="K22" s="299"/>
      <c r="L22" s="299"/>
      <c r="M22" s="299"/>
      <c r="N22" s="299"/>
    </row>
    <row r="24" spans="1:14" ht="22.95" customHeight="1">
      <c r="A24" s="118" t="s">
        <v>748</v>
      </c>
      <c r="B24" s="119" t="s">
        <v>748</v>
      </c>
      <c r="C24" s="119" t="s">
        <v>748</v>
      </c>
      <c r="D24" s="109" t="s">
        <v>749</v>
      </c>
      <c r="E24" s="110" t="s">
        <v>749</v>
      </c>
      <c r="F24" s="300" t="s">
        <v>749</v>
      </c>
      <c r="G24" s="25" t="s">
        <v>749</v>
      </c>
      <c r="H24" s="25" t="s">
        <v>749</v>
      </c>
      <c r="I24" s="25" t="s">
        <v>749</v>
      </c>
      <c r="J24" s="25" t="s">
        <v>749</v>
      </c>
      <c r="K24" s="25" t="s">
        <v>749</v>
      </c>
      <c r="L24" s="25" t="s">
        <v>749</v>
      </c>
      <c r="M24" s="25" t="s">
        <v>749</v>
      </c>
      <c r="N24" s="26" t="s">
        <v>749</v>
      </c>
    </row>
    <row r="26" spans="1:14" ht="14.4">
      <c r="A26" s="66" t="s">
        <v>750</v>
      </c>
      <c r="B26" s="8" t="s">
        <v>349</v>
      </c>
      <c r="D26" s="100" t="s">
        <v>751</v>
      </c>
      <c r="E26" s="301"/>
      <c r="F26" s="301"/>
      <c r="G26" s="301"/>
      <c r="H26" s="301"/>
      <c r="I26" s="301"/>
      <c r="J26" s="301"/>
      <c r="K26" s="301"/>
      <c r="L26" s="301"/>
      <c r="M26" s="301"/>
      <c r="N26" s="301"/>
    </row>
    <row r="27" spans="1:14" ht="14.4">
      <c r="A27" s="67" t="s">
        <v>752</v>
      </c>
      <c r="B27" s="9" t="s">
        <v>349</v>
      </c>
      <c r="D27" s="100" t="s">
        <v>753</v>
      </c>
      <c r="E27" s="301"/>
      <c r="F27" s="301"/>
      <c r="G27" s="301"/>
      <c r="H27" s="301"/>
      <c r="I27" s="301"/>
      <c r="J27" s="301"/>
      <c r="K27" s="301"/>
      <c r="L27" s="301"/>
      <c r="M27" s="301"/>
      <c r="N27" s="301"/>
    </row>
    <row r="28" spans="1:14" ht="27.6">
      <c r="A28" s="67" t="s">
        <v>754</v>
      </c>
      <c r="B28" s="9" t="s">
        <v>349</v>
      </c>
      <c r="D28" s="100" t="s">
        <v>755</v>
      </c>
      <c r="E28" s="301"/>
      <c r="F28" s="301"/>
      <c r="G28" s="301"/>
      <c r="H28" s="301"/>
      <c r="I28" s="301"/>
      <c r="J28" s="301"/>
      <c r="K28" s="301"/>
      <c r="L28" s="301"/>
      <c r="M28" s="301"/>
      <c r="N28" s="301"/>
    </row>
    <row r="29" spans="1:14" ht="27.6">
      <c r="A29" s="67" t="s">
        <v>756</v>
      </c>
      <c r="B29" s="9" t="s">
        <v>349</v>
      </c>
      <c r="D29" s="100" t="s">
        <v>757</v>
      </c>
      <c r="E29" s="301"/>
      <c r="F29" s="301"/>
      <c r="G29" s="301"/>
      <c r="H29" s="301"/>
      <c r="I29" s="301"/>
      <c r="J29" s="301"/>
      <c r="K29" s="301"/>
      <c r="L29" s="301"/>
      <c r="M29" s="301"/>
      <c r="N29" s="301"/>
    </row>
    <row r="30" spans="1:14" ht="14.4">
      <c r="A30" s="67" t="s">
        <v>758</v>
      </c>
      <c r="B30" s="9" t="s">
        <v>349</v>
      </c>
      <c r="D30" s="100" t="s">
        <v>759</v>
      </c>
      <c r="E30" s="301"/>
      <c r="F30" s="301"/>
      <c r="G30" s="301"/>
      <c r="H30" s="301"/>
      <c r="I30" s="301"/>
      <c r="J30" s="301"/>
      <c r="K30" s="301"/>
      <c r="L30" s="301"/>
      <c r="M30" s="301"/>
      <c r="N30" s="301"/>
    </row>
    <row r="31" spans="1:14" ht="14.4">
      <c r="A31" s="67" t="s">
        <v>760</v>
      </c>
      <c r="B31" s="9" t="s">
        <v>349</v>
      </c>
      <c r="D31" s="100" t="s">
        <v>761</v>
      </c>
      <c r="E31" s="301"/>
      <c r="F31" s="301"/>
      <c r="G31" s="301"/>
      <c r="H31" s="301"/>
      <c r="I31" s="301"/>
      <c r="J31" s="301"/>
      <c r="K31" s="301"/>
      <c r="L31" s="301"/>
      <c r="M31" s="301"/>
      <c r="N31" s="301"/>
    </row>
    <row r="32" spans="1:14" ht="14.4">
      <c r="A32" s="67" t="s">
        <v>762</v>
      </c>
      <c r="B32" s="9" t="s">
        <v>349</v>
      </c>
    </row>
    <row r="33" spans="1:2" ht="14.4">
      <c r="A33" s="67" t="s">
        <v>763</v>
      </c>
      <c r="B33" s="9" t="s">
        <v>349</v>
      </c>
    </row>
    <row r="34" spans="1:2" ht="14.4">
      <c r="A34" s="67" t="s">
        <v>764</v>
      </c>
      <c r="B34" s="9" t="s">
        <v>349</v>
      </c>
    </row>
    <row r="35" spans="1:2" ht="14.4">
      <c r="A35" s="67" t="s">
        <v>765</v>
      </c>
      <c r="B35" s="9" t="s">
        <v>349</v>
      </c>
    </row>
    <row r="36" spans="1:2" ht="14.4">
      <c r="A36" s="68" t="s">
        <v>766</v>
      </c>
      <c r="B36" s="10" t="s">
        <v>349</v>
      </c>
    </row>
  </sheetData>
  <mergeCells count="17">
    <mergeCell ref="E30:N30"/>
    <mergeCell ref="E31:N31"/>
    <mergeCell ref="A24:F24"/>
    <mergeCell ref="E26:N26"/>
    <mergeCell ref="E27:N27"/>
    <mergeCell ref="E28:N28"/>
    <mergeCell ref="E29:N29"/>
    <mergeCell ref="D18:N18"/>
    <mergeCell ref="D19:N19"/>
    <mergeCell ref="D20:N20"/>
    <mergeCell ref="D21:N21"/>
    <mergeCell ref="D22:N22"/>
    <mergeCell ref="A1:N2"/>
    <mergeCell ref="A3:N3"/>
    <mergeCell ref="A4:N4"/>
    <mergeCell ref="A6:D6"/>
    <mergeCell ref="D16:N16"/>
  </mergeCells>
  <conditionalFormatting sqref="I9:I13">
    <cfRule type="containsText" dxfId="4" priority="1" operator="containsText" text="Safe"/>
    <cfRule type="containsText" dxfId="3" priority="4" operator="containsText" text="Watch"/>
    <cfRule type="containsText" dxfId="2" priority="6" operator="containsText" text="Near"/>
    <cfRule type="containsText" dxfId="1" priority="7" operator="containsText" text="Over"/>
  </conditionalFormatting>
  <dataValidations count="2">
    <dataValidation type="list" sqref="B26:B36" xr:uid="{00000000-0002-0000-1A00-000000000000}">
      <formula1>"Yes,No"</formula1>
    </dataValidation>
    <dataValidation type="list" sqref="N7" xr:uid="{00000000-0002-0000-1A00-000001000000}">
      <formula1>"Open,Closed"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E21"/>
  <sheetViews>
    <sheetView showGridLines="0" workbookViewId="0"/>
  </sheetViews>
  <sheetFormatPr defaultRowHeight="13.8"/>
  <cols>
    <col min="1" max="1" width="14" customWidth="1"/>
    <col min="2" max="2" width="10" customWidth="1"/>
    <col min="3" max="20" width="17" customWidth="1"/>
    <col min="21" max="23" width="15" customWidth="1"/>
  </cols>
  <sheetData>
    <row r="1" spans="1:31" ht="31.95" customHeight="1">
      <c r="A1" s="107" t="s">
        <v>767</v>
      </c>
      <c r="B1" s="107" t="s">
        <v>767</v>
      </c>
      <c r="C1" s="107" t="s">
        <v>767</v>
      </c>
      <c r="D1" s="107" t="s">
        <v>767</v>
      </c>
      <c r="E1" s="107" t="s">
        <v>767</v>
      </c>
      <c r="F1" s="107" t="s">
        <v>767</v>
      </c>
      <c r="G1" s="107" t="s">
        <v>767</v>
      </c>
      <c r="H1" s="107" t="s">
        <v>767</v>
      </c>
      <c r="I1" s="107" t="s">
        <v>767</v>
      </c>
      <c r="J1" s="107" t="s">
        <v>767</v>
      </c>
      <c r="K1" s="107" t="s">
        <v>767</v>
      </c>
      <c r="L1" s="107" t="s">
        <v>767</v>
      </c>
      <c r="M1" s="107" t="s">
        <v>767</v>
      </c>
      <c r="N1" s="107" t="s">
        <v>767</v>
      </c>
      <c r="O1" s="107" t="s">
        <v>767</v>
      </c>
      <c r="P1" s="107" t="s">
        <v>767</v>
      </c>
      <c r="Q1" s="107" t="s">
        <v>767</v>
      </c>
      <c r="R1" s="107" t="s">
        <v>767</v>
      </c>
      <c r="S1" s="107" t="s">
        <v>767</v>
      </c>
      <c r="T1" s="107" t="s">
        <v>767</v>
      </c>
      <c r="U1" s="107" t="s">
        <v>767</v>
      </c>
      <c r="V1" s="107" t="s">
        <v>767</v>
      </c>
      <c r="W1" s="107" t="s">
        <v>767</v>
      </c>
    </row>
    <row r="2" spans="1:31" ht="31.95" customHeight="1">
      <c r="A2" s="107" t="s">
        <v>767</v>
      </c>
      <c r="B2" s="107" t="s">
        <v>767</v>
      </c>
      <c r="C2" s="107" t="s">
        <v>767</v>
      </c>
      <c r="D2" s="107" t="s">
        <v>767</v>
      </c>
      <c r="E2" s="107" t="s">
        <v>767</v>
      </c>
      <c r="F2" s="107" t="s">
        <v>767</v>
      </c>
      <c r="G2" s="107" t="s">
        <v>767</v>
      </c>
      <c r="H2" s="107" t="s">
        <v>767</v>
      </c>
      <c r="I2" s="107" t="s">
        <v>767</v>
      </c>
      <c r="J2" s="107" t="s">
        <v>767</v>
      </c>
      <c r="K2" s="107" t="s">
        <v>767</v>
      </c>
      <c r="L2" s="107" t="s">
        <v>767</v>
      </c>
      <c r="M2" s="107" t="s">
        <v>767</v>
      </c>
      <c r="N2" s="107" t="s">
        <v>767</v>
      </c>
      <c r="O2" s="107" t="s">
        <v>767</v>
      </c>
      <c r="P2" s="107" t="s">
        <v>767</v>
      </c>
      <c r="Q2" s="107" t="s">
        <v>767</v>
      </c>
      <c r="R2" s="107" t="s">
        <v>767</v>
      </c>
      <c r="S2" s="107" t="s">
        <v>767</v>
      </c>
      <c r="T2" s="107" t="s">
        <v>767</v>
      </c>
      <c r="U2" s="107" t="s">
        <v>767</v>
      </c>
      <c r="V2" s="107" t="s">
        <v>767</v>
      </c>
      <c r="W2" s="107" t="s">
        <v>767</v>
      </c>
    </row>
    <row r="3" spans="1:31" ht="18" customHeight="1">
      <c r="A3" s="108" t="s">
        <v>768</v>
      </c>
      <c r="B3" s="108" t="s">
        <v>768</v>
      </c>
      <c r="C3" s="108" t="s">
        <v>768</v>
      </c>
      <c r="D3" s="108" t="s">
        <v>768</v>
      </c>
      <c r="E3" s="108" t="s">
        <v>768</v>
      </c>
      <c r="F3" s="108" t="s">
        <v>768</v>
      </c>
      <c r="G3" s="108" t="s">
        <v>768</v>
      </c>
      <c r="H3" s="108" t="s">
        <v>768</v>
      </c>
      <c r="I3" s="108" t="s">
        <v>768</v>
      </c>
      <c r="J3" s="108" t="s">
        <v>768</v>
      </c>
      <c r="K3" s="108" t="s">
        <v>768</v>
      </c>
      <c r="L3" s="108" t="s">
        <v>768</v>
      </c>
      <c r="M3" s="108" t="s">
        <v>768</v>
      </c>
      <c r="N3" s="108" t="s">
        <v>768</v>
      </c>
      <c r="O3" s="108" t="s">
        <v>768</v>
      </c>
      <c r="P3" s="108" t="s">
        <v>768</v>
      </c>
      <c r="Q3" s="108" t="s">
        <v>768</v>
      </c>
      <c r="R3" s="108" t="s">
        <v>768</v>
      </c>
      <c r="S3" s="108" t="s">
        <v>768</v>
      </c>
      <c r="T3" s="108" t="s">
        <v>768</v>
      </c>
      <c r="U3" s="108" t="s">
        <v>768</v>
      </c>
      <c r="V3" s="108" t="s">
        <v>768</v>
      </c>
      <c r="W3" s="108" t="s">
        <v>768</v>
      </c>
      <c r="Y3" t="s">
        <v>37</v>
      </c>
      <c r="Z3" t="s">
        <v>42</v>
      </c>
      <c r="AA3" t="s">
        <v>72</v>
      </c>
      <c r="AB3" t="s">
        <v>43</v>
      </c>
      <c r="AD3" t="s">
        <v>37</v>
      </c>
      <c r="AE3" t="s">
        <v>44</v>
      </c>
    </row>
    <row r="4" spans="1:31">
      <c r="A4" s="281" t="str">
        <f>"Planning year: "&amp;TEXT(DASHBOARD!$C$4,"0")&amp;"  •  Previous-month closing balance rolls forward without being counted as income."</f>
        <v>Planning year: 2026  •  Previous-month closing balance rolls forward without being counted as income.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Y4" t="str">
        <f t="shared" ref="Y4:Y15" si="0">$A8</f>
        <v>January</v>
      </c>
      <c r="Z4">
        <f t="shared" ref="Z4:Z15" si="1">$C8</f>
        <v>25000</v>
      </c>
      <c r="AA4">
        <f t="shared" ref="AA4:AA15" si="2">$D8</f>
        <v>26500</v>
      </c>
      <c r="AB4">
        <f t="shared" ref="AB4:AB15" si="3">$E8</f>
        <v>8000</v>
      </c>
      <c r="AD4" t="str">
        <f t="shared" ref="AD4:AD15" si="4">$A8</f>
        <v>January</v>
      </c>
      <c r="AE4">
        <f t="shared" ref="AE4:AE15" si="5">$T8</f>
        <v>0</v>
      </c>
    </row>
    <row r="5" spans="1:31">
      <c r="A5" s="281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Y5" t="str">
        <f t="shared" si="0"/>
        <v>February</v>
      </c>
      <c r="Z5">
        <f t="shared" si="1"/>
        <v>25000</v>
      </c>
      <c r="AA5">
        <f t="shared" si="2"/>
        <v>26500</v>
      </c>
      <c r="AB5">
        <f t="shared" si="3"/>
        <v>4400</v>
      </c>
      <c r="AD5" t="str">
        <f t="shared" si="4"/>
        <v>February</v>
      </c>
      <c r="AE5">
        <f t="shared" si="5"/>
        <v>0</v>
      </c>
    </row>
    <row r="6" spans="1:31">
      <c r="Y6" t="str">
        <f t="shared" si="0"/>
        <v>March</v>
      </c>
      <c r="Z6">
        <f t="shared" si="1"/>
        <v>25000</v>
      </c>
      <c r="AA6">
        <f t="shared" si="2"/>
        <v>26500</v>
      </c>
      <c r="AB6">
        <f t="shared" si="3"/>
        <v>3099</v>
      </c>
      <c r="AD6" t="str">
        <f t="shared" si="4"/>
        <v>March</v>
      </c>
      <c r="AE6">
        <f t="shared" si="5"/>
        <v>0</v>
      </c>
    </row>
    <row r="7" spans="1:31" ht="30" customHeight="1">
      <c r="A7" s="40" t="s">
        <v>37</v>
      </c>
      <c r="B7" s="41" t="s">
        <v>769</v>
      </c>
      <c r="C7" s="41" t="s">
        <v>42</v>
      </c>
      <c r="D7" s="41" t="s">
        <v>72</v>
      </c>
      <c r="E7" s="41" t="s">
        <v>43</v>
      </c>
      <c r="F7" s="41" t="s">
        <v>188</v>
      </c>
      <c r="G7" s="41" t="s">
        <v>770</v>
      </c>
      <c r="H7" s="41" t="s">
        <v>771</v>
      </c>
      <c r="I7" s="41" t="s">
        <v>772</v>
      </c>
      <c r="J7" s="41" t="s">
        <v>49</v>
      </c>
      <c r="K7" s="41" t="s">
        <v>51</v>
      </c>
      <c r="L7" s="41" t="s">
        <v>130</v>
      </c>
      <c r="M7" s="41" t="s">
        <v>134</v>
      </c>
      <c r="N7" s="41" t="s">
        <v>166</v>
      </c>
      <c r="O7" s="41" t="s">
        <v>524</v>
      </c>
      <c r="P7" s="41" t="s">
        <v>144</v>
      </c>
      <c r="Q7" s="41" t="s">
        <v>168</v>
      </c>
      <c r="R7" s="41" t="s">
        <v>711</v>
      </c>
      <c r="S7" s="41" t="s">
        <v>159</v>
      </c>
      <c r="T7" s="41" t="s">
        <v>44</v>
      </c>
      <c r="U7" s="41" t="s">
        <v>330</v>
      </c>
      <c r="V7" s="41" t="s">
        <v>773</v>
      </c>
      <c r="W7" s="42" t="s">
        <v>774</v>
      </c>
      <c r="Y7" t="str">
        <f t="shared" si="0"/>
        <v>April</v>
      </c>
      <c r="Z7">
        <f t="shared" si="1"/>
        <v>25000</v>
      </c>
      <c r="AA7">
        <f t="shared" si="2"/>
        <v>26500</v>
      </c>
      <c r="AB7">
        <f t="shared" si="3"/>
        <v>4900</v>
      </c>
      <c r="AD7" t="str">
        <f t="shared" si="4"/>
        <v>April</v>
      </c>
      <c r="AE7">
        <f t="shared" si="5"/>
        <v>0</v>
      </c>
    </row>
    <row r="8" spans="1:31" ht="14.4">
      <c r="A8" s="2" t="s">
        <v>230</v>
      </c>
      <c r="B8" s="2">
        <v>1</v>
      </c>
      <c r="C8" s="57">
        <f>SUMIFS('QUICK ENTRY'!$E$8:$E$1007,'QUICK ENTRY'!$AF$8:$AF$1007,"Yes",'QUICK ENTRY'!$C$8:$C$1007,"Income",'QUICK ENTRY'!$V$8:$V$1007,$A8,'QUICK ENTRY'!$X$8:$X$1007,DASHBOARD!$C$4)+SUMIFS('QUICK ENTRY'!$E$8:$E$1007,'QUICK ENTRY'!$AF$8:$AF$1007,"Yes",'QUICK ENTRY'!$C$8:$C$1007,"Refund",'QUICK ENTRY'!$V$8:$V$1007,$A8,'QUICK ENTRY'!$X$8:$X$1007,DASHBOARD!$C$4)+SUMIFS('QUICK ENTRY'!$E$8:$E$1007,'QUICK ENTRY'!$AF$8:$AF$1007,"Yes",'QUICK ENTRY'!$C$8:$C$1007,"Reimbursement",'QUICK ENTRY'!$V$8:$V$1007,$A8,'QUICK ENTRY'!$X$8:$X$1007,DASHBOARD!$C$4)</f>
        <v>25000</v>
      </c>
      <c r="D8" s="57">
        <f>'MONTHLY BUDGET'!$G$28</f>
        <v>26500</v>
      </c>
      <c r="E8" s="57">
        <f>SUMIFS('QUICK ENTRY'!$E$8:$E$1007,'QUICK ENTRY'!$AF$8:$AF$1007,"Yes",'QUICK ENTRY'!$C$8:$C$1007,"Expense",'QUICK ENTRY'!$V$8:$V$1007,$A8,'QUICK ENTRY'!$X$8:$X$1007,DASHBOARD!$C$4)</f>
        <v>8000</v>
      </c>
      <c r="F8" s="57">
        <f>SUMIFS('QUICK ENTRY'!$E$8:$E$1007,'QUICK ENTRY'!$AF$8:$AF$1007,"Yes",'QUICK ENTRY'!$C$8:$C$1007,"Savings Transfer",'QUICK ENTRY'!$V$8:$V$1007,$A8,'QUICK ENTRY'!$X$8:$X$1007,DASHBOARD!$C$4)</f>
        <v>0</v>
      </c>
      <c r="G8" s="57">
        <f t="shared" ref="G8:G19" si="6">$C8-$E8</f>
        <v>17000</v>
      </c>
      <c r="H8" s="57">
        <f>SUM(ACCOUNTS!$C$8:$C$15)+$C8-$E8-$F8</f>
        <v>17000</v>
      </c>
      <c r="I8" s="60">
        <f t="shared" ref="I8:I19" si="7">IFERROR($F8/$C8,0)</f>
        <v>0</v>
      </c>
      <c r="J8" s="57">
        <f>SUMIFS('QUICK ENTRY'!$E$8:$E$1007,'QUICK ENTRY'!$AF$8:$AF$1007,"Yes",'QUICK ENTRY'!$C$8:$C$1007,"Expense",'QUICK ENTRY'!$V$8:$V$1007,$A8,'QUICK ENTRY'!$X$8:$X$1007,DASHBOARD!$C$4,'QUICK ENTRY'!$I$8:$I$1007,"College Fees")+SUMIFS('QUICK ENTRY'!$E$8:$E$1007,'QUICK ENTRY'!$AF$8:$AF$1007,"Yes",'QUICK ENTRY'!$C$8:$C$1007,"Expense",'QUICK ENTRY'!$V$8:$V$1007,$A8,'QUICK ENTRY'!$X$8:$X$1007,DASHBOARD!$C$4,'QUICK ENTRY'!$I$8:$I$1007,"Hostel")+SUMIFS('QUICK ENTRY'!$E$8:$E$1007,'QUICK ENTRY'!$AF$8:$AF$1007,"Yes",'QUICK ENTRY'!$C$8:$C$1007,"Expense",'QUICK ENTRY'!$V$8:$V$1007,$A8,'QUICK ENTRY'!$X$8:$X$1007,DASHBOARD!$C$4,'QUICK ENTRY'!$I$8:$I$1007,"Subscriptions")+SUMIFS('QUICK ENTRY'!$E$8:$E$1007,'QUICK ENTRY'!$AF$8:$AF$1007,"Yes",'QUICK ENTRY'!$C$8:$C$1007,"Expense",'QUICK ENTRY'!$V$8:$V$1007,$A8,'QUICK ENTRY'!$X$8:$X$1007,DASHBOARD!$C$4,'QUICK ENTRY'!$I$8:$I$1007,"Mobile &amp; Internet")</f>
        <v>8000</v>
      </c>
      <c r="K8" s="57">
        <f t="shared" ref="K8:K19" si="8">$E8-$J8</f>
        <v>0</v>
      </c>
      <c r="L8" s="57">
        <f>SUMIFS('QUICK ENTRY'!$E$8:$E$1007,'QUICK ENTRY'!$AF$8:$AF$1007,"Yes",'QUICK ENTRY'!$C$8:$C$1007,"Expense",'QUICK ENTRY'!$V$8:$V$1007,$A8,'QUICK ENTRY'!$X$8:$X$1007,DASHBOARD!$C$4,'QUICK ENTRY'!$I$8:$I$1007,"Hostel")</f>
        <v>3500</v>
      </c>
      <c r="M8" s="57">
        <f>SUMIFS('QUICK ENTRY'!$E$8:$E$1007,'QUICK ENTRY'!$AF$8:$AF$1007,"Yes",'QUICK ENTRY'!$C$8:$C$1007,"Expense",'QUICK ENTRY'!$V$8:$V$1007,$A8,'QUICK ENTRY'!$X$8:$X$1007,DASHBOARD!$C$4,'QUICK ENTRY'!$I$8:$I$1007,"Food")</f>
        <v>0</v>
      </c>
      <c r="N8" s="57">
        <f>SUMIFS('QUICK ENTRY'!$E$8:$E$1007,'QUICK ENTRY'!$AF$8:$AF$1007,"Yes",'QUICK ENTRY'!$C$8:$C$1007,"Expense",'QUICK ENTRY'!$V$8:$V$1007,$A8,'QUICK ENTRY'!$X$8:$X$1007,DASHBOARD!$C$4,'QUICK ENTRY'!$I$8:$I$1007,"Transport")+SUMIFS('QUICK ENTRY'!$E$8:$E$1007,'QUICK ENTRY'!$AF$8:$AF$1007,"Yes",'QUICK ENTRY'!$C$8:$C$1007,"Expense",'QUICK ENTRY'!$V$8:$V$1007,$A8,'QUICK ENTRY'!$X$8:$X$1007,DASHBOARD!$C$4,'QUICK ENTRY'!$I$8:$I$1007,"Travel Home")</f>
        <v>0</v>
      </c>
      <c r="O8" s="57">
        <f>SUMIFS('QUICK ENTRY'!$E$8:$E$1007,'QUICK ENTRY'!$AF$8:$AF$1007,"Yes",'QUICK ENTRY'!$C$8:$C$1007,"Expense",'QUICK ENTRY'!$V$8:$V$1007,$A8,'QUICK ENTRY'!$X$8:$X$1007,DASHBOARD!$C$4,'QUICK ENTRY'!$I$8:$I$1007,"College Fees")+SUMIFS('QUICK ENTRY'!$E$8:$E$1007,'QUICK ENTRY'!$AF$8:$AF$1007,"Yes",'QUICK ENTRY'!$C$8:$C$1007,"Expense",'QUICK ENTRY'!$V$8:$V$1007,$A8,'QUICK ENTRY'!$X$8:$X$1007,DASHBOARD!$C$4,'QUICK ENTRY'!$I$8:$I$1007,"AI-ML Learning")+SUMIFS('QUICK ENTRY'!$E$8:$E$1007,'QUICK ENTRY'!$AF$8:$AF$1007,"Yes",'QUICK ENTRY'!$C$8:$C$1007,"Expense",'QUICK ENTRY'!$V$8:$V$1007,$A8,'QUICK ENTRY'!$X$8:$X$1007,DASHBOARD!$C$4,'QUICK ENTRY'!$I$8:$I$1007,"Books &amp; Stationery")</f>
        <v>4500</v>
      </c>
      <c r="P8" s="57">
        <f>SUMIFS('QUICK ENTRY'!$E$8:$E$1007,'QUICK ENTRY'!$AF$8:$AF$1007,"Yes",'QUICK ENTRY'!$C$8:$C$1007,"Expense",'QUICK ENTRY'!$V$8:$V$1007,$A8,'QUICK ENTRY'!$X$8:$X$1007,DASHBOARD!$C$4,'QUICK ENTRY'!$I$8:$I$1007,"Technology")</f>
        <v>0</v>
      </c>
      <c r="Q8" s="57">
        <f>SUMIFS('QUICK ENTRY'!$E$8:$E$1007,'QUICK ENTRY'!$AF$8:$AF$1007,"Yes",'QUICK ENTRY'!$C$8:$C$1007,"Expense",'QUICK ENTRY'!$V$8:$V$1007,$A8,'QUICK ENTRY'!$X$8:$X$1007,DASHBOARD!$C$4,'QUICK ENTRY'!$I$8:$I$1007,"Entertainment")+SUMIFS('QUICK ENTRY'!$E$8:$E$1007,'QUICK ENTRY'!$AF$8:$AF$1007,"Yes",'QUICK ENTRY'!$C$8:$C$1007,"Expense",'QUICK ENTRY'!$V$8:$V$1007,$A8,'QUICK ENTRY'!$X$8:$X$1007,DASHBOARD!$C$4,'QUICK ENTRY'!$I$8:$I$1007,"Subscriptions")</f>
        <v>0</v>
      </c>
      <c r="R8" s="57">
        <f>SUMIFS('QUICK ENTRY'!$E$8:$E$1007,'QUICK ENTRY'!$AF$8:$AF$1007,"Yes",'QUICK ENTRY'!$C$8:$C$1007,"Expense",'QUICK ENTRY'!$V$8:$V$1007,$A8,'QUICK ENTRY'!$X$8:$X$1007,DASHBOARD!$C$4,'QUICK ENTRY'!$I$8:$I$1007,"Personal Care")+SUMIFS('QUICK ENTRY'!$E$8:$E$1007,'QUICK ENTRY'!$AF$8:$AF$1007,"Yes",'QUICK ENTRY'!$C$8:$C$1007,"Expense",'QUICK ENTRY'!$V$8:$V$1007,$A8,'QUICK ENTRY'!$X$8:$X$1007,DASHBOARD!$C$4,'QUICK ENTRY'!$I$8:$I$1007,"Clothing")+SUMIFS('QUICK ENTRY'!$E$8:$E$1007,'QUICK ENTRY'!$AF$8:$AF$1007,"Yes",'QUICK ENTRY'!$C$8:$C$1007,"Expense",'QUICK ENTRY'!$V$8:$V$1007,$A8,'QUICK ENTRY'!$X$8:$X$1007,DASHBOARD!$C$4,'QUICK ENTRY'!$I$8:$I$1007,"Shopping &amp; Gifts")+SUMIFS('QUICK ENTRY'!$E$8:$E$1007,'QUICK ENTRY'!$AF$8:$AF$1007,"Yes",'QUICK ENTRY'!$C$8:$C$1007,"Expense",'QUICK ENTRY'!$V$8:$V$1007,$A8,'QUICK ENTRY'!$X$8:$X$1007,DASHBOARD!$C$4,'QUICK ENTRY'!$I$8:$I$1007,"Health &amp; Fitness")</f>
        <v>0</v>
      </c>
      <c r="S8" s="57">
        <f t="shared" ref="S8:S19" si="9">$E8-SUM($L8:$R8)</f>
        <v>0</v>
      </c>
      <c r="T8" s="57">
        <f>$F8</f>
        <v>0</v>
      </c>
      <c r="U8" s="43">
        <f>COUNTIFS('QUICK ENTRY'!$AF$8:$AF$1007,"Yes",'QUICK ENTRY'!$C$8:$C$1007,"Expense",'QUICK ENTRY'!$V$8:$V$1007,$A8,'QUICK ENTRY'!$X$8:$X$1007,DASHBOARD!$C$4)</f>
        <v>2</v>
      </c>
      <c r="V8" s="60" t="str">
        <f>""</f>
        <v/>
      </c>
      <c r="W8" s="43">
        <f>ROUND(MAX(0,MIN(100,50+30*MAX(0,1-$E8/MAX(1,$D8))+20*MIN(1,$I8/MAX(0.01,SETTINGS!$B$15)))),0)</f>
        <v>71</v>
      </c>
      <c r="Y8" t="str">
        <f t="shared" si="0"/>
        <v>May</v>
      </c>
      <c r="Z8">
        <f t="shared" si="1"/>
        <v>25000</v>
      </c>
      <c r="AA8">
        <f t="shared" si="2"/>
        <v>26500</v>
      </c>
      <c r="AB8">
        <f t="shared" si="3"/>
        <v>3300</v>
      </c>
      <c r="AD8" t="str">
        <f t="shared" si="4"/>
        <v>May</v>
      </c>
      <c r="AE8">
        <f t="shared" si="5"/>
        <v>0</v>
      </c>
    </row>
    <row r="9" spans="1:31" ht="14.4">
      <c r="A9" s="3" t="s">
        <v>231</v>
      </c>
      <c r="B9" s="3">
        <v>2</v>
      </c>
      <c r="C9" s="58">
        <f>SUMIFS('QUICK ENTRY'!$E$8:$E$1007,'QUICK ENTRY'!$AF$8:$AF$1007,"Yes",'QUICK ENTRY'!$C$8:$C$1007,"Income",'QUICK ENTRY'!$V$8:$V$1007,$A9,'QUICK ENTRY'!$X$8:$X$1007,DASHBOARD!$C$4)+SUMIFS('QUICK ENTRY'!$E$8:$E$1007,'QUICK ENTRY'!$AF$8:$AF$1007,"Yes",'QUICK ENTRY'!$C$8:$C$1007,"Refund",'QUICK ENTRY'!$V$8:$V$1007,$A9,'QUICK ENTRY'!$X$8:$X$1007,DASHBOARD!$C$4)+SUMIFS('QUICK ENTRY'!$E$8:$E$1007,'QUICK ENTRY'!$AF$8:$AF$1007,"Yes",'QUICK ENTRY'!$C$8:$C$1007,"Reimbursement",'QUICK ENTRY'!$V$8:$V$1007,$A9,'QUICK ENTRY'!$X$8:$X$1007,DASHBOARD!$C$4)</f>
        <v>25000</v>
      </c>
      <c r="D9" s="58">
        <f>'MONTHLY BUDGET'!$H$28</f>
        <v>26500</v>
      </c>
      <c r="E9" s="58">
        <f>SUMIFS('QUICK ENTRY'!$E$8:$E$1007,'QUICK ENTRY'!$AF$8:$AF$1007,"Yes",'QUICK ENTRY'!$C$8:$C$1007,"Expense",'QUICK ENTRY'!$V$8:$V$1007,$A9,'QUICK ENTRY'!$X$8:$X$1007,DASHBOARD!$C$4)</f>
        <v>4400</v>
      </c>
      <c r="F9" s="58">
        <f>SUMIFS('QUICK ENTRY'!$E$8:$E$1007,'QUICK ENTRY'!$AF$8:$AF$1007,"Yes",'QUICK ENTRY'!$C$8:$C$1007,"Savings Transfer",'QUICK ENTRY'!$V$8:$V$1007,$A9,'QUICK ENTRY'!$X$8:$X$1007,DASHBOARD!$C$4)</f>
        <v>0</v>
      </c>
      <c r="G9" s="58">
        <f t="shared" si="6"/>
        <v>20600</v>
      </c>
      <c r="H9" s="58">
        <f t="shared" ref="H9:H19" si="10">$H8+$C9-$E9-$F9</f>
        <v>37600</v>
      </c>
      <c r="I9" s="61">
        <f t="shared" si="7"/>
        <v>0</v>
      </c>
      <c r="J9" s="58">
        <f>SUMIFS('QUICK ENTRY'!$E$8:$E$1007,'QUICK ENTRY'!$AF$8:$AF$1007,"Yes",'QUICK ENTRY'!$C$8:$C$1007,"Expense",'QUICK ENTRY'!$V$8:$V$1007,$A9,'QUICK ENTRY'!$X$8:$X$1007,DASHBOARD!$C$4,'QUICK ENTRY'!$I$8:$I$1007,"College Fees")+SUMIFS('QUICK ENTRY'!$E$8:$E$1007,'QUICK ENTRY'!$AF$8:$AF$1007,"Yes",'QUICK ENTRY'!$C$8:$C$1007,"Expense",'QUICK ENTRY'!$V$8:$V$1007,$A9,'QUICK ENTRY'!$X$8:$X$1007,DASHBOARD!$C$4,'QUICK ENTRY'!$I$8:$I$1007,"Hostel")+SUMIFS('QUICK ENTRY'!$E$8:$E$1007,'QUICK ENTRY'!$AF$8:$AF$1007,"Yes",'QUICK ENTRY'!$C$8:$C$1007,"Expense",'QUICK ENTRY'!$V$8:$V$1007,$A9,'QUICK ENTRY'!$X$8:$X$1007,DASHBOARD!$C$4,'QUICK ENTRY'!$I$8:$I$1007,"Subscriptions")+SUMIFS('QUICK ENTRY'!$E$8:$E$1007,'QUICK ENTRY'!$AF$8:$AF$1007,"Yes",'QUICK ENTRY'!$C$8:$C$1007,"Expense",'QUICK ENTRY'!$V$8:$V$1007,$A9,'QUICK ENTRY'!$X$8:$X$1007,DASHBOARD!$C$4,'QUICK ENTRY'!$I$8:$I$1007,"Mobile &amp; Internet")</f>
        <v>0</v>
      </c>
      <c r="K9" s="58">
        <f t="shared" si="8"/>
        <v>4400</v>
      </c>
      <c r="L9" s="58">
        <f>SUMIFS('QUICK ENTRY'!$E$8:$E$1007,'QUICK ENTRY'!$AF$8:$AF$1007,"Yes",'QUICK ENTRY'!$C$8:$C$1007,"Expense",'QUICK ENTRY'!$V$8:$V$1007,$A9,'QUICK ENTRY'!$X$8:$X$1007,DASHBOARD!$C$4,'QUICK ENTRY'!$I$8:$I$1007,"Hostel")</f>
        <v>0</v>
      </c>
      <c r="M9" s="58">
        <f>SUMIFS('QUICK ENTRY'!$E$8:$E$1007,'QUICK ENTRY'!$AF$8:$AF$1007,"Yes",'QUICK ENTRY'!$C$8:$C$1007,"Expense",'QUICK ENTRY'!$V$8:$V$1007,$A9,'QUICK ENTRY'!$X$8:$X$1007,DASHBOARD!$C$4,'QUICK ENTRY'!$I$8:$I$1007,"Food")</f>
        <v>3200</v>
      </c>
      <c r="N9" s="58">
        <f>SUMIFS('QUICK ENTRY'!$E$8:$E$1007,'QUICK ENTRY'!$AF$8:$AF$1007,"Yes",'QUICK ENTRY'!$C$8:$C$1007,"Expense",'QUICK ENTRY'!$V$8:$V$1007,$A9,'QUICK ENTRY'!$X$8:$X$1007,DASHBOARD!$C$4,'QUICK ENTRY'!$I$8:$I$1007,"Transport")+SUMIFS('QUICK ENTRY'!$E$8:$E$1007,'QUICK ENTRY'!$AF$8:$AF$1007,"Yes",'QUICK ENTRY'!$C$8:$C$1007,"Expense",'QUICK ENTRY'!$V$8:$V$1007,$A9,'QUICK ENTRY'!$X$8:$X$1007,DASHBOARD!$C$4,'QUICK ENTRY'!$I$8:$I$1007,"Travel Home")</f>
        <v>1200</v>
      </c>
      <c r="O9" s="58">
        <f>SUMIFS('QUICK ENTRY'!$E$8:$E$1007,'QUICK ENTRY'!$AF$8:$AF$1007,"Yes",'QUICK ENTRY'!$C$8:$C$1007,"Expense",'QUICK ENTRY'!$V$8:$V$1007,$A9,'QUICK ENTRY'!$X$8:$X$1007,DASHBOARD!$C$4,'QUICK ENTRY'!$I$8:$I$1007,"College Fees")+SUMIFS('QUICK ENTRY'!$E$8:$E$1007,'QUICK ENTRY'!$AF$8:$AF$1007,"Yes",'QUICK ENTRY'!$C$8:$C$1007,"Expense",'QUICK ENTRY'!$V$8:$V$1007,$A9,'QUICK ENTRY'!$X$8:$X$1007,DASHBOARD!$C$4,'QUICK ENTRY'!$I$8:$I$1007,"AI-ML Learning")+SUMIFS('QUICK ENTRY'!$E$8:$E$1007,'QUICK ENTRY'!$AF$8:$AF$1007,"Yes",'QUICK ENTRY'!$C$8:$C$1007,"Expense",'QUICK ENTRY'!$V$8:$V$1007,$A9,'QUICK ENTRY'!$X$8:$X$1007,DASHBOARD!$C$4,'QUICK ENTRY'!$I$8:$I$1007,"Books &amp; Stationery")</f>
        <v>0</v>
      </c>
      <c r="P9" s="58">
        <f>SUMIFS('QUICK ENTRY'!$E$8:$E$1007,'QUICK ENTRY'!$AF$8:$AF$1007,"Yes",'QUICK ENTRY'!$C$8:$C$1007,"Expense",'QUICK ENTRY'!$V$8:$V$1007,$A9,'QUICK ENTRY'!$X$8:$X$1007,DASHBOARD!$C$4,'QUICK ENTRY'!$I$8:$I$1007,"Technology")</f>
        <v>0</v>
      </c>
      <c r="Q9" s="58">
        <f>SUMIFS('QUICK ENTRY'!$E$8:$E$1007,'QUICK ENTRY'!$AF$8:$AF$1007,"Yes",'QUICK ENTRY'!$C$8:$C$1007,"Expense",'QUICK ENTRY'!$V$8:$V$1007,$A9,'QUICK ENTRY'!$X$8:$X$1007,DASHBOARD!$C$4,'QUICK ENTRY'!$I$8:$I$1007,"Entertainment")+SUMIFS('QUICK ENTRY'!$E$8:$E$1007,'QUICK ENTRY'!$AF$8:$AF$1007,"Yes",'QUICK ENTRY'!$C$8:$C$1007,"Expense",'QUICK ENTRY'!$V$8:$V$1007,$A9,'QUICK ENTRY'!$X$8:$X$1007,DASHBOARD!$C$4,'QUICK ENTRY'!$I$8:$I$1007,"Subscriptions")</f>
        <v>0</v>
      </c>
      <c r="R9" s="58">
        <f>SUMIFS('QUICK ENTRY'!$E$8:$E$1007,'QUICK ENTRY'!$AF$8:$AF$1007,"Yes",'QUICK ENTRY'!$C$8:$C$1007,"Expense",'QUICK ENTRY'!$V$8:$V$1007,$A9,'QUICK ENTRY'!$X$8:$X$1007,DASHBOARD!$C$4,'QUICK ENTRY'!$I$8:$I$1007,"Personal Care")+SUMIFS('QUICK ENTRY'!$E$8:$E$1007,'QUICK ENTRY'!$AF$8:$AF$1007,"Yes",'QUICK ENTRY'!$C$8:$C$1007,"Expense",'QUICK ENTRY'!$V$8:$V$1007,$A9,'QUICK ENTRY'!$X$8:$X$1007,DASHBOARD!$C$4,'QUICK ENTRY'!$I$8:$I$1007,"Clothing")+SUMIFS('QUICK ENTRY'!$E$8:$E$1007,'QUICK ENTRY'!$AF$8:$AF$1007,"Yes",'QUICK ENTRY'!$C$8:$C$1007,"Expense",'QUICK ENTRY'!$V$8:$V$1007,$A9,'QUICK ENTRY'!$X$8:$X$1007,DASHBOARD!$C$4,'QUICK ENTRY'!$I$8:$I$1007,"Shopping &amp; Gifts")+SUMIFS('QUICK ENTRY'!$E$8:$E$1007,'QUICK ENTRY'!$AF$8:$AF$1007,"Yes",'QUICK ENTRY'!$C$8:$C$1007,"Expense",'QUICK ENTRY'!$V$8:$V$1007,$A9,'QUICK ENTRY'!$X$8:$X$1007,DASHBOARD!$C$4,'QUICK ENTRY'!$I$8:$I$1007,"Health &amp; Fitness")</f>
        <v>0</v>
      </c>
      <c r="S9" s="58">
        <f t="shared" si="9"/>
        <v>0</v>
      </c>
      <c r="T9" s="58">
        <f t="shared" ref="T9:T19" si="11">$T8+$F9</f>
        <v>0</v>
      </c>
      <c r="U9" s="44">
        <f>COUNTIFS('QUICK ENTRY'!$AF$8:$AF$1007,"Yes",'QUICK ENTRY'!$C$8:$C$1007,"Expense",'QUICK ENTRY'!$V$8:$V$1007,$A9,'QUICK ENTRY'!$X$8:$X$1007,DASHBOARD!$C$4)</f>
        <v>2</v>
      </c>
      <c r="V9" s="61">
        <f t="shared" ref="V9:V19" si="12">IFERROR(($E9-$E8)/$E8,0)</f>
        <v>-0.45</v>
      </c>
      <c r="W9" s="44">
        <f>ROUND(MAX(0,MIN(100,50+30*MAX(0,1-$E9/MAX(1,$D9))+20*MIN(1,$I9/MAX(0.01,SETTINGS!$B$15)))),0)</f>
        <v>75</v>
      </c>
      <c r="Y9" t="str">
        <f t="shared" si="0"/>
        <v>June</v>
      </c>
      <c r="Z9">
        <f t="shared" si="1"/>
        <v>25000</v>
      </c>
      <c r="AA9">
        <f t="shared" si="2"/>
        <v>26500</v>
      </c>
      <c r="AB9">
        <f t="shared" si="3"/>
        <v>2649</v>
      </c>
      <c r="AD9" t="str">
        <f t="shared" si="4"/>
        <v>June</v>
      </c>
      <c r="AE9">
        <f t="shared" si="5"/>
        <v>0</v>
      </c>
    </row>
    <row r="10" spans="1:31" ht="14.4">
      <c r="A10" s="3" t="s">
        <v>232</v>
      </c>
      <c r="B10" s="3">
        <v>3</v>
      </c>
      <c r="C10" s="58">
        <f>SUMIFS('QUICK ENTRY'!$E$8:$E$1007,'QUICK ENTRY'!$AF$8:$AF$1007,"Yes",'QUICK ENTRY'!$C$8:$C$1007,"Income",'QUICK ENTRY'!$V$8:$V$1007,$A10,'QUICK ENTRY'!$X$8:$X$1007,DASHBOARD!$C$4)+SUMIFS('QUICK ENTRY'!$E$8:$E$1007,'QUICK ENTRY'!$AF$8:$AF$1007,"Yes",'QUICK ENTRY'!$C$8:$C$1007,"Refund",'QUICK ENTRY'!$V$8:$V$1007,$A10,'QUICK ENTRY'!$X$8:$X$1007,DASHBOARD!$C$4)+SUMIFS('QUICK ENTRY'!$E$8:$E$1007,'QUICK ENTRY'!$AF$8:$AF$1007,"Yes",'QUICK ENTRY'!$C$8:$C$1007,"Reimbursement",'QUICK ENTRY'!$V$8:$V$1007,$A10,'QUICK ENTRY'!$X$8:$X$1007,DASHBOARD!$C$4)</f>
        <v>25000</v>
      </c>
      <c r="D10" s="58">
        <f>'MONTHLY BUDGET'!$I$28</f>
        <v>26500</v>
      </c>
      <c r="E10" s="58">
        <f>SUMIFS('QUICK ENTRY'!$E$8:$E$1007,'QUICK ENTRY'!$AF$8:$AF$1007,"Yes",'QUICK ENTRY'!$C$8:$C$1007,"Expense",'QUICK ENTRY'!$V$8:$V$1007,$A10,'QUICK ENTRY'!$X$8:$X$1007,DASHBOARD!$C$4)</f>
        <v>3099</v>
      </c>
      <c r="F10" s="58">
        <f>SUMIFS('QUICK ENTRY'!$E$8:$E$1007,'QUICK ENTRY'!$AF$8:$AF$1007,"Yes",'QUICK ENTRY'!$C$8:$C$1007,"Savings Transfer",'QUICK ENTRY'!$V$8:$V$1007,$A10,'QUICK ENTRY'!$X$8:$X$1007,DASHBOARD!$C$4)</f>
        <v>0</v>
      </c>
      <c r="G10" s="58">
        <f t="shared" si="6"/>
        <v>21901</v>
      </c>
      <c r="H10" s="58">
        <f t="shared" si="10"/>
        <v>59501</v>
      </c>
      <c r="I10" s="61">
        <f t="shared" si="7"/>
        <v>0</v>
      </c>
      <c r="J10" s="58">
        <f>SUMIFS('QUICK ENTRY'!$E$8:$E$1007,'QUICK ENTRY'!$AF$8:$AF$1007,"Yes",'QUICK ENTRY'!$C$8:$C$1007,"Expense",'QUICK ENTRY'!$V$8:$V$1007,$A10,'QUICK ENTRY'!$X$8:$X$1007,DASHBOARD!$C$4,'QUICK ENTRY'!$I$8:$I$1007,"College Fees")+SUMIFS('QUICK ENTRY'!$E$8:$E$1007,'QUICK ENTRY'!$AF$8:$AF$1007,"Yes",'QUICK ENTRY'!$C$8:$C$1007,"Expense",'QUICK ENTRY'!$V$8:$V$1007,$A10,'QUICK ENTRY'!$X$8:$X$1007,DASHBOARD!$C$4,'QUICK ENTRY'!$I$8:$I$1007,"Hostel")+SUMIFS('QUICK ENTRY'!$E$8:$E$1007,'QUICK ENTRY'!$AF$8:$AF$1007,"Yes",'QUICK ENTRY'!$C$8:$C$1007,"Expense",'QUICK ENTRY'!$V$8:$V$1007,$A10,'QUICK ENTRY'!$X$8:$X$1007,DASHBOARD!$C$4,'QUICK ENTRY'!$I$8:$I$1007,"Subscriptions")+SUMIFS('QUICK ENTRY'!$E$8:$E$1007,'QUICK ENTRY'!$AF$8:$AF$1007,"Yes",'QUICK ENTRY'!$C$8:$C$1007,"Expense",'QUICK ENTRY'!$V$8:$V$1007,$A10,'QUICK ENTRY'!$X$8:$X$1007,DASHBOARD!$C$4,'QUICK ENTRY'!$I$8:$I$1007,"Mobile &amp; Internet")</f>
        <v>599</v>
      </c>
      <c r="K10" s="58">
        <f t="shared" si="8"/>
        <v>2500</v>
      </c>
      <c r="L10" s="58">
        <f>SUMIFS('QUICK ENTRY'!$E$8:$E$1007,'QUICK ENTRY'!$AF$8:$AF$1007,"Yes",'QUICK ENTRY'!$C$8:$C$1007,"Expense",'QUICK ENTRY'!$V$8:$V$1007,$A10,'QUICK ENTRY'!$X$8:$X$1007,DASHBOARD!$C$4,'QUICK ENTRY'!$I$8:$I$1007,"Hostel")</f>
        <v>0</v>
      </c>
      <c r="M10" s="58">
        <f>SUMIFS('QUICK ENTRY'!$E$8:$E$1007,'QUICK ENTRY'!$AF$8:$AF$1007,"Yes",'QUICK ENTRY'!$C$8:$C$1007,"Expense",'QUICK ENTRY'!$V$8:$V$1007,$A10,'QUICK ENTRY'!$X$8:$X$1007,DASHBOARD!$C$4,'QUICK ENTRY'!$I$8:$I$1007,"Food")</f>
        <v>0</v>
      </c>
      <c r="N10" s="58">
        <f>SUMIFS('QUICK ENTRY'!$E$8:$E$1007,'QUICK ENTRY'!$AF$8:$AF$1007,"Yes",'QUICK ENTRY'!$C$8:$C$1007,"Expense",'QUICK ENTRY'!$V$8:$V$1007,$A10,'QUICK ENTRY'!$X$8:$X$1007,DASHBOARD!$C$4,'QUICK ENTRY'!$I$8:$I$1007,"Transport")+SUMIFS('QUICK ENTRY'!$E$8:$E$1007,'QUICK ENTRY'!$AF$8:$AF$1007,"Yes",'QUICK ENTRY'!$C$8:$C$1007,"Expense",'QUICK ENTRY'!$V$8:$V$1007,$A10,'QUICK ENTRY'!$X$8:$X$1007,DASHBOARD!$C$4,'QUICK ENTRY'!$I$8:$I$1007,"Travel Home")</f>
        <v>0</v>
      </c>
      <c r="O10" s="58">
        <f>SUMIFS('QUICK ENTRY'!$E$8:$E$1007,'QUICK ENTRY'!$AF$8:$AF$1007,"Yes",'QUICK ENTRY'!$C$8:$C$1007,"Expense",'QUICK ENTRY'!$V$8:$V$1007,$A10,'QUICK ENTRY'!$X$8:$X$1007,DASHBOARD!$C$4,'QUICK ENTRY'!$I$8:$I$1007,"College Fees")+SUMIFS('QUICK ENTRY'!$E$8:$E$1007,'QUICK ENTRY'!$AF$8:$AF$1007,"Yes",'QUICK ENTRY'!$C$8:$C$1007,"Expense",'QUICK ENTRY'!$V$8:$V$1007,$A10,'QUICK ENTRY'!$X$8:$X$1007,DASHBOARD!$C$4,'QUICK ENTRY'!$I$8:$I$1007,"AI-ML Learning")+SUMIFS('QUICK ENTRY'!$E$8:$E$1007,'QUICK ENTRY'!$AF$8:$AF$1007,"Yes",'QUICK ENTRY'!$C$8:$C$1007,"Expense",'QUICK ENTRY'!$V$8:$V$1007,$A10,'QUICK ENTRY'!$X$8:$X$1007,DASHBOARD!$C$4,'QUICK ENTRY'!$I$8:$I$1007,"Books &amp; Stationery")</f>
        <v>0</v>
      </c>
      <c r="P10" s="58">
        <f>SUMIFS('QUICK ENTRY'!$E$8:$E$1007,'QUICK ENTRY'!$AF$8:$AF$1007,"Yes",'QUICK ENTRY'!$C$8:$C$1007,"Expense",'QUICK ENTRY'!$V$8:$V$1007,$A10,'QUICK ENTRY'!$X$8:$X$1007,DASHBOARD!$C$4,'QUICK ENTRY'!$I$8:$I$1007,"Technology")</f>
        <v>2500</v>
      </c>
      <c r="Q10" s="58">
        <f>SUMIFS('QUICK ENTRY'!$E$8:$E$1007,'QUICK ENTRY'!$AF$8:$AF$1007,"Yes",'QUICK ENTRY'!$C$8:$C$1007,"Expense",'QUICK ENTRY'!$V$8:$V$1007,$A10,'QUICK ENTRY'!$X$8:$X$1007,DASHBOARD!$C$4,'QUICK ENTRY'!$I$8:$I$1007,"Entertainment")+SUMIFS('QUICK ENTRY'!$E$8:$E$1007,'QUICK ENTRY'!$AF$8:$AF$1007,"Yes",'QUICK ENTRY'!$C$8:$C$1007,"Expense",'QUICK ENTRY'!$V$8:$V$1007,$A10,'QUICK ENTRY'!$X$8:$X$1007,DASHBOARD!$C$4,'QUICK ENTRY'!$I$8:$I$1007,"Subscriptions")</f>
        <v>599</v>
      </c>
      <c r="R10" s="58">
        <f>SUMIFS('QUICK ENTRY'!$E$8:$E$1007,'QUICK ENTRY'!$AF$8:$AF$1007,"Yes",'QUICK ENTRY'!$C$8:$C$1007,"Expense",'QUICK ENTRY'!$V$8:$V$1007,$A10,'QUICK ENTRY'!$X$8:$X$1007,DASHBOARD!$C$4,'QUICK ENTRY'!$I$8:$I$1007,"Personal Care")+SUMIFS('QUICK ENTRY'!$E$8:$E$1007,'QUICK ENTRY'!$AF$8:$AF$1007,"Yes",'QUICK ENTRY'!$C$8:$C$1007,"Expense",'QUICK ENTRY'!$V$8:$V$1007,$A10,'QUICK ENTRY'!$X$8:$X$1007,DASHBOARD!$C$4,'QUICK ENTRY'!$I$8:$I$1007,"Clothing")+SUMIFS('QUICK ENTRY'!$E$8:$E$1007,'QUICK ENTRY'!$AF$8:$AF$1007,"Yes",'QUICK ENTRY'!$C$8:$C$1007,"Expense",'QUICK ENTRY'!$V$8:$V$1007,$A10,'QUICK ENTRY'!$X$8:$X$1007,DASHBOARD!$C$4,'QUICK ENTRY'!$I$8:$I$1007,"Shopping &amp; Gifts")+SUMIFS('QUICK ENTRY'!$E$8:$E$1007,'QUICK ENTRY'!$AF$8:$AF$1007,"Yes",'QUICK ENTRY'!$C$8:$C$1007,"Expense",'QUICK ENTRY'!$V$8:$V$1007,$A10,'QUICK ENTRY'!$X$8:$X$1007,DASHBOARD!$C$4,'QUICK ENTRY'!$I$8:$I$1007,"Health &amp; Fitness")</f>
        <v>0</v>
      </c>
      <c r="S10" s="58">
        <f t="shared" si="9"/>
        <v>0</v>
      </c>
      <c r="T10" s="58">
        <f t="shared" si="11"/>
        <v>0</v>
      </c>
      <c r="U10" s="44">
        <f>COUNTIFS('QUICK ENTRY'!$AF$8:$AF$1007,"Yes",'QUICK ENTRY'!$C$8:$C$1007,"Expense",'QUICK ENTRY'!$V$8:$V$1007,$A10,'QUICK ENTRY'!$X$8:$X$1007,DASHBOARD!$C$4)</f>
        <v>2</v>
      </c>
      <c r="V10" s="61">
        <f t="shared" si="12"/>
        <v>-0.29568181818181816</v>
      </c>
      <c r="W10" s="44">
        <f>ROUND(MAX(0,MIN(100,50+30*MAX(0,1-$E10/MAX(1,$D10))+20*MIN(1,$I10/MAX(0.01,SETTINGS!$B$15)))),0)</f>
        <v>76</v>
      </c>
      <c r="Y10" t="str">
        <f t="shared" si="0"/>
        <v>July</v>
      </c>
      <c r="Z10">
        <f t="shared" si="1"/>
        <v>25000</v>
      </c>
      <c r="AA10">
        <f t="shared" si="2"/>
        <v>26500</v>
      </c>
      <c r="AB10">
        <f t="shared" si="3"/>
        <v>8200</v>
      </c>
      <c r="AD10" t="str">
        <f t="shared" si="4"/>
        <v>July</v>
      </c>
      <c r="AE10">
        <f t="shared" si="5"/>
        <v>0</v>
      </c>
    </row>
    <row r="11" spans="1:31" ht="14.4">
      <c r="A11" s="3" t="s">
        <v>233</v>
      </c>
      <c r="B11" s="3">
        <v>4</v>
      </c>
      <c r="C11" s="58">
        <f>SUMIFS('QUICK ENTRY'!$E$8:$E$1007,'QUICK ENTRY'!$AF$8:$AF$1007,"Yes",'QUICK ENTRY'!$C$8:$C$1007,"Income",'QUICK ENTRY'!$V$8:$V$1007,$A11,'QUICK ENTRY'!$X$8:$X$1007,DASHBOARD!$C$4)+SUMIFS('QUICK ENTRY'!$E$8:$E$1007,'QUICK ENTRY'!$AF$8:$AF$1007,"Yes",'QUICK ENTRY'!$C$8:$C$1007,"Refund",'QUICK ENTRY'!$V$8:$V$1007,$A11,'QUICK ENTRY'!$X$8:$X$1007,DASHBOARD!$C$4)+SUMIFS('QUICK ENTRY'!$E$8:$E$1007,'QUICK ENTRY'!$AF$8:$AF$1007,"Yes",'QUICK ENTRY'!$C$8:$C$1007,"Reimbursement",'QUICK ENTRY'!$V$8:$V$1007,$A11,'QUICK ENTRY'!$X$8:$X$1007,DASHBOARD!$C$4)</f>
        <v>25000</v>
      </c>
      <c r="D11" s="58">
        <f>'MONTHLY BUDGET'!$J$28</f>
        <v>26500</v>
      </c>
      <c r="E11" s="58">
        <f>SUMIFS('QUICK ENTRY'!$E$8:$E$1007,'QUICK ENTRY'!$AF$8:$AF$1007,"Yes",'QUICK ENTRY'!$C$8:$C$1007,"Expense",'QUICK ENTRY'!$V$8:$V$1007,$A11,'QUICK ENTRY'!$X$8:$X$1007,DASHBOARD!$C$4)</f>
        <v>4900</v>
      </c>
      <c r="F11" s="58">
        <f>SUMIFS('QUICK ENTRY'!$E$8:$E$1007,'QUICK ENTRY'!$AF$8:$AF$1007,"Yes",'QUICK ENTRY'!$C$8:$C$1007,"Savings Transfer",'QUICK ENTRY'!$V$8:$V$1007,$A11,'QUICK ENTRY'!$X$8:$X$1007,DASHBOARD!$C$4)</f>
        <v>0</v>
      </c>
      <c r="G11" s="58">
        <f t="shared" si="6"/>
        <v>20100</v>
      </c>
      <c r="H11" s="58">
        <f t="shared" si="10"/>
        <v>79601</v>
      </c>
      <c r="I11" s="61">
        <f t="shared" si="7"/>
        <v>0</v>
      </c>
      <c r="J11" s="58">
        <f>SUMIFS('QUICK ENTRY'!$E$8:$E$1007,'QUICK ENTRY'!$AF$8:$AF$1007,"Yes",'QUICK ENTRY'!$C$8:$C$1007,"Expense",'QUICK ENTRY'!$V$8:$V$1007,$A11,'QUICK ENTRY'!$X$8:$X$1007,DASHBOARD!$C$4,'QUICK ENTRY'!$I$8:$I$1007,"College Fees")+SUMIFS('QUICK ENTRY'!$E$8:$E$1007,'QUICK ENTRY'!$AF$8:$AF$1007,"Yes",'QUICK ENTRY'!$C$8:$C$1007,"Expense",'QUICK ENTRY'!$V$8:$V$1007,$A11,'QUICK ENTRY'!$X$8:$X$1007,DASHBOARD!$C$4,'QUICK ENTRY'!$I$8:$I$1007,"Hostel")+SUMIFS('QUICK ENTRY'!$E$8:$E$1007,'QUICK ENTRY'!$AF$8:$AF$1007,"Yes",'QUICK ENTRY'!$C$8:$C$1007,"Expense",'QUICK ENTRY'!$V$8:$V$1007,$A11,'QUICK ENTRY'!$X$8:$X$1007,DASHBOARD!$C$4,'QUICK ENTRY'!$I$8:$I$1007,"Subscriptions")+SUMIFS('QUICK ENTRY'!$E$8:$E$1007,'QUICK ENTRY'!$AF$8:$AF$1007,"Yes",'QUICK ENTRY'!$C$8:$C$1007,"Expense",'QUICK ENTRY'!$V$8:$V$1007,$A11,'QUICK ENTRY'!$X$8:$X$1007,DASHBOARD!$C$4,'QUICK ENTRY'!$I$8:$I$1007,"Mobile &amp; Internet")</f>
        <v>0</v>
      </c>
      <c r="K11" s="58">
        <f t="shared" si="8"/>
        <v>4900</v>
      </c>
      <c r="L11" s="58">
        <f>SUMIFS('QUICK ENTRY'!$E$8:$E$1007,'QUICK ENTRY'!$AF$8:$AF$1007,"Yes",'QUICK ENTRY'!$C$8:$C$1007,"Expense",'QUICK ENTRY'!$V$8:$V$1007,$A11,'QUICK ENTRY'!$X$8:$X$1007,DASHBOARD!$C$4,'QUICK ENTRY'!$I$8:$I$1007,"Hostel")</f>
        <v>0</v>
      </c>
      <c r="M11" s="58">
        <f>SUMIFS('QUICK ENTRY'!$E$8:$E$1007,'QUICK ENTRY'!$AF$8:$AF$1007,"Yes",'QUICK ENTRY'!$C$8:$C$1007,"Expense",'QUICK ENTRY'!$V$8:$V$1007,$A11,'QUICK ENTRY'!$X$8:$X$1007,DASHBOARD!$C$4,'QUICK ENTRY'!$I$8:$I$1007,"Food")</f>
        <v>3700</v>
      </c>
      <c r="N11" s="58">
        <f>SUMIFS('QUICK ENTRY'!$E$8:$E$1007,'QUICK ENTRY'!$AF$8:$AF$1007,"Yes",'QUICK ENTRY'!$C$8:$C$1007,"Expense",'QUICK ENTRY'!$V$8:$V$1007,$A11,'QUICK ENTRY'!$X$8:$X$1007,DASHBOARD!$C$4,'QUICK ENTRY'!$I$8:$I$1007,"Transport")+SUMIFS('QUICK ENTRY'!$E$8:$E$1007,'QUICK ENTRY'!$AF$8:$AF$1007,"Yes",'QUICK ENTRY'!$C$8:$C$1007,"Expense",'QUICK ENTRY'!$V$8:$V$1007,$A11,'QUICK ENTRY'!$X$8:$X$1007,DASHBOARD!$C$4,'QUICK ENTRY'!$I$8:$I$1007,"Travel Home")</f>
        <v>0</v>
      </c>
      <c r="O11" s="58">
        <f>SUMIFS('QUICK ENTRY'!$E$8:$E$1007,'QUICK ENTRY'!$AF$8:$AF$1007,"Yes",'QUICK ENTRY'!$C$8:$C$1007,"Expense",'QUICK ENTRY'!$V$8:$V$1007,$A11,'QUICK ENTRY'!$X$8:$X$1007,DASHBOARD!$C$4,'QUICK ENTRY'!$I$8:$I$1007,"College Fees")+SUMIFS('QUICK ENTRY'!$E$8:$E$1007,'QUICK ENTRY'!$AF$8:$AF$1007,"Yes",'QUICK ENTRY'!$C$8:$C$1007,"Expense",'QUICK ENTRY'!$V$8:$V$1007,$A11,'QUICK ENTRY'!$X$8:$X$1007,DASHBOARD!$C$4,'QUICK ENTRY'!$I$8:$I$1007,"AI-ML Learning")+SUMIFS('QUICK ENTRY'!$E$8:$E$1007,'QUICK ENTRY'!$AF$8:$AF$1007,"Yes",'QUICK ENTRY'!$C$8:$C$1007,"Expense",'QUICK ENTRY'!$V$8:$V$1007,$A11,'QUICK ENTRY'!$X$8:$X$1007,DASHBOARD!$C$4,'QUICK ENTRY'!$I$8:$I$1007,"Books &amp; Stationery")</f>
        <v>0</v>
      </c>
      <c r="P11" s="58">
        <f>SUMIFS('QUICK ENTRY'!$E$8:$E$1007,'QUICK ENTRY'!$AF$8:$AF$1007,"Yes",'QUICK ENTRY'!$C$8:$C$1007,"Expense",'QUICK ENTRY'!$V$8:$V$1007,$A11,'QUICK ENTRY'!$X$8:$X$1007,DASHBOARD!$C$4,'QUICK ENTRY'!$I$8:$I$1007,"Technology")</f>
        <v>0</v>
      </c>
      <c r="Q11" s="58">
        <f>SUMIFS('QUICK ENTRY'!$E$8:$E$1007,'QUICK ENTRY'!$AF$8:$AF$1007,"Yes",'QUICK ENTRY'!$C$8:$C$1007,"Expense",'QUICK ENTRY'!$V$8:$V$1007,$A11,'QUICK ENTRY'!$X$8:$X$1007,DASHBOARD!$C$4,'QUICK ENTRY'!$I$8:$I$1007,"Entertainment")+SUMIFS('QUICK ENTRY'!$E$8:$E$1007,'QUICK ENTRY'!$AF$8:$AF$1007,"Yes",'QUICK ENTRY'!$C$8:$C$1007,"Expense",'QUICK ENTRY'!$V$8:$V$1007,$A11,'QUICK ENTRY'!$X$8:$X$1007,DASHBOARD!$C$4,'QUICK ENTRY'!$I$8:$I$1007,"Subscriptions")</f>
        <v>0</v>
      </c>
      <c r="R11" s="58">
        <f>SUMIFS('QUICK ENTRY'!$E$8:$E$1007,'QUICK ENTRY'!$AF$8:$AF$1007,"Yes",'QUICK ENTRY'!$C$8:$C$1007,"Expense",'QUICK ENTRY'!$V$8:$V$1007,$A11,'QUICK ENTRY'!$X$8:$X$1007,DASHBOARD!$C$4,'QUICK ENTRY'!$I$8:$I$1007,"Personal Care")+SUMIFS('QUICK ENTRY'!$E$8:$E$1007,'QUICK ENTRY'!$AF$8:$AF$1007,"Yes",'QUICK ENTRY'!$C$8:$C$1007,"Expense",'QUICK ENTRY'!$V$8:$V$1007,$A11,'QUICK ENTRY'!$X$8:$X$1007,DASHBOARD!$C$4,'QUICK ENTRY'!$I$8:$I$1007,"Clothing")+SUMIFS('QUICK ENTRY'!$E$8:$E$1007,'QUICK ENTRY'!$AF$8:$AF$1007,"Yes",'QUICK ENTRY'!$C$8:$C$1007,"Expense",'QUICK ENTRY'!$V$8:$V$1007,$A11,'QUICK ENTRY'!$X$8:$X$1007,DASHBOARD!$C$4,'QUICK ENTRY'!$I$8:$I$1007,"Shopping &amp; Gifts")+SUMIFS('QUICK ENTRY'!$E$8:$E$1007,'QUICK ENTRY'!$AF$8:$AF$1007,"Yes",'QUICK ENTRY'!$C$8:$C$1007,"Expense",'QUICK ENTRY'!$V$8:$V$1007,$A11,'QUICK ENTRY'!$X$8:$X$1007,DASHBOARD!$C$4,'QUICK ENTRY'!$I$8:$I$1007,"Health &amp; Fitness")</f>
        <v>1200</v>
      </c>
      <c r="S11" s="58">
        <f t="shared" si="9"/>
        <v>0</v>
      </c>
      <c r="T11" s="58">
        <f t="shared" si="11"/>
        <v>0</v>
      </c>
      <c r="U11" s="44">
        <f>COUNTIFS('QUICK ENTRY'!$AF$8:$AF$1007,"Yes",'QUICK ENTRY'!$C$8:$C$1007,"Expense",'QUICK ENTRY'!$V$8:$V$1007,$A11,'QUICK ENTRY'!$X$8:$X$1007,DASHBOARD!$C$4)</f>
        <v>2</v>
      </c>
      <c r="V11" s="61">
        <f t="shared" si="12"/>
        <v>0.58115521135850279</v>
      </c>
      <c r="W11" s="44">
        <f>ROUND(MAX(0,MIN(100,50+30*MAX(0,1-$E11/MAX(1,$D11))+20*MIN(1,$I11/MAX(0.01,SETTINGS!$B$15)))),0)</f>
        <v>74</v>
      </c>
      <c r="Y11" t="str">
        <f t="shared" si="0"/>
        <v>August</v>
      </c>
      <c r="Z11">
        <f t="shared" si="1"/>
        <v>30000</v>
      </c>
      <c r="AA11">
        <f t="shared" si="2"/>
        <v>26500</v>
      </c>
      <c r="AB11">
        <f t="shared" si="3"/>
        <v>5200</v>
      </c>
      <c r="AD11" t="str">
        <f t="shared" si="4"/>
        <v>August</v>
      </c>
      <c r="AE11">
        <f t="shared" si="5"/>
        <v>2000</v>
      </c>
    </row>
    <row r="12" spans="1:31" ht="14.4">
      <c r="A12" s="3" t="s">
        <v>234</v>
      </c>
      <c r="B12" s="3">
        <v>5</v>
      </c>
      <c r="C12" s="58">
        <f>SUMIFS('QUICK ENTRY'!$E$8:$E$1007,'QUICK ENTRY'!$AF$8:$AF$1007,"Yes",'QUICK ENTRY'!$C$8:$C$1007,"Income",'QUICK ENTRY'!$V$8:$V$1007,$A12,'QUICK ENTRY'!$X$8:$X$1007,DASHBOARD!$C$4)+SUMIFS('QUICK ENTRY'!$E$8:$E$1007,'QUICK ENTRY'!$AF$8:$AF$1007,"Yes",'QUICK ENTRY'!$C$8:$C$1007,"Refund",'QUICK ENTRY'!$V$8:$V$1007,$A12,'QUICK ENTRY'!$X$8:$X$1007,DASHBOARD!$C$4)+SUMIFS('QUICK ENTRY'!$E$8:$E$1007,'QUICK ENTRY'!$AF$8:$AF$1007,"Yes",'QUICK ENTRY'!$C$8:$C$1007,"Reimbursement",'QUICK ENTRY'!$V$8:$V$1007,$A12,'QUICK ENTRY'!$X$8:$X$1007,DASHBOARD!$C$4)</f>
        <v>25000</v>
      </c>
      <c r="D12" s="58">
        <f>'MONTHLY BUDGET'!$K$28</f>
        <v>26500</v>
      </c>
      <c r="E12" s="58">
        <f>SUMIFS('QUICK ENTRY'!$E$8:$E$1007,'QUICK ENTRY'!$AF$8:$AF$1007,"Yes",'QUICK ENTRY'!$C$8:$C$1007,"Expense",'QUICK ENTRY'!$V$8:$V$1007,$A12,'QUICK ENTRY'!$X$8:$X$1007,DASHBOARD!$C$4)</f>
        <v>3300</v>
      </c>
      <c r="F12" s="58">
        <f>SUMIFS('QUICK ENTRY'!$E$8:$E$1007,'QUICK ENTRY'!$AF$8:$AF$1007,"Yes",'QUICK ENTRY'!$C$8:$C$1007,"Savings Transfer",'QUICK ENTRY'!$V$8:$V$1007,$A12,'QUICK ENTRY'!$X$8:$X$1007,DASHBOARD!$C$4)</f>
        <v>0</v>
      </c>
      <c r="G12" s="58">
        <f t="shared" si="6"/>
        <v>21700</v>
      </c>
      <c r="H12" s="58">
        <f t="shared" si="10"/>
        <v>101301</v>
      </c>
      <c r="I12" s="61">
        <f t="shared" si="7"/>
        <v>0</v>
      </c>
      <c r="J12" s="58">
        <f>SUMIFS('QUICK ENTRY'!$E$8:$E$1007,'QUICK ENTRY'!$AF$8:$AF$1007,"Yes",'QUICK ENTRY'!$C$8:$C$1007,"Expense",'QUICK ENTRY'!$V$8:$V$1007,$A12,'QUICK ENTRY'!$X$8:$X$1007,DASHBOARD!$C$4,'QUICK ENTRY'!$I$8:$I$1007,"College Fees")+SUMIFS('QUICK ENTRY'!$E$8:$E$1007,'QUICK ENTRY'!$AF$8:$AF$1007,"Yes",'QUICK ENTRY'!$C$8:$C$1007,"Expense",'QUICK ENTRY'!$V$8:$V$1007,$A12,'QUICK ENTRY'!$X$8:$X$1007,DASHBOARD!$C$4,'QUICK ENTRY'!$I$8:$I$1007,"Hostel")+SUMIFS('QUICK ENTRY'!$E$8:$E$1007,'QUICK ENTRY'!$AF$8:$AF$1007,"Yes",'QUICK ENTRY'!$C$8:$C$1007,"Expense",'QUICK ENTRY'!$V$8:$V$1007,$A12,'QUICK ENTRY'!$X$8:$X$1007,DASHBOARD!$C$4,'QUICK ENTRY'!$I$8:$I$1007,"Subscriptions")+SUMIFS('QUICK ENTRY'!$E$8:$E$1007,'QUICK ENTRY'!$AF$8:$AF$1007,"Yes",'QUICK ENTRY'!$C$8:$C$1007,"Expense",'QUICK ENTRY'!$V$8:$V$1007,$A12,'QUICK ENTRY'!$X$8:$X$1007,DASHBOARD!$C$4,'QUICK ENTRY'!$I$8:$I$1007,"Mobile &amp; Internet")</f>
        <v>0</v>
      </c>
      <c r="K12" s="58">
        <f t="shared" si="8"/>
        <v>3300</v>
      </c>
      <c r="L12" s="58">
        <f>SUMIFS('QUICK ENTRY'!$E$8:$E$1007,'QUICK ENTRY'!$AF$8:$AF$1007,"Yes",'QUICK ENTRY'!$C$8:$C$1007,"Expense",'QUICK ENTRY'!$V$8:$V$1007,$A12,'QUICK ENTRY'!$X$8:$X$1007,DASHBOARD!$C$4,'QUICK ENTRY'!$I$8:$I$1007,"Hostel")</f>
        <v>0</v>
      </c>
      <c r="M12" s="58">
        <f>SUMIFS('QUICK ENTRY'!$E$8:$E$1007,'QUICK ENTRY'!$AF$8:$AF$1007,"Yes",'QUICK ENTRY'!$C$8:$C$1007,"Expense",'QUICK ENTRY'!$V$8:$V$1007,$A12,'QUICK ENTRY'!$X$8:$X$1007,DASHBOARD!$C$4,'QUICK ENTRY'!$I$8:$I$1007,"Food")</f>
        <v>0</v>
      </c>
      <c r="N12" s="58">
        <f>SUMIFS('QUICK ENTRY'!$E$8:$E$1007,'QUICK ENTRY'!$AF$8:$AF$1007,"Yes",'QUICK ENTRY'!$C$8:$C$1007,"Expense",'QUICK ENTRY'!$V$8:$V$1007,$A12,'QUICK ENTRY'!$X$8:$X$1007,DASHBOARD!$C$4,'QUICK ENTRY'!$I$8:$I$1007,"Transport")+SUMIFS('QUICK ENTRY'!$E$8:$E$1007,'QUICK ENTRY'!$AF$8:$AF$1007,"Yes",'QUICK ENTRY'!$C$8:$C$1007,"Expense",'QUICK ENTRY'!$V$8:$V$1007,$A12,'QUICK ENTRY'!$X$8:$X$1007,DASHBOARD!$C$4,'QUICK ENTRY'!$I$8:$I$1007,"Travel Home")</f>
        <v>2400</v>
      </c>
      <c r="O12" s="58">
        <f>SUMIFS('QUICK ENTRY'!$E$8:$E$1007,'QUICK ENTRY'!$AF$8:$AF$1007,"Yes",'QUICK ENTRY'!$C$8:$C$1007,"Expense",'QUICK ENTRY'!$V$8:$V$1007,$A12,'QUICK ENTRY'!$X$8:$X$1007,DASHBOARD!$C$4,'QUICK ENTRY'!$I$8:$I$1007,"College Fees")+SUMIFS('QUICK ENTRY'!$E$8:$E$1007,'QUICK ENTRY'!$AF$8:$AF$1007,"Yes",'QUICK ENTRY'!$C$8:$C$1007,"Expense",'QUICK ENTRY'!$V$8:$V$1007,$A12,'QUICK ENTRY'!$X$8:$X$1007,DASHBOARD!$C$4,'QUICK ENTRY'!$I$8:$I$1007,"AI-ML Learning")+SUMIFS('QUICK ENTRY'!$E$8:$E$1007,'QUICK ENTRY'!$AF$8:$AF$1007,"Yes",'QUICK ENTRY'!$C$8:$C$1007,"Expense",'QUICK ENTRY'!$V$8:$V$1007,$A12,'QUICK ENTRY'!$X$8:$X$1007,DASHBOARD!$C$4,'QUICK ENTRY'!$I$8:$I$1007,"Books &amp; Stationery")</f>
        <v>0</v>
      </c>
      <c r="P12" s="58">
        <f>SUMIFS('QUICK ENTRY'!$E$8:$E$1007,'QUICK ENTRY'!$AF$8:$AF$1007,"Yes",'QUICK ENTRY'!$C$8:$C$1007,"Expense",'QUICK ENTRY'!$V$8:$V$1007,$A12,'QUICK ENTRY'!$X$8:$X$1007,DASHBOARD!$C$4,'QUICK ENTRY'!$I$8:$I$1007,"Technology")</f>
        <v>0</v>
      </c>
      <c r="Q12" s="58">
        <f>SUMIFS('QUICK ENTRY'!$E$8:$E$1007,'QUICK ENTRY'!$AF$8:$AF$1007,"Yes",'QUICK ENTRY'!$C$8:$C$1007,"Expense",'QUICK ENTRY'!$V$8:$V$1007,$A12,'QUICK ENTRY'!$X$8:$X$1007,DASHBOARD!$C$4,'QUICK ENTRY'!$I$8:$I$1007,"Entertainment")+SUMIFS('QUICK ENTRY'!$E$8:$E$1007,'QUICK ENTRY'!$AF$8:$AF$1007,"Yes",'QUICK ENTRY'!$C$8:$C$1007,"Expense",'QUICK ENTRY'!$V$8:$V$1007,$A12,'QUICK ENTRY'!$X$8:$X$1007,DASHBOARD!$C$4,'QUICK ENTRY'!$I$8:$I$1007,"Subscriptions")</f>
        <v>900</v>
      </c>
      <c r="R12" s="58">
        <f>SUMIFS('QUICK ENTRY'!$E$8:$E$1007,'QUICK ENTRY'!$AF$8:$AF$1007,"Yes",'QUICK ENTRY'!$C$8:$C$1007,"Expense",'QUICK ENTRY'!$V$8:$V$1007,$A12,'QUICK ENTRY'!$X$8:$X$1007,DASHBOARD!$C$4,'QUICK ENTRY'!$I$8:$I$1007,"Personal Care")+SUMIFS('QUICK ENTRY'!$E$8:$E$1007,'QUICK ENTRY'!$AF$8:$AF$1007,"Yes",'QUICK ENTRY'!$C$8:$C$1007,"Expense",'QUICK ENTRY'!$V$8:$V$1007,$A12,'QUICK ENTRY'!$X$8:$X$1007,DASHBOARD!$C$4,'QUICK ENTRY'!$I$8:$I$1007,"Clothing")+SUMIFS('QUICK ENTRY'!$E$8:$E$1007,'QUICK ENTRY'!$AF$8:$AF$1007,"Yes",'QUICK ENTRY'!$C$8:$C$1007,"Expense",'QUICK ENTRY'!$V$8:$V$1007,$A12,'QUICK ENTRY'!$X$8:$X$1007,DASHBOARD!$C$4,'QUICK ENTRY'!$I$8:$I$1007,"Shopping &amp; Gifts")+SUMIFS('QUICK ENTRY'!$E$8:$E$1007,'QUICK ENTRY'!$AF$8:$AF$1007,"Yes",'QUICK ENTRY'!$C$8:$C$1007,"Expense",'QUICK ENTRY'!$V$8:$V$1007,$A12,'QUICK ENTRY'!$X$8:$X$1007,DASHBOARD!$C$4,'QUICK ENTRY'!$I$8:$I$1007,"Health &amp; Fitness")</f>
        <v>0</v>
      </c>
      <c r="S12" s="58">
        <f t="shared" si="9"/>
        <v>0</v>
      </c>
      <c r="T12" s="58">
        <f t="shared" si="11"/>
        <v>0</v>
      </c>
      <c r="U12" s="44">
        <f>COUNTIFS('QUICK ENTRY'!$AF$8:$AF$1007,"Yes",'QUICK ENTRY'!$C$8:$C$1007,"Expense",'QUICK ENTRY'!$V$8:$V$1007,$A12,'QUICK ENTRY'!$X$8:$X$1007,DASHBOARD!$C$4)</f>
        <v>2</v>
      </c>
      <c r="V12" s="61">
        <f t="shared" si="12"/>
        <v>-0.32653061224489793</v>
      </c>
      <c r="W12" s="44">
        <f>ROUND(MAX(0,MIN(100,50+30*MAX(0,1-$E12/MAX(1,$D12))+20*MIN(1,$I12/MAX(0.01,SETTINGS!$B$15)))),0)</f>
        <v>76</v>
      </c>
      <c r="Y12" t="str">
        <f t="shared" si="0"/>
        <v>September</v>
      </c>
      <c r="Z12">
        <f t="shared" si="1"/>
        <v>25000</v>
      </c>
      <c r="AA12">
        <f t="shared" si="2"/>
        <v>26500</v>
      </c>
      <c r="AB12">
        <f t="shared" si="3"/>
        <v>7197</v>
      </c>
      <c r="AD12" t="str">
        <f t="shared" si="4"/>
        <v>September</v>
      </c>
      <c r="AE12">
        <f t="shared" si="5"/>
        <v>4500</v>
      </c>
    </row>
    <row r="13" spans="1:31" ht="14.4">
      <c r="A13" s="3" t="s">
        <v>235</v>
      </c>
      <c r="B13" s="3">
        <v>6</v>
      </c>
      <c r="C13" s="58">
        <f>SUMIFS('QUICK ENTRY'!$E$8:$E$1007,'QUICK ENTRY'!$AF$8:$AF$1007,"Yes",'QUICK ENTRY'!$C$8:$C$1007,"Income",'QUICK ENTRY'!$V$8:$V$1007,$A13,'QUICK ENTRY'!$X$8:$X$1007,DASHBOARD!$C$4)+SUMIFS('QUICK ENTRY'!$E$8:$E$1007,'QUICK ENTRY'!$AF$8:$AF$1007,"Yes",'QUICK ENTRY'!$C$8:$C$1007,"Refund",'QUICK ENTRY'!$V$8:$V$1007,$A13,'QUICK ENTRY'!$X$8:$X$1007,DASHBOARD!$C$4)+SUMIFS('QUICK ENTRY'!$E$8:$E$1007,'QUICK ENTRY'!$AF$8:$AF$1007,"Yes",'QUICK ENTRY'!$C$8:$C$1007,"Reimbursement",'QUICK ENTRY'!$V$8:$V$1007,$A13,'QUICK ENTRY'!$X$8:$X$1007,DASHBOARD!$C$4)</f>
        <v>25000</v>
      </c>
      <c r="D13" s="58">
        <f>'MONTHLY BUDGET'!$L$28</f>
        <v>26500</v>
      </c>
      <c r="E13" s="58">
        <f>SUMIFS('QUICK ENTRY'!$E$8:$E$1007,'QUICK ENTRY'!$AF$8:$AF$1007,"Yes",'QUICK ENTRY'!$C$8:$C$1007,"Expense",'QUICK ENTRY'!$V$8:$V$1007,$A13,'QUICK ENTRY'!$X$8:$X$1007,DASHBOARD!$C$4)</f>
        <v>2649</v>
      </c>
      <c r="F13" s="58">
        <f>SUMIFS('QUICK ENTRY'!$E$8:$E$1007,'QUICK ENTRY'!$AF$8:$AF$1007,"Yes",'QUICK ENTRY'!$C$8:$C$1007,"Savings Transfer",'QUICK ENTRY'!$V$8:$V$1007,$A13,'QUICK ENTRY'!$X$8:$X$1007,DASHBOARD!$C$4)</f>
        <v>0</v>
      </c>
      <c r="G13" s="58">
        <f t="shared" si="6"/>
        <v>22351</v>
      </c>
      <c r="H13" s="58">
        <f t="shared" si="10"/>
        <v>123652</v>
      </c>
      <c r="I13" s="61">
        <f t="shared" si="7"/>
        <v>0</v>
      </c>
      <c r="J13" s="58">
        <f>SUMIFS('QUICK ENTRY'!$E$8:$E$1007,'QUICK ENTRY'!$AF$8:$AF$1007,"Yes",'QUICK ENTRY'!$C$8:$C$1007,"Expense",'QUICK ENTRY'!$V$8:$V$1007,$A13,'QUICK ENTRY'!$X$8:$X$1007,DASHBOARD!$C$4,'QUICK ENTRY'!$I$8:$I$1007,"College Fees")+SUMIFS('QUICK ENTRY'!$E$8:$E$1007,'QUICK ENTRY'!$AF$8:$AF$1007,"Yes",'QUICK ENTRY'!$C$8:$C$1007,"Expense",'QUICK ENTRY'!$V$8:$V$1007,$A13,'QUICK ENTRY'!$X$8:$X$1007,DASHBOARD!$C$4,'QUICK ENTRY'!$I$8:$I$1007,"Hostel")+SUMIFS('QUICK ENTRY'!$E$8:$E$1007,'QUICK ENTRY'!$AF$8:$AF$1007,"Yes",'QUICK ENTRY'!$C$8:$C$1007,"Expense",'QUICK ENTRY'!$V$8:$V$1007,$A13,'QUICK ENTRY'!$X$8:$X$1007,DASHBOARD!$C$4,'QUICK ENTRY'!$I$8:$I$1007,"Subscriptions")+SUMIFS('QUICK ENTRY'!$E$8:$E$1007,'QUICK ENTRY'!$AF$8:$AF$1007,"Yes",'QUICK ENTRY'!$C$8:$C$1007,"Expense",'QUICK ENTRY'!$V$8:$V$1007,$A13,'QUICK ENTRY'!$X$8:$X$1007,DASHBOARD!$C$4,'QUICK ENTRY'!$I$8:$I$1007,"Mobile &amp; Internet")</f>
        <v>0</v>
      </c>
      <c r="K13" s="58">
        <f t="shared" si="8"/>
        <v>2649</v>
      </c>
      <c r="L13" s="58">
        <f>SUMIFS('QUICK ENTRY'!$E$8:$E$1007,'QUICK ENTRY'!$AF$8:$AF$1007,"Yes",'QUICK ENTRY'!$C$8:$C$1007,"Expense",'QUICK ENTRY'!$V$8:$V$1007,$A13,'QUICK ENTRY'!$X$8:$X$1007,DASHBOARD!$C$4,'QUICK ENTRY'!$I$8:$I$1007,"Hostel")</f>
        <v>0</v>
      </c>
      <c r="M13" s="58">
        <f>SUMIFS('QUICK ENTRY'!$E$8:$E$1007,'QUICK ENTRY'!$AF$8:$AF$1007,"Yes",'QUICK ENTRY'!$C$8:$C$1007,"Expense",'QUICK ENTRY'!$V$8:$V$1007,$A13,'QUICK ENTRY'!$X$8:$X$1007,DASHBOARD!$C$4,'QUICK ENTRY'!$I$8:$I$1007,"Food")</f>
        <v>0</v>
      </c>
      <c r="N13" s="58">
        <f>SUMIFS('QUICK ENTRY'!$E$8:$E$1007,'QUICK ENTRY'!$AF$8:$AF$1007,"Yes",'QUICK ENTRY'!$C$8:$C$1007,"Expense",'QUICK ENTRY'!$V$8:$V$1007,$A13,'QUICK ENTRY'!$X$8:$X$1007,DASHBOARD!$C$4,'QUICK ENTRY'!$I$8:$I$1007,"Transport")+SUMIFS('QUICK ENTRY'!$E$8:$E$1007,'QUICK ENTRY'!$AF$8:$AF$1007,"Yes",'QUICK ENTRY'!$C$8:$C$1007,"Expense",'QUICK ENTRY'!$V$8:$V$1007,$A13,'QUICK ENTRY'!$X$8:$X$1007,DASHBOARD!$C$4,'QUICK ENTRY'!$I$8:$I$1007,"Travel Home")</f>
        <v>0</v>
      </c>
      <c r="O13" s="58">
        <f>SUMIFS('QUICK ENTRY'!$E$8:$E$1007,'QUICK ENTRY'!$AF$8:$AF$1007,"Yes",'QUICK ENTRY'!$C$8:$C$1007,"Expense",'QUICK ENTRY'!$V$8:$V$1007,$A13,'QUICK ENTRY'!$X$8:$X$1007,DASHBOARD!$C$4,'QUICK ENTRY'!$I$8:$I$1007,"College Fees")+SUMIFS('QUICK ENTRY'!$E$8:$E$1007,'QUICK ENTRY'!$AF$8:$AF$1007,"Yes",'QUICK ENTRY'!$C$8:$C$1007,"Expense",'QUICK ENTRY'!$V$8:$V$1007,$A13,'QUICK ENTRY'!$X$8:$X$1007,DASHBOARD!$C$4,'QUICK ENTRY'!$I$8:$I$1007,"AI-ML Learning")+SUMIFS('QUICK ENTRY'!$E$8:$E$1007,'QUICK ENTRY'!$AF$8:$AF$1007,"Yes",'QUICK ENTRY'!$C$8:$C$1007,"Expense",'QUICK ENTRY'!$V$8:$V$1007,$A13,'QUICK ENTRY'!$X$8:$X$1007,DASHBOARD!$C$4,'QUICK ENTRY'!$I$8:$I$1007,"Books &amp; Stationery")</f>
        <v>2649</v>
      </c>
      <c r="P13" s="58">
        <f>SUMIFS('QUICK ENTRY'!$E$8:$E$1007,'QUICK ENTRY'!$AF$8:$AF$1007,"Yes",'QUICK ENTRY'!$C$8:$C$1007,"Expense",'QUICK ENTRY'!$V$8:$V$1007,$A13,'QUICK ENTRY'!$X$8:$X$1007,DASHBOARD!$C$4,'QUICK ENTRY'!$I$8:$I$1007,"Technology")</f>
        <v>0</v>
      </c>
      <c r="Q13" s="58">
        <f>SUMIFS('QUICK ENTRY'!$E$8:$E$1007,'QUICK ENTRY'!$AF$8:$AF$1007,"Yes",'QUICK ENTRY'!$C$8:$C$1007,"Expense",'QUICK ENTRY'!$V$8:$V$1007,$A13,'QUICK ENTRY'!$X$8:$X$1007,DASHBOARD!$C$4,'QUICK ENTRY'!$I$8:$I$1007,"Entertainment")+SUMIFS('QUICK ENTRY'!$E$8:$E$1007,'QUICK ENTRY'!$AF$8:$AF$1007,"Yes",'QUICK ENTRY'!$C$8:$C$1007,"Expense",'QUICK ENTRY'!$V$8:$V$1007,$A13,'QUICK ENTRY'!$X$8:$X$1007,DASHBOARD!$C$4,'QUICK ENTRY'!$I$8:$I$1007,"Subscriptions")</f>
        <v>0</v>
      </c>
      <c r="R13" s="58">
        <f>SUMIFS('QUICK ENTRY'!$E$8:$E$1007,'QUICK ENTRY'!$AF$8:$AF$1007,"Yes",'QUICK ENTRY'!$C$8:$C$1007,"Expense",'QUICK ENTRY'!$V$8:$V$1007,$A13,'QUICK ENTRY'!$X$8:$X$1007,DASHBOARD!$C$4,'QUICK ENTRY'!$I$8:$I$1007,"Personal Care")+SUMIFS('QUICK ENTRY'!$E$8:$E$1007,'QUICK ENTRY'!$AF$8:$AF$1007,"Yes",'QUICK ENTRY'!$C$8:$C$1007,"Expense",'QUICK ENTRY'!$V$8:$V$1007,$A13,'QUICK ENTRY'!$X$8:$X$1007,DASHBOARD!$C$4,'QUICK ENTRY'!$I$8:$I$1007,"Clothing")+SUMIFS('QUICK ENTRY'!$E$8:$E$1007,'QUICK ENTRY'!$AF$8:$AF$1007,"Yes",'QUICK ENTRY'!$C$8:$C$1007,"Expense",'QUICK ENTRY'!$V$8:$V$1007,$A13,'QUICK ENTRY'!$X$8:$X$1007,DASHBOARD!$C$4,'QUICK ENTRY'!$I$8:$I$1007,"Shopping &amp; Gifts")+SUMIFS('QUICK ENTRY'!$E$8:$E$1007,'QUICK ENTRY'!$AF$8:$AF$1007,"Yes",'QUICK ENTRY'!$C$8:$C$1007,"Expense",'QUICK ENTRY'!$V$8:$V$1007,$A13,'QUICK ENTRY'!$X$8:$X$1007,DASHBOARD!$C$4,'QUICK ENTRY'!$I$8:$I$1007,"Health &amp; Fitness")</f>
        <v>0</v>
      </c>
      <c r="S13" s="58">
        <f t="shared" si="9"/>
        <v>0</v>
      </c>
      <c r="T13" s="58">
        <f t="shared" si="11"/>
        <v>0</v>
      </c>
      <c r="U13" s="44">
        <f>COUNTIFS('QUICK ENTRY'!$AF$8:$AF$1007,"Yes",'QUICK ENTRY'!$C$8:$C$1007,"Expense",'QUICK ENTRY'!$V$8:$V$1007,$A13,'QUICK ENTRY'!$X$8:$X$1007,DASHBOARD!$C$4)</f>
        <v>2</v>
      </c>
      <c r="V13" s="61">
        <f t="shared" si="12"/>
        <v>-0.19727272727272727</v>
      </c>
      <c r="W13" s="44">
        <f>ROUND(MAX(0,MIN(100,50+30*MAX(0,1-$E13/MAX(1,$D13))+20*MIN(1,$I13/MAX(0.01,SETTINGS!$B$15)))),0)</f>
        <v>77</v>
      </c>
      <c r="Y13" t="str">
        <f t="shared" si="0"/>
        <v>October</v>
      </c>
      <c r="Z13">
        <f t="shared" si="1"/>
        <v>0</v>
      </c>
      <c r="AA13">
        <f t="shared" si="2"/>
        <v>26500</v>
      </c>
      <c r="AB13">
        <f t="shared" si="3"/>
        <v>0</v>
      </c>
      <c r="AD13" t="str">
        <f t="shared" si="4"/>
        <v>October</v>
      </c>
      <c r="AE13">
        <f t="shared" si="5"/>
        <v>4500</v>
      </c>
    </row>
    <row r="14" spans="1:31" ht="14.4">
      <c r="A14" s="3" t="s">
        <v>236</v>
      </c>
      <c r="B14" s="3">
        <v>7</v>
      </c>
      <c r="C14" s="58">
        <f>SUMIFS('QUICK ENTRY'!$E$8:$E$1007,'QUICK ENTRY'!$AF$8:$AF$1007,"Yes",'QUICK ENTRY'!$C$8:$C$1007,"Income",'QUICK ENTRY'!$V$8:$V$1007,$A14,'QUICK ENTRY'!$X$8:$X$1007,DASHBOARD!$C$4)+SUMIFS('QUICK ENTRY'!$E$8:$E$1007,'QUICK ENTRY'!$AF$8:$AF$1007,"Yes",'QUICK ENTRY'!$C$8:$C$1007,"Refund",'QUICK ENTRY'!$V$8:$V$1007,$A14,'QUICK ENTRY'!$X$8:$X$1007,DASHBOARD!$C$4)+SUMIFS('QUICK ENTRY'!$E$8:$E$1007,'QUICK ENTRY'!$AF$8:$AF$1007,"Yes",'QUICK ENTRY'!$C$8:$C$1007,"Reimbursement",'QUICK ENTRY'!$V$8:$V$1007,$A14,'QUICK ENTRY'!$X$8:$X$1007,DASHBOARD!$C$4)</f>
        <v>25000</v>
      </c>
      <c r="D14" s="58">
        <f>'MONTHLY BUDGET'!$M$28</f>
        <v>26500</v>
      </c>
      <c r="E14" s="58">
        <f>SUMIFS('QUICK ENTRY'!$E$8:$E$1007,'QUICK ENTRY'!$AF$8:$AF$1007,"Yes",'QUICK ENTRY'!$C$8:$C$1007,"Expense",'QUICK ENTRY'!$V$8:$V$1007,$A14,'QUICK ENTRY'!$X$8:$X$1007,DASHBOARD!$C$4)</f>
        <v>8200</v>
      </c>
      <c r="F14" s="58">
        <f>SUMIFS('QUICK ENTRY'!$E$8:$E$1007,'QUICK ENTRY'!$AF$8:$AF$1007,"Yes",'QUICK ENTRY'!$C$8:$C$1007,"Savings Transfer",'QUICK ENTRY'!$V$8:$V$1007,$A14,'QUICK ENTRY'!$X$8:$X$1007,DASHBOARD!$C$4)</f>
        <v>0</v>
      </c>
      <c r="G14" s="58">
        <f t="shared" si="6"/>
        <v>16800</v>
      </c>
      <c r="H14" s="58">
        <f t="shared" si="10"/>
        <v>140452</v>
      </c>
      <c r="I14" s="61">
        <f t="shared" si="7"/>
        <v>0</v>
      </c>
      <c r="J14" s="58">
        <f>SUMIFS('QUICK ENTRY'!$E$8:$E$1007,'QUICK ENTRY'!$AF$8:$AF$1007,"Yes",'QUICK ENTRY'!$C$8:$C$1007,"Expense",'QUICK ENTRY'!$V$8:$V$1007,$A14,'QUICK ENTRY'!$X$8:$X$1007,DASHBOARD!$C$4,'QUICK ENTRY'!$I$8:$I$1007,"College Fees")+SUMIFS('QUICK ENTRY'!$E$8:$E$1007,'QUICK ENTRY'!$AF$8:$AF$1007,"Yes",'QUICK ENTRY'!$C$8:$C$1007,"Expense",'QUICK ENTRY'!$V$8:$V$1007,$A14,'QUICK ENTRY'!$X$8:$X$1007,DASHBOARD!$C$4,'QUICK ENTRY'!$I$8:$I$1007,"Hostel")+SUMIFS('QUICK ENTRY'!$E$8:$E$1007,'QUICK ENTRY'!$AF$8:$AF$1007,"Yes",'QUICK ENTRY'!$C$8:$C$1007,"Expense",'QUICK ENTRY'!$V$8:$V$1007,$A14,'QUICK ENTRY'!$X$8:$X$1007,DASHBOARD!$C$4,'QUICK ENTRY'!$I$8:$I$1007,"Subscriptions")+SUMIFS('QUICK ENTRY'!$E$8:$E$1007,'QUICK ENTRY'!$AF$8:$AF$1007,"Yes",'QUICK ENTRY'!$C$8:$C$1007,"Expense",'QUICK ENTRY'!$V$8:$V$1007,$A14,'QUICK ENTRY'!$X$8:$X$1007,DASHBOARD!$C$4,'QUICK ENTRY'!$I$8:$I$1007,"Mobile &amp; Internet")</f>
        <v>4000</v>
      </c>
      <c r="K14" s="58">
        <f t="shared" si="8"/>
        <v>4200</v>
      </c>
      <c r="L14" s="58">
        <f>SUMIFS('QUICK ENTRY'!$E$8:$E$1007,'QUICK ENTRY'!$AF$8:$AF$1007,"Yes",'QUICK ENTRY'!$C$8:$C$1007,"Expense",'QUICK ENTRY'!$V$8:$V$1007,$A14,'QUICK ENTRY'!$X$8:$X$1007,DASHBOARD!$C$4,'QUICK ENTRY'!$I$8:$I$1007,"Hostel")</f>
        <v>4000</v>
      </c>
      <c r="M14" s="58">
        <f>SUMIFS('QUICK ENTRY'!$E$8:$E$1007,'QUICK ENTRY'!$AF$8:$AF$1007,"Yes",'QUICK ENTRY'!$C$8:$C$1007,"Expense",'QUICK ENTRY'!$V$8:$V$1007,$A14,'QUICK ENTRY'!$X$8:$X$1007,DASHBOARD!$C$4,'QUICK ENTRY'!$I$8:$I$1007,"Food")</f>
        <v>4200</v>
      </c>
      <c r="N14" s="58">
        <f>SUMIFS('QUICK ENTRY'!$E$8:$E$1007,'QUICK ENTRY'!$AF$8:$AF$1007,"Yes",'QUICK ENTRY'!$C$8:$C$1007,"Expense",'QUICK ENTRY'!$V$8:$V$1007,$A14,'QUICK ENTRY'!$X$8:$X$1007,DASHBOARD!$C$4,'QUICK ENTRY'!$I$8:$I$1007,"Transport")+SUMIFS('QUICK ENTRY'!$E$8:$E$1007,'QUICK ENTRY'!$AF$8:$AF$1007,"Yes",'QUICK ENTRY'!$C$8:$C$1007,"Expense",'QUICK ENTRY'!$V$8:$V$1007,$A14,'QUICK ENTRY'!$X$8:$X$1007,DASHBOARD!$C$4,'QUICK ENTRY'!$I$8:$I$1007,"Travel Home")</f>
        <v>0</v>
      </c>
      <c r="O14" s="58">
        <f>SUMIFS('QUICK ENTRY'!$E$8:$E$1007,'QUICK ENTRY'!$AF$8:$AF$1007,"Yes",'QUICK ENTRY'!$C$8:$C$1007,"Expense",'QUICK ENTRY'!$V$8:$V$1007,$A14,'QUICK ENTRY'!$X$8:$X$1007,DASHBOARD!$C$4,'QUICK ENTRY'!$I$8:$I$1007,"College Fees")+SUMIFS('QUICK ENTRY'!$E$8:$E$1007,'QUICK ENTRY'!$AF$8:$AF$1007,"Yes",'QUICK ENTRY'!$C$8:$C$1007,"Expense",'QUICK ENTRY'!$V$8:$V$1007,$A14,'QUICK ENTRY'!$X$8:$X$1007,DASHBOARD!$C$4,'QUICK ENTRY'!$I$8:$I$1007,"AI-ML Learning")+SUMIFS('QUICK ENTRY'!$E$8:$E$1007,'QUICK ENTRY'!$AF$8:$AF$1007,"Yes",'QUICK ENTRY'!$C$8:$C$1007,"Expense",'QUICK ENTRY'!$V$8:$V$1007,$A14,'QUICK ENTRY'!$X$8:$X$1007,DASHBOARD!$C$4,'QUICK ENTRY'!$I$8:$I$1007,"Books &amp; Stationery")</f>
        <v>0</v>
      </c>
      <c r="P14" s="58">
        <f>SUMIFS('QUICK ENTRY'!$E$8:$E$1007,'QUICK ENTRY'!$AF$8:$AF$1007,"Yes",'QUICK ENTRY'!$C$8:$C$1007,"Expense",'QUICK ENTRY'!$V$8:$V$1007,$A14,'QUICK ENTRY'!$X$8:$X$1007,DASHBOARD!$C$4,'QUICK ENTRY'!$I$8:$I$1007,"Technology")</f>
        <v>0</v>
      </c>
      <c r="Q14" s="58">
        <f>SUMIFS('QUICK ENTRY'!$E$8:$E$1007,'QUICK ENTRY'!$AF$8:$AF$1007,"Yes",'QUICK ENTRY'!$C$8:$C$1007,"Expense",'QUICK ENTRY'!$V$8:$V$1007,$A14,'QUICK ENTRY'!$X$8:$X$1007,DASHBOARD!$C$4,'QUICK ENTRY'!$I$8:$I$1007,"Entertainment")+SUMIFS('QUICK ENTRY'!$E$8:$E$1007,'QUICK ENTRY'!$AF$8:$AF$1007,"Yes",'QUICK ENTRY'!$C$8:$C$1007,"Expense",'QUICK ENTRY'!$V$8:$V$1007,$A14,'QUICK ENTRY'!$X$8:$X$1007,DASHBOARD!$C$4,'QUICK ENTRY'!$I$8:$I$1007,"Subscriptions")</f>
        <v>0</v>
      </c>
      <c r="R14" s="58">
        <f>SUMIFS('QUICK ENTRY'!$E$8:$E$1007,'QUICK ENTRY'!$AF$8:$AF$1007,"Yes",'QUICK ENTRY'!$C$8:$C$1007,"Expense",'QUICK ENTRY'!$V$8:$V$1007,$A14,'QUICK ENTRY'!$X$8:$X$1007,DASHBOARD!$C$4,'QUICK ENTRY'!$I$8:$I$1007,"Personal Care")+SUMIFS('QUICK ENTRY'!$E$8:$E$1007,'QUICK ENTRY'!$AF$8:$AF$1007,"Yes",'QUICK ENTRY'!$C$8:$C$1007,"Expense",'QUICK ENTRY'!$V$8:$V$1007,$A14,'QUICK ENTRY'!$X$8:$X$1007,DASHBOARD!$C$4,'QUICK ENTRY'!$I$8:$I$1007,"Clothing")+SUMIFS('QUICK ENTRY'!$E$8:$E$1007,'QUICK ENTRY'!$AF$8:$AF$1007,"Yes",'QUICK ENTRY'!$C$8:$C$1007,"Expense",'QUICK ENTRY'!$V$8:$V$1007,$A14,'QUICK ENTRY'!$X$8:$X$1007,DASHBOARD!$C$4,'QUICK ENTRY'!$I$8:$I$1007,"Shopping &amp; Gifts")+SUMIFS('QUICK ENTRY'!$E$8:$E$1007,'QUICK ENTRY'!$AF$8:$AF$1007,"Yes",'QUICK ENTRY'!$C$8:$C$1007,"Expense",'QUICK ENTRY'!$V$8:$V$1007,$A14,'QUICK ENTRY'!$X$8:$X$1007,DASHBOARD!$C$4,'QUICK ENTRY'!$I$8:$I$1007,"Health &amp; Fitness")</f>
        <v>0</v>
      </c>
      <c r="S14" s="58">
        <f t="shared" si="9"/>
        <v>0</v>
      </c>
      <c r="T14" s="58">
        <f t="shared" si="11"/>
        <v>0</v>
      </c>
      <c r="U14" s="44">
        <f>COUNTIFS('QUICK ENTRY'!$AF$8:$AF$1007,"Yes",'QUICK ENTRY'!$C$8:$C$1007,"Expense",'QUICK ENTRY'!$V$8:$V$1007,$A14,'QUICK ENTRY'!$X$8:$X$1007,DASHBOARD!$C$4)</f>
        <v>2</v>
      </c>
      <c r="V14" s="61">
        <f t="shared" si="12"/>
        <v>2.095507738769347</v>
      </c>
      <c r="W14" s="44">
        <f>ROUND(MAX(0,MIN(100,50+30*MAX(0,1-$E14/MAX(1,$D14))+20*MIN(1,$I14/MAX(0.01,SETTINGS!$B$15)))),0)</f>
        <v>71</v>
      </c>
      <c r="Y14" t="str">
        <f t="shared" si="0"/>
        <v>November</v>
      </c>
      <c r="Z14">
        <f t="shared" si="1"/>
        <v>0</v>
      </c>
      <c r="AA14">
        <f t="shared" si="2"/>
        <v>26500</v>
      </c>
      <c r="AB14">
        <f t="shared" si="3"/>
        <v>0</v>
      </c>
      <c r="AD14" t="str">
        <f t="shared" si="4"/>
        <v>November</v>
      </c>
      <c r="AE14">
        <f t="shared" si="5"/>
        <v>4500</v>
      </c>
    </row>
    <row r="15" spans="1:31" ht="14.4">
      <c r="A15" s="3" t="s">
        <v>237</v>
      </c>
      <c r="B15" s="3">
        <v>8</v>
      </c>
      <c r="C15" s="58">
        <f>SUMIFS('QUICK ENTRY'!$E$8:$E$1007,'QUICK ENTRY'!$AF$8:$AF$1007,"Yes",'QUICK ENTRY'!$C$8:$C$1007,"Income",'QUICK ENTRY'!$V$8:$V$1007,$A15,'QUICK ENTRY'!$X$8:$X$1007,DASHBOARD!$C$4)+SUMIFS('QUICK ENTRY'!$E$8:$E$1007,'QUICK ENTRY'!$AF$8:$AF$1007,"Yes",'QUICK ENTRY'!$C$8:$C$1007,"Refund",'QUICK ENTRY'!$V$8:$V$1007,$A15,'QUICK ENTRY'!$X$8:$X$1007,DASHBOARD!$C$4)+SUMIFS('QUICK ENTRY'!$E$8:$E$1007,'QUICK ENTRY'!$AF$8:$AF$1007,"Yes",'QUICK ENTRY'!$C$8:$C$1007,"Reimbursement",'QUICK ENTRY'!$V$8:$V$1007,$A15,'QUICK ENTRY'!$X$8:$X$1007,DASHBOARD!$C$4)</f>
        <v>30000</v>
      </c>
      <c r="D15" s="58">
        <f>'MONTHLY BUDGET'!$N$28</f>
        <v>26500</v>
      </c>
      <c r="E15" s="58">
        <f>SUMIFS('QUICK ENTRY'!$E$8:$E$1007,'QUICK ENTRY'!$AF$8:$AF$1007,"Yes",'QUICK ENTRY'!$C$8:$C$1007,"Expense",'QUICK ENTRY'!$V$8:$V$1007,$A15,'QUICK ENTRY'!$X$8:$X$1007,DASHBOARD!$C$4)</f>
        <v>5200</v>
      </c>
      <c r="F15" s="58">
        <f>SUMIFS('QUICK ENTRY'!$E$8:$E$1007,'QUICK ENTRY'!$AF$8:$AF$1007,"Yes",'QUICK ENTRY'!$C$8:$C$1007,"Savings Transfer",'QUICK ENTRY'!$V$8:$V$1007,$A15,'QUICK ENTRY'!$X$8:$X$1007,DASHBOARD!$C$4)</f>
        <v>2000</v>
      </c>
      <c r="G15" s="58">
        <f t="shared" si="6"/>
        <v>24800</v>
      </c>
      <c r="H15" s="58">
        <f t="shared" si="10"/>
        <v>163252</v>
      </c>
      <c r="I15" s="61">
        <f t="shared" si="7"/>
        <v>6.6666666666666666E-2</v>
      </c>
      <c r="J15" s="58">
        <f>SUMIFS('QUICK ENTRY'!$E$8:$E$1007,'QUICK ENTRY'!$AF$8:$AF$1007,"Yes",'QUICK ENTRY'!$C$8:$C$1007,"Expense",'QUICK ENTRY'!$V$8:$V$1007,$A15,'QUICK ENTRY'!$X$8:$X$1007,DASHBOARD!$C$4,'QUICK ENTRY'!$I$8:$I$1007,"College Fees")+SUMIFS('QUICK ENTRY'!$E$8:$E$1007,'QUICK ENTRY'!$AF$8:$AF$1007,"Yes",'QUICK ENTRY'!$C$8:$C$1007,"Expense",'QUICK ENTRY'!$V$8:$V$1007,$A15,'QUICK ENTRY'!$X$8:$X$1007,DASHBOARD!$C$4,'QUICK ENTRY'!$I$8:$I$1007,"Hostel")+SUMIFS('QUICK ENTRY'!$E$8:$E$1007,'QUICK ENTRY'!$AF$8:$AF$1007,"Yes",'QUICK ENTRY'!$C$8:$C$1007,"Expense",'QUICK ENTRY'!$V$8:$V$1007,$A15,'QUICK ENTRY'!$X$8:$X$1007,DASHBOARD!$C$4,'QUICK ENTRY'!$I$8:$I$1007,"Subscriptions")+SUMIFS('QUICK ENTRY'!$E$8:$E$1007,'QUICK ENTRY'!$AF$8:$AF$1007,"Yes",'QUICK ENTRY'!$C$8:$C$1007,"Expense",'QUICK ENTRY'!$V$8:$V$1007,$A15,'QUICK ENTRY'!$X$8:$X$1007,DASHBOARD!$C$4,'QUICK ENTRY'!$I$8:$I$1007,"Mobile &amp; Internet")</f>
        <v>0</v>
      </c>
      <c r="K15" s="58">
        <f t="shared" si="8"/>
        <v>5200</v>
      </c>
      <c r="L15" s="58">
        <f>SUMIFS('QUICK ENTRY'!$E$8:$E$1007,'QUICK ENTRY'!$AF$8:$AF$1007,"Yes",'QUICK ENTRY'!$C$8:$C$1007,"Expense",'QUICK ENTRY'!$V$8:$V$1007,$A15,'QUICK ENTRY'!$X$8:$X$1007,DASHBOARD!$C$4,'QUICK ENTRY'!$I$8:$I$1007,"Hostel")</f>
        <v>0</v>
      </c>
      <c r="M15" s="58">
        <f>SUMIFS('QUICK ENTRY'!$E$8:$E$1007,'QUICK ENTRY'!$AF$8:$AF$1007,"Yes",'QUICK ENTRY'!$C$8:$C$1007,"Expense",'QUICK ENTRY'!$V$8:$V$1007,$A15,'QUICK ENTRY'!$X$8:$X$1007,DASHBOARD!$C$4,'QUICK ENTRY'!$I$8:$I$1007,"Food")</f>
        <v>3400</v>
      </c>
      <c r="N15" s="58">
        <f>SUMIFS('QUICK ENTRY'!$E$8:$E$1007,'QUICK ENTRY'!$AF$8:$AF$1007,"Yes",'QUICK ENTRY'!$C$8:$C$1007,"Expense",'QUICK ENTRY'!$V$8:$V$1007,$A15,'QUICK ENTRY'!$X$8:$X$1007,DASHBOARD!$C$4,'QUICK ENTRY'!$I$8:$I$1007,"Transport")+SUMIFS('QUICK ENTRY'!$E$8:$E$1007,'QUICK ENTRY'!$AF$8:$AF$1007,"Yes",'QUICK ENTRY'!$C$8:$C$1007,"Expense",'QUICK ENTRY'!$V$8:$V$1007,$A15,'QUICK ENTRY'!$X$8:$X$1007,DASHBOARD!$C$4,'QUICK ENTRY'!$I$8:$I$1007,"Travel Home")</f>
        <v>1800</v>
      </c>
      <c r="O15" s="58">
        <f>SUMIFS('QUICK ENTRY'!$E$8:$E$1007,'QUICK ENTRY'!$AF$8:$AF$1007,"Yes",'QUICK ENTRY'!$C$8:$C$1007,"Expense",'QUICK ENTRY'!$V$8:$V$1007,$A15,'QUICK ENTRY'!$X$8:$X$1007,DASHBOARD!$C$4,'QUICK ENTRY'!$I$8:$I$1007,"College Fees")+SUMIFS('QUICK ENTRY'!$E$8:$E$1007,'QUICK ENTRY'!$AF$8:$AF$1007,"Yes",'QUICK ENTRY'!$C$8:$C$1007,"Expense",'QUICK ENTRY'!$V$8:$V$1007,$A15,'QUICK ENTRY'!$X$8:$X$1007,DASHBOARD!$C$4,'QUICK ENTRY'!$I$8:$I$1007,"AI-ML Learning")+SUMIFS('QUICK ENTRY'!$E$8:$E$1007,'QUICK ENTRY'!$AF$8:$AF$1007,"Yes",'QUICK ENTRY'!$C$8:$C$1007,"Expense",'QUICK ENTRY'!$V$8:$V$1007,$A15,'QUICK ENTRY'!$X$8:$X$1007,DASHBOARD!$C$4,'QUICK ENTRY'!$I$8:$I$1007,"Books &amp; Stationery")</f>
        <v>0</v>
      </c>
      <c r="P15" s="58">
        <f>SUMIFS('QUICK ENTRY'!$E$8:$E$1007,'QUICK ENTRY'!$AF$8:$AF$1007,"Yes",'QUICK ENTRY'!$C$8:$C$1007,"Expense",'QUICK ENTRY'!$V$8:$V$1007,$A15,'QUICK ENTRY'!$X$8:$X$1007,DASHBOARD!$C$4,'QUICK ENTRY'!$I$8:$I$1007,"Technology")</f>
        <v>0</v>
      </c>
      <c r="Q15" s="58">
        <f>SUMIFS('QUICK ENTRY'!$E$8:$E$1007,'QUICK ENTRY'!$AF$8:$AF$1007,"Yes",'QUICK ENTRY'!$C$8:$C$1007,"Expense",'QUICK ENTRY'!$V$8:$V$1007,$A15,'QUICK ENTRY'!$X$8:$X$1007,DASHBOARD!$C$4,'QUICK ENTRY'!$I$8:$I$1007,"Entertainment")+SUMIFS('QUICK ENTRY'!$E$8:$E$1007,'QUICK ENTRY'!$AF$8:$AF$1007,"Yes",'QUICK ENTRY'!$C$8:$C$1007,"Expense",'QUICK ENTRY'!$V$8:$V$1007,$A15,'QUICK ENTRY'!$X$8:$X$1007,DASHBOARD!$C$4,'QUICK ENTRY'!$I$8:$I$1007,"Subscriptions")</f>
        <v>0</v>
      </c>
      <c r="R15" s="58">
        <f>SUMIFS('QUICK ENTRY'!$E$8:$E$1007,'QUICK ENTRY'!$AF$8:$AF$1007,"Yes",'QUICK ENTRY'!$C$8:$C$1007,"Expense",'QUICK ENTRY'!$V$8:$V$1007,$A15,'QUICK ENTRY'!$X$8:$X$1007,DASHBOARD!$C$4,'QUICK ENTRY'!$I$8:$I$1007,"Personal Care")+SUMIFS('QUICK ENTRY'!$E$8:$E$1007,'QUICK ENTRY'!$AF$8:$AF$1007,"Yes",'QUICK ENTRY'!$C$8:$C$1007,"Expense",'QUICK ENTRY'!$V$8:$V$1007,$A15,'QUICK ENTRY'!$X$8:$X$1007,DASHBOARD!$C$4,'QUICK ENTRY'!$I$8:$I$1007,"Clothing")+SUMIFS('QUICK ENTRY'!$E$8:$E$1007,'QUICK ENTRY'!$AF$8:$AF$1007,"Yes",'QUICK ENTRY'!$C$8:$C$1007,"Expense",'QUICK ENTRY'!$V$8:$V$1007,$A15,'QUICK ENTRY'!$X$8:$X$1007,DASHBOARD!$C$4,'QUICK ENTRY'!$I$8:$I$1007,"Shopping &amp; Gifts")+SUMIFS('QUICK ENTRY'!$E$8:$E$1007,'QUICK ENTRY'!$AF$8:$AF$1007,"Yes",'QUICK ENTRY'!$C$8:$C$1007,"Expense",'QUICK ENTRY'!$V$8:$V$1007,$A15,'QUICK ENTRY'!$X$8:$X$1007,DASHBOARD!$C$4,'QUICK ENTRY'!$I$8:$I$1007,"Health &amp; Fitness")</f>
        <v>0</v>
      </c>
      <c r="S15" s="58">
        <f t="shared" si="9"/>
        <v>0</v>
      </c>
      <c r="T15" s="58">
        <f t="shared" si="11"/>
        <v>2000</v>
      </c>
      <c r="U15" s="44">
        <f>COUNTIFS('QUICK ENTRY'!$AF$8:$AF$1007,"Yes",'QUICK ENTRY'!$C$8:$C$1007,"Expense",'QUICK ENTRY'!$V$8:$V$1007,$A15,'QUICK ENTRY'!$X$8:$X$1007,DASHBOARD!$C$4)</f>
        <v>2</v>
      </c>
      <c r="V15" s="61">
        <f t="shared" si="12"/>
        <v>-0.36585365853658536</v>
      </c>
      <c r="W15" s="44">
        <f>ROUND(MAX(0,MIN(100,50+30*MAX(0,1-$E15/MAX(1,$D15))+20*MIN(1,$I15/MAX(0.01,SETTINGS!$B$15)))),0)</f>
        <v>87</v>
      </c>
      <c r="Y15" t="str">
        <f t="shared" si="0"/>
        <v>December</v>
      </c>
      <c r="Z15">
        <f t="shared" si="1"/>
        <v>0</v>
      </c>
      <c r="AA15">
        <f t="shared" si="2"/>
        <v>26500</v>
      </c>
      <c r="AB15">
        <f t="shared" si="3"/>
        <v>0</v>
      </c>
      <c r="AD15" t="str">
        <f t="shared" si="4"/>
        <v>December</v>
      </c>
      <c r="AE15">
        <f t="shared" si="5"/>
        <v>4500</v>
      </c>
    </row>
    <row r="16" spans="1:31" ht="14.4">
      <c r="A16" s="3" t="s">
        <v>38</v>
      </c>
      <c r="B16" s="3">
        <v>9</v>
      </c>
      <c r="C16" s="58">
        <f>SUMIFS('QUICK ENTRY'!$E$8:$E$1007,'QUICK ENTRY'!$AF$8:$AF$1007,"Yes",'QUICK ENTRY'!$C$8:$C$1007,"Income",'QUICK ENTRY'!$V$8:$V$1007,$A16,'QUICK ENTRY'!$X$8:$X$1007,DASHBOARD!$C$4)+SUMIFS('QUICK ENTRY'!$E$8:$E$1007,'QUICK ENTRY'!$AF$8:$AF$1007,"Yes",'QUICK ENTRY'!$C$8:$C$1007,"Refund",'QUICK ENTRY'!$V$8:$V$1007,$A16,'QUICK ENTRY'!$X$8:$X$1007,DASHBOARD!$C$4)+SUMIFS('QUICK ENTRY'!$E$8:$E$1007,'QUICK ENTRY'!$AF$8:$AF$1007,"Yes",'QUICK ENTRY'!$C$8:$C$1007,"Reimbursement",'QUICK ENTRY'!$V$8:$V$1007,$A16,'QUICK ENTRY'!$X$8:$X$1007,DASHBOARD!$C$4)</f>
        <v>25000</v>
      </c>
      <c r="D16" s="58">
        <f>'MONTHLY BUDGET'!$O$28</f>
        <v>26500</v>
      </c>
      <c r="E16" s="58">
        <f>SUMIFS('QUICK ENTRY'!$E$8:$E$1007,'QUICK ENTRY'!$AF$8:$AF$1007,"Yes",'QUICK ENTRY'!$C$8:$C$1007,"Expense",'QUICK ENTRY'!$V$8:$V$1007,$A16,'QUICK ENTRY'!$X$8:$X$1007,DASHBOARD!$C$4)</f>
        <v>7197</v>
      </c>
      <c r="F16" s="58">
        <f>SUMIFS('QUICK ENTRY'!$E$8:$E$1007,'QUICK ENTRY'!$AF$8:$AF$1007,"Yes",'QUICK ENTRY'!$C$8:$C$1007,"Savings Transfer",'QUICK ENTRY'!$V$8:$V$1007,$A16,'QUICK ENTRY'!$X$8:$X$1007,DASHBOARD!$C$4)</f>
        <v>2500</v>
      </c>
      <c r="G16" s="58">
        <f t="shared" si="6"/>
        <v>17803</v>
      </c>
      <c r="H16" s="58">
        <f t="shared" si="10"/>
        <v>178555</v>
      </c>
      <c r="I16" s="61">
        <f t="shared" si="7"/>
        <v>0.1</v>
      </c>
      <c r="J16" s="58">
        <f>SUMIFS('QUICK ENTRY'!$E$8:$E$1007,'QUICK ENTRY'!$AF$8:$AF$1007,"Yes",'QUICK ENTRY'!$C$8:$C$1007,"Expense",'QUICK ENTRY'!$V$8:$V$1007,$A16,'QUICK ENTRY'!$X$8:$X$1007,DASHBOARD!$C$4,'QUICK ENTRY'!$I$8:$I$1007,"College Fees")+SUMIFS('QUICK ENTRY'!$E$8:$E$1007,'QUICK ENTRY'!$AF$8:$AF$1007,"Yes",'QUICK ENTRY'!$C$8:$C$1007,"Expense",'QUICK ENTRY'!$V$8:$V$1007,$A16,'QUICK ENTRY'!$X$8:$X$1007,DASHBOARD!$C$4,'QUICK ENTRY'!$I$8:$I$1007,"Hostel")+SUMIFS('QUICK ENTRY'!$E$8:$E$1007,'QUICK ENTRY'!$AF$8:$AF$1007,"Yes",'QUICK ENTRY'!$C$8:$C$1007,"Expense",'QUICK ENTRY'!$V$8:$V$1007,$A16,'QUICK ENTRY'!$X$8:$X$1007,DASHBOARD!$C$4,'QUICK ENTRY'!$I$8:$I$1007,"Subscriptions")+SUMIFS('QUICK ENTRY'!$E$8:$E$1007,'QUICK ENTRY'!$AF$8:$AF$1007,"Yes",'QUICK ENTRY'!$C$8:$C$1007,"Expense",'QUICK ENTRY'!$V$8:$V$1007,$A16,'QUICK ENTRY'!$X$8:$X$1007,DASHBOARD!$C$4,'QUICK ENTRY'!$I$8:$I$1007,"Mobile &amp; Internet")</f>
        <v>3748</v>
      </c>
      <c r="K16" s="58">
        <f t="shared" si="8"/>
        <v>3449</v>
      </c>
      <c r="L16" s="58">
        <f>SUMIFS('QUICK ENTRY'!$E$8:$E$1007,'QUICK ENTRY'!$AF$8:$AF$1007,"Yes",'QUICK ENTRY'!$C$8:$C$1007,"Expense",'QUICK ENTRY'!$V$8:$V$1007,$A16,'QUICK ENTRY'!$X$8:$X$1007,DASHBOARD!$C$4,'QUICK ENTRY'!$I$8:$I$1007,"Hostel")</f>
        <v>3200</v>
      </c>
      <c r="M16" s="58">
        <f>SUMIFS('QUICK ENTRY'!$E$8:$E$1007,'QUICK ENTRY'!$AF$8:$AF$1007,"Yes",'QUICK ENTRY'!$C$8:$C$1007,"Expense",'QUICK ENTRY'!$V$8:$V$1007,$A16,'QUICK ENTRY'!$X$8:$X$1007,DASHBOARD!$C$4,'QUICK ENTRY'!$I$8:$I$1007,"Food")</f>
        <v>620</v>
      </c>
      <c r="N16" s="58">
        <f>SUMIFS('QUICK ENTRY'!$E$8:$E$1007,'QUICK ENTRY'!$AF$8:$AF$1007,"Yes",'QUICK ENTRY'!$C$8:$C$1007,"Expense",'QUICK ENTRY'!$V$8:$V$1007,$A16,'QUICK ENTRY'!$X$8:$X$1007,DASHBOARD!$C$4,'QUICK ENTRY'!$I$8:$I$1007,"Transport")+SUMIFS('QUICK ENTRY'!$E$8:$E$1007,'QUICK ENTRY'!$AF$8:$AF$1007,"Yes",'QUICK ENTRY'!$C$8:$C$1007,"Expense",'QUICK ENTRY'!$V$8:$V$1007,$A16,'QUICK ENTRY'!$X$8:$X$1007,DASHBOARD!$C$4,'QUICK ENTRY'!$I$8:$I$1007,"Travel Home")</f>
        <v>350</v>
      </c>
      <c r="O16" s="58">
        <f>SUMIFS('QUICK ENTRY'!$E$8:$E$1007,'QUICK ENTRY'!$AF$8:$AF$1007,"Yes",'QUICK ENTRY'!$C$8:$C$1007,"Expense",'QUICK ENTRY'!$V$8:$V$1007,$A16,'QUICK ENTRY'!$X$8:$X$1007,DASHBOARD!$C$4,'QUICK ENTRY'!$I$8:$I$1007,"College Fees")+SUMIFS('QUICK ENTRY'!$E$8:$E$1007,'QUICK ENTRY'!$AF$8:$AF$1007,"Yes",'QUICK ENTRY'!$C$8:$C$1007,"Expense",'QUICK ENTRY'!$V$8:$V$1007,$A16,'QUICK ENTRY'!$X$8:$X$1007,DASHBOARD!$C$4,'QUICK ENTRY'!$I$8:$I$1007,"AI-ML Learning")+SUMIFS('QUICK ENTRY'!$E$8:$E$1007,'QUICK ENTRY'!$AF$8:$AF$1007,"Yes",'QUICK ENTRY'!$C$8:$C$1007,"Expense",'QUICK ENTRY'!$V$8:$V$1007,$A16,'QUICK ENTRY'!$X$8:$X$1007,DASHBOARD!$C$4,'QUICK ENTRY'!$I$8:$I$1007,"Books &amp; Stationery")</f>
        <v>1779</v>
      </c>
      <c r="P16" s="58">
        <f>SUMIFS('QUICK ENTRY'!$E$8:$E$1007,'QUICK ENTRY'!$AF$8:$AF$1007,"Yes",'QUICK ENTRY'!$C$8:$C$1007,"Expense",'QUICK ENTRY'!$V$8:$V$1007,$A16,'QUICK ENTRY'!$X$8:$X$1007,DASHBOARD!$C$4,'QUICK ENTRY'!$I$8:$I$1007,"Technology")</f>
        <v>0</v>
      </c>
      <c r="Q16" s="58">
        <f>SUMIFS('QUICK ENTRY'!$E$8:$E$1007,'QUICK ENTRY'!$AF$8:$AF$1007,"Yes",'QUICK ENTRY'!$C$8:$C$1007,"Expense",'QUICK ENTRY'!$V$8:$V$1007,$A16,'QUICK ENTRY'!$X$8:$X$1007,DASHBOARD!$C$4,'QUICK ENTRY'!$I$8:$I$1007,"Entertainment")+SUMIFS('QUICK ENTRY'!$E$8:$E$1007,'QUICK ENTRY'!$AF$8:$AF$1007,"Yes",'QUICK ENTRY'!$C$8:$C$1007,"Expense",'QUICK ENTRY'!$V$8:$V$1007,$A16,'QUICK ENTRY'!$X$8:$X$1007,DASHBOARD!$C$4,'QUICK ENTRY'!$I$8:$I$1007,"Subscriptions")</f>
        <v>199</v>
      </c>
      <c r="R16" s="58">
        <f>SUMIFS('QUICK ENTRY'!$E$8:$E$1007,'QUICK ENTRY'!$AF$8:$AF$1007,"Yes",'QUICK ENTRY'!$C$8:$C$1007,"Expense",'QUICK ENTRY'!$V$8:$V$1007,$A16,'QUICK ENTRY'!$X$8:$X$1007,DASHBOARD!$C$4,'QUICK ENTRY'!$I$8:$I$1007,"Personal Care")+SUMIFS('QUICK ENTRY'!$E$8:$E$1007,'QUICK ENTRY'!$AF$8:$AF$1007,"Yes",'QUICK ENTRY'!$C$8:$C$1007,"Expense",'QUICK ENTRY'!$V$8:$V$1007,$A16,'QUICK ENTRY'!$X$8:$X$1007,DASHBOARD!$C$4,'QUICK ENTRY'!$I$8:$I$1007,"Clothing")+SUMIFS('QUICK ENTRY'!$E$8:$E$1007,'QUICK ENTRY'!$AF$8:$AF$1007,"Yes",'QUICK ENTRY'!$C$8:$C$1007,"Expense",'QUICK ENTRY'!$V$8:$V$1007,$A16,'QUICK ENTRY'!$X$8:$X$1007,DASHBOARD!$C$4,'QUICK ENTRY'!$I$8:$I$1007,"Shopping &amp; Gifts")+SUMIFS('QUICK ENTRY'!$E$8:$E$1007,'QUICK ENTRY'!$AF$8:$AF$1007,"Yes",'QUICK ENTRY'!$C$8:$C$1007,"Expense",'QUICK ENTRY'!$V$8:$V$1007,$A16,'QUICK ENTRY'!$X$8:$X$1007,DASHBOARD!$C$4,'QUICK ENTRY'!$I$8:$I$1007,"Health &amp; Fitness")</f>
        <v>700</v>
      </c>
      <c r="S16" s="58">
        <f t="shared" si="9"/>
        <v>349</v>
      </c>
      <c r="T16" s="58">
        <f t="shared" si="11"/>
        <v>4500</v>
      </c>
      <c r="U16" s="44">
        <f>COUNTIFS('QUICK ENTRY'!$AF$8:$AF$1007,"Yes",'QUICK ENTRY'!$C$8:$C$1007,"Expense",'QUICK ENTRY'!$V$8:$V$1007,$A16,'QUICK ENTRY'!$X$8:$X$1007,DASHBOARD!$C$4)</f>
        <v>8</v>
      </c>
      <c r="V16" s="61">
        <f t="shared" si="12"/>
        <v>0.38403846153846155</v>
      </c>
      <c r="W16" s="44">
        <f>ROUND(MAX(0,MIN(100,50+30*MAX(0,1-$E16/MAX(1,$D16))+20*MIN(1,$I16/MAX(0.01,SETTINGS!$B$15)))),0)</f>
        <v>92</v>
      </c>
    </row>
    <row r="17" spans="1:23" ht="14.4">
      <c r="A17" s="3" t="s">
        <v>238</v>
      </c>
      <c r="B17" s="3">
        <v>10</v>
      </c>
      <c r="C17" s="58">
        <f>SUMIFS('QUICK ENTRY'!$E$8:$E$1007,'QUICK ENTRY'!$AF$8:$AF$1007,"Yes",'QUICK ENTRY'!$C$8:$C$1007,"Income",'QUICK ENTRY'!$V$8:$V$1007,$A17,'QUICK ENTRY'!$X$8:$X$1007,DASHBOARD!$C$4)+SUMIFS('QUICK ENTRY'!$E$8:$E$1007,'QUICK ENTRY'!$AF$8:$AF$1007,"Yes",'QUICK ENTRY'!$C$8:$C$1007,"Refund",'QUICK ENTRY'!$V$8:$V$1007,$A17,'QUICK ENTRY'!$X$8:$X$1007,DASHBOARD!$C$4)+SUMIFS('QUICK ENTRY'!$E$8:$E$1007,'QUICK ENTRY'!$AF$8:$AF$1007,"Yes",'QUICK ENTRY'!$C$8:$C$1007,"Reimbursement",'QUICK ENTRY'!$V$8:$V$1007,$A17,'QUICK ENTRY'!$X$8:$X$1007,DASHBOARD!$C$4)</f>
        <v>0</v>
      </c>
      <c r="D17" s="58">
        <f>'MONTHLY BUDGET'!$P$28</f>
        <v>26500</v>
      </c>
      <c r="E17" s="58">
        <f>SUMIFS('QUICK ENTRY'!$E$8:$E$1007,'QUICK ENTRY'!$AF$8:$AF$1007,"Yes",'QUICK ENTRY'!$C$8:$C$1007,"Expense",'QUICK ENTRY'!$V$8:$V$1007,$A17,'QUICK ENTRY'!$X$8:$X$1007,DASHBOARD!$C$4)</f>
        <v>0</v>
      </c>
      <c r="F17" s="58">
        <f>SUMIFS('QUICK ENTRY'!$E$8:$E$1007,'QUICK ENTRY'!$AF$8:$AF$1007,"Yes",'QUICK ENTRY'!$C$8:$C$1007,"Savings Transfer",'QUICK ENTRY'!$V$8:$V$1007,$A17,'QUICK ENTRY'!$X$8:$X$1007,DASHBOARD!$C$4)</f>
        <v>0</v>
      </c>
      <c r="G17" s="58">
        <f t="shared" si="6"/>
        <v>0</v>
      </c>
      <c r="H17" s="58">
        <f t="shared" si="10"/>
        <v>178555</v>
      </c>
      <c r="I17" s="61">
        <f t="shared" si="7"/>
        <v>0</v>
      </c>
      <c r="J17" s="58">
        <f>SUMIFS('QUICK ENTRY'!$E$8:$E$1007,'QUICK ENTRY'!$AF$8:$AF$1007,"Yes",'QUICK ENTRY'!$C$8:$C$1007,"Expense",'QUICK ENTRY'!$V$8:$V$1007,$A17,'QUICK ENTRY'!$X$8:$X$1007,DASHBOARD!$C$4,'QUICK ENTRY'!$I$8:$I$1007,"College Fees")+SUMIFS('QUICK ENTRY'!$E$8:$E$1007,'QUICK ENTRY'!$AF$8:$AF$1007,"Yes",'QUICK ENTRY'!$C$8:$C$1007,"Expense",'QUICK ENTRY'!$V$8:$V$1007,$A17,'QUICK ENTRY'!$X$8:$X$1007,DASHBOARD!$C$4,'QUICK ENTRY'!$I$8:$I$1007,"Hostel")+SUMIFS('QUICK ENTRY'!$E$8:$E$1007,'QUICK ENTRY'!$AF$8:$AF$1007,"Yes",'QUICK ENTRY'!$C$8:$C$1007,"Expense",'QUICK ENTRY'!$V$8:$V$1007,$A17,'QUICK ENTRY'!$X$8:$X$1007,DASHBOARD!$C$4,'QUICK ENTRY'!$I$8:$I$1007,"Subscriptions")+SUMIFS('QUICK ENTRY'!$E$8:$E$1007,'QUICK ENTRY'!$AF$8:$AF$1007,"Yes",'QUICK ENTRY'!$C$8:$C$1007,"Expense",'QUICK ENTRY'!$V$8:$V$1007,$A17,'QUICK ENTRY'!$X$8:$X$1007,DASHBOARD!$C$4,'QUICK ENTRY'!$I$8:$I$1007,"Mobile &amp; Internet")</f>
        <v>0</v>
      </c>
      <c r="K17" s="58">
        <f t="shared" si="8"/>
        <v>0</v>
      </c>
      <c r="L17" s="58">
        <f>SUMIFS('QUICK ENTRY'!$E$8:$E$1007,'QUICK ENTRY'!$AF$8:$AF$1007,"Yes",'QUICK ENTRY'!$C$8:$C$1007,"Expense",'QUICK ENTRY'!$V$8:$V$1007,$A17,'QUICK ENTRY'!$X$8:$X$1007,DASHBOARD!$C$4,'QUICK ENTRY'!$I$8:$I$1007,"Hostel")</f>
        <v>0</v>
      </c>
      <c r="M17" s="58">
        <f>SUMIFS('QUICK ENTRY'!$E$8:$E$1007,'QUICK ENTRY'!$AF$8:$AF$1007,"Yes",'QUICK ENTRY'!$C$8:$C$1007,"Expense",'QUICK ENTRY'!$V$8:$V$1007,$A17,'QUICK ENTRY'!$X$8:$X$1007,DASHBOARD!$C$4,'QUICK ENTRY'!$I$8:$I$1007,"Food")</f>
        <v>0</v>
      </c>
      <c r="N17" s="58">
        <f>SUMIFS('QUICK ENTRY'!$E$8:$E$1007,'QUICK ENTRY'!$AF$8:$AF$1007,"Yes",'QUICK ENTRY'!$C$8:$C$1007,"Expense",'QUICK ENTRY'!$V$8:$V$1007,$A17,'QUICK ENTRY'!$X$8:$X$1007,DASHBOARD!$C$4,'QUICK ENTRY'!$I$8:$I$1007,"Transport")+SUMIFS('QUICK ENTRY'!$E$8:$E$1007,'QUICK ENTRY'!$AF$8:$AF$1007,"Yes",'QUICK ENTRY'!$C$8:$C$1007,"Expense",'QUICK ENTRY'!$V$8:$V$1007,$A17,'QUICK ENTRY'!$X$8:$X$1007,DASHBOARD!$C$4,'QUICK ENTRY'!$I$8:$I$1007,"Travel Home")</f>
        <v>0</v>
      </c>
      <c r="O17" s="58">
        <f>SUMIFS('QUICK ENTRY'!$E$8:$E$1007,'QUICK ENTRY'!$AF$8:$AF$1007,"Yes",'QUICK ENTRY'!$C$8:$C$1007,"Expense",'QUICK ENTRY'!$V$8:$V$1007,$A17,'QUICK ENTRY'!$X$8:$X$1007,DASHBOARD!$C$4,'QUICK ENTRY'!$I$8:$I$1007,"College Fees")+SUMIFS('QUICK ENTRY'!$E$8:$E$1007,'QUICK ENTRY'!$AF$8:$AF$1007,"Yes",'QUICK ENTRY'!$C$8:$C$1007,"Expense",'QUICK ENTRY'!$V$8:$V$1007,$A17,'QUICK ENTRY'!$X$8:$X$1007,DASHBOARD!$C$4,'QUICK ENTRY'!$I$8:$I$1007,"AI-ML Learning")+SUMIFS('QUICK ENTRY'!$E$8:$E$1007,'QUICK ENTRY'!$AF$8:$AF$1007,"Yes",'QUICK ENTRY'!$C$8:$C$1007,"Expense",'QUICK ENTRY'!$V$8:$V$1007,$A17,'QUICK ENTRY'!$X$8:$X$1007,DASHBOARD!$C$4,'QUICK ENTRY'!$I$8:$I$1007,"Books &amp; Stationery")</f>
        <v>0</v>
      </c>
      <c r="P17" s="58">
        <f>SUMIFS('QUICK ENTRY'!$E$8:$E$1007,'QUICK ENTRY'!$AF$8:$AF$1007,"Yes",'QUICK ENTRY'!$C$8:$C$1007,"Expense",'QUICK ENTRY'!$V$8:$V$1007,$A17,'QUICK ENTRY'!$X$8:$X$1007,DASHBOARD!$C$4,'QUICK ENTRY'!$I$8:$I$1007,"Technology")</f>
        <v>0</v>
      </c>
      <c r="Q17" s="58">
        <f>SUMIFS('QUICK ENTRY'!$E$8:$E$1007,'QUICK ENTRY'!$AF$8:$AF$1007,"Yes",'QUICK ENTRY'!$C$8:$C$1007,"Expense",'QUICK ENTRY'!$V$8:$V$1007,$A17,'QUICK ENTRY'!$X$8:$X$1007,DASHBOARD!$C$4,'QUICK ENTRY'!$I$8:$I$1007,"Entertainment")+SUMIFS('QUICK ENTRY'!$E$8:$E$1007,'QUICK ENTRY'!$AF$8:$AF$1007,"Yes",'QUICK ENTRY'!$C$8:$C$1007,"Expense",'QUICK ENTRY'!$V$8:$V$1007,$A17,'QUICK ENTRY'!$X$8:$X$1007,DASHBOARD!$C$4,'QUICK ENTRY'!$I$8:$I$1007,"Subscriptions")</f>
        <v>0</v>
      </c>
      <c r="R17" s="58">
        <f>SUMIFS('QUICK ENTRY'!$E$8:$E$1007,'QUICK ENTRY'!$AF$8:$AF$1007,"Yes",'QUICK ENTRY'!$C$8:$C$1007,"Expense",'QUICK ENTRY'!$V$8:$V$1007,$A17,'QUICK ENTRY'!$X$8:$X$1007,DASHBOARD!$C$4,'QUICK ENTRY'!$I$8:$I$1007,"Personal Care")+SUMIFS('QUICK ENTRY'!$E$8:$E$1007,'QUICK ENTRY'!$AF$8:$AF$1007,"Yes",'QUICK ENTRY'!$C$8:$C$1007,"Expense",'QUICK ENTRY'!$V$8:$V$1007,$A17,'QUICK ENTRY'!$X$8:$X$1007,DASHBOARD!$C$4,'QUICK ENTRY'!$I$8:$I$1007,"Clothing")+SUMIFS('QUICK ENTRY'!$E$8:$E$1007,'QUICK ENTRY'!$AF$8:$AF$1007,"Yes",'QUICK ENTRY'!$C$8:$C$1007,"Expense",'QUICK ENTRY'!$V$8:$V$1007,$A17,'QUICK ENTRY'!$X$8:$X$1007,DASHBOARD!$C$4,'QUICK ENTRY'!$I$8:$I$1007,"Shopping &amp; Gifts")+SUMIFS('QUICK ENTRY'!$E$8:$E$1007,'QUICK ENTRY'!$AF$8:$AF$1007,"Yes",'QUICK ENTRY'!$C$8:$C$1007,"Expense",'QUICK ENTRY'!$V$8:$V$1007,$A17,'QUICK ENTRY'!$X$8:$X$1007,DASHBOARD!$C$4,'QUICK ENTRY'!$I$8:$I$1007,"Health &amp; Fitness")</f>
        <v>0</v>
      </c>
      <c r="S17" s="58">
        <f t="shared" si="9"/>
        <v>0</v>
      </c>
      <c r="T17" s="58">
        <f t="shared" si="11"/>
        <v>4500</v>
      </c>
      <c r="U17" s="44">
        <f>COUNTIFS('QUICK ENTRY'!$AF$8:$AF$1007,"Yes",'QUICK ENTRY'!$C$8:$C$1007,"Expense",'QUICK ENTRY'!$V$8:$V$1007,$A17,'QUICK ENTRY'!$X$8:$X$1007,DASHBOARD!$C$4)</f>
        <v>0</v>
      </c>
      <c r="V17" s="61">
        <f t="shared" si="12"/>
        <v>-1</v>
      </c>
      <c r="W17" s="44">
        <f>ROUND(MAX(0,MIN(100,50+30*MAX(0,1-$E17/MAX(1,$D17))+20*MIN(1,$I17/MAX(0.01,SETTINGS!$B$15)))),0)</f>
        <v>80</v>
      </c>
    </row>
    <row r="18" spans="1:23" ht="14.4">
      <c r="A18" s="3" t="s">
        <v>239</v>
      </c>
      <c r="B18" s="3">
        <v>11</v>
      </c>
      <c r="C18" s="58">
        <f>SUMIFS('QUICK ENTRY'!$E$8:$E$1007,'QUICK ENTRY'!$AF$8:$AF$1007,"Yes",'QUICK ENTRY'!$C$8:$C$1007,"Income",'QUICK ENTRY'!$V$8:$V$1007,$A18,'QUICK ENTRY'!$X$8:$X$1007,DASHBOARD!$C$4)+SUMIFS('QUICK ENTRY'!$E$8:$E$1007,'QUICK ENTRY'!$AF$8:$AF$1007,"Yes",'QUICK ENTRY'!$C$8:$C$1007,"Refund",'QUICK ENTRY'!$V$8:$V$1007,$A18,'QUICK ENTRY'!$X$8:$X$1007,DASHBOARD!$C$4)+SUMIFS('QUICK ENTRY'!$E$8:$E$1007,'QUICK ENTRY'!$AF$8:$AF$1007,"Yes",'QUICK ENTRY'!$C$8:$C$1007,"Reimbursement",'QUICK ENTRY'!$V$8:$V$1007,$A18,'QUICK ENTRY'!$X$8:$X$1007,DASHBOARD!$C$4)</f>
        <v>0</v>
      </c>
      <c r="D18" s="58">
        <f>'MONTHLY BUDGET'!$Q$28</f>
        <v>26500</v>
      </c>
      <c r="E18" s="58">
        <f>SUMIFS('QUICK ENTRY'!$E$8:$E$1007,'QUICK ENTRY'!$AF$8:$AF$1007,"Yes",'QUICK ENTRY'!$C$8:$C$1007,"Expense",'QUICK ENTRY'!$V$8:$V$1007,$A18,'QUICK ENTRY'!$X$8:$X$1007,DASHBOARD!$C$4)</f>
        <v>0</v>
      </c>
      <c r="F18" s="58">
        <f>SUMIFS('QUICK ENTRY'!$E$8:$E$1007,'QUICK ENTRY'!$AF$8:$AF$1007,"Yes",'QUICK ENTRY'!$C$8:$C$1007,"Savings Transfer",'QUICK ENTRY'!$V$8:$V$1007,$A18,'QUICK ENTRY'!$X$8:$X$1007,DASHBOARD!$C$4)</f>
        <v>0</v>
      </c>
      <c r="G18" s="58">
        <f t="shared" si="6"/>
        <v>0</v>
      </c>
      <c r="H18" s="58">
        <f t="shared" si="10"/>
        <v>178555</v>
      </c>
      <c r="I18" s="61">
        <f t="shared" si="7"/>
        <v>0</v>
      </c>
      <c r="J18" s="58">
        <f>SUMIFS('QUICK ENTRY'!$E$8:$E$1007,'QUICK ENTRY'!$AF$8:$AF$1007,"Yes",'QUICK ENTRY'!$C$8:$C$1007,"Expense",'QUICK ENTRY'!$V$8:$V$1007,$A18,'QUICK ENTRY'!$X$8:$X$1007,DASHBOARD!$C$4,'QUICK ENTRY'!$I$8:$I$1007,"College Fees")+SUMIFS('QUICK ENTRY'!$E$8:$E$1007,'QUICK ENTRY'!$AF$8:$AF$1007,"Yes",'QUICK ENTRY'!$C$8:$C$1007,"Expense",'QUICK ENTRY'!$V$8:$V$1007,$A18,'QUICK ENTRY'!$X$8:$X$1007,DASHBOARD!$C$4,'QUICK ENTRY'!$I$8:$I$1007,"Hostel")+SUMIFS('QUICK ENTRY'!$E$8:$E$1007,'QUICK ENTRY'!$AF$8:$AF$1007,"Yes",'QUICK ENTRY'!$C$8:$C$1007,"Expense",'QUICK ENTRY'!$V$8:$V$1007,$A18,'QUICK ENTRY'!$X$8:$X$1007,DASHBOARD!$C$4,'QUICK ENTRY'!$I$8:$I$1007,"Subscriptions")+SUMIFS('QUICK ENTRY'!$E$8:$E$1007,'QUICK ENTRY'!$AF$8:$AF$1007,"Yes",'QUICK ENTRY'!$C$8:$C$1007,"Expense",'QUICK ENTRY'!$V$8:$V$1007,$A18,'QUICK ENTRY'!$X$8:$X$1007,DASHBOARD!$C$4,'QUICK ENTRY'!$I$8:$I$1007,"Mobile &amp; Internet")</f>
        <v>0</v>
      </c>
      <c r="K18" s="58">
        <f t="shared" si="8"/>
        <v>0</v>
      </c>
      <c r="L18" s="58">
        <f>SUMIFS('QUICK ENTRY'!$E$8:$E$1007,'QUICK ENTRY'!$AF$8:$AF$1007,"Yes",'QUICK ENTRY'!$C$8:$C$1007,"Expense",'QUICK ENTRY'!$V$8:$V$1007,$A18,'QUICK ENTRY'!$X$8:$X$1007,DASHBOARD!$C$4,'QUICK ENTRY'!$I$8:$I$1007,"Hostel")</f>
        <v>0</v>
      </c>
      <c r="M18" s="58">
        <f>SUMIFS('QUICK ENTRY'!$E$8:$E$1007,'QUICK ENTRY'!$AF$8:$AF$1007,"Yes",'QUICK ENTRY'!$C$8:$C$1007,"Expense",'QUICK ENTRY'!$V$8:$V$1007,$A18,'QUICK ENTRY'!$X$8:$X$1007,DASHBOARD!$C$4,'QUICK ENTRY'!$I$8:$I$1007,"Food")</f>
        <v>0</v>
      </c>
      <c r="N18" s="58">
        <f>SUMIFS('QUICK ENTRY'!$E$8:$E$1007,'QUICK ENTRY'!$AF$8:$AF$1007,"Yes",'QUICK ENTRY'!$C$8:$C$1007,"Expense",'QUICK ENTRY'!$V$8:$V$1007,$A18,'QUICK ENTRY'!$X$8:$X$1007,DASHBOARD!$C$4,'QUICK ENTRY'!$I$8:$I$1007,"Transport")+SUMIFS('QUICK ENTRY'!$E$8:$E$1007,'QUICK ENTRY'!$AF$8:$AF$1007,"Yes",'QUICK ENTRY'!$C$8:$C$1007,"Expense",'QUICK ENTRY'!$V$8:$V$1007,$A18,'QUICK ENTRY'!$X$8:$X$1007,DASHBOARD!$C$4,'QUICK ENTRY'!$I$8:$I$1007,"Travel Home")</f>
        <v>0</v>
      </c>
      <c r="O18" s="58">
        <f>SUMIFS('QUICK ENTRY'!$E$8:$E$1007,'QUICK ENTRY'!$AF$8:$AF$1007,"Yes",'QUICK ENTRY'!$C$8:$C$1007,"Expense",'QUICK ENTRY'!$V$8:$V$1007,$A18,'QUICK ENTRY'!$X$8:$X$1007,DASHBOARD!$C$4,'QUICK ENTRY'!$I$8:$I$1007,"College Fees")+SUMIFS('QUICK ENTRY'!$E$8:$E$1007,'QUICK ENTRY'!$AF$8:$AF$1007,"Yes",'QUICK ENTRY'!$C$8:$C$1007,"Expense",'QUICK ENTRY'!$V$8:$V$1007,$A18,'QUICK ENTRY'!$X$8:$X$1007,DASHBOARD!$C$4,'QUICK ENTRY'!$I$8:$I$1007,"AI-ML Learning")+SUMIFS('QUICK ENTRY'!$E$8:$E$1007,'QUICK ENTRY'!$AF$8:$AF$1007,"Yes",'QUICK ENTRY'!$C$8:$C$1007,"Expense",'QUICK ENTRY'!$V$8:$V$1007,$A18,'QUICK ENTRY'!$X$8:$X$1007,DASHBOARD!$C$4,'QUICK ENTRY'!$I$8:$I$1007,"Books &amp; Stationery")</f>
        <v>0</v>
      </c>
      <c r="P18" s="58">
        <f>SUMIFS('QUICK ENTRY'!$E$8:$E$1007,'QUICK ENTRY'!$AF$8:$AF$1007,"Yes",'QUICK ENTRY'!$C$8:$C$1007,"Expense",'QUICK ENTRY'!$V$8:$V$1007,$A18,'QUICK ENTRY'!$X$8:$X$1007,DASHBOARD!$C$4,'QUICK ENTRY'!$I$8:$I$1007,"Technology")</f>
        <v>0</v>
      </c>
      <c r="Q18" s="58">
        <f>SUMIFS('QUICK ENTRY'!$E$8:$E$1007,'QUICK ENTRY'!$AF$8:$AF$1007,"Yes",'QUICK ENTRY'!$C$8:$C$1007,"Expense",'QUICK ENTRY'!$V$8:$V$1007,$A18,'QUICK ENTRY'!$X$8:$X$1007,DASHBOARD!$C$4,'QUICK ENTRY'!$I$8:$I$1007,"Entertainment")+SUMIFS('QUICK ENTRY'!$E$8:$E$1007,'QUICK ENTRY'!$AF$8:$AF$1007,"Yes",'QUICK ENTRY'!$C$8:$C$1007,"Expense",'QUICK ENTRY'!$V$8:$V$1007,$A18,'QUICK ENTRY'!$X$8:$X$1007,DASHBOARD!$C$4,'QUICK ENTRY'!$I$8:$I$1007,"Subscriptions")</f>
        <v>0</v>
      </c>
      <c r="R18" s="58">
        <f>SUMIFS('QUICK ENTRY'!$E$8:$E$1007,'QUICK ENTRY'!$AF$8:$AF$1007,"Yes",'QUICK ENTRY'!$C$8:$C$1007,"Expense",'QUICK ENTRY'!$V$8:$V$1007,$A18,'QUICK ENTRY'!$X$8:$X$1007,DASHBOARD!$C$4,'QUICK ENTRY'!$I$8:$I$1007,"Personal Care")+SUMIFS('QUICK ENTRY'!$E$8:$E$1007,'QUICK ENTRY'!$AF$8:$AF$1007,"Yes",'QUICK ENTRY'!$C$8:$C$1007,"Expense",'QUICK ENTRY'!$V$8:$V$1007,$A18,'QUICK ENTRY'!$X$8:$X$1007,DASHBOARD!$C$4,'QUICK ENTRY'!$I$8:$I$1007,"Clothing")+SUMIFS('QUICK ENTRY'!$E$8:$E$1007,'QUICK ENTRY'!$AF$8:$AF$1007,"Yes",'QUICK ENTRY'!$C$8:$C$1007,"Expense",'QUICK ENTRY'!$V$8:$V$1007,$A18,'QUICK ENTRY'!$X$8:$X$1007,DASHBOARD!$C$4,'QUICK ENTRY'!$I$8:$I$1007,"Shopping &amp; Gifts")+SUMIFS('QUICK ENTRY'!$E$8:$E$1007,'QUICK ENTRY'!$AF$8:$AF$1007,"Yes",'QUICK ENTRY'!$C$8:$C$1007,"Expense",'QUICK ENTRY'!$V$8:$V$1007,$A18,'QUICK ENTRY'!$X$8:$X$1007,DASHBOARD!$C$4,'QUICK ENTRY'!$I$8:$I$1007,"Health &amp; Fitness")</f>
        <v>0</v>
      </c>
      <c r="S18" s="58">
        <f t="shared" si="9"/>
        <v>0</v>
      </c>
      <c r="T18" s="58">
        <f t="shared" si="11"/>
        <v>4500</v>
      </c>
      <c r="U18" s="44">
        <f>COUNTIFS('QUICK ENTRY'!$AF$8:$AF$1007,"Yes",'QUICK ENTRY'!$C$8:$C$1007,"Expense",'QUICK ENTRY'!$V$8:$V$1007,$A18,'QUICK ENTRY'!$X$8:$X$1007,DASHBOARD!$C$4)</f>
        <v>0</v>
      </c>
      <c r="V18" s="61">
        <f t="shared" si="12"/>
        <v>0</v>
      </c>
      <c r="W18" s="44">
        <f>ROUND(MAX(0,MIN(100,50+30*MAX(0,1-$E18/MAX(1,$D18))+20*MIN(1,$I18/MAX(0.01,SETTINGS!$B$15)))),0)</f>
        <v>80</v>
      </c>
    </row>
    <row r="19" spans="1:23" ht="14.4">
      <c r="A19" s="4" t="s">
        <v>240</v>
      </c>
      <c r="B19" s="4">
        <v>12</v>
      </c>
      <c r="C19" s="59">
        <f>SUMIFS('QUICK ENTRY'!$E$8:$E$1007,'QUICK ENTRY'!$AF$8:$AF$1007,"Yes",'QUICK ENTRY'!$C$8:$C$1007,"Income",'QUICK ENTRY'!$V$8:$V$1007,$A19,'QUICK ENTRY'!$X$8:$X$1007,DASHBOARD!$C$4)+SUMIFS('QUICK ENTRY'!$E$8:$E$1007,'QUICK ENTRY'!$AF$8:$AF$1007,"Yes",'QUICK ENTRY'!$C$8:$C$1007,"Refund",'QUICK ENTRY'!$V$8:$V$1007,$A19,'QUICK ENTRY'!$X$8:$X$1007,DASHBOARD!$C$4)+SUMIFS('QUICK ENTRY'!$E$8:$E$1007,'QUICK ENTRY'!$AF$8:$AF$1007,"Yes",'QUICK ENTRY'!$C$8:$C$1007,"Reimbursement",'QUICK ENTRY'!$V$8:$V$1007,$A19,'QUICK ENTRY'!$X$8:$X$1007,DASHBOARD!$C$4)</f>
        <v>0</v>
      </c>
      <c r="D19" s="59">
        <f>'MONTHLY BUDGET'!$R$28</f>
        <v>26500</v>
      </c>
      <c r="E19" s="59">
        <f>SUMIFS('QUICK ENTRY'!$E$8:$E$1007,'QUICK ENTRY'!$AF$8:$AF$1007,"Yes",'QUICK ENTRY'!$C$8:$C$1007,"Expense",'QUICK ENTRY'!$V$8:$V$1007,$A19,'QUICK ENTRY'!$X$8:$X$1007,DASHBOARD!$C$4)</f>
        <v>0</v>
      </c>
      <c r="F19" s="59">
        <f>SUMIFS('QUICK ENTRY'!$E$8:$E$1007,'QUICK ENTRY'!$AF$8:$AF$1007,"Yes",'QUICK ENTRY'!$C$8:$C$1007,"Savings Transfer",'QUICK ENTRY'!$V$8:$V$1007,$A19,'QUICK ENTRY'!$X$8:$X$1007,DASHBOARD!$C$4)</f>
        <v>0</v>
      </c>
      <c r="G19" s="59">
        <f t="shared" si="6"/>
        <v>0</v>
      </c>
      <c r="H19" s="59">
        <f t="shared" si="10"/>
        <v>178555</v>
      </c>
      <c r="I19" s="62">
        <f t="shared" si="7"/>
        <v>0</v>
      </c>
      <c r="J19" s="59">
        <f>SUMIFS('QUICK ENTRY'!$E$8:$E$1007,'QUICK ENTRY'!$AF$8:$AF$1007,"Yes",'QUICK ENTRY'!$C$8:$C$1007,"Expense",'QUICK ENTRY'!$V$8:$V$1007,$A19,'QUICK ENTRY'!$X$8:$X$1007,DASHBOARD!$C$4,'QUICK ENTRY'!$I$8:$I$1007,"College Fees")+SUMIFS('QUICK ENTRY'!$E$8:$E$1007,'QUICK ENTRY'!$AF$8:$AF$1007,"Yes",'QUICK ENTRY'!$C$8:$C$1007,"Expense",'QUICK ENTRY'!$V$8:$V$1007,$A19,'QUICK ENTRY'!$X$8:$X$1007,DASHBOARD!$C$4,'QUICK ENTRY'!$I$8:$I$1007,"Hostel")+SUMIFS('QUICK ENTRY'!$E$8:$E$1007,'QUICK ENTRY'!$AF$8:$AF$1007,"Yes",'QUICK ENTRY'!$C$8:$C$1007,"Expense",'QUICK ENTRY'!$V$8:$V$1007,$A19,'QUICK ENTRY'!$X$8:$X$1007,DASHBOARD!$C$4,'QUICK ENTRY'!$I$8:$I$1007,"Subscriptions")+SUMIFS('QUICK ENTRY'!$E$8:$E$1007,'QUICK ENTRY'!$AF$8:$AF$1007,"Yes",'QUICK ENTRY'!$C$8:$C$1007,"Expense",'QUICK ENTRY'!$V$8:$V$1007,$A19,'QUICK ENTRY'!$X$8:$X$1007,DASHBOARD!$C$4,'QUICK ENTRY'!$I$8:$I$1007,"Mobile &amp; Internet")</f>
        <v>0</v>
      </c>
      <c r="K19" s="59">
        <f t="shared" si="8"/>
        <v>0</v>
      </c>
      <c r="L19" s="59">
        <f>SUMIFS('QUICK ENTRY'!$E$8:$E$1007,'QUICK ENTRY'!$AF$8:$AF$1007,"Yes",'QUICK ENTRY'!$C$8:$C$1007,"Expense",'QUICK ENTRY'!$V$8:$V$1007,$A19,'QUICK ENTRY'!$X$8:$X$1007,DASHBOARD!$C$4,'QUICK ENTRY'!$I$8:$I$1007,"Hostel")</f>
        <v>0</v>
      </c>
      <c r="M19" s="59">
        <f>SUMIFS('QUICK ENTRY'!$E$8:$E$1007,'QUICK ENTRY'!$AF$8:$AF$1007,"Yes",'QUICK ENTRY'!$C$8:$C$1007,"Expense",'QUICK ENTRY'!$V$8:$V$1007,$A19,'QUICK ENTRY'!$X$8:$X$1007,DASHBOARD!$C$4,'QUICK ENTRY'!$I$8:$I$1007,"Food")</f>
        <v>0</v>
      </c>
      <c r="N19" s="59">
        <f>SUMIFS('QUICK ENTRY'!$E$8:$E$1007,'QUICK ENTRY'!$AF$8:$AF$1007,"Yes",'QUICK ENTRY'!$C$8:$C$1007,"Expense",'QUICK ENTRY'!$V$8:$V$1007,$A19,'QUICK ENTRY'!$X$8:$X$1007,DASHBOARD!$C$4,'QUICK ENTRY'!$I$8:$I$1007,"Transport")+SUMIFS('QUICK ENTRY'!$E$8:$E$1007,'QUICK ENTRY'!$AF$8:$AF$1007,"Yes",'QUICK ENTRY'!$C$8:$C$1007,"Expense",'QUICK ENTRY'!$V$8:$V$1007,$A19,'QUICK ENTRY'!$X$8:$X$1007,DASHBOARD!$C$4,'QUICK ENTRY'!$I$8:$I$1007,"Travel Home")</f>
        <v>0</v>
      </c>
      <c r="O19" s="59">
        <f>SUMIFS('QUICK ENTRY'!$E$8:$E$1007,'QUICK ENTRY'!$AF$8:$AF$1007,"Yes",'QUICK ENTRY'!$C$8:$C$1007,"Expense",'QUICK ENTRY'!$V$8:$V$1007,$A19,'QUICK ENTRY'!$X$8:$X$1007,DASHBOARD!$C$4,'QUICK ENTRY'!$I$8:$I$1007,"College Fees")+SUMIFS('QUICK ENTRY'!$E$8:$E$1007,'QUICK ENTRY'!$AF$8:$AF$1007,"Yes",'QUICK ENTRY'!$C$8:$C$1007,"Expense",'QUICK ENTRY'!$V$8:$V$1007,$A19,'QUICK ENTRY'!$X$8:$X$1007,DASHBOARD!$C$4,'QUICK ENTRY'!$I$8:$I$1007,"AI-ML Learning")+SUMIFS('QUICK ENTRY'!$E$8:$E$1007,'QUICK ENTRY'!$AF$8:$AF$1007,"Yes",'QUICK ENTRY'!$C$8:$C$1007,"Expense",'QUICK ENTRY'!$V$8:$V$1007,$A19,'QUICK ENTRY'!$X$8:$X$1007,DASHBOARD!$C$4,'QUICK ENTRY'!$I$8:$I$1007,"Books &amp; Stationery")</f>
        <v>0</v>
      </c>
      <c r="P19" s="59">
        <f>SUMIFS('QUICK ENTRY'!$E$8:$E$1007,'QUICK ENTRY'!$AF$8:$AF$1007,"Yes",'QUICK ENTRY'!$C$8:$C$1007,"Expense",'QUICK ENTRY'!$V$8:$V$1007,$A19,'QUICK ENTRY'!$X$8:$X$1007,DASHBOARD!$C$4,'QUICK ENTRY'!$I$8:$I$1007,"Technology")</f>
        <v>0</v>
      </c>
      <c r="Q19" s="59">
        <f>SUMIFS('QUICK ENTRY'!$E$8:$E$1007,'QUICK ENTRY'!$AF$8:$AF$1007,"Yes",'QUICK ENTRY'!$C$8:$C$1007,"Expense",'QUICK ENTRY'!$V$8:$V$1007,$A19,'QUICK ENTRY'!$X$8:$X$1007,DASHBOARD!$C$4,'QUICK ENTRY'!$I$8:$I$1007,"Entertainment")+SUMIFS('QUICK ENTRY'!$E$8:$E$1007,'QUICK ENTRY'!$AF$8:$AF$1007,"Yes",'QUICK ENTRY'!$C$8:$C$1007,"Expense",'QUICK ENTRY'!$V$8:$V$1007,$A19,'QUICK ENTRY'!$X$8:$X$1007,DASHBOARD!$C$4,'QUICK ENTRY'!$I$8:$I$1007,"Subscriptions")</f>
        <v>0</v>
      </c>
      <c r="R19" s="59">
        <f>SUMIFS('QUICK ENTRY'!$E$8:$E$1007,'QUICK ENTRY'!$AF$8:$AF$1007,"Yes",'QUICK ENTRY'!$C$8:$C$1007,"Expense",'QUICK ENTRY'!$V$8:$V$1007,$A19,'QUICK ENTRY'!$X$8:$X$1007,DASHBOARD!$C$4,'QUICK ENTRY'!$I$8:$I$1007,"Personal Care")+SUMIFS('QUICK ENTRY'!$E$8:$E$1007,'QUICK ENTRY'!$AF$8:$AF$1007,"Yes",'QUICK ENTRY'!$C$8:$C$1007,"Expense",'QUICK ENTRY'!$V$8:$V$1007,$A19,'QUICK ENTRY'!$X$8:$X$1007,DASHBOARD!$C$4,'QUICK ENTRY'!$I$8:$I$1007,"Clothing")+SUMIFS('QUICK ENTRY'!$E$8:$E$1007,'QUICK ENTRY'!$AF$8:$AF$1007,"Yes",'QUICK ENTRY'!$C$8:$C$1007,"Expense",'QUICK ENTRY'!$V$8:$V$1007,$A19,'QUICK ENTRY'!$X$8:$X$1007,DASHBOARD!$C$4,'QUICK ENTRY'!$I$8:$I$1007,"Shopping &amp; Gifts")+SUMIFS('QUICK ENTRY'!$E$8:$E$1007,'QUICK ENTRY'!$AF$8:$AF$1007,"Yes",'QUICK ENTRY'!$C$8:$C$1007,"Expense",'QUICK ENTRY'!$V$8:$V$1007,$A19,'QUICK ENTRY'!$X$8:$X$1007,DASHBOARD!$C$4,'QUICK ENTRY'!$I$8:$I$1007,"Health &amp; Fitness")</f>
        <v>0</v>
      </c>
      <c r="S19" s="59">
        <f t="shared" si="9"/>
        <v>0</v>
      </c>
      <c r="T19" s="59">
        <f t="shared" si="11"/>
        <v>4500</v>
      </c>
      <c r="U19" s="45">
        <f>COUNTIFS('QUICK ENTRY'!$AF$8:$AF$1007,"Yes",'QUICK ENTRY'!$C$8:$C$1007,"Expense",'QUICK ENTRY'!$V$8:$V$1007,$A19,'QUICK ENTRY'!$X$8:$X$1007,DASHBOARD!$C$4)</f>
        <v>0</v>
      </c>
      <c r="V19" s="62">
        <f t="shared" si="12"/>
        <v>0</v>
      </c>
      <c r="W19" s="45">
        <f>ROUND(MAX(0,MIN(100,50+30*MAX(0,1-$E19/MAX(1,$D19))+20*MIN(1,$I19/MAX(0.01,SETTINGS!$B$15)))),0)</f>
        <v>80</v>
      </c>
    </row>
    <row r="20" spans="1:23">
      <c r="A20" s="302" t="s">
        <v>775</v>
      </c>
      <c r="B20" s="302" t="s">
        <v>775</v>
      </c>
      <c r="C20" s="90">
        <f>SUM(C8:C19)</f>
        <v>230000</v>
      </c>
      <c r="D20" s="90">
        <f>SUM(D8:D19)</f>
        <v>318000</v>
      </c>
      <c r="E20" s="90">
        <f>SUM(E8:E19)</f>
        <v>46945</v>
      </c>
      <c r="F20" s="90">
        <f>SUM(F8:F19)</f>
        <v>4500</v>
      </c>
      <c r="G20" s="90">
        <f>SUM(G8:G19)</f>
        <v>183055</v>
      </c>
      <c r="H20" s="90">
        <f>H19</f>
        <v>178555</v>
      </c>
      <c r="I20" s="90">
        <f>IFERROR(F20/C20,0)</f>
        <v>1.9565217391304349E-2</v>
      </c>
      <c r="J20" s="90">
        <f t="shared" ref="J20:S20" si="13">SUM(J8:J19)</f>
        <v>16347</v>
      </c>
      <c r="K20" s="90">
        <f t="shared" si="13"/>
        <v>30598</v>
      </c>
      <c r="L20" s="90">
        <f t="shared" si="13"/>
        <v>10700</v>
      </c>
      <c r="M20" s="90">
        <f t="shared" si="13"/>
        <v>15120</v>
      </c>
      <c r="N20" s="90">
        <f t="shared" si="13"/>
        <v>5750</v>
      </c>
      <c r="O20" s="90">
        <f t="shared" si="13"/>
        <v>8928</v>
      </c>
      <c r="P20" s="90">
        <f t="shared" si="13"/>
        <v>2500</v>
      </c>
      <c r="Q20" s="90">
        <f t="shared" si="13"/>
        <v>1698</v>
      </c>
      <c r="R20" s="90">
        <f t="shared" si="13"/>
        <v>1900</v>
      </c>
      <c r="S20" s="90">
        <f t="shared" si="13"/>
        <v>349</v>
      </c>
      <c r="T20" s="90">
        <f>T19</f>
        <v>4500</v>
      </c>
      <c r="U20" s="88">
        <f>SUM(U8:U19)</f>
        <v>24</v>
      </c>
      <c r="V20" s="92">
        <f>IFERROR((E19-E8)/E8,0)</f>
        <v>-1</v>
      </c>
      <c r="W20" s="88">
        <f>AVERAGE(W8:W19)</f>
        <v>78.25</v>
      </c>
    </row>
    <row r="21" spans="1:23">
      <c r="A21" s="303" t="s">
        <v>776</v>
      </c>
      <c r="B21" s="303" t="s">
        <v>776</v>
      </c>
      <c r="C21" s="91">
        <f t="shared" ref="C21:W21" si="14">AVERAGE(C8:C19)</f>
        <v>19166.666666666668</v>
      </c>
      <c r="D21" s="91">
        <f t="shared" si="14"/>
        <v>26500</v>
      </c>
      <c r="E21" s="91">
        <f t="shared" si="14"/>
        <v>3912.0833333333335</v>
      </c>
      <c r="F21" s="91">
        <f t="shared" si="14"/>
        <v>375</v>
      </c>
      <c r="G21" s="91">
        <f t="shared" si="14"/>
        <v>15254.583333333334</v>
      </c>
      <c r="H21" s="91">
        <f t="shared" si="14"/>
        <v>119714.91666666667</v>
      </c>
      <c r="I21" s="91">
        <f t="shared" si="14"/>
        <v>1.388888888888889E-2</v>
      </c>
      <c r="J21" s="91">
        <f t="shared" si="14"/>
        <v>1362.25</v>
      </c>
      <c r="K21" s="91">
        <f t="shared" si="14"/>
        <v>2549.8333333333335</v>
      </c>
      <c r="L21" s="91">
        <f t="shared" si="14"/>
        <v>891.66666666666663</v>
      </c>
      <c r="M21" s="91">
        <f t="shared" si="14"/>
        <v>1260</v>
      </c>
      <c r="N21" s="91">
        <f t="shared" si="14"/>
        <v>479.16666666666669</v>
      </c>
      <c r="O21" s="91">
        <f t="shared" si="14"/>
        <v>744</v>
      </c>
      <c r="P21" s="91">
        <f t="shared" si="14"/>
        <v>208.33333333333334</v>
      </c>
      <c r="Q21" s="91">
        <f t="shared" si="14"/>
        <v>141.5</v>
      </c>
      <c r="R21" s="91">
        <f t="shared" si="14"/>
        <v>158.33333333333334</v>
      </c>
      <c r="S21" s="91">
        <f t="shared" si="14"/>
        <v>29.083333333333332</v>
      </c>
      <c r="T21" s="91">
        <f t="shared" si="14"/>
        <v>1666.6666666666667</v>
      </c>
      <c r="U21" s="89">
        <f t="shared" si="14"/>
        <v>2</v>
      </c>
      <c r="V21" s="93">
        <f t="shared" si="14"/>
        <v>3.8669326857298424E-2</v>
      </c>
      <c r="W21" s="89">
        <f t="shared" si="14"/>
        <v>78.25</v>
      </c>
    </row>
  </sheetData>
  <mergeCells count="5">
    <mergeCell ref="A1:W2"/>
    <mergeCell ref="A3:W3"/>
    <mergeCell ref="A4:W5"/>
    <mergeCell ref="A20:B20"/>
    <mergeCell ref="A21:B2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29"/>
  <sheetViews>
    <sheetView showGridLines="0" workbookViewId="0"/>
  </sheetViews>
  <sheetFormatPr defaultRowHeight="13.8"/>
  <cols>
    <col min="1" max="1" width="27" customWidth="1"/>
    <col min="2" max="3" width="18" customWidth="1"/>
    <col min="4" max="4" width="24" customWidth="1"/>
    <col min="5" max="5" width="12" customWidth="1"/>
    <col min="6" max="14" width="15" customWidth="1"/>
  </cols>
  <sheetData>
    <row r="1" spans="1:14" ht="31.95" customHeight="1">
      <c r="A1" s="107" t="s">
        <v>777</v>
      </c>
      <c r="B1" s="107" t="s">
        <v>777</v>
      </c>
      <c r="C1" s="107" t="s">
        <v>777</v>
      </c>
      <c r="D1" s="107" t="s">
        <v>777</v>
      </c>
      <c r="E1" s="107" t="s">
        <v>777</v>
      </c>
      <c r="F1" s="107" t="s">
        <v>777</v>
      </c>
      <c r="G1" s="107" t="s">
        <v>777</v>
      </c>
      <c r="H1" s="107" t="s">
        <v>777</v>
      </c>
      <c r="I1" s="107" t="s">
        <v>777</v>
      </c>
      <c r="J1" s="107" t="s">
        <v>777</v>
      </c>
      <c r="K1" s="107" t="s">
        <v>777</v>
      </c>
      <c r="L1" s="107" t="s">
        <v>777</v>
      </c>
      <c r="M1" s="107" t="s">
        <v>777</v>
      </c>
      <c r="N1" s="107" t="s">
        <v>777</v>
      </c>
    </row>
    <row r="2" spans="1:14" ht="31.95" customHeight="1">
      <c r="A2" s="107" t="s">
        <v>777</v>
      </c>
      <c r="B2" s="107" t="s">
        <v>777</v>
      </c>
      <c r="C2" s="107" t="s">
        <v>777</v>
      </c>
      <c r="D2" s="107" t="s">
        <v>777</v>
      </c>
      <c r="E2" s="107" t="s">
        <v>777</v>
      </c>
      <c r="F2" s="107" t="s">
        <v>777</v>
      </c>
      <c r="G2" s="107" t="s">
        <v>777</v>
      </c>
      <c r="H2" s="107" t="s">
        <v>777</v>
      </c>
      <c r="I2" s="107" t="s">
        <v>777</v>
      </c>
      <c r="J2" s="107" t="s">
        <v>777</v>
      </c>
      <c r="K2" s="107" t="s">
        <v>777</v>
      </c>
      <c r="L2" s="107" t="s">
        <v>777</v>
      </c>
      <c r="M2" s="107" t="s">
        <v>777</v>
      </c>
      <c r="N2" s="107" t="s">
        <v>777</v>
      </c>
    </row>
    <row r="3" spans="1:14" ht="18" customHeight="1">
      <c r="A3" s="108" t="s">
        <v>778</v>
      </c>
      <c r="B3" s="108" t="s">
        <v>778</v>
      </c>
      <c r="C3" s="108" t="s">
        <v>778</v>
      </c>
      <c r="D3" s="108" t="s">
        <v>778</v>
      </c>
      <c r="E3" s="108" t="s">
        <v>778</v>
      </c>
      <c r="F3" s="108" t="s">
        <v>778</v>
      </c>
      <c r="G3" s="108" t="s">
        <v>778</v>
      </c>
      <c r="H3" s="108" t="s">
        <v>778</v>
      </c>
      <c r="I3" s="108" t="s">
        <v>778</v>
      </c>
      <c r="J3" s="108" t="s">
        <v>778</v>
      </c>
      <c r="K3" s="108" t="s">
        <v>778</v>
      </c>
      <c r="L3" s="108" t="s">
        <v>778</v>
      </c>
      <c r="M3" s="108" t="s">
        <v>778</v>
      </c>
      <c r="N3" s="108" t="s">
        <v>778</v>
      </c>
    </row>
    <row r="4" spans="1:14">
      <c r="A4" s="304" t="str">
        <f>"Selected period: "&amp;DASHBOARD!$C$3&amp;" "&amp;TEXT(DASHBOARD!$C$4,"0")</f>
        <v>Selected period: September 2026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</row>
    <row r="6" spans="1:14" ht="22.95" customHeight="1">
      <c r="A6" s="130" t="s">
        <v>779</v>
      </c>
      <c r="B6" s="131" t="s">
        <v>779</v>
      </c>
      <c r="C6" s="131" t="s">
        <v>779</v>
      </c>
      <c r="D6" s="132" t="s">
        <v>779</v>
      </c>
      <c r="F6" s="109" t="s">
        <v>780</v>
      </c>
      <c r="G6" s="110" t="s">
        <v>780</v>
      </c>
      <c r="H6" s="110" t="s">
        <v>780</v>
      </c>
      <c r="I6" s="110" t="s">
        <v>780</v>
      </c>
      <c r="J6" s="110" t="s">
        <v>780</v>
      </c>
      <c r="K6" s="110" t="s">
        <v>780</v>
      </c>
      <c r="L6" s="110" t="s">
        <v>780</v>
      </c>
      <c r="M6" s="110" t="s">
        <v>780</v>
      </c>
      <c r="N6" s="111" t="s">
        <v>780</v>
      </c>
    </row>
    <row r="8" spans="1:14" ht="28.05" customHeight="1">
      <c r="A8" s="88" t="s">
        <v>781</v>
      </c>
      <c r="B8" s="95">
        <f>SUM(B10:B15)</f>
        <v>83</v>
      </c>
      <c r="F8" s="297" t="str">
        <f>IF(DASHBOARD!$E$13&gt;1,"Reduce optional spending: you are "&amp;TEXT(DASHBOARD!$E$13-1,"0%")&amp;" over budget.","Budget use is "&amp;TEXT(DASHBOARD!$E$13,"0%")&amp;" — keep monitoring your pace.")</f>
        <v>Budget use is 37% — keep monitoring your pace.</v>
      </c>
      <c r="G8" s="297"/>
      <c r="H8" s="297"/>
      <c r="I8" s="297"/>
      <c r="J8" s="297"/>
      <c r="K8" s="297"/>
      <c r="L8" s="297"/>
      <c r="M8" s="297"/>
      <c r="N8" s="297"/>
    </row>
    <row r="9" spans="1:14" ht="28.05" customHeight="1">
      <c r="A9" s="94" t="s">
        <v>782</v>
      </c>
      <c r="B9" s="81" t="str">
        <f>IF(B8&gt;=90,"A+ · Excellent",IF(B8&gt;=80,"A · Very Good",IF(B8&gt;=70,"B · Good",IF(B8&gt;=60,"C · Fair","Needs Attention"))))</f>
        <v>A · Very Good</v>
      </c>
      <c r="F9" s="298" t="str">
        <f>IF(DASHBOARD!$A$13&lt;SETTINGS!$B$15,"Aim to transfer another "&amp;TEXT(MAX(0,DASHBOARD!$A$8*SETTINGS!$B$15-DASHBOARD!$M$8),"₹#,##0")&amp;" to savings.","Savings are meeting the configured target.")</f>
        <v>Savings are meeting the configured target.</v>
      </c>
      <c r="G9" s="298"/>
      <c r="H9" s="298"/>
      <c r="I9" s="298"/>
      <c r="J9" s="298"/>
      <c r="K9" s="298"/>
      <c r="L9" s="298"/>
      <c r="M9" s="298"/>
      <c r="N9" s="298"/>
    </row>
    <row r="10" spans="1:14" ht="28.05" customHeight="1">
      <c r="A10" s="94" t="s">
        <v>783</v>
      </c>
      <c r="B10" s="81">
        <f>ROUND(30*MAX(0,MIN(1,1-DASHBOARD!$E$13+0.7)),0)</f>
        <v>30</v>
      </c>
      <c r="F10" s="298" t="str">
        <f ca="1">IF('MONTHLY BUDGET'!$W$28&gt;'MONTHLY BUDGET'!$S$28,"At the current pace, projected spending may exceed the monthly budget.","Projected spending is within the monthly plan.")</f>
        <v>Projected spending is within the monthly plan.</v>
      </c>
      <c r="G10" s="298"/>
      <c r="H10" s="298"/>
      <c r="I10" s="298"/>
      <c r="J10" s="298"/>
      <c r="K10" s="298"/>
      <c r="L10" s="298"/>
      <c r="M10" s="298"/>
      <c r="N10" s="298"/>
    </row>
    <row r="11" spans="1:14" ht="28.05" customHeight="1">
      <c r="A11" s="94" t="s">
        <v>784</v>
      </c>
      <c r="B11" s="81">
        <f>ROUND(25*MIN(1,DASHBOARD!$A$13/MAX(0.01,SETTINGS!$B$15)),0)</f>
        <v>25</v>
      </c>
      <c r="F11" s="298" t="str">
        <f>IF('EMERGENCY FUND'!$B$10&lt;0.5,"Prioritize the emergency fund until at least 50% of the target is reached.","Emergency-fund progress provides a useful safety cushion.")</f>
        <v>Prioritize the emergency fund until at least 50% of the target is reached.</v>
      </c>
      <c r="G11" s="298"/>
      <c r="H11" s="298"/>
      <c r="I11" s="298"/>
      <c r="J11" s="298"/>
      <c r="K11" s="298"/>
      <c r="L11" s="298"/>
      <c r="M11" s="298"/>
      <c r="N11" s="298"/>
    </row>
    <row r="12" spans="1:14" ht="28.05" customHeight="1">
      <c r="A12" s="94" t="s">
        <v>785</v>
      </c>
      <c r="B12" s="81">
        <f>ROUND(15*MAX(0,1-COUNTIF('MONTHLY BUDGET'!$X$8:$X$27,"Over Budget")/20),0)</f>
        <v>14</v>
      </c>
      <c r="F12" s="299" t="str">
        <f>IF(COUNTIF('QUICK ENTRY'!$AA$8:$AA$1007,"Possible Duplicate")&gt;0,"Review possible duplicate transactions before closing the month.","No duplicate transactions are currently flagged.")</f>
        <v>No duplicate transactions are currently flagged.</v>
      </c>
      <c r="G12" s="299"/>
      <c r="H12" s="299"/>
      <c r="I12" s="299"/>
      <c r="J12" s="299"/>
      <c r="K12" s="299"/>
      <c r="L12" s="299"/>
      <c r="M12" s="299"/>
      <c r="N12" s="299"/>
    </row>
    <row r="13" spans="1:14">
      <c r="A13" s="94" t="s">
        <v>786</v>
      </c>
      <c r="B13" s="81">
        <f>ROUND(10*'EMERGENCY FUND'!$B$10,0)</f>
        <v>5</v>
      </c>
    </row>
    <row r="14" spans="1:14">
      <c r="A14" s="94" t="s">
        <v>787</v>
      </c>
      <c r="B14" s="81">
        <f>ROUND(10*MAX(0,1-(SUMIFS('QUICK ENTRY'!$E$8:$E$1007,'QUICK ENTRY'!$AF$8:$AF$1007,"Yes",'QUICK ENTRY'!$C$8:$C$1007,"Expense",'QUICK ENTRY'!$V$8:$V$1007,DASHBOARD!$C$3,'QUICK ENTRY'!$X$8:$X$1007,DASHBOARD!$C$4,'QUICK ENTRY'!$M$8:$M$1007,"Optional")+SUMIFS('QUICK ENTRY'!$E$8:$E$1007,'QUICK ENTRY'!$AF$8:$AF$1007,"Yes",'QUICK ENTRY'!$C$8:$C$1007,"Expense",'QUICK ENTRY'!$V$8:$V$1007,DASHBOARD!$C$3,'QUICK ENTRY'!$X$8:$X$1007,DASHBOARD!$C$4,'QUICK ENTRY'!$M$8:$M$1007,"Luxury"))/MAX(1,DASHBOARD!$E$8)),0)</f>
        <v>9</v>
      </c>
    </row>
    <row r="15" spans="1:14">
      <c r="A15" s="89" t="s">
        <v>788</v>
      </c>
      <c r="B15" s="81">
        <f>ROUND(10*MAX(0,1-COUNTIF('QUICK ENTRY'!$AG$8:$AG$1007,"&lt;&gt;OK")/MAX(1,COUNTIF('QUICK ENTRY'!$A$8:$A$1007,"Yes"))),0)</f>
        <v>0</v>
      </c>
    </row>
    <row r="18" spans="1:10" ht="22.95" customHeight="1">
      <c r="A18" s="115" t="s">
        <v>789</v>
      </c>
      <c r="B18" s="116" t="s">
        <v>789</v>
      </c>
      <c r="C18" s="116" t="s">
        <v>789</v>
      </c>
      <c r="D18" s="282" t="s">
        <v>790</v>
      </c>
      <c r="E18" s="283" t="s">
        <v>790</v>
      </c>
      <c r="F18" s="305" t="s">
        <v>790</v>
      </c>
      <c r="G18" s="86" t="s">
        <v>790</v>
      </c>
      <c r="H18" s="86" t="s">
        <v>790</v>
      </c>
      <c r="I18" s="86" t="s">
        <v>790</v>
      </c>
      <c r="J18" s="87" t="s">
        <v>790</v>
      </c>
    </row>
    <row r="20" spans="1:10" ht="14.4">
      <c r="A20" s="66" t="s">
        <v>791</v>
      </c>
      <c r="B20" s="57">
        <f>SUMIFS('QUICK ENTRY'!$E$8:$E$1007,'QUICK ENTRY'!$AF$8:$AF$1007,"Yes",'QUICK ENTRY'!$C$8:$C$1007,"Expense",'QUICK ENTRY'!$V$8:$V$1007,DASHBOARD!$C$3,'QUICK ENTRY'!$X$8:$X$1007,DASHBOARD!$C$4,'QUICK ENTRY'!$Z$8:$Z$1007,"Weekday")</f>
        <v>7197</v>
      </c>
      <c r="D20" s="66" t="s">
        <v>792</v>
      </c>
      <c r="E20" s="43">
        <f>COUNTIF('QUICK ENTRY'!$AA$8:$AA$1007,"Possible Duplicate")</f>
        <v>0</v>
      </c>
    </row>
    <row r="21" spans="1:10" ht="14.4">
      <c r="A21" s="67" t="s">
        <v>793</v>
      </c>
      <c r="B21" s="58">
        <f>SUMIFS('QUICK ENTRY'!$E$8:$E$1007,'QUICK ENTRY'!$AF$8:$AF$1007,"Yes",'QUICK ENTRY'!$C$8:$C$1007,"Expense",'QUICK ENTRY'!$V$8:$V$1007,DASHBOARD!$C$3,'QUICK ENTRY'!$X$8:$X$1007,DASHBOARD!$C$4,'QUICK ENTRY'!$Z$8:$Z$1007,"Weekend")</f>
        <v>0</v>
      </c>
      <c r="D21" s="67" t="s">
        <v>794</v>
      </c>
      <c r="E21" s="44">
        <f>COUNTIF('QUICK ENTRY'!$AG$8:$AG$1007,"&lt;&gt;OK")-COUNTBLANK('QUICK ENTRY'!$AG$8:$AG$1007)</f>
        <v>0</v>
      </c>
    </row>
    <row r="22" spans="1:10" ht="14.4">
      <c r="A22" s="67" t="s">
        <v>795</v>
      </c>
      <c r="B22" s="61">
        <f>IFERROR(B21/B20-1,0)</f>
        <v>-1</v>
      </c>
      <c r="D22" s="67" t="s">
        <v>796</v>
      </c>
      <c r="E22" s="44">
        <f>COUNTIF('QUICK ENTRY'!$AB$8:$AB$1007,"Unusually High")</f>
        <v>0</v>
      </c>
    </row>
    <row r="23" spans="1:10" ht="14.4">
      <c r="A23" s="67" t="s">
        <v>797</v>
      </c>
      <c r="B23" s="44">
        <f>COUNTIFS('QUICK ENTRY'!$AF$8:$AF$1007,"Yes",'QUICK ENTRY'!$C$8:$C$1007,"Expense",'QUICK ENTRY'!$V$8:$V$1007,DASHBOARD!$C$3,'QUICK ENTRY'!$X$8:$X$1007,DASHBOARD!$C$4,'QUICK ENTRY'!$E$8:$E$1007,"&lt;"&amp;SETTINGS!$B$21)</f>
        <v>0</v>
      </c>
      <c r="D23" s="67" t="s">
        <v>798</v>
      </c>
      <c r="E23" s="44">
        <f ca="1">COUNTIFS('RECURRING PAYMENTS'!$V$8:$V$22,"Overdue")</f>
        <v>7</v>
      </c>
    </row>
    <row r="24" spans="1:10" ht="14.4">
      <c r="A24" s="67" t="s">
        <v>799</v>
      </c>
      <c r="B24" s="58">
        <f>SUMIFS('QUICK ENTRY'!$E$8:$E$1007,'QUICK ENTRY'!$AF$8:$AF$1007,"Yes",'QUICK ENTRY'!$C$8:$C$1007,"Expense",'QUICK ENTRY'!$V$8:$V$1007,DASHBOARD!$C$3,'QUICK ENTRY'!$X$8:$X$1007,DASHBOARD!$C$4,'QUICK ENTRY'!$E$8:$E$1007,"&lt;"&amp;SETTINGS!$B$21)</f>
        <v>0</v>
      </c>
      <c r="D24" s="67" t="s">
        <v>800</v>
      </c>
      <c r="E24" s="44">
        <f>COUNTIF(ACCOUNTS!$J$8:$J$15,"Reconciliation Required")</f>
        <v>0</v>
      </c>
    </row>
    <row r="25" spans="1:10" ht="14.4">
      <c r="A25" s="67" t="s">
        <v>801</v>
      </c>
      <c r="B25" s="58">
        <f>SUMIFS('QUICK ENTRY'!$E$8:$E$1007,'QUICK ENTRY'!$AF$8:$AF$1007,"Yes",'QUICK ENTRY'!$C$8:$C$1007,"Expense",'QUICK ENTRY'!$V$8:$V$1007,DASHBOARD!$C$3,'QUICK ENTRY'!$X$8:$X$1007,DASHBOARD!$C$4,'QUICK ENTRY'!$M$8:$M$1007,"Impulse")</f>
        <v>0</v>
      </c>
      <c r="D25" s="67" t="s">
        <v>802</v>
      </c>
      <c r="E25" s="44">
        <f>COUNTIF(REFUNDS!$J$8:$J$19,"Overdue")</f>
        <v>0</v>
      </c>
    </row>
    <row r="26" spans="1:10" ht="14.4">
      <c r="A26" s="67" t="s">
        <v>803</v>
      </c>
      <c r="B26" s="44">
        <f>MAX(0,DAY(DATE(DASHBOARD!$C$4,MATCH(DASHBOARD!$C$3,SETTINGS!$K$21:$K$32,0)+1,0))-COUNTIFS('QUICK ENTRY'!$AF$8:$AF$1007,"Yes",'QUICK ENTRY'!$C$8:$C$1007,"Expense",'QUICK ENTRY'!$V$8:$V$1007,DASHBOARD!$C$3,'QUICK ENTRY'!$X$8:$X$1007,DASHBOARD!$C$4))</f>
        <v>22</v>
      </c>
      <c r="D26" s="67" t="s">
        <v>804</v>
      </c>
      <c r="E26" s="44">
        <f>COUNTIF('LENT-BORROWED'!$J$8:$J$22,"Overdue")</f>
        <v>0</v>
      </c>
    </row>
    <row r="27" spans="1:10" ht="14.4">
      <c r="A27" s="67" t="s">
        <v>742</v>
      </c>
      <c r="B27" s="58">
        <f ca="1">'MONTHLY BUDGET'!$B$40</f>
        <v>0</v>
      </c>
      <c r="D27" s="68" t="s">
        <v>805</v>
      </c>
      <c r="E27" s="45">
        <f>COUNTIF('MONTHLY BUDGET'!$X$8:$X$27,"Over Budget")</f>
        <v>2</v>
      </c>
    </row>
    <row r="28" spans="1:10" ht="14.4">
      <c r="A28" s="67" t="s">
        <v>267</v>
      </c>
      <c r="B28" s="44">
        <f>'MONTHLY BUDGET'!$B$39</f>
        <v>8</v>
      </c>
    </row>
    <row r="29" spans="1:10" ht="14.4">
      <c r="A29" s="68" t="s">
        <v>806</v>
      </c>
      <c r="B29" s="45">
        <f>MAX(0,100-10*COUNTIF('QUICK ENTRY'!$AG$8:$AG$1007,"&lt;&gt;OK"))</f>
        <v>0</v>
      </c>
    </row>
  </sheetData>
  <mergeCells count="11">
    <mergeCell ref="A18:F18"/>
    <mergeCell ref="F8:N8"/>
    <mergeCell ref="F9:N9"/>
    <mergeCell ref="F10:N10"/>
    <mergeCell ref="F11:N11"/>
    <mergeCell ref="F12:N12"/>
    <mergeCell ref="A1:N2"/>
    <mergeCell ref="A3:N3"/>
    <mergeCell ref="A4:N4"/>
    <mergeCell ref="A6:D6"/>
    <mergeCell ref="F6:N6"/>
  </mergeCells>
  <conditionalFormatting sqref="B10:B15">
    <cfRule type="dataBar" priority="1">
      <dataBar>
        <cfvo type="min"/>
        <cfvo type="max"/>
        <color rgb="FF2563EB"/>
      </dataBar>
    </cfRule>
    <cfRule type="dataBar" priority="3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{1D64477A-6540-2AA5-0AC2-F027D70C5A9C}</x14:id>
        </ext>
      </extLst>
    </cfRule>
  </conditionalFormatting>
  <conditionalFormatting sqref="E20:E27">
    <cfRule type="cellIs" dxfId="0" priority="2" operator="greaterThan">
      <formula>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4477A-6540-2AA5-0AC2-F027D70C5A9C}">
            <x14:dataBar>
              <x14:cfvo type="min"/>
              <x14:cfvo type="max"/>
              <x14:negativeFillColor auto="1"/>
              <x14:axisColor auto="1"/>
            </x14:dataBar>
          </x14:cfRule>
          <xm:sqref>B10:B15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52"/>
  <sheetViews>
    <sheetView showGridLines="0" workbookViewId="0"/>
  </sheetViews>
  <sheetFormatPr defaultRowHeight="13.8"/>
  <cols>
    <col min="1" max="1" width="29" customWidth="1"/>
    <col min="2" max="2" width="21" customWidth="1"/>
    <col min="4" max="4" width="27" customWidth="1"/>
    <col min="5" max="5" width="17" customWidth="1"/>
    <col min="8" max="8" width="34" customWidth="1"/>
    <col min="11" max="23" width="18" customWidth="1"/>
  </cols>
  <sheetData>
    <row r="1" spans="1:23" ht="31.95" customHeight="1">
      <c r="A1" s="306" t="s">
        <v>807</v>
      </c>
      <c r="B1" s="306" t="s">
        <v>807</v>
      </c>
      <c r="C1" s="306" t="s">
        <v>807</v>
      </c>
      <c r="D1" s="306" t="s">
        <v>807</v>
      </c>
      <c r="E1" s="306" t="s">
        <v>807</v>
      </c>
      <c r="F1" s="306" t="s">
        <v>807</v>
      </c>
      <c r="G1" s="306" t="s">
        <v>807</v>
      </c>
      <c r="H1" s="306" t="s">
        <v>807</v>
      </c>
      <c r="I1" s="107" t="s">
        <v>807</v>
      </c>
      <c r="J1" s="107" t="s">
        <v>807</v>
      </c>
      <c r="K1" s="107" t="s">
        <v>807</v>
      </c>
      <c r="L1" s="107" t="s">
        <v>807</v>
      </c>
      <c r="M1" s="107" t="s">
        <v>807</v>
      </c>
      <c r="N1" s="107" t="s">
        <v>807</v>
      </c>
      <c r="O1" s="107" t="s">
        <v>807</v>
      </c>
      <c r="P1" s="107" t="s">
        <v>807</v>
      </c>
      <c r="Q1" s="107" t="s">
        <v>807</v>
      </c>
      <c r="R1" s="107" t="s">
        <v>807</v>
      </c>
      <c r="S1" s="107" t="s">
        <v>807</v>
      </c>
      <c r="T1" s="107" t="s">
        <v>807</v>
      </c>
      <c r="U1" s="107" t="s">
        <v>807</v>
      </c>
      <c r="V1" s="107" t="s">
        <v>807</v>
      </c>
      <c r="W1" s="107" t="s">
        <v>807</v>
      </c>
    </row>
    <row r="2" spans="1:23" ht="31.95" customHeight="1">
      <c r="A2" s="107" t="s">
        <v>807</v>
      </c>
      <c r="B2" s="107" t="s">
        <v>807</v>
      </c>
      <c r="C2" s="107" t="s">
        <v>807</v>
      </c>
      <c r="D2" s="107" t="s">
        <v>807</v>
      </c>
      <c r="E2" s="107" t="s">
        <v>807</v>
      </c>
      <c r="F2" s="107" t="s">
        <v>807</v>
      </c>
      <c r="G2" s="107" t="s">
        <v>807</v>
      </c>
      <c r="H2" s="107" t="s">
        <v>807</v>
      </c>
      <c r="I2" s="107" t="s">
        <v>807</v>
      </c>
      <c r="J2" s="107" t="s">
        <v>807</v>
      </c>
      <c r="K2" s="107" t="s">
        <v>807</v>
      </c>
      <c r="L2" s="107" t="s">
        <v>807</v>
      </c>
      <c r="M2" s="107" t="s">
        <v>807</v>
      </c>
      <c r="N2" s="107" t="s">
        <v>807</v>
      </c>
      <c r="O2" s="107" t="s">
        <v>807</v>
      </c>
      <c r="P2" s="107" t="s">
        <v>807</v>
      </c>
      <c r="Q2" s="107" t="s">
        <v>807</v>
      </c>
      <c r="R2" s="107" t="s">
        <v>807</v>
      </c>
      <c r="S2" s="107" t="s">
        <v>807</v>
      </c>
      <c r="T2" s="107" t="s">
        <v>807</v>
      </c>
      <c r="U2" s="107" t="s">
        <v>807</v>
      </c>
      <c r="V2" s="107" t="s">
        <v>807</v>
      </c>
      <c r="W2" s="107" t="s">
        <v>807</v>
      </c>
    </row>
    <row r="3" spans="1:23" ht="30" customHeight="1">
      <c r="A3" s="1" t="s">
        <v>808</v>
      </c>
      <c r="B3" s="1" t="s">
        <v>808</v>
      </c>
      <c r="C3" s="1" t="s">
        <v>808</v>
      </c>
      <c r="D3" s="1" t="s">
        <v>808</v>
      </c>
      <c r="E3" s="1" t="s">
        <v>808</v>
      </c>
      <c r="F3" s="1" t="s">
        <v>808</v>
      </c>
      <c r="G3" s="1" t="s">
        <v>808</v>
      </c>
      <c r="H3" s="1" t="s">
        <v>808</v>
      </c>
      <c r="I3" s="1" t="s">
        <v>808</v>
      </c>
      <c r="J3" s="1" t="s">
        <v>808</v>
      </c>
      <c r="K3" s="17" t="s">
        <v>809</v>
      </c>
      <c r="L3" s="18" t="s">
        <v>86</v>
      </c>
      <c r="M3" s="1" t="s">
        <v>808</v>
      </c>
      <c r="N3" s="1" t="s">
        <v>808</v>
      </c>
      <c r="O3" s="1" t="s">
        <v>808</v>
      </c>
      <c r="P3" s="1" t="s">
        <v>808</v>
      </c>
      <c r="Q3" s="1" t="s">
        <v>808</v>
      </c>
      <c r="R3" s="1" t="s">
        <v>808</v>
      </c>
      <c r="S3" s="1" t="s">
        <v>808</v>
      </c>
      <c r="T3" s="1" t="s">
        <v>808</v>
      </c>
      <c r="U3" s="1" t="s">
        <v>808</v>
      </c>
      <c r="V3" s="1" t="s">
        <v>808</v>
      </c>
      <c r="W3" s="1" t="s">
        <v>808</v>
      </c>
    </row>
    <row r="4" spans="1:23" ht="22.95" customHeight="1">
      <c r="A4" s="130" t="s">
        <v>810</v>
      </c>
      <c r="B4" s="132" t="s">
        <v>810</v>
      </c>
      <c r="D4" s="115" t="s">
        <v>811</v>
      </c>
      <c r="E4" s="117" t="s">
        <v>811</v>
      </c>
      <c r="K4" s="8" t="s">
        <v>812</v>
      </c>
      <c r="L4" s="8" t="s">
        <v>134</v>
      </c>
    </row>
    <row r="5" spans="1:23" ht="14.4">
      <c r="A5" s="5" t="s">
        <v>813</v>
      </c>
      <c r="B5" s="8" t="s">
        <v>814</v>
      </c>
      <c r="D5" s="5" t="s">
        <v>815</v>
      </c>
      <c r="E5" s="15">
        <v>0.7</v>
      </c>
      <c r="K5" s="9" t="s">
        <v>816</v>
      </c>
      <c r="L5" s="9" t="s">
        <v>134</v>
      </c>
    </row>
    <row r="6" spans="1:23" ht="14.4">
      <c r="A6" s="6" t="s">
        <v>616</v>
      </c>
      <c r="B6" s="9" t="s">
        <v>627</v>
      </c>
      <c r="D6" s="6" t="s">
        <v>817</v>
      </c>
      <c r="E6" s="12">
        <v>0.9</v>
      </c>
      <c r="K6" s="9" t="s">
        <v>818</v>
      </c>
      <c r="L6" s="9" t="s">
        <v>138</v>
      </c>
    </row>
    <row r="7" spans="1:23" ht="14.4">
      <c r="A7" s="6" t="s">
        <v>125</v>
      </c>
      <c r="B7" s="9" t="s">
        <v>819</v>
      </c>
      <c r="D7" s="6" t="s">
        <v>820</v>
      </c>
      <c r="E7" s="12">
        <v>1</v>
      </c>
      <c r="K7" s="9" t="s">
        <v>821</v>
      </c>
      <c r="L7" s="9" t="s">
        <v>138</v>
      </c>
    </row>
    <row r="8" spans="1:23" ht="14.4">
      <c r="A8" s="6" t="s">
        <v>174</v>
      </c>
      <c r="B8" s="9" t="s">
        <v>822</v>
      </c>
      <c r="D8" s="6" t="s">
        <v>823</v>
      </c>
      <c r="E8" s="9">
        <v>7</v>
      </c>
      <c r="K8" s="9" t="s">
        <v>824</v>
      </c>
      <c r="L8" s="9" t="s">
        <v>173</v>
      </c>
    </row>
    <row r="9" spans="1:23" ht="14.4">
      <c r="A9" s="6" t="s">
        <v>825</v>
      </c>
      <c r="B9" s="9" t="s">
        <v>826</v>
      </c>
      <c r="D9" s="6" t="s">
        <v>827</v>
      </c>
      <c r="E9" s="12">
        <v>0.1</v>
      </c>
      <c r="K9" s="9" t="s">
        <v>828</v>
      </c>
      <c r="L9" s="9" t="s">
        <v>173</v>
      </c>
    </row>
    <row r="10" spans="1:23" ht="14.4">
      <c r="A10" s="6" t="s">
        <v>130</v>
      </c>
      <c r="B10" s="9" t="s">
        <v>131</v>
      </c>
      <c r="D10" s="6" t="s">
        <v>829</v>
      </c>
      <c r="E10" s="9" t="s">
        <v>830</v>
      </c>
      <c r="K10" s="9" t="s">
        <v>831</v>
      </c>
      <c r="L10" s="9" t="s">
        <v>144</v>
      </c>
    </row>
    <row r="11" spans="1:23" ht="14.4">
      <c r="A11" s="6" t="s">
        <v>832</v>
      </c>
      <c r="B11" s="9" t="s">
        <v>833</v>
      </c>
      <c r="D11" s="6" t="s">
        <v>834</v>
      </c>
      <c r="E11" s="11">
        <v>2000</v>
      </c>
      <c r="K11" s="9" t="s">
        <v>835</v>
      </c>
      <c r="L11" s="9" t="s">
        <v>561</v>
      </c>
    </row>
    <row r="12" spans="1:23" ht="14.4">
      <c r="A12" s="6" t="s">
        <v>48</v>
      </c>
      <c r="B12" s="9">
        <v>2026</v>
      </c>
      <c r="D12" s="6" t="s">
        <v>836</v>
      </c>
      <c r="E12" s="9" t="s">
        <v>694</v>
      </c>
      <c r="K12" s="9" t="s">
        <v>837</v>
      </c>
      <c r="L12" s="9" t="s">
        <v>130</v>
      </c>
    </row>
    <row r="13" spans="1:23" ht="14.4">
      <c r="A13" s="6" t="s">
        <v>838</v>
      </c>
      <c r="B13" s="9" t="s">
        <v>230</v>
      </c>
      <c r="D13" s="6" t="s">
        <v>839</v>
      </c>
      <c r="E13" s="9" t="s">
        <v>840</v>
      </c>
      <c r="K13" s="9" t="s">
        <v>841</v>
      </c>
      <c r="L13" s="9" t="s">
        <v>205</v>
      </c>
    </row>
    <row r="14" spans="1:23" ht="14.4">
      <c r="A14" s="6" t="s">
        <v>842</v>
      </c>
      <c r="B14" s="11">
        <v>25000</v>
      </c>
      <c r="D14" s="7" t="s">
        <v>843</v>
      </c>
      <c r="E14" s="16">
        <v>0.03</v>
      </c>
      <c r="K14" s="9" t="s">
        <v>844</v>
      </c>
      <c r="L14" s="9" t="s">
        <v>148</v>
      </c>
    </row>
    <row r="15" spans="1:23" ht="14.4">
      <c r="A15" s="6" t="s">
        <v>845</v>
      </c>
      <c r="B15" s="12">
        <v>0.1</v>
      </c>
      <c r="K15" s="9" t="s">
        <v>846</v>
      </c>
      <c r="L15" s="9" t="s">
        <v>148</v>
      </c>
    </row>
    <row r="16" spans="1:23" ht="14.4">
      <c r="A16" s="6" t="s">
        <v>847</v>
      </c>
      <c r="B16" s="9" t="s">
        <v>111</v>
      </c>
      <c r="K16" s="9" t="s">
        <v>848</v>
      </c>
      <c r="L16" s="9" t="s">
        <v>213</v>
      </c>
    </row>
    <row r="17" spans="1:23" ht="14.4">
      <c r="A17" s="6" t="s">
        <v>849</v>
      </c>
      <c r="B17" s="11">
        <v>3000</v>
      </c>
      <c r="K17" s="9" t="s">
        <v>850</v>
      </c>
      <c r="L17" s="9" t="s">
        <v>177</v>
      </c>
    </row>
    <row r="18" spans="1:23" ht="14.4">
      <c r="A18" s="6" t="s">
        <v>851</v>
      </c>
      <c r="B18" s="11">
        <v>2000</v>
      </c>
      <c r="K18" s="10" t="s">
        <v>852</v>
      </c>
      <c r="L18" s="10" t="s">
        <v>123</v>
      </c>
    </row>
    <row r="19" spans="1:23" ht="14.4">
      <c r="A19" s="6" t="s">
        <v>853</v>
      </c>
      <c r="B19" s="11">
        <v>20000</v>
      </c>
    </row>
    <row r="20" spans="1:23" ht="30" customHeight="1">
      <c r="A20" s="6" t="s">
        <v>854</v>
      </c>
      <c r="B20" s="106">
        <v>3</v>
      </c>
      <c r="K20" s="24" t="s">
        <v>855</v>
      </c>
      <c r="L20" s="24" t="s">
        <v>856</v>
      </c>
      <c r="M20" s="24" t="s">
        <v>857</v>
      </c>
      <c r="N20" s="24" t="s">
        <v>858</v>
      </c>
      <c r="O20" s="24" t="s">
        <v>91</v>
      </c>
      <c r="P20" s="24" t="s">
        <v>859</v>
      </c>
      <c r="Q20" s="24" t="s">
        <v>860</v>
      </c>
      <c r="R20" s="24" t="s">
        <v>861</v>
      </c>
      <c r="S20" s="24" t="s">
        <v>862</v>
      </c>
      <c r="T20" s="24" t="s">
        <v>863</v>
      </c>
      <c r="U20" s="24" t="s">
        <v>864</v>
      </c>
      <c r="V20" s="24" t="s">
        <v>865</v>
      </c>
      <c r="W20" s="24" t="s">
        <v>95</v>
      </c>
    </row>
    <row r="21" spans="1:23" ht="14.4">
      <c r="A21" s="6" t="s">
        <v>866</v>
      </c>
      <c r="B21" s="11">
        <v>100</v>
      </c>
      <c r="K21" s="8" t="s">
        <v>230</v>
      </c>
      <c r="L21" s="8" t="s">
        <v>43</v>
      </c>
      <c r="M21" s="8" t="s">
        <v>50</v>
      </c>
      <c r="N21" s="8" t="s">
        <v>118</v>
      </c>
      <c r="O21" s="8" t="s">
        <v>116</v>
      </c>
      <c r="P21" s="8" t="s">
        <v>117</v>
      </c>
      <c r="Q21" s="8" t="s">
        <v>128</v>
      </c>
      <c r="R21" s="8" t="s">
        <v>516</v>
      </c>
      <c r="S21" s="8" t="s">
        <v>194</v>
      </c>
      <c r="T21" s="8" t="s">
        <v>114</v>
      </c>
      <c r="U21" s="8" t="s">
        <v>130</v>
      </c>
      <c r="V21" s="8" t="s">
        <v>124</v>
      </c>
      <c r="W21" s="8" t="s">
        <v>119</v>
      </c>
    </row>
    <row r="22" spans="1:23" ht="14.4">
      <c r="A22" s="6" t="s">
        <v>867</v>
      </c>
      <c r="B22" s="11">
        <v>50000</v>
      </c>
      <c r="K22" s="9" t="s">
        <v>231</v>
      </c>
      <c r="L22" s="9" t="s">
        <v>42</v>
      </c>
      <c r="M22" s="9" t="s">
        <v>52</v>
      </c>
      <c r="N22" s="9" t="s">
        <v>306</v>
      </c>
      <c r="O22" s="9" t="s">
        <v>141</v>
      </c>
      <c r="P22" s="10" t="s">
        <v>126</v>
      </c>
      <c r="Q22" s="9" t="s">
        <v>868</v>
      </c>
      <c r="R22" s="9" t="s">
        <v>519</v>
      </c>
      <c r="S22" s="9" t="s">
        <v>651</v>
      </c>
      <c r="T22" s="9" t="s">
        <v>287</v>
      </c>
      <c r="U22" s="9" t="s">
        <v>125</v>
      </c>
      <c r="V22" s="9" t="s">
        <v>309</v>
      </c>
      <c r="W22" s="9" t="s">
        <v>127</v>
      </c>
    </row>
    <row r="23" spans="1:23" ht="14.4">
      <c r="A23" s="6" t="s">
        <v>869</v>
      </c>
      <c r="B23" s="11">
        <v>100</v>
      </c>
      <c r="K23" s="9" t="s">
        <v>232</v>
      </c>
      <c r="L23" s="9" t="s">
        <v>188</v>
      </c>
      <c r="M23" s="9" t="s">
        <v>58</v>
      </c>
      <c r="N23" s="9" t="s">
        <v>705</v>
      </c>
      <c r="O23" s="9" t="s">
        <v>151</v>
      </c>
      <c r="Q23" s="10" t="s">
        <v>120</v>
      </c>
      <c r="R23" s="9" t="s">
        <v>522</v>
      </c>
      <c r="S23" s="9" t="s">
        <v>652</v>
      </c>
      <c r="T23" s="9" t="s">
        <v>185</v>
      </c>
      <c r="U23" s="9" t="s">
        <v>121</v>
      </c>
      <c r="V23" s="9" t="s">
        <v>129</v>
      </c>
      <c r="W23" s="9" t="s">
        <v>870</v>
      </c>
    </row>
    <row r="24" spans="1:23" ht="14.4">
      <c r="A24" s="6" t="s">
        <v>871</v>
      </c>
      <c r="B24" s="13">
        <v>46204</v>
      </c>
      <c r="K24" s="9" t="s">
        <v>233</v>
      </c>
      <c r="L24" s="9" t="s">
        <v>872</v>
      </c>
      <c r="M24" s="9" t="s">
        <v>59</v>
      </c>
      <c r="N24" s="9" t="s">
        <v>873</v>
      </c>
      <c r="O24" s="9" t="s">
        <v>463</v>
      </c>
      <c r="R24" s="9" t="s">
        <v>874</v>
      </c>
      <c r="S24" s="9" t="s">
        <v>115</v>
      </c>
      <c r="T24" s="9" t="s">
        <v>288</v>
      </c>
      <c r="U24" s="9" t="s">
        <v>170</v>
      </c>
      <c r="V24" s="9" t="s">
        <v>155</v>
      </c>
      <c r="W24" s="9" t="s">
        <v>125</v>
      </c>
    </row>
    <row r="25" spans="1:23" ht="14.4">
      <c r="A25" s="6" t="s">
        <v>875</v>
      </c>
      <c r="B25" s="13">
        <v>46387</v>
      </c>
      <c r="K25" s="9" t="s">
        <v>234</v>
      </c>
      <c r="L25" s="9" t="s">
        <v>876</v>
      </c>
      <c r="M25" s="9" t="s">
        <v>60</v>
      </c>
      <c r="N25" s="9" t="s">
        <v>877</v>
      </c>
      <c r="O25" s="10" t="s">
        <v>464</v>
      </c>
      <c r="R25" s="10" t="s">
        <v>878</v>
      </c>
      <c r="S25" s="9" t="s">
        <v>654</v>
      </c>
      <c r="T25" s="9" t="s">
        <v>289</v>
      </c>
      <c r="U25" s="9" t="s">
        <v>441</v>
      </c>
      <c r="V25" s="9" t="s">
        <v>367</v>
      </c>
      <c r="W25" s="10" t="s">
        <v>879</v>
      </c>
    </row>
    <row r="26" spans="1:23" ht="14.4">
      <c r="A26" s="6" t="s">
        <v>880</v>
      </c>
      <c r="B26" s="13">
        <v>46388</v>
      </c>
      <c r="K26" s="9" t="s">
        <v>235</v>
      </c>
      <c r="L26" s="9" t="s">
        <v>292</v>
      </c>
      <c r="M26" s="9" t="s">
        <v>61</v>
      </c>
      <c r="N26" s="9" t="s">
        <v>881</v>
      </c>
      <c r="S26" s="9" t="s">
        <v>656</v>
      </c>
      <c r="T26" s="9" t="s">
        <v>290</v>
      </c>
      <c r="U26" s="9" t="s">
        <v>166</v>
      </c>
      <c r="V26" s="9" t="s">
        <v>368</v>
      </c>
    </row>
    <row r="27" spans="1:23" ht="14.4">
      <c r="A27" s="6" t="s">
        <v>882</v>
      </c>
      <c r="B27" s="13">
        <v>46568</v>
      </c>
      <c r="K27" s="9" t="s">
        <v>236</v>
      </c>
      <c r="L27" s="9" t="s">
        <v>607</v>
      </c>
      <c r="M27" s="9" t="s">
        <v>62</v>
      </c>
      <c r="N27" s="9" t="s">
        <v>883</v>
      </c>
      <c r="S27" s="9" t="s">
        <v>657</v>
      </c>
      <c r="T27" s="9" t="s">
        <v>291</v>
      </c>
      <c r="U27" s="9" t="s">
        <v>437</v>
      </c>
      <c r="V27" s="9" t="s">
        <v>197</v>
      </c>
    </row>
    <row r="28" spans="1:23" ht="14.4">
      <c r="A28" s="6" t="s">
        <v>884</v>
      </c>
      <c r="B28" s="9" t="s">
        <v>38</v>
      </c>
      <c r="K28" s="9" t="s">
        <v>237</v>
      </c>
      <c r="L28" s="9" t="s">
        <v>885</v>
      </c>
      <c r="M28" s="9" t="s">
        <v>67</v>
      </c>
      <c r="N28" s="9" t="s">
        <v>886</v>
      </c>
      <c r="S28" s="10" t="s">
        <v>191</v>
      </c>
      <c r="T28" s="9" t="s">
        <v>292</v>
      </c>
      <c r="U28" s="9" t="s">
        <v>192</v>
      </c>
      <c r="V28" s="9" t="s">
        <v>369</v>
      </c>
    </row>
    <row r="29" spans="1:23" ht="14.4">
      <c r="A29" s="7" t="s">
        <v>887</v>
      </c>
      <c r="B29" s="10" t="s">
        <v>128</v>
      </c>
      <c r="K29" s="9" t="s">
        <v>38</v>
      </c>
      <c r="L29" s="10" t="s">
        <v>888</v>
      </c>
      <c r="M29" s="9" t="s">
        <v>655</v>
      </c>
      <c r="N29" s="9" t="s">
        <v>628</v>
      </c>
      <c r="T29" s="9" t="s">
        <v>293</v>
      </c>
      <c r="U29" s="9" t="s">
        <v>128</v>
      </c>
      <c r="V29" s="9" t="s">
        <v>135</v>
      </c>
    </row>
    <row r="30" spans="1:23" ht="14.4">
      <c r="K30" s="9" t="s">
        <v>238</v>
      </c>
      <c r="M30" s="9" t="s">
        <v>889</v>
      </c>
      <c r="N30" s="10" t="s">
        <v>890</v>
      </c>
      <c r="T30" s="9" t="s">
        <v>294</v>
      </c>
      <c r="U30" s="9" t="s">
        <v>868</v>
      </c>
      <c r="V30" s="9" t="s">
        <v>201</v>
      </c>
    </row>
    <row r="31" spans="1:23" ht="14.4">
      <c r="K31" s="9" t="s">
        <v>239</v>
      </c>
      <c r="M31" s="9" t="s">
        <v>891</v>
      </c>
      <c r="T31" s="9" t="s">
        <v>295</v>
      </c>
      <c r="U31" s="9" t="s">
        <v>152</v>
      </c>
      <c r="V31" s="9" t="s">
        <v>389</v>
      </c>
    </row>
    <row r="32" spans="1:23" ht="30" customHeight="1">
      <c r="A32" s="19" t="s">
        <v>40</v>
      </c>
      <c r="B32" s="20" t="s">
        <v>892</v>
      </c>
      <c r="C32" s="20" t="s">
        <v>226</v>
      </c>
      <c r="D32" s="20" t="s">
        <v>45</v>
      </c>
      <c r="E32" s="20" t="s">
        <v>227</v>
      </c>
      <c r="F32" s="20" t="s">
        <v>228</v>
      </c>
      <c r="G32" s="20" t="s">
        <v>893</v>
      </c>
      <c r="H32" s="21" t="s">
        <v>107</v>
      </c>
      <c r="K32" s="10" t="s">
        <v>240</v>
      </c>
      <c r="M32" s="10" t="s">
        <v>894</v>
      </c>
      <c r="T32" s="10" t="s">
        <v>280</v>
      </c>
      <c r="U32" s="10" t="s">
        <v>199</v>
      </c>
      <c r="V32" s="9" t="s">
        <v>139</v>
      </c>
    </row>
    <row r="33" spans="1:22" ht="14.4">
      <c r="A33" s="8" t="s">
        <v>123</v>
      </c>
      <c r="B33" s="22">
        <v>4500</v>
      </c>
      <c r="C33" s="8" t="s">
        <v>516</v>
      </c>
      <c r="D33" s="8" t="s">
        <v>49</v>
      </c>
      <c r="E33" s="8" t="s">
        <v>116</v>
      </c>
      <c r="F33" s="8" t="s">
        <v>524</v>
      </c>
      <c r="G33" s="8" t="s">
        <v>116</v>
      </c>
      <c r="H33" s="8" t="s">
        <v>895</v>
      </c>
      <c r="V33" s="9" t="s">
        <v>164</v>
      </c>
    </row>
    <row r="34" spans="1:22" ht="14.4">
      <c r="A34" s="9" t="s">
        <v>130</v>
      </c>
      <c r="B34" s="11">
        <v>3500</v>
      </c>
      <c r="C34" s="9" t="s">
        <v>516</v>
      </c>
      <c r="D34" s="9" t="s">
        <v>49</v>
      </c>
      <c r="E34" s="9" t="s">
        <v>116</v>
      </c>
      <c r="F34" s="9" t="s">
        <v>896</v>
      </c>
      <c r="G34" s="9" t="s">
        <v>116</v>
      </c>
      <c r="H34" s="9" t="s">
        <v>897</v>
      </c>
      <c r="V34" s="9" t="s">
        <v>145</v>
      </c>
    </row>
    <row r="35" spans="1:22" ht="14.4">
      <c r="A35" s="9" t="s">
        <v>134</v>
      </c>
      <c r="B35" s="11">
        <v>4000</v>
      </c>
      <c r="C35" s="9" t="s">
        <v>516</v>
      </c>
      <c r="D35" s="9" t="s">
        <v>51</v>
      </c>
      <c r="E35" s="9" t="s">
        <v>116</v>
      </c>
      <c r="F35" s="9" t="s">
        <v>896</v>
      </c>
      <c r="G35" s="9" t="s">
        <v>116</v>
      </c>
      <c r="H35" s="9" t="s">
        <v>898</v>
      </c>
      <c r="V35" s="9" t="s">
        <v>413</v>
      </c>
    </row>
    <row r="36" spans="1:22" ht="14.4">
      <c r="A36" s="9" t="s">
        <v>138</v>
      </c>
      <c r="B36" s="11">
        <v>1500</v>
      </c>
      <c r="C36" s="9" t="s">
        <v>519</v>
      </c>
      <c r="D36" s="9" t="s">
        <v>51</v>
      </c>
      <c r="E36" s="9" t="s">
        <v>141</v>
      </c>
      <c r="F36" s="9" t="s">
        <v>896</v>
      </c>
      <c r="G36" s="9" t="s">
        <v>116</v>
      </c>
      <c r="H36" s="9" t="s">
        <v>899</v>
      </c>
      <c r="V36" s="9" t="s">
        <v>414</v>
      </c>
    </row>
    <row r="37" spans="1:22" ht="14.4">
      <c r="A37" s="9" t="s">
        <v>144</v>
      </c>
      <c r="B37" s="11">
        <v>1500</v>
      </c>
      <c r="C37" s="9" t="s">
        <v>519</v>
      </c>
      <c r="D37" s="9" t="s">
        <v>51</v>
      </c>
      <c r="E37" s="9" t="s">
        <v>141</v>
      </c>
      <c r="F37" s="9" t="s">
        <v>524</v>
      </c>
      <c r="G37" s="9" t="s">
        <v>116</v>
      </c>
      <c r="H37" s="9" t="s">
        <v>900</v>
      </c>
      <c r="V37" s="9" t="s">
        <v>174</v>
      </c>
    </row>
    <row r="38" spans="1:22" ht="14.4">
      <c r="A38" s="9" t="s">
        <v>173</v>
      </c>
      <c r="B38" s="11">
        <v>1000</v>
      </c>
      <c r="C38" s="9" t="s">
        <v>519</v>
      </c>
      <c r="D38" s="9" t="s">
        <v>51</v>
      </c>
      <c r="E38" s="9" t="s">
        <v>141</v>
      </c>
      <c r="F38" s="9" t="s">
        <v>524</v>
      </c>
      <c r="G38" s="9" t="s">
        <v>116</v>
      </c>
      <c r="H38" s="9" t="s">
        <v>901</v>
      </c>
      <c r="V38" s="9" t="s">
        <v>316</v>
      </c>
    </row>
    <row r="39" spans="1:22" ht="14.4">
      <c r="A39" s="9" t="s">
        <v>177</v>
      </c>
      <c r="B39" s="11">
        <v>500</v>
      </c>
      <c r="C39" s="9" t="s">
        <v>519</v>
      </c>
      <c r="D39" s="9" t="s">
        <v>51</v>
      </c>
      <c r="E39" s="9" t="s">
        <v>141</v>
      </c>
      <c r="F39" s="9" t="s">
        <v>524</v>
      </c>
      <c r="G39" s="9" t="s">
        <v>116</v>
      </c>
      <c r="H39" s="9" t="s">
        <v>902</v>
      </c>
      <c r="V39" s="9" t="s">
        <v>178</v>
      </c>
    </row>
    <row r="40" spans="1:22" ht="14.4">
      <c r="A40" s="9" t="s">
        <v>148</v>
      </c>
      <c r="B40" s="11">
        <v>600</v>
      </c>
      <c r="C40" s="9" t="s">
        <v>522</v>
      </c>
      <c r="D40" s="9" t="s">
        <v>49</v>
      </c>
      <c r="E40" s="9" t="s">
        <v>151</v>
      </c>
      <c r="F40" s="9" t="s">
        <v>903</v>
      </c>
      <c r="G40" s="9" t="s">
        <v>904</v>
      </c>
      <c r="H40" s="9" t="s">
        <v>905</v>
      </c>
      <c r="V40" s="9" t="s">
        <v>210</v>
      </c>
    </row>
    <row r="41" spans="1:22" ht="14.4">
      <c r="A41" s="9" t="s">
        <v>205</v>
      </c>
      <c r="B41" s="11">
        <v>400</v>
      </c>
      <c r="C41" s="9" t="s">
        <v>516</v>
      </c>
      <c r="D41" s="9" t="s">
        <v>49</v>
      </c>
      <c r="E41" s="9" t="s">
        <v>116</v>
      </c>
      <c r="F41" s="9" t="s">
        <v>896</v>
      </c>
      <c r="G41" s="9" t="s">
        <v>116</v>
      </c>
      <c r="H41" s="9" t="s">
        <v>906</v>
      </c>
      <c r="V41" s="9" t="s">
        <v>149</v>
      </c>
    </row>
    <row r="42" spans="1:22" ht="14.4">
      <c r="A42" s="9" t="s">
        <v>158</v>
      </c>
      <c r="B42" s="11">
        <v>500</v>
      </c>
      <c r="C42" s="9" t="s">
        <v>519</v>
      </c>
      <c r="D42" s="9" t="s">
        <v>51</v>
      </c>
      <c r="E42" s="9" t="s">
        <v>141</v>
      </c>
      <c r="F42" s="9" t="s">
        <v>903</v>
      </c>
      <c r="G42" s="9" t="s">
        <v>116</v>
      </c>
      <c r="H42" s="9" t="s">
        <v>907</v>
      </c>
      <c r="V42" s="9" t="s">
        <v>206</v>
      </c>
    </row>
    <row r="43" spans="1:22" ht="14.4">
      <c r="A43" s="9" t="s">
        <v>908</v>
      </c>
      <c r="B43" s="11">
        <v>500</v>
      </c>
      <c r="C43" s="9" t="s">
        <v>522</v>
      </c>
      <c r="D43" s="9" t="s">
        <v>51</v>
      </c>
      <c r="E43" s="9" t="s">
        <v>151</v>
      </c>
      <c r="F43" s="9" t="s">
        <v>903</v>
      </c>
      <c r="G43" s="9" t="s">
        <v>904</v>
      </c>
      <c r="H43" s="9" t="s">
        <v>909</v>
      </c>
      <c r="V43" s="9" t="s">
        <v>214</v>
      </c>
    </row>
    <row r="44" spans="1:22" ht="14.4">
      <c r="A44" s="9" t="s">
        <v>168</v>
      </c>
      <c r="B44" s="11">
        <v>1000</v>
      </c>
      <c r="C44" s="9" t="s">
        <v>874</v>
      </c>
      <c r="D44" s="9" t="s">
        <v>51</v>
      </c>
      <c r="E44" s="9" t="s">
        <v>151</v>
      </c>
      <c r="F44" s="9" t="s">
        <v>903</v>
      </c>
      <c r="G44" s="9" t="s">
        <v>904</v>
      </c>
      <c r="H44" s="9" t="s">
        <v>910</v>
      </c>
      <c r="V44" s="9" t="s">
        <v>911</v>
      </c>
    </row>
    <row r="45" spans="1:22" ht="14.4">
      <c r="A45" s="9" t="s">
        <v>163</v>
      </c>
      <c r="B45" s="11">
        <v>1000</v>
      </c>
      <c r="C45" s="9" t="s">
        <v>519</v>
      </c>
      <c r="D45" s="9" t="s">
        <v>51</v>
      </c>
      <c r="E45" s="9" t="s">
        <v>141</v>
      </c>
      <c r="F45" s="9" t="s">
        <v>896</v>
      </c>
      <c r="G45" s="9" t="s">
        <v>116</v>
      </c>
      <c r="H45" s="9" t="s">
        <v>912</v>
      </c>
      <c r="V45" s="10" t="s">
        <v>159</v>
      </c>
    </row>
    <row r="46" spans="1:22" ht="14.4">
      <c r="A46" s="9" t="s">
        <v>213</v>
      </c>
      <c r="B46" s="11">
        <v>700</v>
      </c>
      <c r="C46" s="9" t="s">
        <v>519</v>
      </c>
      <c r="D46" s="9" t="s">
        <v>51</v>
      </c>
      <c r="E46" s="9" t="s">
        <v>116</v>
      </c>
      <c r="F46" s="9" t="s">
        <v>896</v>
      </c>
      <c r="G46" s="9" t="s">
        <v>116</v>
      </c>
      <c r="H46" s="9" t="s">
        <v>913</v>
      </c>
    </row>
    <row r="47" spans="1:22" ht="14.4">
      <c r="A47" s="9" t="s">
        <v>561</v>
      </c>
      <c r="B47" s="11">
        <v>1000</v>
      </c>
      <c r="C47" s="9" t="s">
        <v>874</v>
      </c>
      <c r="D47" s="9" t="s">
        <v>51</v>
      </c>
      <c r="E47" s="9" t="s">
        <v>151</v>
      </c>
      <c r="F47" s="9" t="s">
        <v>903</v>
      </c>
      <c r="G47" s="9" t="s">
        <v>904</v>
      </c>
      <c r="H47" s="9" t="s">
        <v>914</v>
      </c>
    </row>
    <row r="48" spans="1:22" ht="14.4">
      <c r="A48" s="9" t="s">
        <v>192</v>
      </c>
      <c r="B48" s="11">
        <v>500</v>
      </c>
      <c r="C48" s="9" t="s">
        <v>516</v>
      </c>
      <c r="D48" s="9" t="s">
        <v>51</v>
      </c>
      <c r="E48" s="9" t="s">
        <v>116</v>
      </c>
      <c r="F48" s="9" t="s">
        <v>896</v>
      </c>
      <c r="G48" s="9" t="s">
        <v>116</v>
      </c>
      <c r="H48" s="9" t="s">
        <v>915</v>
      </c>
    </row>
    <row r="49" spans="1:8" ht="14.4">
      <c r="A49" s="9" t="s">
        <v>57</v>
      </c>
      <c r="B49" s="11">
        <v>2000</v>
      </c>
      <c r="C49" s="9" t="s">
        <v>516</v>
      </c>
      <c r="D49" s="9" t="s">
        <v>57</v>
      </c>
      <c r="E49" s="9" t="s">
        <v>116</v>
      </c>
      <c r="F49" s="9" t="s">
        <v>57</v>
      </c>
      <c r="G49" s="9" t="s">
        <v>116</v>
      </c>
      <c r="H49" s="9" t="s">
        <v>916</v>
      </c>
    </row>
    <row r="50" spans="1:8" ht="14.4">
      <c r="A50" s="9" t="s">
        <v>113</v>
      </c>
      <c r="B50" s="11">
        <v>800</v>
      </c>
      <c r="C50" s="9" t="s">
        <v>522</v>
      </c>
      <c r="D50" s="9" t="s">
        <v>51</v>
      </c>
      <c r="E50" s="9" t="s">
        <v>141</v>
      </c>
      <c r="F50" s="9" t="s">
        <v>159</v>
      </c>
      <c r="G50" s="9" t="s">
        <v>904</v>
      </c>
      <c r="H50" s="9" t="s">
        <v>917</v>
      </c>
    </row>
    <row r="51" spans="1:8" ht="14.4">
      <c r="A51" s="9" t="s">
        <v>918</v>
      </c>
      <c r="B51" s="11">
        <v>500</v>
      </c>
      <c r="C51" s="9" t="s">
        <v>519</v>
      </c>
      <c r="D51" s="9" t="s">
        <v>51</v>
      </c>
      <c r="E51" s="9" t="s">
        <v>141</v>
      </c>
      <c r="F51" s="9" t="s">
        <v>896</v>
      </c>
      <c r="G51" s="9" t="s">
        <v>116</v>
      </c>
      <c r="H51" s="9" t="s">
        <v>919</v>
      </c>
    </row>
    <row r="52" spans="1:8" ht="14.4">
      <c r="A52" s="10" t="s">
        <v>920</v>
      </c>
      <c r="B52" s="23">
        <v>500</v>
      </c>
      <c r="C52" s="10" t="s">
        <v>519</v>
      </c>
      <c r="D52" s="10" t="s">
        <v>51</v>
      </c>
      <c r="E52" s="10" t="s">
        <v>141</v>
      </c>
      <c r="F52" s="10" t="s">
        <v>524</v>
      </c>
      <c r="G52" s="10" t="s">
        <v>116</v>
      </c>
      <c r="H52" s="10" t="s">
        <v>921</v>
      </c>
    </row>
  </sheetData>
  <mergeCells count="3">
    <mergeCell ref="A1:W2"/>
    <mergeCell ref="A4:B4"/>
    <mergeCell ref="D4:E4"/>
  </mergeCells>
  <dataValidations count="6">
    <dataValidation type="list" sqref="B16" xr:uid="{00000000-0002-0000-1D00-000000000000}">
      <formula1>"Yes,No"</formula1>
    </dataValidation>
    <dataValidation type="list" sqref="E10" xr:uid="{00000000-0002-0000-1D00-000001000000}">
      <formula1>"Percentage,Fixed"</formula1>
    </dataValidation>
    <dataValidation type="list" sqref="E12" xr:uid="{00000000-0002-0000-1D00-000002000000}">
      <formula1>"On,Off"</formula1>
    </dataValidation>
    <dataValidation type="list" sqref="E13" xr:uid="{00000000-0002-0000-1D00-000003000000}">
      <formula1>"Standard,Zero Based"</formula1>
    </dataValidation>
    <dataValidation type="list" sqref="B28" xr:uid="{00000000-0002-0000-1D00-000004000000}">
      <formula1>$K$21:$K$32</formula1>
    </dataValidation>
    <dataValidation type="list" sqref="B29" xr:uid="{00000000-0002-0000-1D00-000005000000}">
      <formula1>$Q$21:$Q$23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START HERE</vt:lpstr>
      <vt:lpstr>DASHBOARD</vt:lpstr>
      <vt:lpstr>QUICK ENTRY</vt:lpstr>
      <vt:lpstr>TRANSACTIONS</vt:lpstr>
      <vt:lpstr>MONTHLY BUDGET</vt:lpstr>
      <vt:lpstr>INCOME</vt:lpstr>
      <vt:lpstr>COLLEGE FEES</vt:lpstr>
      <vt:lpstr>HOSTEL</vt:lpstr>
      <vt:lpstr>FOOD</vt:lpstr>
      <vt:lpstr>TRAVEL</vt:lpstr>
      <vt:lpstr>TECHNOLOGY</vt:lpstr>
      <vt:lpstr>AI-ML LEARNING</vt:lpstr>
      <vt:lpstr>PERSONAL</vt:lpstr>
      <vt:lpstr>SUBSCRIPTIONS</vt:lpstr>
      <vt:lpstr>SAVINGS</vt:lpstr>
      <vt:lpstr>GOALS</vt:lpstr>
      <vt:lpstr>EMERGENCY FUND</vt:lpstr>
      <vt:lpstr>PURCHASE PLANNER</vt:lpstr>
      <vt:lpstr>SHARED EXPENSES</vt:lpstr>
      <vt:lpstr>LENT-BORROWED</vt:lpstr>
      <vt:lpstr>REFUNDS</vt:lpstr>
      <vt:lpstr>SCHOLARSHIPS</vt:lpstr>
      <vt:lpstr>ACCOUNTS</vt:lpstr>
      <vt:lpstr>RECURRING PAYMENTS</vt:lpstr>
      <vt:lpstr>SEMESTER PLANNER</vt:lpstr>
      <vt:lpstr>FIRST-YEAR COST</vt:lpstr>
      <vt:lpstr>MONTHLY REPORT</vt:lpstr>
      <vt:lpstr>ANNUAL SUMMARY</vt:lpstr>
      <vt:lpstr>INSIGHTS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Pandey</dc:creator>
  <cp:lastModifiedBy>Aditya Pandey</cp:lastModifiedBy>
  <dcterms:created xsi:type="dcterms:W3CDTF">2026-10-11T17:39:26Z</dcterms:created>
  <dcterms:modified xsi:type="dcterms:W3CDTF">2026-10-11T17:39:26Z</dcterms:modified>
</cp:coreProperties>
</file>